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xWindow="0" yWindow="0" windowWidth="19095" windowHeight="7830"/>
  </bookViews>
  <sheets>
    <sheet name="LHC" sheetId="13" r:id="rId1"/>
    <sheet name="Sheet1" sheetId="14" r:id="rId2"/>
    <sheet name="LHCSource" sheetId="2" r:id="rId3"/>
    <sheet name="odds" sheetId="12" r:id="rId4"/>
    <sheet name="agent" sheetId="7" r:id="rId5"/>
    <sheet name="ExportBetXML" sheetId="4" r:id="rId6"/>
  </sheets>
  <definedNames>
    <definedName name="_xlnm._FilterDatabase" localSheetId="4" hidden="1">agent!$E$1:$F$30</definedName>
    <definedName name="_xlnm._FilterDatabase" localSheetId="2">LHCSource!$A$1:$L$32</definedName>
  </definedNames>
  <calcPr calcId="162913"/>
</workbook>
</file>

<file path=xl/calcChain.xml><?xml version="1.0" encoding="utf-8"?>
<calcChain xmlns="http://schemas.openxmlformats.org/spreadsheetml/2006/main">
  <c r="D3" i="13" l="1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2" i="13"/>
  <c r="E3" i="13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2" i="13"/>
  <c r="E2" i="2" l="1"/>
  <c r="N7" i="2" s="1"/>
  <c r="U7" i="2" s="1"/>
  <c r="AA15" i="2" s="1"/>
  <c r="G3" i="12" l="1"/>
  <c r="B3" i="7" l="1"/>
  <c r="F2" i="12" s="1"/>
  <c r="K2" i="2" s="1"/>
  <c r="L2" i="2" s="1"/>
  <c r="H2" i="2"/>
  <c r="G2" i="2"/>
  <c r="E3" i="2"/>
  <c r="E4" i="2" s="1"/>
  <c r="E5" i="2" s="1"/>
  <c r="E6" i="2" s="1"/>
  <c r="E7" i="2" s="1"/>
  <c r="E8" i="2" s="1"/>
  <c r="E9" i="2" s="1"/>
  <c r="E10" i="2" s="1"/>
  <c r="E11" i="2" s="1"/>
  <c r="E12" i="2" s="1"/>
  <c r="E13" i="2" s="1"/>
  <c r="E14" i="2" s="1"/>
  <c r="E15" i="2" s="1"/>
  <c r="E16" i="2" s="1"/>
  <c r="E17" i="2" s="1"/>
  <c r="E18" i="2" s="1"/>
  <c r="E19" i="2" s="1"/>
  <c r="E20" i="2" s="1"/>
  <c r="E21" i="2" s="1"/>
  <c r="E22" i="2" s="1"/>
  <c r="E23" i="2" s="1"/>
  <c r="E24" i="2" s="1"/>
  <c r="E25" i="2" s="1"/>
  <c r="E26" i="2" s="1"/>
  <c r="E27" i="2" s="1"/>
  <c r="E28" i="2" s="1"/>
  <c r="E29" i="2" s="1"/>
  <c r="E30" i="2" s="1"/>
  <c r="E31" i="2" s="1"/>
  <c r="E32" i="2" s="1"/>
  <c r="E33" i="2" s="1"/>
  <c r="E34" i="2" s="1"/>
  <c r="E35" i="2" s="1"/>
  <c r="E36" i="2" s="1"/>
  <c r="E37" i="2" s="1"/>
  <c r="F37" i="13"/>
  <c r="C37" i="13"/>
  <c r="F36" i="13"/>
  <c r="C36" i="13"/>
  <c r="F35" i="13"/>
  <c r="C35" i="13"/>
  <c r="F34" i="13"/>
  <c r="C34" i="13"/>
  <c r="F33" i="13"/>
  <c r="C33" i="13"/>
  <c r="Q33" i="2"/>
  <c r="Q34" i="2"/>
  <c r="Q35" i="2"/>
  <c r="Q36" i="2"/>
  <c r="Q37" i="2"/>
  <c r="Q32" i="2"/>
  <c r="F3" i="13"/>
  <c r="F4" i="13"/>
  <c r="F5" i="13"/>
  <c r="F6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2" i="13"/>
  <c r="N9" i="2"/>
  <c r="M2" i="2" l="1"/>
  <c r="H2" i="13" s="1"/>
  <c r="L2" i="13" s="1"/>
  <c r="G2" i="13"/>
  <c r="K2" i="13" s="1"/>
  <c r="N11" i="2"/>
  <c r="N13" i="2"/>
  <c r="C3" i="13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2" i="13"/>
  <c r="B36" i="13"/>
  <c r="B37" i="13"/>
  <c r="B3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2" i="13"/>
  <c r="H2" i="12" l="1"/>
  <c r="F82" i="12"/>
  <c r="E39" i="12"/>
  <c r="D39" i="12" s="1"/>
  <c r="E38" i="12"/>
  <c r="D38" i="12" s="1"/>
  <c r="E37" i="12"/>
  <c r="D37" i="12"/>
  <c r="E36" i="12"/>
  <c r="D36" i="12"/>
  <c r="E92" i="12"/>
  <c r="D92" i="12" s="1"/>
  <c r="E91" i="12"/>
  <c r="D91" i="12" s="1"/>
  <c r="E90" i="12"/>
  <c r="D90" i="12" s="1"/>
  <c r="E89" i="12"/>
  <c r="D89" i="12" s="1"/>
  <c r="E88" i="12"/>
  <c r="D88" i="12" s="1"/>
  <c r="E87" i="12"/>
  <c r="D87" i="12" s="1"/>
  <c r="E86" i="12"/>
  <c r="D86" i="12" s="1"/>
  <c r="E85" i="12"/>
  <c r="D85" i="12" s="1"/>
  <c r="E84" i="12"/>
  <c r="D84" i="12" s="1"/>
  <c r="E83" i="12"/>
  <c r="D83" i="12" s="1"/>
  <c r="E82" i="12"/>
  <c r="D82" i="12" s="1"/>
  <c r="E81" i="12"/>
  <c r="D81" i="12" s="1"/>
  <c r="E80" i="12"/>
  <c r="D80" i="12" s="1"/>
  <c r="E79" i="12"/>
  <c r="D79" i="12" s="1"/>
  <c r="E78" i="12"/>
  <c r="D78" i="12" s="1"/>
  <c r="E77" i="12"/>
  <c r="D77" i="12" s="1"/>
  <c r="E76" i="12"/>
  <c r="D76" i="12" s="1"/>
  <c r="E75" i="12"/>
  <c r="D75" i="12" s="1"/>
  <c r="E74" i="12"/>
  <c r="D74" i="12" s="1"/>
  <c r="E73" i="12"/>
  <c r="D73" i="12"/>
  <c r="E72" i="12"/>
  <c r="D72" i="12" s="1"/>
  <c r="E71" i="12"/>
  <c r="D71" i="12" s="1"/>
  <c r="E70" i="12"/>
  <c r="D70" i="12" s="1"/>
  <c r="E69" i="12"/>
  <c r="D69" i="12" s="1"/>
  <c r="E68" i="12"/>
  <c r="D68" i="12" s="1"/>
  <c r="E67" i="12"/>
  <c r="D67" i="12" s="1"/>
  <c r="E66" i="12"/>
  <c r="D66" i="12" s="1"/>
  <c r="E65" i="12"/>
  <c r="D65" i="12" s="1"/>
  <c r="E64" i="12"/>
  <c r="D64" i="12" s="1"/>
  <c r="E63" i="12"/>
  <c r="D63" i="12" s="1"/>
  <c r="E62" i="12"/>
  <c r="D62" i="12" s="1"/>
  <c r="E61" i="12"/>
  <c r="D61" i="12" s="1"/>
  <c r="E60" i="12"/>
  <c r="D60" i="12" s="1"/>
  <c r="E59" i="12"/>
  <c r="D59" i="12" s="1"/>
  <c r="E58" i="12"/>
  <c r="D58" i="12" s="1"/>
  <c r="E57" i="12"/>
  <c r="D57" i="12"/>
  <c r="E56" i="12"/>
  <c r="D56" i="12" s="1"/>
  <c r="E55" i="12"/>
  <c r="D55" i="12" s="1"/>
  <c r="E54" i="12"/>
  <c r="D54" i="12" s="1"/>
  <c r="E53" i="12"/>
  <c r="D53" i="12" s="1"/>
  <c r="E52" i="12"/>
  <c r="D52" i="12" s="1"/>
  <c r="E51" i="12"/>
  <c r="D51" i="12" s="1"/>
  <c r="E50" i="12"/>
  <c r="D50" i="12" s="1"/>
  <c r="E49" i="12"/>
  <c r="D49" i="12" s="1"/>
  <c r="E48" i="12"/>
  <c r="D48" i="12" s="1"/>
  <c r="E47" i="12"/>
  <c r="D47" i="12" s="1"/>
  <c r="E46" i="12"/>
  <c r="D46" i="12" s="1"/>
  <c r="E45" i="12"/>
  <c r="D45" i="12"/>
  <c r="E44" i="12"/>
  <c r="D44" i="12" s="1"/>
  <c r="E43" i="12"/>
  <c r="D43" i="12" s="1"/>
  <c r="E42" i="12"/>
  <c r="D42" i="12"/>
  <c r="E41" i="12"/>
  <c r="D41" i="12" s="1"/>
  <c r="E40" i="12"/>
  <c r="D40" i="12" s="1"/>
  <c r="E35" i="12"/>
  <c r="D35" i="12" s="1"/>
  <c r="E34" i="12"/>
  <c r="D34" i="12" s="1"/>
  <c r="E33" i="12"/>
  <c r="D33" i="12"/>
  <c r="E32" i="12"/>
  <c r="D32" i="12" s="1"/>
  <c r="E31" i="12"/>
  <c r="D31" i="12" s="1"/>
  <c r="E30" i="12"/>
  <c r="D30" i="12"/>
  <c r="E29" i="12"/>
  <c r="D29" i="12" s="1"/>
  <c r="E28" i="12"/>
  <c r="D28" i="12" s="1"/>
  <c r="E27" i="12"/>
  <c r="D27" i="12" s="1"/>
  <c r="E26" i="12"/>
  <c r="D26" i="12"/>
  <c r="E25" i="12"/>
  <c r="D25" i="12" s="1"/>
  <c r="E24" i="12"/>
  <c r="D24" i="12" s="1"/>
  <c r="E23" i="12"/>
  <c r="D23" i="12" s="1"/>
  <c r="E22" i="12"/>
  <c r="D22" i="12" s="1"/>
  <c r="E21" i="12"/>
  <c r="D21" i="12"/>
  <c r="E20" i="12"/>
  <c r="D20" i="12" s="1"/>
  <c r="E19" i="12"/>
  <c r="D19" i="12" s="1"/>
  <c r="E18" i="12"/>
  <c r="D18" i="12" s="1"/>
  <c r="E17" i="12"/>
  <c r="D17" i="12"/>
  <c r="E16" i="12"/>
  <c r="D16" i="12" s="1"/>
  <c r="E15" i="12"/>
  <c r="D15" i="12" s="1"/>
  <c r="E14" i="12"/>
  <c r="D14" i="12" s="1"/>
  <c r="E13" i="12"/>
  <c r="D13" i="12" s="1"/>
  <c r="E12" i="12"/>
  <c r="D12" i="12" s="1"/>
  <c r="E11" i="12"/>
  <c r="D11" i="12" s="1"/>
  <c r="E10" i="12"/>
  <c r="D10" i="12"/>
  <c r="E9" i="12"/>
  <c r="D9" i="12" s="1"/>
  <c r="E8" i="12"/>
  <c r="D8" i="12" s="1"/>
  <c r="E7" i="12"/>
  <c r="D7" i="12" s="1"/>
  <c r="E6" i="12"/>
  <c r="D6" i="12" s="1"/>
  <c r="E5" i="12"/>
  <c r="D5" i="12"/>
  <c r="E4" i="12"/>
  <c r="D4" i="12" s="1"/>
  <c r="E3" i="12"/>
  <c r="D3" i="12" s="1"/>
  <c r="E2" i="12"/>
  <c r="D2" i="12" s="1"/>
  <c r="F27" i="12" l="1"/>
  <c r="F38" i="12"/>
  <c r="F20" i="12"/>
  <c r="K4" i="2" s="1"/>
  <c r="F33" i="12"/>
  <c r="F43" i="12"/>
  <c r="F73" i="12"/>
  <c r="F80" i="12"/>
  <c r="F88" i="12"/>
  <c r="K33" i="2" s="1"/>
  <c r="F21" i="12"/>
  <c r="F74" i="12"/>
  <c r="F89" i="12"/>
  <c r="K34" i="2" s="1"/>
  <c r="F45" i="12"/>
  <c r="K19" i="2" s="1"/>
  <c r="F70" i="12"/>
  <c r="F44" i="12"/>
  <c r="F81" i="12"/>
  <c r="F28" i="12"/>
  <c r="F34" i="12"/>
  <c r="F39" i="12"/>
  <c r="F23" i="12"/>
  <c r="F30" i="12"/>
  <c r="F40" i="12"/>
  <c r="F46" i="12"/>
  <c r="F69" i="12"/>
  <c r="F76" i="12"/>
  <c r="F84" i="12"/>
  <c r="F92" i="12"/>
  <c r="K37" i="2" s="1"/>
  <c r="F3" i="12"/>
  <c r="F77" i="12"/>
  <c r="F36" i="12"/>
  <c r="F25" i="12"/>
  <c r="F31" i="12"/>
  <c r="F42" i="12"/>
  <c r="K17" i="2" s="1"/>
  <c r="F48" i="12"/>
  <c r="K21" i="2" s="1"/>
  <c r="F71" i="12"/>
  <c r="F78" i="12"/>
  <c r="F86" i="12"/>
  <c r="F90" i="12"/>
  <c r="K35" i="2" s="1"/>
  <c r="F22" i="12"/>
  <c r="F29" i="12"/>
  <c r="F35" i="12"/>
  <c r="F75" i="12"/>
  <c r="F83" i="12"/>
  <c r="F24" i="12"/>
  <c r="F41" i="12"/>
  <c r="F47" i="12"/>
  <c r="F85" i="12"/>
  <c r="F91" i="12"/>
  <c r="K36" i="2" s="1"/>
  <c r="F26" i="12"/>
  <c r="F32" i="12"/>
  <c r="F72" i="12"/>
  <c r="F79" i="12"/>
  <c r="F87" i="12"/>
  <c r="K32" i="2" s="1"/>
  <c r="F37" i="12"/>
  <c r="H18" i="2"/>
  <c r="G18" i="2" s="1"/>
  <c r="K9" i="2" l="1"/>
  <c r="K15" i="2"/>
  <c r="K13" i="2"/>
  <c r="K7" i="2"/>
  <c r="K5" i="2"/>
  <c r="K11" i="2"/>
  <c r="N8" i="2"/>
  <c r="N6" i="2"/>
  <c r="T7" i="2" s="1"/>
  <c r="Z15" i="2" s="1"/>
  <c r="N5" i="2"/>
  <c r="S7" i="2" s="1"/>
  <c r="Y15" i="2" s="1"/>
  <c r="N4" i="2"/>
  <c r="R7" i="2" s="1"/>
  <c r="X15" i="2" s="1"/>
  <c r="N3" i="2"/>
  <c r="N2" i="2"/>
  <c r="H16" i="2"/>
  <c r="H14" i="2"/>
  <c r="H12" i="2"/>
  <c r="H10" i="2"/>
  <c r="H8" i="2"/>
  <c r="H6" i="2"/>
  <c r="H3" i="2"/>
  <c r="O12" i="2"/>
  <c r="O10" i="2"/>
  <c r="H37" i="2"/>
  <c r="H36" i="2"/>
  <c r="H35" i="2"/>
  <c r="H34" i="2"/>
  <c r="H33" i="2"/>
  <c r="H32" i="2"/>
  <c r="H31" i="2"/>
  <c r="H30" i="2"/>
  <c r="H29" i="2"/>
  <c r="H27" i="2"/>
  <c r="H26" i="2"/>
  <c r="H25" i="2"/>
  <c r="H21" i="2"/>
  <c r="H20" i="2"/>
  <c r="H19" i="2"/>
  <c r="H17" i="2"/>
  <c r="H22" i="2"/>
  <c r="H24" i="2"/>
  <c r="H23" i="2"/>
  <c r="H28" i="2"/>
  <c r="H4" i="2"/>
  <c r="H5" i="2"/>
  <c r="H7" i="2"/>
  <c r="H9" i="2"/>
  <c r="H11" i="2"/>
  <c r="H13" i="2"/>
  <c r="H15" i="2"/>
  <c r="M28" i="2" l="1"/>
  <c r="H28" i="13" s="1"/>
  <c r="L28" i="13" s="1"/>
  <c r="L28" i="2"/>
  <c r="G28" i="13" s="1"/>
  <c r="K28" i="13" s="1"/>
  <c r="P28" i="2"/>
  <c r="W24" i="2" s="1"/>
  <c r="O7" i="2"/>
  <c r="P18" i="2"/>
  <c r="P7" i="2"/>
  <c r="P23" i="2"/>
  <c r="W17" i="2" s="1"/>
  <c r="Q7" i="2"/>
  <c r="W15" i="2" s="1"/>
  <c r="S22" i="2"/>
  <c r="R22" i="2"/>
  <c r="Q22" i="2"/>
  <c r="G7" i="2"/>
  <c r="G30" i="2"/>
  <c r="G16" i="2"/>
  <c r="G19" i="2"/>
  <c r="G31" i="2"/>
  <c r="P32" i="2"/>
  <c r="L32" i="2" s="1"/>
  <c r="P2" i="2"/>
  <c r="L17" i="2"/>
  <c r="P22" i="2"/>
  <c r="V17" i="2" s="1"/>
  <c r="P33" i="2"/>
  <c r="L33" i="2" s="1"/>
  <c r="P9" i="2"/>
  <c r="P34" i="2"/>
  <c r="L34" i="2" s="1"/>
  <c r="P37" i="2"/>
  <c r="L37" i="2" s="1"/>
  <c r="P35" i="2"/>
  <c r="L35" i="2" s="1"/>
  <c r="P36" i="2"/>
  <c r="L36" i="2" s="1"/>
  <c r="L4" i="2"/>
  <c r="L5" i="2"/>
  <c r="G5" i="2"/>
  <c r="G20" i="2"/>
  <c r="G32" i="2"/>
  <c r="G3" i="2"/>
  <c r="N30" i="2"/>
  <c r="L7" i="2"/>
  <c r="Q9" i="2"/>
  <c r="G21" i="2"/>
  <c r="G33" i="2"/>
  <c r="G6" i="2"/>
  <c r="N31" i="2"/>
  <c r="L9" i="2"/>
  <c r="R9" i="2"/>
  <c r="G28" i="2"/>
  <c r="G15" i="2"/>
  <c r="G23" i="2"/>
  <c r="G25" i="2"/>
  <c r="G34" i="2"/>
  <c r="G8" i="2"/>
  <c r="N32" i="2"/>
  <c r="S9" i="2"/>
  <c r="L11" i="2"/>
  <c r="G13" i="2"/>
  <c r="G24" i="2"/>
  <c r="G26" i="2"/>
  <c r="G35" i="2"/>
  <c r="G10" i="2"/>
  <c r="N33" i="2"/>
  <c r="T3" i="2"/>
  <c r="T8" i="2"/>
  <c r="T2" i="2"/>
  <c r="Z10" i="2" s="1"/>
  <c r="T9" i="2"/>
  <c r="L13" i="2"/>
  <c r="T15" i="2"/>
  <c r="T6" i="2"/>
  <c r="T5" i="2"/>
  <c r="G11" i="2"/>
  <c r="G22" i="2"/>
  <c r="G27" i="2"/>
  <c r="G36" i="2"/>
  <c r="G12" i="2"/>
  <c r="N34" i="2"/>
  <c r="U5" i="2"/>
  <c r="U9" i="2"/>
  <c r="U6" i="2"/>
  <c r="U3" i="2"/>
  <c r="U2" i="2"/>
  <c r="AA10" i="2" s="1"/>
  <c r="L15" i="2"/>
  <c r="M15" i="2" s="1"/>
  <c r="U8" i="2"/>
  <c r="U15" i="2"/>
  <c r="G4" i="2"/>
  <c r="G9" i="2"/>
  <c r="G17" i="2"/>
  <c r="G29" i="2"/>
  <c r="G37" i="2"/>
  <c r="G14" i="2"/>
  <c r="N35" i="2"/>
  <c r="O35" i="2" s="1"/>
  <c r="O2" i="2"/>
  <c r="N29" i="2"/>
  <c r="Q5" i="2"/>
  <c r="R6" i="2"/>
  <c r="P24" i="2"/>
  <c r="X17" i="2" s="1"/>
  <c r="P25" i="2"/>
  <c r="Y17" i="2" s="1"/>
  <c r="P26" i="2"/>
  <c r="Z17" i="2" s="1"/>
  <c r="P27" i="2"/>
  <c r="AA17" i="2" s="1"/>
  <c r="O3" i="2"/>
  <c r="P8" i="2"/>
  <c r="O9" i="2"/>
  <c r="P5" i="2"/>
  <c r="S2" i="2"/>
  <c r="S8" i="2"/>
  <c r="O8" i="2"/>
  <c r="F15" i="12" s="1"/>
  <c r="G15" i="12" s="1"/>
  <c r="Q21" i="2"/>
  <c r="Q20" i="2"/>
  <c r="P21" i="2"/>
  <c r="P20" i="2"/>
  <c r="P19" i="2"/>
  <c r="L19" i="2" s="1"/>
  <c r="O5" i="2"/>
  <c r="Q6" i="2"/>
  <c r="R15" i="2"/>
  <c r="O6" i="2"/>
  <c r="P6" i="2"/>
  <c r="R8" i="2"/>
  <c r="Q8" i="2"/>
  <c r="R2" i="2"/>
  <c r="X10" i="2" s="1"/>
  <c r="S3" i="2"/>
  <c r="Q2" i="2"/>
  <c r="R3" i="2"/>
  <c r="S5" i="2"/>
  <c r="P3" i="2"/>
  <c r="Q3" i="2"/>
  <c r="R5" i="2"/>
  <c r="S6" i="2"/>
  <c r="S15" i="2"/>
  <c r="M19" i="2" l="1"/>
  <c r="H19" i="13" s="1"/>
  <c r="L19" i="13" s="1"/>
  <c r="G19" i="13"/>
  <c r="K19" i="13" s="1"/>
  <c r="M37" i="2"/>
  <c r="H37" i="13" s="1"/>
  <c r="L37" i="13" s="1"/>
  <c r="G37" i="13"/>
  <c r="K37" i="13" s="1"/>
  <c r="M34" i="2"/>
  <c r="H34" i="13" s="1"/>
  <c r="L34" i="13" s="1"/>
  <c r="G34" i="13"/>
  <c r="K34" i="13" s="1"/>
  <c r="M4" i="2"/>
  <c r="H4" i="13" s="1"/>
  <c r="L4" i="13" s="1"/>
  <c r="G4" i="13"/>
  <c r="K4" i="13" s="1"/>
  <c r="M9" i="2"/>
  <c r="H9" i="13" s="1"/>
  <c r="L9" i="13" s="1"/>
  <c r="G9" i="13"/>
  <c r="K9" i="13" s="1"/>
  <c r="Q15" i="2"/>
  <c r="M13" i="2"/>
  <c r="H13" i="13" s="1"/>
  <c r="L13" i="13" s="1"/>
  <c r="G13" i="13"/>
  <c r="K13" i="13" s="1"/>
  <c r="M33" i="2"/>
  <c r="H33" i="13" s="1"/>
  <c r="L33" i="13" s="1"/>
  <c r="G33" i="13"/>
  <c r="K33" i="13" s="1"/>
  <c r="H15" i="13"/>
  <c r="L15" i="13" s="1"/>
  <c r="G15" i="13"/>
  <c r="K15" i="13" s="1"/>
  <c r="M5" i="2"/>
  <c r="H5" i="13" s="1"/>
  <c r="L5" i="13" s="1"/>
  <c r="G5" i="13"/>
  <c r="K5" i="13" s="1"/>
  <c r="M17" i="2"/>
  <c r="H17" i="13" s="1"/>
  <c r="L17" i="13" s="1"/>
  <c r="G17" i="13"/>
  <c r="K17" i="13" s="1"/>
  <c r="M11" i="2"/>
  <c r="H11" i="13" s="1"/>
  <c r="L11" i="13" s="1"/>
  <c r="G11" i="13"/>
  <c r="K11" i="13" s="1"/>
  <c r="M7" i="2"/>
  <c r="H7" i="13" s="1"/>
  <c r="L7" i="13" s="1"/>
  <c r="G7" i="13"/>
  <c r="K7" i="13" s="1"/>
  <c r="M36" i="2"/>
  <c r="H36" i="13" s="1"/>
  <c r="L36" i="13" s="1"/>
  <c r="G36" i="13"/>
  <c r="K36" i="13" s="1"/>
  <c r="M35" i="2"/>
  <c r="H35" i="13" s="1"/>
  <c r="L35" i="13" s="1"/>
  <c r="G35" i="13"/>
  <c r="K35" i="13" s="1"/>
  <c r="M32" i="2"/>
  <c r="H32" i="13" s="1"/>
  <c r="L32" i="13" s="1"/>
  <c r="G32" i="13"/>
  <c r="K32" i="13" s="1"/>
  <c r="U13" i="2"/>
  <c r="AA13" i="2"/>
  <c r="T14" i="2"/>
  <c r="Z14" i="2"/>
  <c r="R13" i="2"/>
  <c r="X13" i="2"/>
  <c r="P16" i="2"/>
  <c r="V16" i="2"/>
  <c r="Q13" i="2"/>
  <c r="W13" i="2"/>
  <c r="T13" i="2"/>
  <c r="Z13" i="2"/>
  <c r="S13" i="2"/>
  <c r="Y13" i="2"/>
  <c r="V14" i="2"/>
  <c r="P14" i="2"/>
  <c r="R11" i="2"/>
  <c r="X11" i="2"/>
  <c r="P15" i="2"/>
  <c r="V15" i="2"/>
  <c r="Q16" i="2"/>
  <c r="W16" i="2"/>
  <c r="U16" i="2"/>
  <c r="AA16" i="2"/>
  <c r="M18" i="2"/>
  <c r="H18" i="13" s="1"/>
  <c r="L18" i="13" s="1"/>
  <c r="L18" i="2"/>
  <c r="G18" i="13" s="1"/>
  <c r="K18" i="13" s="1"/>
  <c r="P11" i="2"/>
  <c r="V11" i="2"/>
  <c r="Q10" i="2"/>
  <c r="W10" i="2"/>
  <c r="S11" i="2"/>
  <c r="Y11" i="2"/>
  <c r="Q14" i="2"/>
  <c r="W14" i="2"/>
  <c r="S16" i="2"/>
  <c r="Y16" i="2"/>
  <c r="S14" i="2"/>
  <c r="Y14" i="2"/>
  <c r="S10" i="2"/>
  <c r="Y10" i="2"/>
  <c r="U11" i="2"/>
  <c r="AA11" i="2"/>
  <c r="T16" i="2"/>
  <c r="Z16" i="2"/>
  <c r="V10" i="2"/>
  <c r="P10" i="2"/>
  <c r="P13" i="2"/>
  <c r="V13" i="2"/>
  <c r="Q11" i="2"/>
  <c r="W11" i="2"/>
  <c r="R16" i="2"/>
  <c r="X16" i="2"/>
  <c r="M20" i="2"/>
  <c r="H20" i="13" s="1"/>
  <c r="L20" i="13" s="1"/>
  <c r="L20" i="2"/>
  <c r="G20" i="13" s="1"/>
  <c r="K20" i="13" s="1"/>
  <c r="R14" i="2"/>
  <c r="X14" i="2"/>
  <c r="U14" i="2"/>
  <c r="AA14" i="2"/>
  <c r="T11" i="2"/>
  <c r="Z11" i="2"/>
  <c r="O32" i="2"/>
  <c r="O31" i="2"/>
  <c r="R25" i="2"/>
  <c r="O30" i="2"/>
  <c r="O29" i="2"/>
  <c r="O33" i="2"/>
  <c r="O34" i="2"/>
  <c r="O4" i="2"/>
  <c r="F4" i="12" s="1"/>
  <c r="G4" i="12" s="1"/>
  <c r="U17" i="2"/>
  <c r="T17" i="2"/>
  <c r="P17" i="2"/>
  <c r="S17" i="2"/>
  <c r="U10" i="2"/>
  <c r="U4" i="2"/>
  <c r="AA12" i="2" s="1"/>
  <c r="R17" i="2"/>
  <c r="R4" i="2"/>
  <c r="R10" i="2"/>
  <c r="Q17" i="2"/>
  <c r="L21" i="2"/>
  <c r="T10" i="2"/>
  <c r="T4" i="2"/>
  <c r="Z12" i="2" s="1"/>
  <c r="S4" i="2"/>
  <c r="R26" i="2"/>
  <c r="R27" i="2"/>
  <c r="F67" i="12"/>
  <c r="F68" i="12"/>
  <c r="G68" i="12" s="1"/>
  <c r="F52" i="12"/>
  <c r="G52" i="12" s="1"/>
  <c r="F51" i="12"/>
  <c r="G51" i="12" s="1"/>
  <c r="F58" i="12"/>
  <c r="G58" i="12" s="1"/>
  <c r="F57" i="12"/>
  <c r="G57" i="12" s="1"/>
  <c r="F64" i="12"/>
  <c r="G64" i="12" s="1"/>
  <c r="F63" i="12"/>
  <c r="G63" i="12" s="1"/>
  <c r="F16" i="12"/>
  <c r="F17" i="12"/>
  <c r="G17" i="12" s="1"/>
  <c r="F18" i="12"/>
  <c r="F19" i="12"/>
  <c r="G19" i="12" s="1"/>
  <c r="Q4" i="2"/>
  <c r="P4" i="2"/>
  <c r="F9" i="12"/>
  <c r="G9" i="12" s="1"/>
  <c r="F8" i="12"/>
  <c r="G8" i="12" s="1"/>
  <c r="F11" i="12"/>
  <c r="G11" i="12" s="1"/>
  <c r="F10" i="12"/>
  <c r="G10" i="12" s="1"/>
  <c r="F14" i="12"/>
  <c r="G14" i="12" s="1"/>
  <c r="F13" i="12"/>
  <c r="G13" i="12" s="1"/>
  <c r="F12" i="12"/>
  <c r="G12" i="12" s="1"/>
  <c r="H4" i="7"/>
  <c r="H3" i="7"/>
  <c r="B6" i="7" s="1"/>
  <c r="K2" i="7"/>
  <c r="M14" i="2" l="1"/>
  <c r="M16" i="2"/>
  <c r="G18" i="12"/>
  <c r="M21" i="2"/>
  <c r="H21" i="13" s="1"/>
  <c r="L21" i="13" s="1"/>
  <c r="G21" i="13"/>
  <c r="K21" i="13" s="1"/>
  <c r="Q12" i="2"/>
  <c r="W12" i="2"/>
  <c r="M8" i="2" s="1"/>
  <c r="P12" i="2"/>
  <c r="L6" i="2" s="1"/>
  <c r="V12" i="2"/>
  <c r="M6" i="2" s="1"/>
  <c r="R12" i="2"/>
  <c r="X12" i="2"/>
  <c r="M10" i="2" s="1"/>
  <c r="S12" i="2"/>
  <c r="Y12" i="2"/>
  <c r="M12" i="2" s="1"/>
  <c r="P29" i="2"/>
  <c r="Q24" i="2" s="1"/>
  <c r="G67" i="12"/>
  <c r="M23" i="2" s="1"/>
  <c r="H23" i="13" s="1"/>
  <c r="L23" i="13" s="1"/>
  <c r="K23" i="2"/>
  <c r="G16" i="12"/>
  <c r="Q31" i="2"/>
  <c r="P30" i="2"/>
  <c r="P31" i="2"/>
  <c r="Q30" i="2"/>
  <c r="Q29" i="2"/>
  <c r="T12" i="2"/>
  <c r="L14" i="2" s="1"/>
  <c r="U12" i="2"/>
  <c r="L16" i="2" s="1"/>
  <c r="F7" i="12"/>
  <c r="G7" i="12" s="1"/>
  <c r="F6" i="12"/>
  <c r="G6" i="12" s="1"/>
  <c r="F5" i="12"/>
  <c r="G5" i="12" s="1"/>
  <c r="F50" i="12"/>
  <c r="G50" i="12" s="1"/>
  <c r="F56" i="12"/>
  <c r="G56" i="12" s="1"/>
  <c r="F49" i="12"/>
  <c r="F61" i="12"/>
  <c r="G61" i="12" s="1"/>
  <c r="F55" i="12"/>
  <c r="G55" i="12" s="1"/>
  <c r="F62" i="12"/>
  <c r="G62" i="12" s="1"/>
  <c r="F60" i="12"/>
  <c r="G60" i="12" s="1"/>
  <c r="F59" i="12"/>
  <c r="G59" i="12" s="1"/>
  <c r="F53" i="12"/>
  <c r="G53" i="12" s="1"/>
  <c r="F66" i="12"/>
  <c r="G66" i="12" s="1"/>
  <c r="F65" i="12"/>
  <c r="G65" i="12" s="1"/>
  <c r="F54" i="12"/>
  <c r="G54" i="12" s="1"/>
  <c r="C6" i="7"/>
  <c r="D6" i="7" s="1"/>
  <c r="K3" i="7"/>
  <c r="O2" i="7"/>
  <c r="M3" i="2" l="1"/>
  <c r="G16" i="13"/>
  <c r="K16" i="13" s="1"/>
  <c r="G6" i="13"/>
  <c r="K6" i="13" s="1"/>
  <c r="L10" i="2"/>
  <c r="G10" i="13" s="1"/>
  <c r="K10" i="13" s="1"/>
  <c r="L3" i="2"/>
  <c r="G3" i="13" s="1"/>
  <c r="L8" i="2"/>
  <c r="G8" i="13" s="1"/>
  <c r="K8" i="13" s="1"/>
  <c r="G14" i="13"/>
  <c r="K14" i="13" s="1"/>
  <c r="L22" i="2"/>
  <c r="G22" i="13" s="1"/>
  <c r="K22" i="13" s="1"/>
  <c r="L12" i="2"/>
  <c r="G12" i="13" s="1"/>
  <c r="K12" i="13" s="1"/>
  <c r="H12" i="13"/>
  <c r="L12" i="13" s="1"/>
  <c r="H8" i="13"/>
  <c r="L8" i="13" s="1"/>
  <c r="H10" i="13"/>
  <c r="L10" i="13" s="1"/>
  <c r="H6" i="13"/>
  <c r="L6" i="13" s="1"/>
  <c r="H16" i="13"/>
  <c r="L16" i="13" s="1"/>
  <c r="H14" i="13"/>
  <c r="L14" i="13" s="1"/>
  <c r="L31" i="2"/>
  <c r="G31" i="13" s="1"/>
  <c r="K31" i="13" s="1"/>
  <c r="M31" i="2"/>
  <c r="H31" i="13" s="1"/>
  <c r="L31" i="13" s="1"/>
  <c r="M30" i="2"/>
  <c r="H30" i="13" s="1"/>
  <c r="L30" i="13" s="1"/>
  <c r="L30" i="2"/>
  <c r="G30" i="13" s="1"/>
  <c r="K30" i="13" s="1"/>
  <c r="G49" i="12"/>
  <c r="M29" i="2"/>
  <c r="H29" i="13" s="1"/>
  <c r="L29" i="13" s="1"/>
  <c r="L29" i="2"/>
  <c r="G29" i="13" s="1"/>
  <c r="K29" i="13" s="1"/>
  <c r="L23" i="2"/>
  <c r="G23" i="13" s="1"/>
  <c r="K23" i="13" s="1"/>
  <c r="T24" i="2"/>
  <c r="R24" i="2"/>
  <c r="V24" i="2"/>
  <c r="Q25" i="2"/>
  <c r="S24" i="2"/>
  <c r="Q26" i="2"/>
  <c r="U24" i="2"/>
  <c r="Q27" i="2"/>
  <c r="M3" i="7"/>
  <c r="I4" i="7" s="1"/>
  <c r="K4" i="7" s="1"/>
  <c r="O3" i="7"/>
  <c r="K3" i="13" l="1"/>
  <c r="M3" i="13"/>
  <c r="M4" i="13" s="1"/>
  <c r="M5" i="13" s="1"/>
  <c r="M6" i="13" s="1"/>
  <c r="M7" i="13" s="1"/>
  <c r="M8" i="13" s="1"/>
  <c r="M9" i="13" s="1"/>
  <c r="M10" i="13" s="1"/>
  <c r="M11" i="13" s="1"/>
  <c r="M12" i="13" s="1"/>
  <c r="M13" i="13" s="1"/>
  <c r="M14" i="13" s="1"/>
  <c r="M15" i="13" s="1"/>
  <c r="M16" i="13" s="1"/>
  <c r="M17" i="13" s="1"/>
  <c r="M18" i="13" s="1"/>
  <c r="M19" i="13" s="1"/>
  <c r="M20" i="13" s="1"/>
  <c r="M21" i="13" s="1"/>
  <c r="M22" i="2"/>
  <c r="H22" i="13" s="1"/>
  <c r="L22" i="13" s="1"/>
  <c r="H3" i="13"/>
  <c r="L3" i="13" s="1"/>
  <c r="M24" i="2"/>
  <c r="H24" i="13" s="1"/>
  <c r="L24" i="13" s="1"/>
  <c r="L24" i="2"/>
  <c r="G24" i="13" s="1"/>
  <c r="K24" i="13" s="1"/>
  <c r="L27" i="2"/>
  <c r="G27" i="13" s="1"/>
  <c r="K27" i="13" s="1"/>
  <c r="M27" i="2"/>
  <c r="H27" i="13" s="1"/>
  <c r="L27" i="13" s="1"/>
  <c r="M25" i="2"/>
  <c r="H25" i="13" s="1"/>
  <c r="L25" i="13" s="1"/>
  <c r="L25" i="2"/>
  <c r="G25" i="13" s="1"/>
  <c r="K25" i="13" s="1"/>
  <c r="L26" i="2"/>
  <c r="G26" i="13" s="1"/>
  <c r="K26" i="13" s="1"/>
  <c r="M26" i="2"/>
  <c r="H26" i="13" s="1"/>
  <c r="L26" i="13" s="1"/>
  <c r="B9" i="7"/>
  <c r="C9" i="7" s="1"/>
  <c r="M22" i="13" l="1"/>
  <c r="M23" i="13" s="1"/>
  <c r="M24" i="13" s="1"/>
  <c r="M25" i="13" s="1"/>
  <c r="M26" i="13" s="1"/>
  <c r="M27" i="13" s="1"/>
  <c r="M28" i="13" s="1"/>
  <c r="M29" i="13" s="1"/>
  <c r="M30" i="13" s="1"/>
  <c r="M31" i="13" s="1"/>
  <c r="M32" i="13" s="1"/>
  <c r="M33" i="13" s="1"/>
  <c r="M34" i="13" s="1"/>
  <c r="M35" i="13" s="1"/>
  <c r="M36" i="13" s="1"/>
  <c r="M37" i="13" s="1"/>
  <c r="B12" i="7"/>
  <c r="C12" i="7" s="1"/>
  <c r="D9" i="7"/>
  <c r="E9" i="7" s="1"/>
  <c r="E6" i="7"/>
  <c r="D12" i="7" l="1"/>
  <c r="E12" i="7" s="1"/>
  <c r="B15" i="7" l="1"/>
  <c r="C15" i="7" s="1"/>
  <c r="D15" i="7" l="1"/>
  <c r="E15" i="7" s="1"/>
  <c r="B18" i="7"/>
  <c r="C18" i="7" s="1"/>
  <c r="D18" i="7" l="1"/>
  <c r="E18" i="7" s="1"/>
  <c r="B21" i="7"/>
  <c r="C21" i="7" s="1"/>
  <c r="B24" i="7" l="1"/>
  <c r="C24" i="7" s="1"/>
  <c r="D21" i="7"/>
  <c r="E21" i="7" s="1"/>
  <c r="D24" i="7" l="1"/>
  <c r="E24" i="7" s="1"/>
  <c r="B27" i="7"/>
  <c r="C27" i="7" s="1"/>
  <c r="D27" i="7" l="1"/>
  <c r="E27" i="7" s="1"/>
  <c r="B30" i="7"/>
  <c r="C30" i="7" s="1"/>
  <c r="D30" i="7" l="1"/>
  <c r="E30" i="7" s="1"/>
  <c r="B33" i="7"/>
  <c r="C33" i="7" s="1"/>
  <c r="D33" i="7" l="1"/>
  <c r="E33" i="7" s="1"/>
  <c r="B36" i="7"/>
  <c r="C36" i="7" s="1"/>
  <c r="B39" i="7" l="1"/>
  <c r="C39" i="7" s="1"/>
  <c r="D36" i="7"/>
  <c r="E36" i="7" s="1"/>
  <c r="D39" i="7" l="1"/>
  <c r="E39" i="7" s="1"/>
  <c r="B42" i="7"/>
  <c r="C42" i="7" s="1"/>
  <c r="D42" i="7" l="1"/>
  <c r="E42" i="7" s="1"/>
  <c r="B45" i="7"/>
  <c r="C45" i="7" s="1"/>
  <c r="D45" i="7" l="1"/>
  <c r="E45" i="7" s="1"/>
  <c r="B48" i="7"/>
  <c r="C48" i="7" s="1"/>
  <c r="D48" i="7" l="1"/>
  <c r="E48" i="7" s="1"/>
</calcChain>
</file>

<file path=xl/comments1.xml><?xml version="1.0" encoding="utf-8"?>
<comments xmlns="http://schemas.openxmlformats.org/spreadsheetml/2006/main">
  <authors>
    <author>Lance</author>
  </authors>
  <commentList>
    <comment ref="A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列
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元素</t>
        </r>
      </text>
    </comment>
    <comment ref="R25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中本命</t>
        </r>
      </text>
    </comment>
  </commentList>
</comments>
</file>

<file path=xl/connections.xml><?xml version="1.0" encoding="utf-8"?>
<connections xmlns="http://schemas.openxmlformats.org/spreadsheetml/2006/main">
  <connection id="1" name="agent" type="4" refreshedVersion="0" background="1">
    <webPr xml="1" sourceData="1" url="C:\Users\Lance\Desktop\agent.xml" htmlTables="1" htmlFormat="all"/>
  </connection>
  <connection id="2" name="agent1" type="4" refreshedVersion="0" background="1">
    <webPr xml="1" sourceData="1" url="E:\Git Repository\WorkDocumentOfMe\agent.xml" htmlTables="1" htmlFormat="all"/>
  </connection>
  <connection id="3" name="allResult" type="4" refreshedVersion="0" background="1">
    <webPr xml="1" sourceData="1" url="E:\Git Repository\WorkDocumentOfMe\allResult.xml" htmlTables="1" htmlFormat="all"/>
  </connection>
  <connection id="4" name="betorder" type="4" refreshedVersion="0" background="1">
    <webPr xml="1" sourceData="1" url="C:\Users\Lance\Desktop\betorder.xml" htmlTables="1" htmlFormat="all"/>
  </connection>
  <connection id="5" name="betorder1" type="4" refreshedVersion="0" background="1">
    <webPr xml="1" sourceData="1" url="C:\Users\Lance\Desktop\betorder.xml" htmlTables="1" htmlFormat="all"/>
  </connection>
  <connection id="6" name="betorder2" type="4" refreshedVersion="0" background="1">
    <webPr xml="1" sourceData="1" url="C:\Users\Lance\Desktop\betorder.xml" htmlTables="1" htmlFormat="all"/>
  </connection>
  <connection id="7" name="betorder3" type="4" refreshedVersion="0" background="1">
    <webPr xml="1" sourceData="1" url="C:\Users\Lance\Desktop\betorder.xml" htmlTables="1" htmlFormat="all"/>
  </connection>
  <connection id="8" name="betorder4" type="4" refreshedVersion="0" background="1">
    <webPr xml="1" sourceData="1" url="C:\Users\Lance\Desktop\BetDatas.xml" htmlTables="1" htmlFormat="all"/>
  </connection>
  <connection id="9" name="betorder5" type="4" refreshedVersion="0" background="1">
    <webPr xml="1" sourceData="1" url="E:\Git Repository\WorkDocumentOfMe\betorder.xml" htmlTables="1" htmlFormat="all"/>
  </connection>
  <connection id="10" name="betorder6" type="4" refreshedVersion="0" background="1">
    <webPr xml="1" sourceData="1" url="E:\Git Repository\WorkDocumentOfMe\betorder.xml" htmlTables="1" htmlFormat="all"/>
  </connection>
  <connection id="11" name="betorder7" type="4" refreshedVersion="0" background="1">
    <webPr xml="1" sourceData="1" url="E:\Git Repository\WorkDocumentOfMe\betorder.xml" htmlTables="1" htmlFormat="all"/>
  </connection>
  <connection id="12" name="betorder8" type="4" refreshedVersion="0" background="1">
    <webPr xml="1" sourceData="1" url="E:\Git Repository\WorkDocumentOfMe\betorder.xml" htmlTables="1" htmlFormat="all"/>
  </connection>
  <connection id="13" name="betorder9" type="4" refreshedVersion="0" background="1">
    <webPr xml="1" sourceData="1" url="E:\Git Repository\WorkDocumentOfMe\betorder.xml" htmlTables="1" htmlFormat="all"/>
  </connection>
  <connection id="14" name="TestData" type="4" refreshedVersion="0" background="1">
    <webPr xml="1" sourceData="1" url="C:\Users\Lance\Desktop\TestData.xml" htmlTables="1" htmlFormat="all"/>
  </connection>
</connections>
</file>

<file path=xl/sharedStrings.xml><?xml version="1.0" encoding="utf-8"?>
<sst xmlns="http://schemas.openxmlformats.org/spreadsheetml/2006/main" count="496" uniqueCount="377">
  <si>
    <t>BetRange</t>
  </si>
  <si>
    <t>Clomun</t>
  </si>
  <si>
    <t>null</t>
  </si>
  <si>
    <t>和值</t>
  </si>
  <si>
    <t>跨度</t>
  </si>
  <si>
    <t>千位</t>
    <phoneticPr fontId="3" type="noConversion"/>
  </si>
  <si>
    <t>spend</t>
    <phoneticPr fontId="3" type="noConversion"/>
  </si>
  <si>
    <t>两面</t>
  </si>
  <si>
    <t>betNumbet</t>
    <phoneticPr fontId="3" type="noConversion"/>
  </si>
  <si>
    <t>每注奖金</t>
    <phoneticPr fontId="3" type="noConversion"/>
  </si>
  <si>
    <t>上级1level</t>
    <phoneticPr fontId="3" type="noConversion"/>
  </si>
  <si>
    <t>上级10userId</t>
    <phoneticPr fontId="3" type="noConversion"/>
  </si>
  <si>
    <t>上级10Code</t>
    <phoneticPr fontId="3" type="noConversion"/>
  </si>
  <si>
    <t>上级9userId</t>
    <phoneticPr fontId="3" type="noConversion"/>
  </si>
  <si>
    <t>上级9Code</t>
    <phoneticPr fontId="3" type="noConversion"/>
  </si>
  <si>
    <t>上级8UserId</t>
    <phoneticPr fontId="3" type="noConversion"/>
  </si>
  <si>
    <t>上级8Code</t>
    <phoneticPr fontId="3" type="noConversion"/>
  </si>
  <si>
    <t>上级7userId</t>
    <phoneticPr fontId="3" type="noConversion"/>
  </si>
  <si>
    <t>上级7Code</t>
    <phoneticPr fontId="3" type="noConversion"/>
  </si>
  <si>
    <t>上级6UserId</t>
    <phoneticPr fontId="3" type="noConversion"/>
  </si>
  <si>
    <t>上级6Code</t>
    <phoneticPr fontId="3" type="noConversion"/>
  </si>
  <si>
    <t>上级5userId</t>
    <phoneticPr fontId="3" type="noConversion"/>
  </si>
  <si>
    <t>上级5Code</t>
    <phoneticPr fontId="3" type="noConversion"/>
  </si>
  <si>
    <t>上级4UserId</t>
    <phoneticPr fontId="3" type="noConversion"/>
  </si>
  <si>
    <t>上级4Code</t>
    <phoneticPr fontId="3" type="noConversion"/>
  </si>
  <si>
    <t>上级3userId</t>
    <phoneticPr fontId="3" type="noConversion"/>
  </si>
  <si>
    <t>上级3Code</t>
    <phoneticPr fontId="3" type="noConversion"/>
  </si>
  <si>
    <t>上级2level</t>
    <phoneticPr fontId="3" type="noConversion"/>
  </si>
  <si>
    <t>上级2UserId</t>
    <phoneticPr fontId="3" type="noConversion"/>
  </si>
  <si>
    <t>上级2Code</t>
    <phoneticPr fontId="3" type="noConversion"/>
  </si>
  <si>
    <t>上级1返利</t>
    <phoneticPr fontId="3" type="noConversion"/>
  </si>
  <si>
    <t>上级1userId</t>
    <phoneticPr fontId="3" type="noConversion"/>
  </si>
  <si>
    <t>上级1Code</t>
    <phoneticPr fontId="3" type="noConversion"/>
  </si>
  <si>
    <t>自身level</t>
    <phoneticPr fontId="3" type="noConversion"/>
  </si>
  <si>
    <t>betUserId</t>
    <phoneticPr fontId="3" type="noConversion"/>
  </si>
  <si>
    <t>InviCode1</t>
    <phoneticPr fontId="3" type="noConversion"/>
  </si>
  <si>
    <t>InviCode</t>
    <phoneticPr fontId="3" type="noConversion"/>
  </si>
  <si>
    <r>
      <t>l</t>
    </r>
    <r>
      <rPr>
        <sz val="11"/>
        <color theme="1"/>
        <rFont val="宋体"/>
        <family val="3"/>
        <charset val="134"/>
        <scheme val="minor"/>
      </rPr>
      <t>evel</t>
    </r>
    <phoneticPr fontId="3" type="noConversion"/>
  </si>
  <si>
    <t>parentCode</t>
    <phoneticPr fontId="3" type="noConversion"/>
  </si>
  <si>
    <t>user_Id</t>
    <phoneticPr fontId="3" type="noConversion"/>
  </si>
  <si>
    <t>上级3level</t>
    <phoneticPr fontId="3" type="noConversion"/>
  </si>
  <si>
    <t>上级4level</t>
    <phoneticPr fontId="3" type="noConversion"/>
  </si>
  <si>
    <t>上级5level</t>
    <phoneticPr fontId="3" type="noConversion"/>
  </si>
  <si>
    <t>上级6level</t>
    <phoneticPr fontId="3" type="noConversion"/>
  </si>
  <si>
    <t>上级7level</t>
    <phoneticPr fontId="3" type="noConversion"/>
  </si>
  <si>
    <t>上级8level</t>
    <phoneticPr fontId="3" type="noConversion"/>
  </si>
  <si>
    <t>上级9level</t>
    <phoneticPr fontId="3" type="noConversion"/>
  </si>
  <si>
    <t>上级10level</t>
    <phoneticPr fontId="3" type="noConversion"/>
  </si>
  <si>
    <t>上级2返利</t>
    <phoneticPr fontId="3" type="noConversion"/>
  </si>
  <si>
    <t>上级3返利</t>
    <phoneticPr fontId="3" type="noConversion"/>
  </si>
  <si>
    <t>上级4返利</t>
    <phoneticPr fontId="3" type="noConversion"/>
  </si>
  <si>
    <t>上级5返利</t>
    <phoneticPr fontId="3" type="noConversion"/>
  </si>
  <si>
    <t>上级6返利</t>
    <phoneticPr fontId="3" type="noConversion"/>
  </si>
  <si>
    <t>上级7返利</t>
    <phoneticPr fontId="3" type="noConversion"/>
  </si>
  <si>
    <t>上级8返利</t>
    <phoneticPr fontId="3" type="noConversion"/>
  </si>
  <si>
    <t>上级9返利</t>
    <phoneticPr fontId="3" type="noConversion"/>
  </si>
  <si>
    <t>上级10返利</t>
    <phoneticPr fontId="3" type="noConversion"/>
  </si>
  <si>
    <t>InviCode2</t>
    <phoneticPr fontId="3" type="noConversion"/>
  </si>
  <si>
    <t>上级11返利</t>
    <phoneticPr fontId="3" type="noConversion"/>
  </si>
  <si>
    <t>上级11level</t>
    <phoneticPr fontId="3" type="noConversion"/>
  </si>
  <si>
    <t>上级11userId</t>
    <phoneticPr fontId="3" type="noConversion"/>
  </si>
  <si>
    <t>上级11Code</t>
    <phoneticPr fontId="3" type="noConversion"/>
  </si>
  <si>
    <t>上级12Code</t>
    <phoneticPr fontId="3" type="noConversion"/>
  </si>
  <si>
    <t>上级12userId</t>
    <phoneticPr fontId="3" type="noConversion"/>
  </si>
  <si>
    <t>上级12level</t>
    <phoneticPr fontId="3" type="noConversion"/>
  </si>
  <si>
    <t>上级12返利</t>
    <phoneticPr fontId="3" type="noConversion"/>
  </si>
  <si>
    <t>上级13返利</t>
    <phoneticPr fontId="3" type="noConversion"/>
  </si>
  <si>
    <t>上级13level</t>
    <phoneticPr fontId="3" type="noConversion"/>
  </si>
  <si>
    <t>上级13userId</t>
    <phoneticPr fontId="3" type="noConversion"/>
  </si>
  <si>
    <t>上级13Code</t>
    <phoneticPr fontId="3" type="noConversion"/>
  </si>
  <si>
    <t>上级14Code</t>
    <phoneticPr fontId="3" type="noConversion"/>
  </si>
  <si>
    <t>上级15Code</t>
    <phoneticPr fontId="3" type="noConversion"/>
  </si>
  <si>
    <t>上级14userId</t>
    <phoneticPr fontId="3" type="noConversion"/>
  </si>
  <si>
    <t>上级14level</t>
    <phoneticPr fontId="3" type="noConversion"/>
  </si>
  <si>
    <t>上级14返利</t>
    <phoneticPr fontId="3" type="noConversion"/>
  </si>
  <si>
    <t>上级15userId</t>
    <phoneticPr fontId="3" type="noConversion"/>
  </si>
  <si>
    <t>上级15level</t>
    <phoneticPr fontId="3" type="noConversion"/>
  </si>
  <si>
    <t>上级15返利</t>
    <phoneticPr fontId="3" type="noConversion"/>
  </si>
  <si>
    <t>null</t>
    <phoneticPr fontId="3" type="noConversion"/>
  </si>
  <si>
    <t>test003</t>
  </si>
  <si>
    <t>betRange</t>
    <phoneticPr fontId="3" type="noConversion"/>
  </si>
  <si>
    <t>playType</t>
    <phoneticPr fontId="3" type="noConversion"/>
  </si>
  <si>
    <t>betContent</t>
    <phoneticPr fontId="3" type="noConversion"/>
  </si>
  <si>
    <t>mutiple</t>
    <phoneticPr fontId="3" type="noConversion"/>
  </si>
  <si>
    <t>amount</t>
    <phoneticPr fontId="3" type="noConversion"/>
  </si>
  <si>
    <r>
      <t>PlayType</t>
    </r>
    <r>
      <rPr>
        <sz val="11"/>
        <color theme="1"/>
        <rFont val="宋体"/>
        <family val="3"/>
        <charset val="134"/>
        <scheme val="minor"/>
      </rPr>
      <t>s</t>
    </r>
    <phoneticPr fontId="3" type="noConversion"/>
  </si>
  <si>
    <r>
      <t>Option</t>
    </r>
    <r>
      <rPr>
        <sz val="11"/>
        <color theme="1"/>
        <rFont val="宋体"/>
        <family val="3"/>
        <charset val="134"/>
        <scheme val="minor"/>
      </rPr>
      <t>s</t>
    </r>
    <phoneticPr fontId="3" type="noConversion"/>
  </si>
  <si>
    <t>sumOfWinNumber</t>
    <phoneticPr fontId="3" type="noConversion"/>
  </si>
  <si>
    <t>AllResult</t>
    <phoneticPr fontId="3" type="noConversion"/>
  </si>
  <si>
    <t>test001</t>
    <phoneticPr fontId="3" type="noConversion"/>
  </si>
  <si>
    <t>test002</t>
    <phoneticPr fontId="3" type="noConversion"/>
  </si>
  <si>
    <t>特码</t>
    <phoneticPr fontId="3" type="noConversion"/>
  </si>
  <si>
    <t>直选</t>
    <phoneticPr fontId="3" type="noConversion"/>
  </si>
  <si>
    <t>号码</t>
    <phoneticPr fontId="3" type="noConversion"/>
  </si>
  <si>
    <t>两面</t>
    <phoneticPr fontId="3" type="noConversion"/>
  </si>
  <si>
    <t>正码</t>
    <phoneticPr fontId="3" type="noConversion"/>
  </si>
  <si>
    <t>任选</t>
    <phoneticPr fontId="3" type="noConversion"/>
  </si>
  <si>
    <t>正1特</t>
    <phoneticPr fontId="3" type="noConversion"/>
  </si>
  <si>
    <t>正1两面</t>
    <phoneticPr fontId="3" type="noConversion"/>
  </si>
  <si>
    <t>正2特</t>
    <phoneticPr fontId="3" type="noConversion"/>
  </si>
  <si>
    <t>正3特</t>
    <phoneticPr fontId="3" type="noConversion"/>
  </si>
  <si>
    <t>正4两面</t>
    <phoneticPr fontId="3" type="noConversion"/>
  </si>
  <si>
    <t>正4特</t>
    <phoneticPr fontId="3" type="noConversion"/>
  </si>
  <si>
    <t>正5特</t>
    <phoneticPr fontId="3" type="noConversion"/>
  </si>
  <si>
    <t>正5两面</t>
    <phoneticPr fontId="3" type="noConversion"/>
  </si>
  <si>
    <t>正6特</t>
    <phoneticPr fontId="3" type="noConversion"/>
  </si>
  <si>
    <t>正6两面</t>
    <phoneticPr fontId="3" type="noConversion"/>
  </si>
  <si>
    <t>正3两面</t>
    <phoneticPr fontId="3" type="noConversion"/>
  </si>
  <si>
    <t>号码</t>
    <phoneticPr fontId="3" type="noConversion"/>
  </si>
  <si>
    <t>null</t>
    <phoneticPr fontId="3" type="noConversion"/>
  </si>
  <si>
    <t>null</t>
    <phoneticPr fontId="3" type="noConversion"/>
  </si>
  <si>
    <t>01,02,03,04,05,06,07,08,09,10,11,12,13,14,15,16,17,18,19,20,21,22,23,24,25,26,27,28,29,30,31,32,33,34,35,36,37,38,39,40,41,42,43,44,45,46,47,48,49</t>
    <phoneticPr fontId="3" type="noConversion"/>
  </si>
  <si>
    <t>01,02,03,04,05,06,07,08,09,10,11,12,13,14,15,16,17,18,19,20,21,22,23,24,25,26,27,28,29,30,31,32,33,34,35,36,37,38,39,40,41,42,43,44,45,46,47,48,49</t>
    <phoneticPr fontId="3" type="noConversion"/>
  </si>
  <si>
    <t>连码</t>
    <phoneticPr fontId="3" type="noConversion"/>
  </si>
  <si>
    <t>三全中</t>
    <phoneticPr fontId="3" type="noConversion"/>
  </si>
  <si>
    <t>三中二</t>
    <phoneticPr fontId="3" type="noConversion"/>
  </si>
  <si>
    <t>二全中</t>
    <phoneticPr fontId="3" type="noConversion"/>
  </si>
  <si>
    <t>二中特</t>
    <phoneticPr fontId="3" type="noConversion"/>
  </si>
  <si>
    <t>特串</t>
    <phoneticPr fontId="3" type="noConversion"/>
  </si>
  <si>
    <t>半波</t>
    <phoneticPr fontId="3" type="noConversion"/>
  </si>
  <si>
    <t>特码半波</t>
    <phoneticPr fontId="3" type="noConversion"/>
  </si>
  <si>
    <t>生肖</t>
    <phoneticPr fontId="3" type="noConversion"/>
  </si>
  <si>
    <t>特肖</t>
    <phoneticPr fontId="3" type="noConversion"/>
  </si>
  <si>
    <t>一肖</t>
    <phoneticPr fontId="3" type="noConversion"/>
  </si>
  <si>
    <t>二肖连</t>
    <phoneticPr fontId="3" type="noConversion"/>
  </si>
  <si>
    <t>三肖连</t>
    <phoneticPr fontId="3" type="noConversion"/>
  </si>
  <si>
    <t>四肖连</t>
    <phoneticPr fontId="3" type="noConversion"/>
  </si>
  <si>
    <t>鼠,牛,虎,兔,龙,蛇,马,羊,猴,鸡,狗,猪</t>
    <phoneticPr fontId="3" type="noConversion"/>
  </si>
  <si>
    <t>尾数</t>
    <phoneticPr fontId="3" type="noConversion"/>
  </si>
  <si>
    <t>不中</t>
    <phoneticPr fontId="3" type="noConversion"/>
  </si>
  <si>
    <t>特码头尾</t>
    <phoneticPr fontId="3" type="noConversion"/>
  </si>
  <si>
    <t>二尾连</t>
    <phoneticPr fontId="3" type="noConversion"/>
  </si>
  <si>
    <t>三尾连</t>
    <phoneticPr fontId="3" type="noConversion"/>
  </si>
  <si>
    <t>四尾连</t>
    <phoneticPr fontId="3" type="noConversion"/>
  </si>
  <si>
    <t>五不中</t>
    <phoneticPr fontId="3" type="noConversion"/>
  </si>
  <si>
    <t>六不中</t>
    <phoneticPr fontId="3" type="noConversion"/>
  </si>
  <si>
    <t>七不中</t>
    <phoneticPr fontId="3" type="noConversion"/>
  </si>
  <si>
    <t>八不中</t>
    <phoneticPr fontId="3" type="noConversion"/>
  </si>
  <si>
    <t>九不中</t>
    <phoneticPr fontId="3" type="noConversion"/>
  </si>
  <si>
    <t>十不中</t>
    <phoneticPr fontId="3" type="noConversion"/>
  </si>
  <si>
    <t>null</t>
    <phoneticPr fontId="3" type="noConversion"/>
  </si>
  <si>
    <t>0头,1头,2头,3头,4头,0尾,1尾,2尾,3尾,4尾,5尾,6尾,7尾,8尾,9尾</t>
    <phoneticPr fontId="3" type="noConversion"/>
  </si>
  <si>
    <t>0尾,1尾,2尾,3尾,4尾,5尾,6尾,7尾,8尾,9尾</t>
    <phoneticPr fontId="3" type="noConversion"/>
  </si>
  <si>
    <t>0尾,1尾,2尾,3尾,4尾,5尾,6尾,7尾,8尾,9尾</t>
    <phoneticPr fontId="3" type="noConversion"/>
  </si>
  <si>
    <t>0尾,1尾,2尾,3尾,4尾,5尾,6尾,7尾,8尾,9尾</t>
    <phoneticPr fontId="3" type="noConversion"/>
  </si>
  <si>
    <t>号码</t>
    <phoneticPr fontId="3" type="noConversion"/>
  </si>
  <si>
    <t>牛</t>
    <phoneticPr fontId="3" type="noConversion"/>
  </si>
  <si>
    <t>虎</t>
    <phoneticPr fontId="3" type="noConversion"/>
  </si>
  <si>
    <t>兔</t>
    <phoneticPr fontId="3" type="noConversion"/>
  </si>
  <si>
    <t>龙</t>
    <phoneticPr fontId="3" type="noConversion"/>
  </si>
  <si>
    <t>蛇</t>
    <phoneticPr fontId="3" type="noConversion"/>
  </si>
  <si>
    <t>马</t>
    <phoneticPr fontId="3" type="noConversion"/>
  </si>
  <si>
    <t>羊</t>
    <phoneticPr fontId="3" type="noConversion"/>
  </si>
  <si>
    <t>猴</t>
    <phoneticPr fontId="3" type="noConversion"/>
  </si>
  <si>
    <t>鸡</t>
    <phoneticPr fontId="3" type="noConversion"/>
  </si>
  <si>
    <t>狗</t>
    <phoneticPr fontId="3" type="noConversion"/>
  </si>
  <si>
    <t>猪</t>
    <phoneticPr fontId="3" type="noConversion"/>
  </si>
  <si>
    <r>
      <t>05,06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11,16,17,21,22,27,28,32,33,38,39,43,44,49</t>
    </r>
    <phoneticPr fontId="3" type="noConversion"/>
  </si>
  <si>
    <t>03,04,09,10,14,15,20,25,26,31,36,37,41,42,47,48</t>
    <phoneticPr fontId="3" type="noConversion"/>
  </si>
  <si>
    <t>01,02,07,08,12,13,18,19,23,24,29,30,34,35,40,45,46</t>
    <phoneticPr fontId="3" type="noConversion"/>
  </si>
  <si>
    <t>,大,小,单,双,大单,大双,小单,小双,合大,合小,合单,合双,尾大,尾小,家禽,野兽,红波,蓝波,绿波,</t>
    <phoneticPr fontId="3" type="noConversion"/>
  </si>
  <si>
    <t>,红波,</t>
    <phoneticPr fontId="3" type="noConversion"/>
  </si>
  <si>
    <t>,绿波,</t>
    <phoneticPr fontId="3" type="noConversion"/>
  </si>
  <si>
    <t>,蓝波,</t>
    <phoneticPr fontId="3" type="noConversion"/>
  </si>
  <si>
    <t>,野兽,</t>
    <phoneticPr fontId="3" type="noConversion"/>
  </si>
  <si>
    <t>WinAmount</t>
    <phoneticPr fontId="3" type="noConversion"/>
  </si>
  <si>
    <t>正1</t>
    <phoneticPr fontId="3" type="noConversion"/>
  </si>
  <si>
    <t>正2</t>
    <phoneticPr fontId="3" type="noConversion"/>
  </si>
  <si>
    <t>正3</t>
    <phoneticPr fontId="3" type="noConversion"/>
  </si>
  <si>
    <t>正4</t>
    <phoneticPr fontId="3" type="noConversion"/>
  </si>
  <si>
    <t>正5</t>
    <phoneticPr fontId="3" type="noConversion"/>
  </si>
  <si>
    <t>正6</t>
    <phoneticPr fontId="3" type="noConversion"/>
  </si>
  <si>
    <t>level:9.9</t>
    <phoneticPr fontId="3" type="noConversion"/>
  </si>
  <si>
    <t>dataValue</t>
    <phoneticPr fontId="3" type="noConversion"/>
  </si>
  <si>
    <t>特码-直选</t>
    <phoneticPr fontId="3" type="noConversion"/>
  </si>
  <si>
    <t>特码-两面-大单</t>
    <phoneticPr fontId="3" type="noConversion"/>
  </si>
  <si>
    <t>特码-两面-大双</t>
    <phoneticPr fontId="3" type="noConversion"/>
  </si>
  <si>
    <t>特码-两面-小单</t>
    <phoneticPr fontId="3" type="noConversion"/>
  </si>
  <si>
    <t>特码-两面-小双</t>
    <phoneticPr fontId="3" type="noConversion"/>
  </si>
  <si>
    <t>特码-两面-合单</t>
    <phoneticPr fontId="3" type="noConversion"/>
  </si>
  <si>
    <t>特码-两面-合双</t>
    <phoneticPr fontId="3" type="noConversion"/>
  </si>
  <si>
    <t>特码-两面-合大</t>
    <phoneticPr fontId="3" type="noConversion"/>
  </si>
  <si>
    <t>特码-两面-合小</t>
    <phoneticPr fontId="3" type="noConversion"/>
  </si>
  <si>
    <t>特码-两面-尾大</t>
    <phoneticPr fontId="3" type="noConversion"/>
  </si>
  <si>
    <t>特码-两面-尾小</t>
    <phoneticPr fontId="3" type="noConversion"/>
  </si>
  <si>
    <t>特码-两面-红波</t>
    <phoneticPr fontId="3" type="noConversion"/>
  </si>
  <si>
    <t>特码-两面-家禽含本命</t>
    <phoneticPr fontId="3" type="noConversion"/>
  </si>
  <si>
    <t>特码-两面-家禽不含本命</t>
    <phoneticPr fontId="3" type="noConversion"/>
  </si>
  <si>
    <t>特码-两面-野兽含本命</t>
    <phoneticPr fontId="3" type="noConversion"/>
  </si>
  <si>
    <t>特码-两面-野兽不含本命</t>
    <phoneticPr fontId="3" type="noConversion"/>
  </si>
  <si>
    <t>正码-任选</t>
    <phoneticPr fontId="3" type="noConversion"/>
  </si>
  <si>
    <t>正码-正特</t>
    <phoneticPr fontId="3" type="noConversion"/>
  </si>
  <si>
    <t>正码-两面-大</t>
    <phoneticPr fontId="3" type="noConversion"/>
  </si>
  <si>
    <t>正码-两面-小</t>
    <phoneticPr fontId="3" type="noConversion"/>
  </si>
  <si>
    <t>正码-两面-单</t>
    <phoneticPr fontId="3" type="noConversion"/>
  </si>
  <si>
    <t>正码-两面-双</t>
    <phoneticPr fontId="3" type="noConversion"/>
  </si>
  <si>
    <t>正码-两面-大单</t>
    <phoneticPr fontId="3" type="noConversion"/>
  </si>
  <si>
    <t>正码-两面-大双</t>
    <phoneticPr fontId="3" type="noConversion"/>
  </si>
  <si>
    <t>正码-两面-小单</t>
    <phoneticPr fontId="3" type="noConversion"/>
  </si>
  <si>
    <t>正码-两面-小双</t>
    <phoneticPr fontId="3" type="noConversion"/>
  </si>
  <si>
    <t>正码-两面-合单</t>
    <phoneticPr fontId="3" type="noConversion"/>
  </si>
  <si>
    <t>正码-两面-合双</t>
    <phoneticPr fontId="3" type="noConversion"/>
  </si>
  <si>
    <t>正码-两面-合大</t>
    <phoneticPr fontId="3" type="noConversion"/>
  </si>
  <si>
    <t>正码-两面-合小</t>
    <phoneticPr fontId="3" type="noConversion"/>
  </si>
  <si>
    <t>正码-两面-尾大</t>
    <phoneticPr fontId="3" type="noConversion"/>
  </si>
  <si>
    <t>正码-两面-尾小</t>
    <phoneticPr fontId="3" type="noConversion"/>
  </si>
  <si>
    <t>正码-两面-红波</t>
    <phoneticPr fontId="3" type="noConversion"/>
  </si>
  <si>
    <t>正码-两面-蓝绿波</t>
    <phoneticPr fontId="3" type="noConversion"/>
  </si>
  <si>
    <t>连码-三全中</t>
    <phoneticPr fontId="3" type="noConversion"/>
  </si>
  <si>
    <t>连码-三中二之中二</t>
    <phoneticPr fontId="3" type="noConversion"/>
  </si>
  <si>
    <t>连码-三中二之中三</t>
    <phoneticPr fontId="3" type="noConversion"/>
  </si>
  <si>
    <t>连码-二全中</t>
    <phoneticPr fontId="3" type="noConversion"/>
  </si>
  <si>
    <t>连码-二中特之二中</t>
    <phoneticPr fontId="3" type="noConversion"/>
  </si>
  <si>
    <t>连码-二中特之中特</t>
    <phoneticPr fontId="3" type="noConversion"/>
  </si>
  <si>
    <t>连码-特串</t>
    <phoneticPr fontId="3" type="noConversion"/>
  </si>
  <si>
    <t>半波-特码半波-红大</t>
    <phoneticPr fontId="3" type="noConversion"/>
  </si>
  <si>
    <t>半波-特码半波-红小</t>
    <phoneticPr fontId="3" type="noConversion"/>
  </si>
  <si>
    <t>半波-特码半波-红单</t>
    <phoneticPr fontId="3" type="noConversion"/>
  </si>
  <si>
    <t>半波-特码半波-红双</t>
    <phoneticPr fontId="3" type="noConversion"/>
  </si>
  <si>
    <t>半波-特码半波-红合单</t>
    <phoneticPr fontId="3" type="noConversion"/>
  </si>
  <si>
    <t>半波-特码半波-红合双</t>
    <phoneticPr fontId="3" type="noConversion"/>
  </si>
  <si>
    <t>半波-特码半波-绿大</t>
    <phoneticPr fontId="3" type="noConversion"/>
  </si>
  <si>
    <t>半波-特码半波-绿小</t>
    <phoneticPr fontId="3" type="noConversion"/>
  </si>
  <si>
    <t>半波-特码半波-绿单</t>
    <phoneticPr fontId="3" type="noConversion"/>
  </si>
  <si>
    <t>半波-特码半波-绿双</t>
    <phoneticPr fontId="3" type="noConversion"/>
  </si>
  <si>
    <t>半波-特码半波-绿合单</t>
    <phoneticPr fontId="3" type="noConversion"/>
  </si>
  <si>
    <t>半波-特码半波-绿合双</t>
    <phoneticPr fontId="3" type="noConversion"/>
  </si>
  <si>
    <t>半波-特码半波-蓝大</t>
    <phoneticPr fontId="3" type="noConversion"/>
  </si>
  <si>
    <t>半波-特码半波-蓝小</t>
    <phoneticPr fontId="3" type="noConversion"/>
  </si>
  <si>
    <t>半波-特码半波-蓝单</t>
    <phoneticPr fontId="3" type="noConversion"/>
  </si>
  <si>
    <t>半波-特码半波-蓝双</t>
    <phoneticPr fontId="3" type="noConversion"/>
  </si>
  <si>
    <t>半波-特码半波-蓝合单</t>
    <phoneticPr fontId="3" type="noConversion"/>
  </si>
  <si>
    <t>半波-特码半波-蓝合双</t>
    <phoneticPr fontId="3" type="noConversion"/>
  </si>
  <si>
    <t>生肖-特肖-本命</t>
    <phoneticPr fontId="3" type="noConversion"/>
  </si>
  <si>
    <t>生肖-特肖-非本命</t>
    <phoneticPr fontId="3" type="noConversion"/>
  </si>
  <si>
    <t>生肖-一肖-本命</t>
    <phoneticPr fontId="3" type="noConversion"/>
  </si>
  <si>
    <t>生肖-一肖-非本命</t>
    <phoneticPr fontId="3" type="noConversion"/>
  </si>
  <si>
    <t>生肖-二肖连-含本命</t>
    <phoneticPr fontId="3" type="noConversion"/>
  </si>
  <si>
    <t>生肖-二肖连-不含本命</t>
    <phoneticPr fontId="3" type="noConversion"/>
  </si>
  <si>
    <t>生肖-三肖连-含本命</t>
    <phoneticPr fontId="3" type="noConversion"/>
  </si>
  <si>
    <t>生肖-三肖连-不含本命</t>
    <phoneticPr fontId="3" type="noConversion"/>
  </si>
  <si>
    <t>生肖-四肖连-含本命</t>
    <phoneticPr fontId="3" type="noConversion"/>
  </si>
  <si>
    <t>生肖-四肖连-不含本命</t>
    <phoneticPr fontId="3" type="noConversion"/>
  </si>
  <si>
    <t>尾数-特码头尾-0头</t>
    <phoneticPr fontId="3" type="noConversion"/>
  </si>
  <si>
    <t>尾数-特码头尾-非0头</t>
    <phoneticPr fontId="3" type="noConversion"/>
  </si>
  <si>
    <t>尾数-特码头尾-0尾</t>
    <phoneticPr fontId="3" type="noConversion"/>
  </si>
  <si>
    <t>尾数-特码头尾-非0尾</t>
    <phoneticPr fontId="3" type="noConversion"/>
  </si>
  <si>
    <t>尾数-二尾连-含0</t>
    <phoneticPr fontId="3" type="noConversion"/>
  </si>
  <si>
    <t>尾数-二尾连-不含0</t>
    <phoneticPr fontId="3" type="noConversion"/>
  </si>
  <si>
    <t>尾数-三尾连-含0</t>
    <phoneticPr fontId="3" type="noConversion"/>
  </si>
  <si>
    <t>尾数-三尾连-不含0</t>
    <phoneticPr fontId="3" type="noConversion"/>
  </si>
  <si>
    <t>尾数-四尾连-含0</t>
    <phoneticPr fontId="3" type="noConversion"/>
  </si>
  <si>
    <t>尾数-四尾连-不含0</t>
    <phoneticPr fontId="3" type="noConversion"/>
  </si>
  <si>
    <t>不中-五不中</t>
    <phoneticPr fontId="3" type="noConversion"/>
  </si>
  <si>
    <t>不中-六不中</t>
    <phoneticPr fontId="3" type="noConversion"/>
  </si>
  <si>
    <t>不中-七不中</t>
    <phoneticPr fontId="3" type="noConversion"/>
  </si>
  <si>
    <t>不中-八不中</t>
    <phoneticPr fontId="3" type="noConversion"/>
  </si>
  <si>
    <t>不中-九不中</t>
    <phoneticPr fontId="3" type="noConversion"/>
  </si>
  <si>
    <t>不中-十不中</t>
    <phoneticPr fontId="3" type="noConversion"/>
  </si>
  <si>
    <t>level:0</t>
    <phoneticPr fontId="3" type="noConversion"/>
  </si>
  <si>
    <t>正码-两面-家禽含本命</t>
    <phoneticPr fontId="3" type="noConversion"/>
  </si>
  <si>
    <t>正码-两面-家禽不含本命</t>
    <phoneticPr fontId="3" type="noConversion"/>
  </si>
  <si>
    <t>正码-两面-野兽含本命</t>
    <phoneticPr fontId="3" type="noConversion"/>
  </si>
  <si>
    <t>正码-两面-野兽不含本命</t>
    <phoneticPr fontId="3" type="noConversion"/>
  </si>
  <si>
    <t>特码-两面-大小单双</t>
    <phoneticPr fontId="3" type="noConversion"/>
  </si>
  <si>
    <t>特码-两面-蓝波绿波</t>
    <phoneticPr fontId="3" type="noConversion"/>
  </si>
  <si>
    <t>牛,马,羊,鸡,狗,猪</t>
    <phoneticPr fontId="3" type="noConversion"/>
  </si>
  <si>
    <t>鼠,虎,兔,龙,蛇,猴</t>
    <phoneticPr fontId="3" type="noConversion"/>
  </si>
  <si>
    <t>,家禽,</t>
    <phoneticPr fontId="3" type="noConversion"/>
  </si>
  <si>
    <t>鼠</t>
    <phoneticPr fontId="3" type="noConversion"/>
  </si>
  <si>
    <t>鼠,11,23,35,47</t>
    <phoneticPr fontId="3" type="noConversion"/>
  </si>
  <si>
    <t>牛,10,22,34,46</t>
    <phoneticPr fontId="3" type="noConversion"/>
  </si>
  <si>
    <t>虎,09,21,33,45</t>
    <phoneticPr fontId="3" type="noConversion"/>
  </si>
  <si>
    <t>兔,08,20,32,44</t>
    <phoneticPr fontId="3" type="noConversion"/>
  </si>
  <si>
    <r>
      <t>龙,07,19,31,</t>
    </r>
    <r>
      <rPr>
        <sz val="11"/>
        <color theme="1"/>
        <rFont val="宋体"/>
        <charset val="134"/>
        <scheme val="minor"/>
      </rPr>
      <t>43</t>
    </r>
    <phoneticPr fontId="3" type="noConversion"/>
  </si>
  <si>
    <r>
      <t>蛇,06,18,30,</t>
    </r>
    <r>
      <rPr>
        <sz val="11"/>
        <color theme="1"/>
        <rFont val="宋体"/>
        <charset val="134"/>
        <scheme val="minor"/>
      </rPr>
      <t>42</t>
    </r>
    <phoneticPr fontId="3" type="noConversion"/>
  </si>
  <si>
    <r>
      <t>马,05,17,29,</t>
    </r>
    <r>
      <rPr>
        <sz val="11"/>
        <color theme="1"/>
        <rFont val="宋体"/>
        <charset val="134"/>
        <scheme val="minor"/>
      </rPr>
      <t>41</t>
    </r>
    <phoneticPr fontId="3" type="noConversion"/>
  </si>
  <si>
    <r>
      <t>羊,04,16,28,</t>
    </r>
    <r>
      <rPr>
        <sz val="11"/>
        <color theme="1"/>
        <rFont val="宋体"/>
        <charset val="134"/>
        <scheme val="minor"/>
      </rPr>
      <t>40</t>
    </r>
    <phoneticPr fontId="3" type="noConversion"/>
  </si>
  <si>
    <r>
      <t>猴,03,15,27,</t>
    </r>
    <r>
      <rPr>
        <sz val="11"/>
        <color theme="1"/>
        <rFont val="宋体"/>
        <charset val="134"/>
        <scheme val="minor"/>
      </rPr>
      <t>39</t>
    </r>
    <phoneticPr fontId="3" type="noConversion"/>
  </si>
  <si>
    <r>
      <t>鸡,02,14,26,</t>
    </r>
    <r>
      <rPr>
        <sz val="11"/>
        <color theme="1"/>
        <rFont val="宋体"/>
        <charset val="134"/>
        <scheme val="minor"/>
      </rPr>
      <t>38</t>
    </r>
    <phoneticPr fontId="3" type="noConversion"/>
  </si>
  <si>
    <r>
      <t>狗,01,13,25,37,</t>
    </r>
    <r>
      <rPr>
        <sz val="11"/>
        <color theme="1"/>
        <rFont val="宋体"/>
        <charset val="134"/>
        <scheme val="minor"/>
      </rPr>
      <t>49</t>
    </r>
    <phoneticPr fontId="3" type="noConversion"/>
  </si>
  <si>
    <r>
      <t>猪,12,24,36,</t>
    </r>
    <r>
      <rPr>
        <sz val="11"/>
        <color theme="1"/>
        <rFont val="宋体"/>
        <charset val="134"/>
        <scheme val="minor"/>
      </rPr>
      <t>48</t>
    </r>
    <phoneticPr fontId="3" type="noConversion"/>
  </si>
  <si>
    <t>特码</t>
  </si>
  <si>
    <t>特码</t>
    <phoneticPr fontId="3" type="noConversion"/>
  </si>
  <si>
    <t>正码</t>
  </si>
  <si>
    <t>正码</t>
    <phoneticPr fontId="3" type="noConversion"/>
  </si>
  <si>
    <t>连码</t>
  </si>
  <si>
    <t>半波</t>
  </si>
  <si>
    <t>生肖</t>
  </si>
  <si>
    <t>生肖</t>
    <phoneticPr fontId="3" type="noConversion"/>
  </si>
  <si>
    <t>尾数</t>
  </si>
  <si>
    <t>尾数</t>
    <phoneticPr fontId="3" type="noConversion"/>
  </si>
  <si>
    <t>不中</t>
  </si>
  <si>
    <t>不中</t>
    <phoneticPr fontId="3" type="noConversion"/>
  </si>
  <si>
    <t>,大,小,单,双,大单,大双,小单,小双,合大,合小,合单,合双,尾大,尾小,家禽,野兽,红波,蓝波,绿波,</t>
    <phoneticPr fontId="3" type="noConversion"/>
  </si>
  <si>
    <t>直选</t>
  </si>
  <si>
    <t>01 02 03 04 05 06 07 08 09 10 11 12 13 14 15 16 17 18 19 20 21 22 23 24 25 26 27 28 29 30 31 32 33 34 35 36 37 38 39 40 41 42 43 44 45 46 47 48 49</t>
  </si>
  <si>
    <t>任选</t>
  </si>
  <si>
    <t>正1特</t>
  </si>
  <si>
    <t>正1两面</t>
  </si>
  <si>
    <t>正2特</t>
  </si>
  <si>
    <t>正2两面</t>
  </si>
  <si>
    <t>正3特</t>
  </si>
  <si>
    <t>正3两面</t>
  </si>
  <si>
    <t>正4特</t>
  </si>
  <si>
    <t>正4两面</t>
  </si>
  <si>
    <t>正5特</t>
  </si>
  <si>
    <t>正5两面</t>
  </si>
  <si>
    <t>正6特</t>
  </si>
  <si>
    <t>正6两面</t>
  </si>
  <si>
    <t>三全中</t>
  </si>
  <si>
    <t>三中二</t>
  </si>
  <si>
    <t>二全中</t>
  </si>
  <si>
    <t>二中特</t>
  </si>
  <si>
    <t>特串</t>
  </si>
  <si>
    <t>特码半波</t>
  </si>
  <si>
    <t>红大 红小 红单 红双 红合单 红合双 绿大 绿小 绿单 绿双 绿合单 绿合双 蓝大 蓝小 蓝单 蓝双 蓝合单 蓝合双</t>
  </si>
  <si>
    <t>特肖</t>
  </si>
  <si>
    <t>鼠 牛 虎 兔 龙 蛇 马 羊 猴 鸡 狗 猪</t>
  </si>
  <si>
    <t>一肖</t>
  </si>
  <si>
    <t>二肖连</t>
  </si>
  <si>
    <t>三肖连</t>
  </si>
  <si>
    <t>四肖连</t>
  </si>
  <si>
    <t>特码头尾</t>
  </si>
  <si>
    <t>0头 1头 2头 3头 4头 0尾 1尾 2尾 3尾 4尾 5尾 6尾 7尾 8尾 9尾</t>
  </si>
  <si>
    <t>二尾连</t>
  </si>
  <si>
    <t>0尾 1尾 2尾 3尾 4尾 5尾 6尾 7尾 8尾 9尾</t>
  </si>
  <si>
    <t>三尾连</t>
  </si>
  <si>
    <t>四尾连</t>
  </si>
  <si>
    <t>五不中</t>
  </si>
  <si>
    <t>六不中</t>
  </si>
  <si>
    <t>七不中</t>
  </si>
  <si>
    <t>八不中</t>
  </si>
  <si>
    <t>九不中</t>
  </si>
  <si>
    <t>十不中</t>
  </si>
  <si>
    <r>
      <t>b</t>
    </r>
    <r>
      <rPr>
        <sz val="11"/>
        <color theme="1"/>
        <rFont val="宋体"/>
        <family val="3"/>
        <charset val="134"/>
        <scheme val="minor"/>
      </rPr>
      <t>etRange</t>
    </r>
    <phoneticPr fontId="3" type="noConversion"/>
  </si>
  <si>
    <r>
      <t>p</t>
    </r>
    <r>
      <rPr>
        <sz val="11"/>
        <color theme="1"/>
        <rFont val="宋体"/>
        <family val="3"/>
        <charset val="134"/>
        <scheme val="minor"/>
      </rPr>
      <t>layType</t>
    </r>
    <phoneticPr fontId="3" type="noConversion"/>
  </si>
  <si>
    <r>
      <t>b</t>
    </r>
    <r>
      <rPr>
        <sz val="11"/>
        <color theme="1"/>
        <rFont val="宋体"/>
        <family val="3"/>
        <charset val="134"/>
        <scheme val="minor"/>
      </rPr>
      <t>etContent</t>
    </r>
    <phoneticPr fontId="3" type="noConversion"/>
  </si>
  <si>
    <t>multiple</t>
  </si>
  <si>
    <t>multiple</t>
    <phoneticPr fontId="3" type="noConversion"/>
  </si>
  <si>
    <t>大 小 单 双 大单 大双 小单 小双 合大 合小 合单 合双 尾大 尾小 家禽 野兽 红波 蓝波 绿波</t>
  </si>
  <si>
    <t>rebeat</t>
    <phoneticPr fontId="3" type="noConversion"/>
  </si>
  <si>
    <t>自身reward</t>
    <phoneticPr fontId="3" type="noConversion"/>
  </si>
  <si>
    <t>amount</t>
  </si>
  <si>
    <t>amount</t>
    <phoneticPr fontId="3" type="noConversion"/>
  </si>
  <si>
    <t>01,02,03,04,05,06,07,08,09,10,11,12,13,14,15</t>
    <phoneticPr fontId="3" type="noConversion"/>
  </si>
  <si>
    <t>11,12,13,14,15,16,17,18,19,20,21,22,23,24,25</t>
    <phoneticPr fontId="3" type="noConversion"/>
  </si>
  <si>
    <t>21,22,23,24,25,26,27,28,29,30,31,32,33,34,35</t>
    <phoneticPr fontId="3" type="noConversion"/>
  </si>
  <si>
    <t>31,32,33,34,35,36,37,38,39,40,41,42,43,44,45</t>
    <phoneticPr fontId="3" type="noConversion"/>
  </si>
  <si>
    <t>40,41,42,43,44,45,46,47,48,49,03,14,16,27,28</t>
    <phoneticPr fontId="3" type="noConversion"/>
  </si>
  <si>
    <t>01,02,03,14,15,16,27,28,29,40,49,22,23,08,09</t>
    <phoneticPr fontId="3" type="noConversion"/>
  </si>
  <si>
    <t>01,02,03,04,05,06,07,08,09,10,19,20,21,22,23,24,25,26,27,28,29,30,31,32,33,34,44,45,46,47,48,49</t>
    <phoneticPr fontId="3" type="noConversion"/>
  </si>
  <si>
    <t>01,02,03,04,05,06,15,16,17,18,19,20,21,22,23,24,25,26,27,28,29,30,31,41,42,43,44,45,46,47,48,49</t>
    <phoneticPr fontId="3" type="noConversion"/>
  </si>
  <si>
    <t>01,02,03,04,05,06,07,08,09,10,11,12,13,14,15,16,17,18,19,20,21,22,23,24,25,26,27,28,29,30,31,32,33,34,35,36,37,38,39,40</t>
    <phoneticPr fontId="3" type="noConversion"/>
  </si>
  <si>
    <t>10,11,12,13,14,15,16,17,18,19,20,21,22,23,24,25,26,27,28,29,30,31,32,33,34,35,36,37,38,39,40,41,42,43,44,45,46,47,48,49</t>
    <phoneticPr fontId="3" type="noConversion"/>
  </si>
  <si>
    <t>01,02,03,06,07,08,09,10,11,12,13,16,17,18,19,20,23,24,25,26,27,28,29,30,31,32,33,36,37,38,39,40,41,42,43,44,45,46,47,48,49</t>
    <phoneticPr fontId="3" type="noConversion"/>
  </si>
  <si>
    <t>红大,红小,红单,红双,红合单,红合双,绿大,绿小,绿单,绿双,绿合单,绿合双,蓝大,蓝小,蓝单,蓝双,蓝合单,蓝合双</t>
    <phoneticPr fontId="3" type="noConversion"/>
  </si>
  <si>
    <t>01,02,03,04,05,06,07,08,09,35,36,37,38,39,40,41,42,43,44,45,46,47,48,49</t>
    <phoneticPr fontId="3" type="noConversion"/>
  </si>
  <si>
    <t>01 02 03 04 05 06 07 08 09 35 36 37 38 39 40 41 42 43 44 45 46 47 48 49</t>
  </si>
  <si>
    <t>01 02 03 04 05 06 07 08 09 10 19 20 21 22 23 24 25 26 27 28 29 30 31 32 33 34 44 45 46 47 48 49</t>
  </si>
  <si>
    <t>01 02 03 04 05 06 15 16 17 18 19 20 21 22 23 24 25 26 27 28 29 30 31 41 42 43 44 45 46 47 48 49</t>
  </si>
  <si>
    <t>01 02 03 04 05 06 07 08 09 10 11 12 13 14 15 16 17 18 19 20 21 22 23 24 25 26 27 28 29 30 31 32 33 34 35 36 37 38 39 40</t>
  </si>
  <si>
    <t>10 11 12 13 14 15 16 17 18 19 20 21 22 23 24 25 26 27 28 29 30 31 32 33 34 35 36 37 38 39 40 41 42 43 44 45 46 47 48 49</t>
  </si>
  <si>
    <t>01 02 03 06 07 08 09 10 11 12 13 16 17 18 19 20 23 24 25 26 27 28 29 30 31 32 33 36 37 38 39 40 41 42 43 44 45 46 47 48 49</t>
  </si>
  <si>
    <t>01 02 03 04 05 06 07 08 09 10 11 12 13 14 15</t>
  </si>
  <si>
    <t>11 12 13 14 15 16 17 18 19 20 21 22 23 24 25</t>
  </si>
  <si>
    <t>21 22 23 24 25 26 27 28 29 30 31 32 33 34 35</t>
  </si>
  <si>
    <t>31 32 33 34 35 36 37 38 39 40 41 42 43 44 45</t>
  </si>
  <si>
    <t>40 41 42 43 44 45 46 47 48 49 03 14 16 27 28</t>
  </si>
  <si>
    <t>01 02 03 14 15 16 27 28 29 40 49 22 23 08 09</t>
  </si>
  <si>
    <t>winAmount</t>
    <phoneticPr fontId="3" type="noConversion"/>
  </si>
  <si>
    <t>rebeat</t>
    <phoneticPr fontId="3" type="noConversion"/>
  </si>
  <si>
    <t>实际win</t>
    <phoneticPr fontId="3" type="noConversion"/>
  </si>
  <si>
    <t>实际Rebrat</t>
    <phoneticPr fontId="3" type="noConversion"/>
  </si>
  <si>
    <t>正2两面</t>
    <phoneticPr fontId="3" type="noConversion"/>
  </si>
  <si>
    <r>
      <t>b</t>
    </r>
    <r>
      <rPr>
        <sz val="11"/>
        <color theme="1"/>
        <rFont val="宋体"/>
        <family val="3"/>
        <charset val="134"/>
        <scheme val="minor"/>
      </rPr>
      <t>alance</t>
    </r>
    <phoneticPr fontId="3" type="noConversion"/>
  </si>
  <si>
    <t>33,41,05,27,49,11,16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</si>
</sst>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0_ "/>
  </numFmts>
  <fonts count="10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9C6500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0" fontId="7" fillId="2" borderId="0" applyNumberFormat="0" applyBorder="0" applyAlignment="0" applyProtection="0">
      <alignment vertical="center"/>
    </xf>
    <xf numFmtId="0" fontId="6" fillId="0" borderId="0">
      <alignment vertical="center"/>
    </xf>
  </cellStyleXfs>
  <cellXfs count="39">
    <xf numFmtId="0" fontId="0" fillId="0" borderId="0" xfId="0">
      <alignment vertical="center"/>
    </xf>
    <xf numFmtId="0" fontId="6" fillId="0" borderId="0" xfId="2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6" fillId="0" borderId="0" xfId="2" quotePrefix="1" applyAlignment="1">
      <alignment horizontal="center" vertical="center"/>
    </xf>
    <xf numFmtId="0" fontId="6" fillId="0" borderId="0" xfId="2" applyFont="1">
      <alignment vertical="center"/>
    </xf>
    <xf numFmtId="0" fontId="6" fillId="0" borderId="0" xfId="2" applyFont="1" applyAlignment="1">
      <alignment horizontal="center" vertical="center"/>
    </xf>
    <xf numFmtId="0" fontId="6" fillId="0" borderId="0" xfId="2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7" fillId="3" borderId="1" xfId="1" applyFill="1" applyBorder="1" applyAlignment="1">
      <alignment horizontal="center" vertical="center"/>
    </xf>
    <xf numFmtId="49" fontId="0" fillId="3" borderId="1" xfId="0" applyNumberFormat="1" applyFill="1" applyBorder="1" applyAlignment="1">
      <alignment horizontal="center" vertical="center" wrapText="1"/>
    </xf>
    <xf numFmtId="0" fontId="2" fillId="3" borderId="1" xfId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" fillId="3" borderId="1" xfId="1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49" fontId="0" fillId="0" borderId="0" xfId="0" applyNumberForma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49" fontId="6" fillId="0" borderId="0" xfId="0" applyNumberFormat="1" applyFont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6" fillId="0" borderId="0" xfId="2" applyFont="1" applyAlignment="1">
      <alignment horizontal="center" vertical="center" wrapText="1"/>
    </xf>
    <xf numFmtId="176" fontId="0" fillId="0" borderId="0" xfId="0" applyNumberFormat="1" applyAlignment="1">
      <alignment horizontal="center" vertical="center"/>
    </xf>
    <xf numFmtId="0" fontId="6" fillId="0" borderId="0" xfId="0" applyFont="1">
      <alignment vertical="center"/>
    </xf>
  </cellXfs>
  <cellStyles count="3">
    <cellStyle name="常规" xfId="0" builtinId="0"/>
    <cellStyle name="常规 2" xfId="2"/>
    <cellStyle name="适中" xfId="1" builtinId="28"/>
  </cellStyles>
  <dxfs count="7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5">
    <xsd:schema xmlns:xsd="http://www.w3.org/2001/XMLSchema" xmlns="">
      <xsd:element nillable="true" name="orderrebate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RebateOne" form="unqualified"/>
                  <xsd:element minOccurs="0" nillable="true" type="xsd:string" name="RebateTwo" form="unqualified"/>
                  <xsd:element minOccurs="0" nillable="true" type="xsd:string" name="RebateThree" form="unqualified"/>
                  <xsd:element minOccurs="0" nillable="true" type="xsd:string" name="RebateFour" form="unqualified"/>
                  <xsd:element minOccurs="0" nillable="true" type="xsd:string" name="RebateFive" form="unqualified"/>
                  <xsd:element minOccurs="0" nillable="true" type="xsd:string" name="RebateSix" form="unqualified"/>
                  <xsd:element minOccurs="0" nillable="true" type="xsd:string" name="RebateSeven" form="unqualified"/>
                  <xsd:element minOccurs="0" nillable="true" type="xsd:string" name="RebateEight" form="unqualified"/>
                  <xsd:element minOccurs="0" nillable="true" type="xsd:string" name="RebateNine" form="unqualified"/>
                  <xsd:element minOccurs="0" nillable="true" type="xsd:string" name="RebateTen" form="unqualified"/>
                  <xsd:element minOccurs="0" nillable="true" type="xsd:string" name="RebateAll" form="unqualified"/>
                </xsd:sequence>
              </xsd:complexType>
            </xsd:element>
          </xsd:sequence>
        </xsd:complexType>
      </xsd:element>
    </xsd:schema>
  </Schema>
  <Schema ID="Schema3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RebateAll" form="unqualified"/>
                  <xsd:element minOccurs="0" nillable="true" type="xsd:string" name="drawnAmount" form="unqualified"/>
                  <xsd:element minOccurs="0" nillable="true" type="xsd:string" name="balance" form="unqualified"/>
                  <xsd:element minOccurs="0" nillable="true" type="xsd:string" name="resultNum" form="unqualified"/>
                </xsd:sequence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orderrebate">
        <xsd:complexType>
          <xsd:sequence minOccurs="0">
            <xsd:element minOccurs="0" maxOccurs="unbounded" nillable="true" name="lottery" form="unqualified">
              <xsd:complexType>
                <xsd:sequence minOccurs="0">
                  <xsd:element minOccurs="0" nillable="true" type="xsd:string" name="Result" form="unqualified"/>
                  <xsd:element minOccurs="0" nillable="true" type="xsd:string" name="SumOfWinNum" form="unqualified"/>
                </xsd:sequence>
              </xsd:complexType>
            </xsd:element>
          </xsd:sequence>
        </xsd:complexType>
      </xsd:element>
    </xsd:schema>
  </Schema>
  <Map ID="16" Name="betorder_映射" RootElement="betorder" SchemaID="Schema3" ShowImportExportValidationErrors="false" AutoFit="true" Append="false" PreserveSortAFLayout="true" PreserveFormat="true">
    <DataBinding FileBinding="true" ConnectionID="13" DataBindingLoadMode="1"/>
  </Map>
  <Map ID="11" Name="orderrebate" RootElement="orderrebate" SchemaID="Schema5" ShowImportExportValidationErrors="false" AutoFit="true" Append="false" PreserveSortAFLayout="true" PreserveFormat="true">
    <DataBinding FileBinding="true" ConnectionID="2" DataBindingLoadMode="1"/>
  </Map>
  <Map ID="18" Name="orderrebate_映射" RootElement="orderrebate" SchemaID="Schema4" ShowImportExportValidationErrors="false" AutoFit="true" Append="false" PreserveSortAFLayout="true" PreserveFormat="true">
    <DataBinding FileBinding="true" ConnectionID="3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xmlMaps" Target="xmlMap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表1" displayName="表1" ref="A1:E37" tableType="xml" totalsRowShown="0" headerRowDxfId="6" dataDxfId="5" connectionId="13">
  <autoFilter ref="A1:E37"/>
  <tableColumns count="5">
    <tableColumn id="1" uniqueName="betRange" name="betRange" dataDxfId="4">
      <xmlColumnPr mapId="16" xpath="/betorder/order/betRange" xmlDataType="string"/>
    </tableColumn>
    <tableColumn id="2" uniqueName="playType" name="playType" dataDxfId="3">
      <xmlColumnPr mapId="16" xpath="/betorder/order/playType" xmlDataType="string"/>
    </tableColumn>
    <tableColumn id="3" uniqueName="betContent" name="betContent" dataDxfId="2">
      <xmlColumnPr mapId="16" xpath="/betorder/order/betContent" xmlDataType="string"/>
    </tableColumn>
    <tableColumn id="4" uniqueName="mutiple" name="mutiple" dataDxfId="1">
      <xmlColumnPr mapId="16" xpath="/betorder/order/mutiple" xmlDataType="string"/>
    </tableColumn>
    <tableColumn id="5" uniqueName="amount" name="amount" dataDxfId="0">
      <xmlColumnPr mapId="16" xpath="/betorder/order/amount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7"/>
  <sheetViews>
    <sheetView tabSelected="1" workbookViewId="0">
      <pane ySplit="1" topLeftCell="A2" activePane="bottomLeft" state="frozen"/>
      <selection pane="bottomLeft" activeCell="D5" sqref="D5"/>
    </sheetView>
  </sheetViews>
  <sheetFormatPr defaultRowHeight="13.5" x14ac:dyDescent="0.15"/>
  <cols>
    <col min="1" max="2" width="9.5" style="11" bestFit="1" customWidth="1"/>
    <col min="3" max="4" width="26.5" style="11" customWidth="1"/>
    <col min="5" max="5" width="9.5" style="11" bestFit="1" customWidth="1"/>
    <col min="6" max="6" width="10.5" style="11" bestFit="1" customWidth="1"/>
    <col min="7" max="12" width="9" style="11"/>
    <col min="13" max="13" width="24.25" style="37" customWidth="1"/>
    <col min="14" max="14" width="22.75" style="37" bestFit="1" customWidth="1"/>
    <col min="15" max="16384" width="9" style="11"/>
  </cols>
  <sheetData>
    <row r="1" spans="1:14" x14ac:dyDescent="0.15">
      <c r="A1" s="12" t="s">
        <v>335</v>
      </c>
      <c r="B1" s="12" t="s">
        <v>336</v>
      </c>
      <c r="C1" s="12" t="s">
        <v>337</v>
      </c>
      <c r="D1" s="12"/>
      <c r="E1" s="11" t="s">
        <v>338</v>
      </c>
      <c r="F1" s="11" t="s">
        <v>343</v>
      </c>
      <c r="G1" s="12" t="s">
        <v>370</v>
      </c>
      <c r="H1" s="12" t="s">
        <v>371</v>
      </c>
      <c r="I1" s="12" t="s">
        <v>372</v>
      </c>
      <c r="J1" s="12" t="s">
        <v>373</v>
      </c>
      <c r="M1" s="37" t="s">
        <v>375</v>
      </c>
    </row>
    <row r="2" spans="1:14" ht="40.5" x14ac:dyDescent="0.15">
      <c r="A2" s="12" t="s">
        <v>283</v>
      </c>
      <c r="B2" s="11" t="str">
        <f>LHCSource!B2</f>
        <v>直选</v>
      </c>
      <c r="C2" s="30" t="str">
        <f>TRIM(SUBSTITUTE(LHCSource!D2,","," "))</f>
        <v>01 02 03 04 05 06 07 08 09 35 36 37 38 39 40 41 42 43 44 45 46 47 48 49</v>
      </c>
      <c r="D2" s="11">
        <f>LHCSource!G2</f>
        <v>72</v>
      </c>
      <c r="E2" s="11">
        <f>LHCSource!I2</f>
        <v>1</v>
      </c>
      <c r="F2" s="11">
        <f>LHCSource!J2</f>
        <v>3</v>
      </c>
      <c r="G2" s="11">
        <f>LHCSource!L2</f>
        <v>0</v>
      </c>
      <c r="H2" s="11">
        <f>LHCSource!M2</f>
        <v>0</v>
      </c>
      <c r="I2" s="11">
        <v>0</v>
      </c>
      <c r="J2" s="11">
        <v>0</v>
      </c>
      <c r="K2" s="11">
        <f>G2-I2</f>
        <v>0</v>
      </c>
      <c r="L2" s="11">
        <f>H2-J2</f>
        <v>0</v>
      </c>
      <c r="M2" s="37">
        <v>98107227.098000005</v>
      </c>
      <c r="N2" s="37" t="s">
        <v>376</v>
      </c>
    </row>
    <row r="3" spans="1:14" ht="54" x14ac:dyDescent="0.15">
      <c r="A3" s="12" t="s">
        <v>283</v>
      </c>
      <c r="B3" s="11" t="str">
        <f>LHCSource!B3</f>
        <v>两面</v>
      </c>
      <c r="C3" s="30" t="str">
        <f>TRIM(SUBSTITUTE(LHCSource!D3,","," "))</f>
        <v>大 小 单 双 大单 大双 小单 小双 合大 合小 合单 合双 尾大 尾小 家禽 野兽 红波 蓝波 绿波</v>
      </c>
      <c r="D3" s="11">
        <f>LHCSource!G3</f>
        <v>76</v>
      </c>
      <c r="E3" s="11">
        <f>LHCSource!I3</f>
        <v>1</v>
      </c>
      <c r="F3" s="11">
        <f>LHCSource!J3</f>
        <v>4</v>
      </c>
      <c r="G3" s="11">
        <f ca="1">LHCSource!L3</f>
        <v>73.687999999999988</v>
      </c>
      <c r="H3" s="11">
        <f ca="1">LHCSource!M3</f>
        <v>0.72000000000000008</v>
      </c>
      <c r="I3" s="11">
        <v>73.688000000000002</v>
      </c>
      <c r="J3" s="11">
        <v>0.72</v>
      </c>
      <c r="K3" s="11">
        <f t="shared" ref="K3:K37" ca="1" si="0">G3-I3</f>
        <v>0</v>
      </c>
      <c r="L3" s="11">
        <f t="shared" ref="L3:L37" ca="1" si="1">H3-J3</f>
        <v>0</v>
      </c>
      <c r="M3" s="37">
        <f ca="1">M2-D2+G2-D3+G3</f>
        <v>98107152.785999998</v>
      </c>
    </row>
    <row r="4" spans="1:14" ht="94.5" x14ac:dyDescent="0.15">
      <c r="A4" s="12" t="s">
        <v>285</v>
      </c>
      <c r="B4" s="11" t="str">
        <f>LHCSource!B4</f>
        <v>任选</v>
      </c>
      <c r="C4" s="30" t="str">
        <f>TRIM(SUBSTITUTE(LHCSource!D4,","," "))</f>
        <v>01 02 03 04 05 06 07 08 09 10 11 12 13 14 15 16 17 18 19 20 21 22 23 24 25 26 27 28 29 30 31 32 33 34 35 36 37 38 39 40 41 42 43 44 45 46 47 48 49</v>
      </c>
      <c r="D4" s="11">
        <f>LHCSource!G4</f>
        <v>147</v>
      </c>
      <c r="E4" s="11">
        <f>LHCSource!I4</f>
        <v>1</v>
      </c>
      <c r="F4" s="11">
        <f>LHCSource!J4</f>
        <v>3</v>
      </c>
      <c r="G4" s="11">
        <f>LHCSource!L4</f>
        <v>142.23599999999999</v>
      </c>
      <c r="H4" s="11">
        <f>LHCSource!M4</f>
        <v>1.44</v>
      </c>
      <c r="I4" s="11">
        <v>142.23599999999999</v>
      </c>
      <c r="J4" s="11">
        <v>1.44</v>
      </c>
      <c r="K4" s="11">
        <f t="shared" ref="K4:K8" si="2">G4-I4</f>
        <v>0</v>
      </c>
      <c r="L4" s="11">
        <f t="shared" ref="L4:L8" si="3">H4-J4</f>
        <v>0</v>
      </c>
      <c r="M4" s="37">
        <f ca="1">M3-D4+G4</f>
        <v>98107148.022</v>
      </c>
    </row>
    <row r="5" spans="1:14" ht="94.5" x14ac:dyDescent="0.15">
      <c r="A5" s="12" t="s">
        <v>285</v>
      </c>
      <c r="B5" s="11" t="str">
        <f>LHCSource!B5</f>
        <v>正1特</v>
      </c>
      <c r="C5" s="30" t="str">
        <f>TRIM(SUBSTITUTE(LHCSource!D5,","," "))</f>
        <v>01 02 03 04 05 06 07 08 09 10 11 12 13 14 15 16 17 18 19 20 21 22 23 24 25 26 27 28 29 30 31 32 33 34 35 36 37 38 39 40 41 42 43 44 45 46 47 48 49</v>
      </c>
      <c r="D5" s="11">
        <f>LHCSource!G5</f>
        <v>98</v>
      </c>
      <c r="E5" s="11">
        <f>LHCSource!I5</f>
        <v>1</v>
      </c>
      <c r="F5" s="11">
        <f>LHCSource!J5</f>
        <v>2</v>
      </c>
      <c r="G5" s="11">
        <f>LHCSource!L5</f>
        <v>93.081999999999994</v>
      </c>
      <c r="H5" s="11">
        <f>LHCSource!M5</f>
        <v>0.98</v>
      </c>
      <c r="I5" s="11">
        <v>93.081999999999994</v>
      </c>
      <c r="J5" s="11">
        <v>0.98</v>
      </c>
      <c r="K5" s="11">
        <f t="shared" si="2"/>
        <v>0</v>
      </c>
      <c r="L5" s="11">
        <f t="shared" si="3"/>
        <v>0</v>
      </c>
      <c r="M5" s="37">
        <f t="shared" ref="M5:M37" ca="1" si="4">M4-D5+G5</f>
        <v>98107143.104000002</v>
      </c>
    </row>
    <row r="6" spans="1:14" ht="54" x14ac:dyDescent="0.15">
      <c r="A6" s="12" t="s">
        <v>285</v>
      </c>
      <c r="B6" s="11" t="str">
        <f>LHCSource!B6</f>
        <v>正1两面</v>
      </c>
      <c r="C6" s="30" t="str">
        <f>TRIM(SUBSTITUTE(LHCSource!D6,","," "))</f>
        <v>大 小 单 双 大单 大双 小单 小双 合大 合小 合单 合双 尾大 尾小 家禽 野兽 红波 蓝波 绿波</v>
      </c>
      <c r="D6" s="11">
        <f>LHCSource!G6</f>
        <v>19</v>
      </c>
      <c r="E6" s="11">
        <f>LHCSource!I6</f>
        <v>1</v>
      </c>
      <c r="F6" s="11">
        <f>LHCSource!J6</f>
        <v>1</v>
      </c>
      <c r="G6" s="11">
        <f ca="1">LHCSource!L6</f>
        <v>18.581999999999997</v>
      </c>
      <c r="H6" s="11">
        <f ca="1">LHCSource!M6</f>
        <v>0.19000000000000003</v>
      </c>
      <c r="I6" s="11">
        <v>18.582000000000001</v>
      </c>
      <c r="J6" s="11">
        <v>0.19</v>
      </c>
      <c r="K6" s="11">
        <f t="shared" ca="1" si="2"/>
        <v>0</v>
      </c>
      <c r="L6" s="11">
        <f t="shared" ca="1" si="3"/>
        <v>0</v>
      </c>
      <c r="M6" s="37">
        <f t="shared" ca="1" si="4"/>
        <v>98107142.686000004</v>
      </c>
    </row>
    <row r="7" spans="1:14" ht="94.5" x14ac:dyDescent="0.15">
      <c r="A7" s="12" t="s">
        <v>285</v>
      </c>
      <c r="B7" s="11" t="str">
        <f>LHCSource!B7</f>
        <v>正2特</v>
      </c>
      <c r="C7" s="30" t="str">
        <f>TRIM(SUBSTITUTE(LHCSource!D7,","," "))</f>
        <v>01 02 03 04 05 06 07 08 09 10 11 12 13 14 15 16 17 18 19 20 21 22 23 24 25 26 27 28 29 30 31 32 33 34 35 36 37 38 39 40 41 42 43 44 45 46 47 48 49</v>
      </c>
      <c r="D7" s="11">
        <f>LHCSource!G7</f>
        <v>49</v>
      </c>
      <c r="E7" s="11">
        <f>LHCSource!I7</f>
        <v>1</v>
      </c>
      <c r="F7" s="11">
        <f>LHCSource!J7</f>
        <v>1</v>
      </c>
      <c r="G7" s="11">
        <f>LHCSource!L7</f>
        <v>46.540999999999997</v>
      </c>
      <c r="H7" s="11">
        <f>LHCSource!M7</f>
        <v>0.49</v>
      </c>
      <c r="I7" s="11">
        <v>46.540999999999997</v>
      </c>
      <c r="J7" s="11">
        <v>0.49</v>
      </c>
      <c r="K7" s="11">
        <f t="shared" si="2"/>
        <v>0</v>
      </c>
      <c r="L7" s="11">
        <f t="shared" si="3"/>
        <v>0</v>
      </c>
      <c r="M7" s="37">
        <f t="shared" ca="1" si="4"/>
        <v>98107140.226999998</v>
      </c>
    </row>
    <row r="8" spans="1:14" ht="54" x14ac:dyDescent="0.15">
      <c r="A8" s="12" t="s">
        <v>285</v>
      </c>
      <c r="B8" s="11" t="str">
        <f>LHCSource!B8</f>
        <v>正2两面</v>
      </c>
      <c r="C8" s="30" t="str">
        <f>TRIM(SUBSTITUTE(LHCSource!D8,","," "))</f>
        <v>大 小 单 双 大单 大双 小单 小双 合大 合小 合单 合双 尾大 尾小 家禽 野兽 红波 蓝波 绿波</v>
      </c>
      <c r="D8" s="11">
        <f>LHCSource!G8</f>
        <v>95</v>
      </c>
      <c r="E8" s="11">
        <f>LHCSource!I8</f>
        <v>1</v>
      </c>
      <c r="F8" s="11">
        <f>LHCSource!J8</f>
        <v>5</v>
      </c>
      <c r="G8" s="11">
        <f ca="1">LHCSource!L8</f>
        <v>92.109999999999985</v>
      </c>
      <c r="H8" s="11">
        <f ca="1">LHCSource!M8</f>
        <v>0.90000000000000013</v>
      </c>
      <c r="I8" s="11">
        <v>92.11</v>
      </c>
      <c r="J8" s="11">
        <v>0.9</v>
      </c>
      <c r="K8" s="11">
        <f t="shared" ca="1" si="2"/>
        <v>0</v>
      </c>
      <c r="L8" s="11">
        <f t="shared" ca="1" si="3"/>
        <v>0</v>
      </c>
      <c r="M8" s="37">
        <f t="shared" ca="1" si="4"/>
        <v>98107137.336999997</v>
      </c>
    </row>
    <row r="9" spans="1:14" ht="94.5" x14ac:dyDescent="0.15">
      <c r="A9" s="12" t="s">
        <v>285</v>
      </c>
      <c r="B9" s="11" t="str">
        <f>LHCSource!B9</f>
        <v>正3特</v>
      </c>
      <c r="C9" s="30" t="str">
        <f>TRIM(SUBSTITUTE(LHCSource!D9,","," "))</f>
        <v>01 02 03 04 05 06 07 08 09 10 11 12 13 14 15 16 17 18 19 20 21 22 23 24 25 26 27 28 29 30 31 32 33 34 35 36 37 38 39 40 41 42 43 44 45 46 47 48 49</v>
      </c>
      <c r="D9" s="11">
        <f>LHCSource!G9</f>
        <v>196</v>
      </c>
      <c r="E9" s="11">
        <f>LHCSource!I9</f>
        <v>1</v>
      </c>
      <c r="F9" s="11">
        <f>LHCSource!J9</f>
        <v>4</v>
      </c>
      <c r="G9" s="11">
        <f>LHCSource!L9</f>
        <v>186.16399999999999</v>
      </c>
      <c r="H9" s="11">
        <f>LHCSource!M9</f>
        <v>1.96</v>
      </c>
      <c r="I9" s="11">
        <v>186.16399999999999</v>
      </c>
      <c r="J9" s="11">
        <v>1.96</v>
      </c>
      <c r="K9" s="11">
        <f t="shared" ref="K9:K37" si="5">G9-I9</f>
        <v>0</v>
      </c>
      <c r="L9" s="11">
        <f t="shared" ref="L9:L37" si="6">H9-J9</f>
        <v>0</v>
      </c>
      <c r="M9" s="37">
        <f t="shared" ca="1" si="4"/>
        <v>98107127.501000002</v>
      </c>
      <c r="N9" s="37">
        <v>98107227.098000005</v>
      </c>
    </row>
    <row r="10" spans="1:14" ht="54" x14ac:dyDescent="0.15">
      <c r="A10" s="12" t="s">
        <v>285</v>
      </c>
      <c r="B10" s="11" t="str">
        <f>LHCSource!B10</f>
        <v>正3两面</v>
      </c>
      <c r="C10" s="30" t="str">
        <f>TRIM(SUBSTITUTE(LHCSource!D10,","," "))</f>
        <v>大 小 单 双 大单 大双 小单 小双 合大 合小 合单 合双 尾大 尾小 家禽 野兽 红波 蓝波 绿波</v>
      </c>
      <c r="D10" s="11">
        <f>LHCSource!G10</f>
        <v>38</v>
      </c>
      <c r="E10" s="11">
        <f>LHCSource!I10</f>
        <v>1</v>
      </c>
      <c r="F10" s="11">
        <f>LHCSource!J10</f>
        <v>2</v>
      </c>
      <c r="G10" s="11">
        <f ca="1">LHCSource!L10</f>
        <v>36.843999999999994</v>
      </c>
      <c r="H10" s="11">
        <f ca="1">LHCSource!M10</f>
        <v>0.36000000000000004</v>
      </c>
      <c r="I10" s="11">
        <v>36.844000000000001</v>
      </c>
      <c r="J10" s="11">
        <v>0.36</v>
      </c>
      <c r="K10" s="11">
        <f t="shared" ca="1" si="5"/>
        <v>0</v>
      </c>
      <c r="L10" s="11">
        <f t="shared" ca="1" si="6"/>
        <v>0</v>
      </c>
      <c r="M10" s="37">
        <f t="shared" ca="1" si="4"/>
        <v>98107126.344999999</v>
      </c>
    </row>
    <row r="11" spans="1:14" ht="94.5" x14ac:dyDescent="0.15">
      <c r="A11" s="12" t="s">
        <v>285</v>
      </c>
      <c r="B11" s="11" t="str">
        <f>LHCSource!B11</f>
        <v>正4特</v>
      </c>
      <c r="C11" s="30" t="str">
        <f>TRIM(SUBSTITUTE(LHCSource!D11,","," "))</f>
        <v>01 02 03 04 05 06 07 08 09 10 11 12 13 14 15 16 17 18 19 20 21 22 23 24 25 26 27 28 29 30 31 32 33 34 35 36 37 38 39 40 41 42 43 44 45 46 47 48 49</v>
      </c>
      <c r="D11" s="11">
        <f>LHCSource!G11</f>
        <v>147</v>
      </c>
      <c r="E11" s="11">
        <f>LHCSource!I11</f>
        <v>1</v>
      </c>
      <c r="F11" s="11">
        <f>LHCSource!J11</f>
        <v>3</v>
      </c>
      <c r="G11" s="11">
        <f>LHCSource!L11</f>
        <v>139.62299999999999</v>
      </c>
      <c r="H11" s="11">
        <f>LHCSource!M11</f>
        <v>1.47</v>
      </c>
      <c r="I11" s="11">
        <v>139.62299999999999</v>
      </c>
      <c r="J11" s="11">
        <v>1.47</v>
      </c>
      <c r="K11" s="11">
        <f t="shared" si="5"/>
        <v>0</v>
      </c>
      <c r="L11" s="11">
        <f t="shared" si="6"/>
        <v>0</v>
      </c>
      <c r="M11" s="37">
        <f t="shared" ca="1" si="4"/>
        <v>98107118.967999995</v>
      </c>
    </row>
    <row r="12" spans="1:14" ht="54" x14ac:dyDescent="0.15">
      <c r="A12" s="12" t="s">
        <v>285</v>
      </c>
      <c r="B12" s="11" t="str">
        <f>LHCSource!B12</f>
        <v>正4两面</v>
      </c>
      <c r="C12" s="30" t="str">
        <f>TRIM(SUBSTITUTE(LHCSource!D12,","," "))</f>
        <v>大 小 单 双 大单 大双 小单 小双 合大 合小 合单 合双 尾大 尾小 家禽 野兽 红波 蓝波 绿波</v>
      </c>
      <c r="D12" s="11">
        <f>LHCSource!G12</f>
        <v>76</v>
      </c>
      <c r="E12" s="11">
        <f>LHCSource!I12</f>
        <v>1</v>
      </c>
      <c r="F12" s="11">
        <f>LHCSource!J12</f>
        <v>4</v>
      </c>
      <c r="G12" s="11">
        <f ca="1">LHCSource!L12</f>
        <v>74.327999999999989</v>
      </c>
      <c r="H12" s="11">
        <f ca="1">LHCSource!M12</f>
        <v>0.76000000000000012</v>
      </c>
      <c r="I12" s="11">
        <v>74.328000000000003</v>
      </c>
      <c r="J12" s="11">
        <v>0.76</v>
      </c>
      <c r="K12" s="11">
        <f t="shared" ca="1" si="5"/>
        <v>0</v>
      </c>
      <c r="L12" s="11">
        <f t="shared" ca="1" si="6"/>
        <v>0</v>
      </c>
      <c r="M12" s="37">
        <f t="shared" ca="1" si="4"/>
        <v>98107117.295999989</v>
      </c>
    </row>
    <row r="13" spans="1:14" ht="94.5" x14ac:dyDescent="0.15">
      <c r="A13" s="12" t="s">
        <v>285</v>
      </c>
      <c r="B13" s="11" t="str">
        <f>LHCSource!B13</f>
        <v>正5特</v>
      </c>
      <c r="C13" s="30" t="str">
        <f>TRIM(SUBSTITUTE(LHCSource!D13,","," "))</f>
        <v>01 02 03 04 05 06 07 08 09 10 11 12 13 14 15 16 17 18 19 20 21 22 23 24 25 26 27 28 29 30 31 32 33 34 35 36 37 38 39 40 41 42 43 44 45 46 47 48 49</v>
      </c>
      <c r="D13" s="11">
        <f>LHCSource!G13</f>
        <v>147</v>
      </c>
      <c r="E13" s="11">
        <f>LHCSource!I13</f>
        <v>1</v>
      </c>
      <c r="F13" s="11">
        <f>LHCSource!J13</f>
        <v>3</v>
      </c>
      <c r="G13" s="11">
        <f>LHCSource!L13</f>
        <v>139.62299999999999</v>
      </c>
      <c r="H13" s="11">
        <f>LHCSource!M13</f>
        <v>1.47</v>
      </c>
      <c r="I13" s="11">
        <v>139.62299999999999</v>
      </c>
      <c r="J13" s="11">
        <v>1.47</v>
      </c>
      <c r="K13" s="11">
        <f t="shared" si="5"/>
        <v>0</v>
      </c>
      <c r="L13" s="11">
        <f t="shared" si="6"/>
        <v>0</v>
      </c>
      <c r="M13" s="37">
        <f t="shared" ca="1" si="4"/>
        <v>98107109.918999985</v>
      </c>
    </row>
    <row r="14" spans="1:14" ht="54" x14ac:dyDescent="0.15">
      <c r="A14" s="12" t="s">
        <v>285</v>
      </c>
      <c r="B14" s="11" t="str">
        <f>LHCSource!B14</f>
        <v>正5两面</v>
      </c>
      <c r="C14" s="30" t="str">
        <f>TRIM(SUBSTITUTE(LHCSource!D14,","," "))</f>
        <v>大 小 单 双 大单 大双 小单 小双 合大 合小 合单 合双 尾大 尾小 家禽 野兽 红波 蓝波 绿波</v>
      </c>
      <c r="D14" s="11">
        <f>LHCSource!G14</f>
        <v>38</v>
      </c>
      <c r="E14" s="11">
        <f>LHCSource!I14</f>
        <v>1</v>
      </c>
      <c r="F14" s="11">
        <f>LHCSource!J14</f>
        <v>2</v>
      </c>
      <c r="G14" s="11">
        <f ca="1">LHCSource!L14</f>
        <v>9.4600000000000009</v>
      </c>
      <c r="H14" s="11">
        <f ca="1">LHCSource!M14</f>
        <v>0.08</v>
      </c>
      <c r="I14" s="11">
        <v>9.4600000000000009</v>
      </c>
      <c r="J14" s="11">
        <v>0.08</v>
      </c>
      <c r="K14" s="11">
        <f t="shared" ca="1" si="5"/>
        <v>0</v>
      </c>
      <c r="L14" s="11">
        <f t="shared" ca="1" si="6"/>
        <v>0</v>
      </c>
      <c r="M14" s="37">
        <f t="shared" ca="1" si="4"/>
        <v>98107081.378999978</v>
      </c>
    </row>
    <row r="15" spans="1:14" ht="94.5" x14ac:dyDescent="0.15">
      <c r="A15" s="12" t="s">
        <v>285</v>
      </c>
      <c r="B15" s="11" t="str">
        <f>LHCSource!B15</f>
        <v>正6特</v>
      </c>
      <c r="C15" s="30" t="str">
        <f>TRIM(SUBSTITUTE(LHCSource!D15,","," "))</f>
        <v>01 02 03 04 05 06 07 08 09 10 11 12 13 14 15 16 17 18 19 20 21 22 23 24 25 26 27 28 29 30 31 32 33 34 35 36 37 38 39 40 41 42 43 44 45 46 47 48 49</v>
      </c>
      <c r="D15" s="11">
        <f>LHCSource!G15</f>
        <v>49</v>
      </c>
      <c r="E15" s="11">
        <f>LHCSource!I15</f>
        <v>1</v>
      </c>
      <c r="F15" s="11">
        <f>LHCSource!J15</f>
        <v>1</v>
      </c>
      <c r="G15" s="11">
        <f>LHCSource!L15</f>
        <v>46.540999999999997</v>
      </c>
      <c r="H15" s="11">
        <f>LHCSource!M15</f>
        <v>0.49</v>
      </c>
      <c r="I15" s="11">
        <v>46.540999999999997</v>
      </c>
      <c r="J15" s="11">
        <v>0.49</v>
      </c>
      <c r="K15" s="11">
        <f t="shared" si="5"/>
        <v>0</v>
      </c>
      <c r="L15" s="11">
        <f t="shared" si="6"/>
        <v>0</v>
      </c>
      <c r="M15" s="37">
        <f t="shared" ca="1" si="4"/>
        <v>98107078.919999972</v>
      </c>
    </row>
    <row r="16" spans="1:14" ht="54" x14ac:dyDescent="0.15">
      <c r="A16" s="12" t="s">
        <v>285</v>
      </c>
      <c r="B16" s="11" t="str">
        <f>LHCSource!B16</f>
        <v>正6两面</v>
      </c>
      <c r="C16" s="30" t="str">
        <f>TRIM(SUBSTITUTE(LHCSource!D16,","," "))</f>
        <v>大 小 单 双 大单 大双 小单 小双 合大 合小 合单 合双 尾大 尾小 家禽 野兽 红波 蓝波 绿波</v>
      </c>
      <c r="D16" s="11">
        <f>LHCSource!G16</f>
        <v>76</v>
      </c>
      <c r="E16" s="11">
        <f>LHCSource!I16</f>
        <v>1</v>
      </c>
      <c r="F16" s="11">
        <f>LHCSource!J16</f>
        <v>4</v>
      </c>
      <c r="G16" s="11">
        <f ca="1">LHCSource!L16</f>
        <v>74.327999999999989</v>
      </c>
      <c r="H16" s="11">
        <f ca="1">LHCSource!M16</f>
        <v>0.76000000000000012</v>
      </c>
      <c r="I16" s="11">
        <v>74.328000000000003</v>
      </c>
      <c r="J16" s="11">
        <v>0.76</v>
      </c>
      <c r="K16" s="11">
        <f t="shared" ca="1" si="5"/>
        <v>0</v>
      </c>
      <c r="L16" s="11">
        <f t="shared" ca="1" si="6"/>
        <v>0</v>
      </c>
      <c r="M16" s="37">
        <f t="shared" ca="1" si="4"/>
        <v>98107077.247999966</v>
      </c>
    </row>
    <row r="17" spans="1:14" ht="54" x14ac:dyDescent="0.15">
      <c r="A17" s="12" t="s">
        <v>113</v>
      </c>
      <c r="B17" s="11" t="str">
        <f>LHCSource!B17</f>
        <v>三全中</v>
      </c>
      <c r="C17" s="30" t="str">
        <f>TRIM(SUBSTITUTE(LHCSource!D17,","," "))</f>
        <v>01 02 03 04 05 06 07 08 09 10 19 20 21 22 23 24 25 26 27 28 29 30 31 32 33 34 44 45 46 47 48 49</v>
      </c>
      <c r="D17" s="11">
        <f>LHCSource!G17</f>
        <v>24800</v>
      </c>
      <c r="E17" s="11">
        <f>LHCSource!I17</f>
        <v>1</v>
      </c>
      <c r="F17" s="11">
        <f>LHCSource!J17</f>
        <v>5</v>
      </c>
      <c r="G17" s="11">
        <f>LHCSource!L17</f>
        <v>13080.579999999998</v>
      </c>
      <c r="H17" s="11">
        <f>LHCSource!M17</f>
        <v>184.20000000000002</v>
      </c>
      <c r="I17" s="11">
        <v>13080.58</v>
      </c>
      <c r="J17" s="11">
        <v>184.2</v>
      </c>
      <c r="K17" s="11">
        <f t="shared" si="5"/>
        <v>0</v>
      </c>
      <c r="L17" s="11">
        <f t="shared" si="6"/>
        <v>0</v>
      </c>
      <c r="M17" s="37">
        <f t="shared" ca="1" si="4"/>
        <v>98095357.827999964</v>
      </c>
    </row>
    <row r="18" spans="1:14" ht="54" x14ac:dyDescent="0.15">
      <c r="A18" s="12" t="s">
        <v>113</v>
      </c>
      <c r="B18" s="11" t="str">
        <f>LHCSource!B18</f>
        <v>三中二</v>
      </c>
      <c r="C18" s="30" t="str">
        <f>TRIM(SUBSTITUTE(LHCSource!D18,","," "))</f>
        <v>01 02 03 04 05 06 15 16 17 18 19 20 21 22 23 24 25 26 27 28 29 30 31 41 42 43 44 45 46 47 48 49</v>
      </c>
      <c r="D18" s="11">
        <f>LHCSource!G18</f>
        <v>9920</v>
      </c>
      <c r="E18" s="11">
        <f>LHCSource!I18</f>
        <v>1</v>
      </c>
      <c r="F18" s="11">
        <f>LHCSource!J18</f>
        <v>2</v>
      </c>
      <c r="G18" s="11">
        <f>LHCSource!L18</f>
        <v>7779.4720000000007</v>
      </c>
      <c r="H18" s="11">
        <f>LHCSource!M18</f>
        <v>90.88000000000001</v>
      </c>
      <c r="I18" s="11">
        <v>7779.4719999999998</v>
      </c>
      <c r="J18" s="11">
        <v>90.88</v>
      </c>
      <c r="K18" s="11">
        <f t="shared" si="5"/>
        <v>0</v>
      </c>
      <c r="L18" s="11">
        <f t="shared" si="6"/>
        <v>0</v>
      </c>
      <c r="M18" s="37">
        <f t="shared" ca="1" si="4"/>
        <v>98093217.299999967</v>
      </c>
    </row>
    <row r="19" spans="1:14" ht="67.5" x14ac:dyDescent="0.15">
      <c r="A19" s="12" t="s">
        <v>113</v>
      </c>
      <c r="B19" s="11" t="str">
        <f>LHCSource!B19</f>
        <v>二全中</v>
      </c>
      <c r="C19" s="30" t="str">
        <f>TRIM(SUBSTITUTE(LHCSource!D19,","," "))</f>
        <v>01 02 03 04 05 06 07 08 09 10 11 12 13 14 15 16 17 18 19 20 21 22 23 24 25 26 27 28 29 30 31 32 33 34 35 36 37 38 39 40</v>
      </c>
      <c r="D19" s="11">
        <f>LHCSource!G19</f>
        <v>2340</v>
      </c>
      <c r="E19" s="11">
        <f>LHCSource!I19</f>
        <v>1</v>
      </c>
      <c r="F19" s="11">
        <f>LHCSource!J19</f>
        <v>3</v>
      </c>
      <c r="G19" s="11">
        <f>LHCSource!L19</f>
        <v>1184.616</v>
      </c>
      <c r="H19" s="11">
        <f>LHCSource!M19</f>
        <v>14.040000000000001</v>
      </c>
      <c r="I19" s="11">
        <v>1184.616</v>
      </c>
      <c r="J19" s="11">
        <v>14.04</v>
      </c>
      <c r="K19" s="11">
        <f t="shared" si="5"/>
        <v>0</v>
      </c>
      <c r="L19" s="11">
        <f t="shared" si="6"/>
        <v>0</v>
      </c>
      <c r="M19" s="37">
        <f t="shared" ca="1" si="4"/>
        <v>98092061.915999964</v>
      </c>
    </row>
    <row r="20" spans="1:14" ht="67.5" x14ac:dyDescent="0.15">
      <c r="A20" s="12" t="s">
        <v>113</v>
      </c>
      <c r="B20" s="11" t="str">
        <f>LHCSource!B20</f>
        <v>二中特</v>
      </c>
      <c r="C20" s="30" t="str">
        <f>TRIM(SUBSTITUTE(LHCSource!D20,","," "))</f>
        <v>10 11 12 13 14 15 16 17 18 19 20 21 22 23 24 25 26 27 28 29 30 31 32 33 34 35 36 37 38 39 40 41 42 43 44 45 46 47 48 49</v>
      </c>
      <c r="D20" s="11">
        <f>LHCSource!G20</f>
        <v>3900</v>
      </c>
      <c r="E20" s="11">
        <f>LHCSource!I20</f>
        <v>1</v>
      </c>
      <c r="F20" s="11">
        <f>LHCSource!J20</f>
        <v>5</v>
      </c>
      <c r="G20" s="11">
        <f>LHCSource!L20</f>
        <v>3453.4250000000002</v>
      </c>
      <c r="H20" s="11">
        <f>LHCSource!M20</f>
        <v>40.749999999999993</v>
      </c>
      <c r="I20" s="11">
        <v>3453.4250000000002</v>
      </c>
      <c r="J20" s="11">
        <v>40.75</v>
      </c>
      <c r="K20" s="11">
        <f t="shared" si="5"/>
        <v>0</v>
      </c>
      <c r="L20" s="11">
        <f t="shared" si="6"/>
        <v>0</v>
      </c>
      <c r="M20" s="37">
        <f t="shared" ca="1" si="4"/>
        <v>98091615.340999961</v>
      </c>
      <c r="N20" s="37">
        <v>98091615.341000006</v>
      </c>
    </row>
    <row r="21" spans="1:14" ht="81" x14ac:dyDescent="0.15">
      <c r="A21" s="12" t="s">
        <v>113</v>
      </c>
      <c r="B21" s="11" t="str">
        <f>LHCSource!B21</f>
        <v>特串</v>
      </c>
      <c r="C21" s="30" t="str">
        <f>TRIM(SUBSTITUTE(LHCSource!D21,","," "))</f>
        <v>01 02 03 06 07 08 09 10 11 12 13 16 17 18 19 20 23 24 25 26 27 28 29 30 31 32 33 36 37 38 39 40 41 42 43 44 45 46 47 48 49</v>
      </c>
      <c r="D21" s="11">
        <f>LHCSource!G21</f>
        <v>3280</v>
      </c>
      <c r="E21" s="11">
        <f>LHCSource!I21</f>
        <v>1</v>
      </c>
      <c r="F21" s="11">
        <f>LHCSource!J21</f>
        <v>4</v>
      </c>
      <c r="G21" s="11">
        <f>LHCSource!L21</f>
        <v>3175.08</v>
      </c>
      <c r="H21" s="11">
        <f>LHCSource!M21</f>
        <v>39.200000000000003</v>
      </c>
      <c r="I21" s="11">
        <v>3810.096</v>
      </c>
      <c r="J21" s="11">
        <v>47.04</v>
      </c>
      <c r="K21" s="11">
        <f t="shared" si="5"/>
        <v>-635.01600000000008</v>
      </c>
      <c r="L21" s="11">
        <f t="shared" si="6"/>
        <v>-7.8399999999999963</v>
      </c>
      <c r="M21" s="37">
        <f t="shared" ca="1" si="4"/>
        <v>98091510.420999959</v>
      </c>
    </row>
    <row r="22" spans="1:14" ht="54" x14ac:dyDescent="0.15">
      <c r="A22" s="12" t="s">
        <v>119</v>
      </c>
      <c r="B22" s="11" t="str">
        <f>LHCSource!B22</f>
        <v>特码半波</v>
      </c>
      <c r="C22" s="30" t="str">
        <f>TRIM(SUBSTITUTE(LHCSource!D22,","," "))</f>
        <v>红大 红小 红单 红双 红合单 红合双 绿大 绿小 绿单 绿双 绿合单 绿合双 蓝大 蓝小 蓝单 蓝双 蓝合单 蓝合双</v>
      </c>
      <c r="D22" s="11">
        <f>LHCSource!G22</f>
        <v>54</v>
      </c>
      <c r="E22" s="11">
        <f>LHCSource!I22</f>
        <v>1</v>
      </c>
      <c r="F22" s="11">
        <f>LHCSource!J22</f>
        <v>3</v>
      </c>
      <c r="G22" s="11">
        <f>LHCSource!L22</f>
        <v>59.220000000000006</v>
      </c>
      <c r="H22" s="11">
        <f>LHCSource!M22</f>
        <v>0.63000000000000012</v>
      </c>
      <c r="I22" s="11">
        <v>49.71</v>
      </c>
      <c r="J22" s="11">
        <v>0.51</v>
      </c>
      <c r="K22" s="11">
        <f t="shared" si="5"/>
        <v>9.5100000000000051</v>
      </c>
      <c r="L22" s="11">
        <f t="shared" si="6"/>
        <v>0.12000000000000011</v>
      </c>
      <c r="M22" s="37">
        <f ca="1">M21-D22+G22</f>
        <v>98091515.640999958</v>
      </c>
    </row>
    <row r="23" spans="1:14" ht="27" x14ac:dyDescent="0.15">
      <c r="A23" s="12" t="s">
        <v>289</v>
      </c>
      <c r="B23" s="11" t="str">
        <f>LHCSource!B23</f>
        <v>特肖</v>
      </c>
      <c r="C23" s="30" t="str">
        <f>TRIM(SUBSTITUTE(LHCSource!D23,","," "))</f>
        <v>鼠 牛 虎 兔 龙 蛇 马 羊 猴 鸡 狗 猪</v>
      </c>
      <c r="D23" s="11">
        <f>LHCSource!G23</f>
        <v>12</v>
      </c>
      <c r="E23" s="11">
        <f>LHCSource!I23</f>
        <v>1</v>
      </c>
      <c r="F23" s="11">
        <f>LHCSource!J23</f>
        <v>1</v>
      </c>
      <c r="G23" s="11">
        <f ca="1">LHCSource!L23</f>
        <v>11.488000000000001</v>
      </c>
      <c r="H23" s="11">
        <f ca="1">LHCSource!M23</f>
        <v>0.12</v>
      </c>
      <c r="I23" s="11">
        <v>11.488</v>
      </c>
      <c r="J23" s="11">
        <v>0.12</v>
      </c>
      <c r="K23" s="11">
        <f t="shared" ca="1" si="5"/>
        <v>0</v>
      </c>
      <c r="L23" s="11">
        <f t="shared" ca="1" si="6"/>
        <v>0</v>
      </c>
      <c r="M23" s="37">
        <f t="shared" ca="1" si="4"/>
        <v>98091515.128999963</v>
      </c>
    </row>
    <row r="24" spans="1:14" ht="27" x14ac:dyDescent="0.15">
      <c r="A24" s="12" t="s">
        <v>289</v>
      </c>
      <c r="B24" s="11" t="str">
        <f>LHCSource!B24</f>
        <v>一肖</v>
      </c>
      <c r="C24" s="30" t="str">
        <f>TRIM(SUBSTITUTE(LHCSource!D24,","," "))</f>
        <v>鼠 牛 虎 兔 龙 蛇 马 羊 猴 鸡 狗 猪</v>
      </c>
      <c r="D24" s="11">
        <f>LHCSource!G24</f>
        <v>24</v>
      </c>
      <c r="E24" s="11">
        <f>LHCSource!I24</f>
        <v>1</v>
      </c>
      <c r="F24" s="11">
        <f>LHCSource!J24</f>
        <v>2</v>
      </c>
      <c r="G24" s="11">
        <f ca="1">LHCSource!L24</f>
        <v>23.07</v>
      </c>
      <c r="H24" s="11">
        <f ca="1">LHCSource!M24</f>
        <v>0.22000000000000003</v>
      </c>
      <c r="I24" s="11">
        <v>27.033999999999999</v>
      </c>
      <c r="J24" s="11">
        <v>0.26</v>
      </c>
      <c r="K24" s="11">
        <f t="shared" ca="1" si="5"/>
        <v>-3.9639999999999986</v>
      </c>
      <c r="L24" s="11">
        <f t="shared" ca="1" si="6"/>
        <v>-3.999999999999998E-2</v>
      </c>
      <c r="M24" s="37">
        <f t="shared" ca="1" si="4"/>
        <v>98091514.198999956</v>
      </c>
    </row>
    <row r="25" spans="1:14" ht="27" x14ac:dyDescent="0.15">
      <c r="A25" s="12" t="s">
        <v>289</v>
      </c>
      <c r="B25" s="11" t="str">
        <f>LHCSource!B25</f>
        <v>二肖连</v>
      </c>
      <c r="C25" s="30" t="str">
        <f>TRIM(SUBSTITUTE(LHCSource!D25,","," "))</f>
        <v>鼠 牛 虎 兔 龙 蛇 马 羊 猴 鸡 狗 猪</v>
      </c>
      <c r="D25" s="11">
        <f>LHCSource!G25</f>
        <v>330</v>
      </c>
      <c r="E25" s="11">
        <f>LHCSource!I25</f>
        <v>1</v>
      </c>
      <c r="F25" s="11">
        <f>LHCSource!J25</f>
        <v>5</v>
      </c>
      <c r="G25" s="11">
        <f ca="1">LHCSource!L25</f>
        <v>296.95</v>
      </c>
      <c r="H25" s="11">
        <f ca="1">LHCSource!M25</f>
        <v>3</v>
      </c>
      <c r="I25" s="11">
        <v>27.033999999999999</v>
      </c>
      <c r="J25" s="11">
        <v>0.26</v>
      </c>
      <c r="K25" s="11">
        <f t="shared" ca="1" si="5"/>
        <v>269.916</v>
      </c>
      <c r="L25" s="11">
        <f t="shared" ca="1" si="6"/>
        <v>2.74</v>
      </c>
      <c r="M25" s="37">
        <f t="shared" ca="1" si="4"/>
        <v>98091481.148999959</v>
      </c>
    </row>
    <row r="26" spans="1:14" ht="27" x14ac:dyDescent="0.15">
      <c r="A26" s="12" t="s">
        <v>289</v>
      </c>
      <c r="B26" s="11" t="str">
        <f>LHCSource!B26</f>
        <v>三肖连</v>
      </c>
      <c r="C26" s="30" t="str">
        <f>TRIM(SUBSTITUTE(LHCSource!D26,","," "))</f>
        <v>鼠 牛 虎 兔 龙 蛇 马 羊 猴 鸡 狗 猪</v>
      </c>
      <c r="D26" s="11">
        <f>LHCSource!G26</f>
        <v>880</v>
      </c>
      <c r="E26" s="11">
        <f>LHCSource!I26</f>
        <v>1</v>
      </c>
      <c r="F26" s="11">
        <f>LHCSource!J26</f>
        <v>4</v>
      </c>
      <c r="G26" s="11">
        <f ca="1">LHCSource!L26</f>
        <v>791.5200000000001</v>
      </c>
      <c r="H26" s="11">
        <f ca="1">LHCSource!M26</f>
        <v>8.8000000000000007</v>
      </c>
      <c r="I26" s="11">
        <v>115.83</v>
      </c>
      <c r="J26" s="11">
        <v>1.2</v>
      </c>
      <c r="K26" s="11">
        <f t="shared" ca="1" si="5"/>
        <v>675.69</v>
      </c>
      <c r="L26" s="11">
        <f t="shared" ca="1" si="6"/>
        <v>7.6000000000000005</v>
      </c>
      <c r="M26" s="37">
        <f t="shared" ca="1" si="4"/>
        <v>98091392.668999955</v>
      </c>
    </row>
    <row r="27" spans="1:14" ht="27" x14ac:dyDescent="0.15">
      <c r="A27" s="12" t="s">
        <v>289</v>
      </c>
      <c r="B27" s="11" t="str">
        <f>LHCSource!B27</f>
        <v>四肖连</v>
      </c>
      <c r="C27" s="30" t="str">
        <f>TRIM(SUBSTITUTE(LHCSource!D27,","," "))</f>
        <v>鼠 牛 虎 兔 龙 蛇 马 羊 猴 鸡 狗 猪</v>
      </c>
      <c r="D27" s="11">
        <f>LHCSource!G27</f>
        <v>495</v>
      </c>
      <c r="E27" s="11">
        <f>LHCSource!I27</f>
        <v>1</v>
      </c>
      <c r="F27" s="11">
        <f>LHCSource!J27</f>
        <v>1</v>
      </c>
      <c r="G27" s="11">
        <f ca="1">LHCSource!L27</f>
        <v>420.41999999999996</v>
      </c>
      <c r="H27" s="11">
        <f ca="1">LHCSource!M27</f>
        <v>4.8</v>
      </c>
      <c r="I27" s="11">
        <v>13.647</v>
      </c>
      <c r="J27" s="11">
        <v>0.13</v>
      </c>
      <c r="K27" s="11">
        <f t="shared" ca="1" si="5"/>
        <v>406.77299999999997</v>
      </c>
      <c r="L27" s="11">
        <f t="shared" ca="1" si="6"/>
        <v>4.67</v>
      </c>
      <c r="M27" s="37">
        <f t="shared" ca="1" si="4"/>
        <v>98091318.088999957</v>
      </c>
    </row>
    <row r="28" spans="1:14" ht="40.5" x14ac:dyDescent="0.15">
      <c r="A28" s="12" t="s">
        <v>291</v>
      </c>
      <c r="B28" s="11" t="str">
        <f>LHCSource!B28</f>
        <v>特码头尾</v>
      </c>
      <c r="C28" s="30" t="str">
        <f>TRIM(SUBSTITUTE(LHCSource!D28,","," "))</f>
        <v>0头 1头 2头 3头 4头 0尾 1尾 2尾 3尾 4尾 5尾 6尾 7尾 8尾 9尾</v>
      </c>
      <c r="D28" s="11">
        <f>LHCSource!G28</f>
        <v>15</v>
      </c>
      <c r="E28" s="11">
        <f>LHCSource!I28</f>
        <v>1</v>
      </c>
      <c r="F28" s="11">
        <f>LHCSource!J28</f>
        <v>1</v>
      </c>
      <c r="G28" s="11">
        <f>LHCSource!L28</f>
        <v>13.647</v>
      </c>
      <c r="H28" s="11">
        <f>LHCSource!M28</f>
        <v>0.13</v>
      </c>
      <c r="I28" s="11">
        <v>89.61</v>
      </c>
      <c r="J28" s="11">
        <v>0.9</v>
      </c>
      <c r="K28" s="11">
        <f t="shared" si="5"/>
        <v>-75.962999999999994</v>
      </c>
      <c r="L28" s="11">
        <f t="shared" si="6"/>
        <v>-0.77</v>
      </c>
      <c r="M28" s="37">
        <f t="shared" ca="1" si="4"/>
        <v>98091316.735999957</v>
      </c>
    </row>
    <row r="29" spans="1:14" ht="27" x14ac:dyDescent="0.15">
      <c r="A29" s="12" t="s">
        <v>291</v>
      </c>
      <c r="B29" s="11" t="str">
        <f>LHCSource!B29</f>
        <v>二尾连</v>
      </c>
      <c r="C29" s="30" t="str">
        <f>TRIM(SUBSTITUTE(LHCSource!D29,","," "))</f>
        <v>0尾 1尾 2尾 3尾 4尾 5尾 6尾 7尾 8尾 9尾</v>
      </c>
      <c r="D29" s="11">
        <f>LHCSource!G29</f>
        <v>135</v>
      </c>
      <c r="E29" s="11">
        <f>LHCSource!I29</f>
        <v>1</v>
      </c>
      <c r="F29" s="11">
        <f>LHCSource!J29</f>
        <v>3</v>
      </c>
      <c r="G29" s="11">
        <f>LHCSource!L29</f>
        <v>134.41500000000002</v>
      </c>
      <c r="H29" s="11">
        <f>LHCSource!M29</f>
        <v>1.3499999999999999</v>
      </c>
      <c r="I29" s="11">
        <v>63.53</v>
      </c>
      <c r="J29" s="11">
        <v>0.7</v>
      </c>
      <c r="K29" s="11">
        <f t="shared" si="5"/>
        <v>70.885000000000019</v>
      </c>
      <c r="L29" s="11">
        <f t="shared" si="6"/>
        <v>0.64999999999999991</v>
      </c>
      <c r="M29" s="37">
        <f t="shared" ca="1" si="4"/>
        <v>98091316.150999963</v>
      </c>
    </row>
    <row r="30" spans="1:14" ht="27" x14ac:dyDescent="0.15">
      <c r="A30" s="12" t="s">
        <v>291</v>
      </c>
      <c r="B30" s="11" t="str">
        <f>LHCSource!B30</f>
        <v>三尾连</v>
      </c>
      <c r="C30" s="30" t="str">
        <f>TRIM(SUBSTITUTE(LHCSource!D30,","," "))</f>
        <v>0尾 1尾 2尾 3尾 4尾 5尾 6尾 7尾 8尾 9尾</v>
      </c>
      <c r="D30" s="11">
        <f>LHCSource!G30</f>
        <v>120</v>
      </c>
      <c r="E30" s="11">
        <f>LHCSource!I30</f>
        <v>1</v>
      </c>
      <c r="F30" s="11">
        <f>LHCSource!J30</f>
        <v>1</v>
      </c>
      <c r="G30" s="11">
        <f>LHCSource!L30</f>
        <v>127.06</v>
      </c>
      <c r="H30" s="11">
        <f>LHCSource!M30</f>
        <v>1.4000000000000001</v>
      </c>
      <c r="I30" s="11">
        <v>150.72999999999999</v>
      </c>
      <c r="J30" s="11">
        <v>1.7</v>
      </c>
      <c r="K30" s="11">
        <f t="shared" si="5"/>
        <v>-23.669999999999987</v>
      </c>
      <c r="L30" s="11">
        <f t="shared" si="6"/>
        <v>-0.29999999999999982</v>
      </c>
      <c r="M30" s="37">
        <f t="shared" ca="1" si="4"/>
        <v>98091323.210999966</v>
      </c>
    </row>
    <row r="31" spans="1:14" ht="27" x14ac:dyDescent="0.15">
      <c r="A31" s="12" t="s">
        <v>291</v>
      </c>
      <c r="B31" s="11" t="str">
        <f>LHCSource!B31</f>
        <v>四尾连</v>
      </c>
      <c r="C31" s="30" t="str">
        <f>TRIM(SUBSTITUTE(LHCSource!D31,","," "))</f>
        <v>0尾 1尾 2尾 3尾 4尾 5尾 6尾 7尾 8尾 9尾</v>
      </c>
      <c r="D31" s="11">
        <f>LHCSource!G31</f>
        <v>419.99999999999994</v>
      </c>
      <c r="E31" s="11">
        <f>LHCSource!I31</f>
        <v>1</v>
      </c>
      <c r="F31" s="11">
        <f>LHCSource!J31</f>
        <v>2</v>
      </c>
      <c r="G31" s="11">
        <f>LHCSource!L31</f>
        <v>452.19</v>
      </c>
      <c r="H31" s="11">
        <f>LHCSource!M31</f>
        <v>5.0999999999999996</v>
      </c>
      <c r="I31" s="11">
        <v>20800.78</v>
      </c>
      <c r="J31" s="11">
        <v>200.2</v>
      </c>
      <c r="K31" s="11">
        <f t="shared" si="5"/>
        <v>-20348.59</v>
      </c>
      <c r="L31" s="11">
        <f t="shared" si="6"/>
        <v>-195.1</v>
      </c>
      <c r="M31" s="37">
        <f t="shared" ca="1" si="4"/>
        <v>98091355.400999963</v>
      </c>
    </row>
    <row r="32" spans="1:14" ht="27" x14ac:dyDescent="0.15">
      <c r="A32" s="12" t="s">
        <v>293</v>
      </c>
      <c r="B32" s="11" t="str">
        <f>LHCSource!B32</f>
        <v>五不中</v>
      </c>
      <c r="C32" s="30" t="str">
        <f>TRIM(SUBSTITUTE(LHCSource!D32,","," "))</f>
        <v>01 02 03 04 05 06 07 08 09 10 11 12 13 14 15</v>
      </c>
      <c r="D32" s="11">
        <f>LHCSource!G32</f>
        <v>15015</v>
      </c>
      <c r="E32" s="11">
        <f>LHCSource!I32</f>
        <v>1</v>
      </c>
      <c r="F32" s="11">
        <f>LHCSource!J32</f>
        <v>5</v>
      </c>
      <c r="G32" s="11">
        <f>LHCSource!L32</f>
        <v>13371.93</v>
      </c>
      <c r="H32" s="11">
        <f>LHCSource!M32</f>
        <v>128.70000000000002</v>
      </c>
      <c r="I32" s="11">
        <v>12550.824000000001</v>
      </c>
      <c r="J32" s="11">
        <v>102.96</v>
      </c>
      <c r="K32" s="11">
        <f t="shared" si="5"/>
        <v>821.10599999999977</v>
      </c>
      <c r="L32" s="11">
        <f t="shared" si="6"/>
        <v>25.740000000000023</v>
      </c>
      <c r="M32" s="37">
        <f t="shared" ca="1" si="4"/>
        <v>98089712.33099997</v>
      </c>
    </row>
    <row r="33" spans="1:13" ht="27" x14ac:dyDescent="0.15">
      <c r="A33" s="12" t="s">
        <v>293</v>
      </c>
      <c r="B33" s="11" t="str">
        <f>LHCSource!B33</f>
        <v>六不中</v>
      </c>
      <c r="C33" s="30" t="str">
        <f>TRIM(SUBSTITUTE(LHCSource!D33,","," "))</f>
        <v>11 12 13 14 15 16 17 18 19 20 21 22 23 24 25</v>
      </c>
      <c r="D33" s="11">
        <f>LHCSource!G33</f>
        <v>15015</v>
      </c>
      <c r="E33" s="11">
        <f>LHCSource!I33</f>
        <v>1</v>
      </c>
      <c r="F33" s="11">
        <f>LHCSource!J33</f>
        <v>3</v>
      </c>
      <c r="G33" s="11">
        <f>LHCSource!L33</f>
        <v>12550.823999999997</v>
      </c>
      <c r="H33" s="11">
        <f>LHCSource!M33</f>
        <v>102.95999999999998</v>
      </c>
      <c r="I33" s="11">
        <v>5091.3720000000003</v>
      </c>
      <c r="J33" s="11">
        <v>51.48</v>
      </c>
      <c r="K33" s="11">
        <f t="shared" si="5"/>
        <v>7459.4519999999966</v>
      </c>
      <c r="L33" s="11">
        <f t="shared" si="6"/>
        <v>51.479999999999983</v>
      </c>
      <c r="M33" s="37">
        <f t="shared" ca="1" si="4"/>
        <v>98087248.154999971</v>
      </c>
    </row>
    <row r="34" spans="1:13" ht="27" x14ac:dyDescent="0.15">
      <c r="A34" s="12" t="s">
        <v>293</v>
      </c>
      <c r="B34" s="11" t="str">
        <f>LHCSource!B34</f>
        <v>七不中</v>
      </c>
      <c r="C34" s="30" t="str">
        <f>TRIM(SUBSTITUTE(LHCSource!D34,","," "))</f>
        <v>21 22 23 24 25 26 27 28 29 30 31 32 33 34 35</v>
      </c>
      <c r="D34" s="11">
        <f>LHCSource!G34</f>
        <v>6434.9999999999991</v>
      </c>
      <c r="E34" s="11">
        <f>LHCSource!I34</f>
        <v>1</v>
      </c>
      <c r="F34" s="11">
        <f>LHCSource!J34</f>
        <v>1</v>
      </c>
      <c r="G34" s="11">
        <f>LHCSource!L34</f>
        <v>5091.3720000000012</v>
      </c>
      <c r="H34" s="11">
        <f>LHCSource!M34</f>
        <v>51.48</v>
      </c>
      <c r="I34" s="11">
        <v>3481.83</v>
      </c>
      <c r="J34" s="11">
        <v>29.7</v>
      </c>
      <c r="K34" s="11">
        <f t="shared" si="5"/>
        <v>1609.5420000000013</v>
      </c>
      <c r="L34" s="11">
        <f t="shared" si="6"/>
        <v>21.779999999999998</v>
      </c>
      <c r="M34" s="37">
        <f t="shared" ca="1" si="4"/>
        <v>98085904.526999965</v>
      </c>
    </row>
    <row r="35" spans="1:13" ht="27" x14ac:dyDescent="0.15">
      <c r="A35" s="12" t="s">
        <v>293</v>
      </c>
      <c r="B35" s="11" t="str">
        <f>LHCSource!B35</f>
        <v>八不中</v>
      </c>
      <c r="C35" s="30" t="str">
        <f>TRIM(SUBSTITUTE(LHCSource!D35,","," "))</f>
        <v>31 32 33 34 35 36 37 38 39 40 41 42 43 44 45</v>
      </c>
      <c r="D35" s="11">
        <f>LHCSource!G35</f>
        <v>12869.999999999998</v>
      </c>
      <c r="E35" s="11">
        <f>LHCSource!I35</f>
        <v>1</v>
      </c>
      <c r="F35" s="11">
        <f>LHCSource!J35</f>
        <v>2</v>
      </c>
      <c r="G35" s="11">
        <f>LHCSource!L35</f>
        <v>9052.7580000000016</v>
      </c>
      <c r="H35" s="11">
        <f>LHCSource!M35</f>
        <v>77.22</v>
      </c>
      <c r="I35" s="11">
        <v>42802.76</v>
      </c>
      <c r="J35" s="11">
        <v>400.4</v>
      </c>
      <c r="K35" s="11">
        <f t="shared" si="5"/>
        <v>-33750.002</v>
      </c>
      <c r="L35" s="11">
        <f t="shared" si="6"/>
        <v>-323.17999999999995</v>
      </c>
      <c r="M35" s="37">
        <f t="shared" ca="1" si="4"/>
        <v>98082087.284999967</v>
      </c>
    </row>
    <row r="36" spans="1:13" ht="27" x14ac:dyDescent="0.15">
      <c r="A36" s="12" t="s">
        <v>293</v>
      </c>
      <c r="B36" s="11" t="str">
        <f>LHCSource!B36</f>
        <v>九不中</v>
      </c>
      <c r="C36" s="30" t="str">
        <f>TRIM(SUBSTITUTE(LHCSource!D36,","," "))</f>
        <v>40 41 42 43 44 45 46 47 48 49 03 14 16 27 28</v>
      </c>
      <c r="D36" s="11">
        <f>LHCSource!G36</f>
        <v>25025</v>
      </c>
      <c r="E36" s="11">
        <f>LHCSource!I36</f>
        <v>1</v>
      </c>
      <c r="F36" s="11">
        <f>LHCSource!J36</f>
        <v>5</v>
      </c>
      <c r="G36" s="11">
        <f>LHCSource!L36</f>
        <v>1175.8999999999999</v>
      </c>
      <c r="H36" s="11">
        <f>LHCSource!M36</f>
        <v>11</v>
      </c>
      <c r="I36" s="11">
        <v>20800.78</v>
      </c>
      <c r="J36" s="11">
        <v>200.2</v>
      </c>
      <c r="K36" s="11">
        <f t="shared" si="5"/>
        <v>-19624.879999999997</v>
      </c>
      <c r="L36" s="11">
        <f t="shared" si="6"/>
        <v>-189.2</v>
      </c>
      <c r="M36" s="37">
        <f t="shared" ca="1" si="4"/>
        <v>98058238.184999973</v>
      </c>
    </row>
    <row r="37" spans="1:13" ht="27" x14ac:dyDescent="0.15">
      <c r="A37" s="12" t="s">
        <v>293</v>
      </c>
      <c r="B37" s="11" t="str">
        <f>LHCSource!B37</f>
        <v>十不中</v>
      </c>
      <c r="C37" s="30" t="str">
        <f>TRIM(SUBSTITUTE(LHCSource!D37,","," "))</f>
        <v>01 02 03 14 15 16 27 28 29 40 49 22 23 08 09</v>
      </c>
      <c r="D37" s="11">
        <f>LHCSource!G37</f>
        <v>12012</v>
      </c>
      <c r="E37" s="11">
        <f>LHCSource!I37</f>
        <v>1</v>
      </c>
      <c r="F37" s="11">
        <f>LHCSource!J37</f>
        <v>4</v>
      </c>
      <c r="G37" s="11">
        <f>LHCSource!L37</f>
        <v>1371.48</v>
      </c>
      <c r="H37" s="11">
        <f>LHCSource!M37</f>
        <v>13.200000000000001</v>
      </c>
      <c r="K37" s="11">
        <f t="shared" si="5"/>
        <v>1371.48</v>
      </c>
      <c r="L37" s="11">
        <f t="shared" si="6"/>
        <v>13.200000000000001</v>
      </c>
      <c r="M37" s="37">
        <f t="shared" ca="1" si="4"/>
        <v>98047597.664999977</v>
      </c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2:K6"/>
  <sheetViews>
    <sheetView workbookViewId="0">
      <selection activeCell="G31" sqref="G31"/>
    </sheetView>
  </sheetViews>
  <sheetFormatPr defaultRowHeight="13.5" x14ac:dyDescent="0.15"/>
  <sheetData>
    <row r="2" spans="5:11" x14ac:dyDescent="0.15">
      <c r="E2" s="38"/>
      <c r="F2" s="38"/>
      <c r="G2" s="38"/>
      <c r="H2" s="38"/>
      <c r="I2" s="38"/>
      <c r="J2" s="38"/>
      <c r="K2" s="38"/>
    </row>
    <row r="5" spans="5:11" x14ac:dyDescent="0.15">
      <c r="H5" s="38"/>
    </row>
    <row r="6" spans="5:11" x14ac:dyDescent="0.15">
      <c r="H6" s="38"/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A37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G2" sqref="G2:G12"/>
    </sheetView>
  </sheetViews>
  <sheetFormatPr defaultRowHeight="13.5" x14ac:dyDescent="0.15"/>
  <cols>
    <col min="1" max="1" width="9.5" style="13" bestFit="1" customWidth="1"/>
    <col min="2" max="2" width="12.125" style="13" customWidth="1"/>
    <col min="3" max="3" width="11.5" style="13" customWidth="1"/>
    <col min="4" max="4" width="69.375" style="20" customWidth="1"/>
    <col min="5" max="5" width="22.75" style="13" customWidth="1"/>
    <col min="6" max="6" width="5.375" style="16" hidden="1" customWidth="1"/>
    <col min="7" max="7" width="9.75" style="13" customWidth="1"/>
    <col min="8" max="8" width="8.25" style="13" customWidth="1"/>
    <col min="9" max="9" width="7.25" style="13" hidden="1" customWidth="1"/>
    <col min="10" max="10" width="13.5" style="13" customWidth="1"/>
    <col min="11" max="11" width="13" style="13" bestFit="1" customWidth="1"/>
    <col min="12" max="13" width="15.5" style="13" customWidth="1"/>
    <col min="14" max="14" width="13" style="13" bestFit="1" customWidth="1"/>
    <col min="15" max="15" width="18.5" style="13" customWidth="1"/>
    <col min="16" max="16" width="8.5" style="13" customWidth="1"/>
    <col min="17" max="17" width="13" style="13" customWidth="1"/>
    <col min="18" max="19" width="7.25" style="13" customWidth="1"/>
    <col min="20" max="20" width="12.75" style="13" bestFit="1" customWidth="1"/>
    <col min="21" max="21" width="7.25" style="13" customWidth="1"/>
    <col min="22" max="16384" width="9" style="13"/>
  </cols>
  <sheetData>
    <row r="1" spans="1:27" x14ac:dyDescent="0.15">
      <c r="A1" s="13" t="s">
        <v>0</v>
      </c>
      <c r="B1" s="14" t="s">
        <v>85</v>
      </c>
      <c r="C1" s="13" t="s">
        <v>1</v>
      </c>
      <c r="D1" s="15" t="s">
        <v>86</v>
      </c>
      <c r="E1" s="14" t="s">
        <v>88</v>
      </c>
      <c r="F1" s="16" t="s">
        <v>87</v>
      </c>
      <c r="G1" s="13" t="s">
        <v>6</v>
      </c>
      <c r="H1" s="14" t="s">
        <v>8</v>
      </c>
      <c r="I1" s="14" t="s">
        <v>339</v>
      </c>
      <c r="J1" s="26" t="s">
        <v>344</v>
      </c>
      <c r="K1" s="14" t="s">
        <v>9</v>
      </c>
      <c r="L1" s="14" t="s">
        <v>165</v>
      </c>
      <c r="M1" s="26" t="s">
        <v>341</v>
      </c>
      <c r="O1" s="14" t="s">
        <v>91</v>
      </c>
      <c r="P1" s="14" t="s">
        <v>166</v>
      </c>
      <c r="Q1" s="14" t="s">
        <v>167</v>
      </c>
      <c r="R1" s="14" t="s">
        <v>168</v>
      </c>
      <c r="S1" s="14" t="s">
        <v>169</v>
      </c>
      <c r="T1" s="14" t="s">
        <v>170</v>
      </c>
      <c r="U1" s="14" t="s">
        <v>171</v>
      </c>
    </row>
    <row r="2" spans="1:27" ht="27" x14ac:dyDescent="0.15">
      <c r="A2" s="34" t="s">
        <v>91</v>
      </c>
      <c r="B2" s="14" t="s">
        <v>92</v>
      </c>
      <c r="C2" s="14" t="s">
        <v>93</v>
      </c>
      <c r="D2" s="15" t="s">
        <v>357</v>
      </c>
      <c r="E2" s="29" t="str">
        <f>LHC!N2</f>
        <v>33,41,05,27,49,11,16</v>
      </c>
      <c r="G2" s="13">
        <f>H2*J2</f>
        <v>72</v>
      </c>
      <c r="H2" s="13">
        <f>LEN(SUBSTITUTE(D2,",",))/2</f>
        <v>24</v>
      </c>
      <c r="I2" s="13">
        <v>1</v>
      </c>
      <c r="J2" s="13">
        <v>3</v>
      </c>
      <c r="K2" s="13">
        <f>odds!F2</f>
        <v>48.010999999999996</v>
      </c>
      <c r="L2" s="13">
        <f>N(ISNUMBER(FIND(RIGHT(E2,2),D2,1)))*K2*J2</f>
        <v>0</v>
      </c>
      <c r="M2" s="13">
        <f>IF(V$2=1,G2*(agent!D$6-agent!B$3)/100,(agent!D$6-agent!B$3)*10*odds!E2*(L2/K2))</f>
        <v>0</v>
      </c>
      <c r="N2" s="13" t="str">
        <f>LEFT(E2,2)</f>
        <v>33</v>
      </c>
      <c r="O2" s="13" t="str">
        <f>IF(INT(N8)&gt;=25,",大,",",小,")</f>
        <v>,小,</v>
      </c>
      <c r="P2" s="13" t="str">
        <f>IF(INT($N2)&gt;=25,",大,",",小,")</f>
        <v>,大,</v>
      </c>
      <c r="Q2" s="13" t="str">
        <f>IF(INT($N3)&gt;=25,",大,",",小,")</f>
        <v>,大,</v>
      </c>
      <c r="R2" s="13" t="str">
        <f>IF(INT($N4)&gt;=25,",大,",",小,")</f>
        <v>,小,</v>
      </c>
      <c r="S2" s="13" t="str">
        <f>IF(INT($N5)&gt;=25,",大,",",小,")</f>
        <v>,大,</v>
      </c>
      <c r="T2" s="13" t="str">
        <f>IF(INT($N6)&gt;=25,",大,",",小,")</f>
        <v>,大,</v>
      </c>
      <c r="U2" s="13" t="str">
        <f>IF(INT($N7)&gt;=25,",大,",",小,")</f>
        <v>,小,</v>
      </c>
      <c r="V2" s="13">
        <v>0</v>
      </c>
    </row>
    <row r="3" spans="1:27" ht="27" x14ac:dyDescent="0.15">
      <c r="A3" s="34"/>
      <c r="B3" s="14" t="s">
        <v>94</v>
      </c>
      <c r="C3" s="13" t="s">
        <v>2</v>
      </c>
      <c r="D3" s="15" t="s">
        <v>294</v>
      </c>
      <c r="E3" s="15" t="str">
        <f>E2</f>
        <v>33,41,05,27,49,11,16</v>
      </c>
      <c r="G3" s="13">
        <f t="shared" ref="G3:G37" si="0">H3*J3</f>
        <v>76</v>
      </c>
      <c r="H3" s="13">
        <f>LEN(D3)-LEN(SUBSTITUTE(D3,",",))-1</f>
        <v>19</v>
      </c>
      <c r="I3" s="13">
        <v>1</v>
      </c>
      <c r="J3" s="13">
        <v>4</v>
      </c>
      <c r="L3" s="13">
        <f ca="1">IF(INT(N8)=49,N(ISNUMBER(FIND(O$8,D3,1)))*SUM(odds!F14:F15)+N(ISNUMBER(FIND(O$9,D3,1)))*SUM(odds!F16:F19),(N(ISNUMBER(FIND(O$2,D3,1)))+N(ISNUMBER(FIND(O$3,D3,1))))*odds!F3+N(ISNUMBER(FIND(O$4,D3,1)))*SUM(odds!F4:F7)+N(ISNUMBER(FIND(O$5,D3,1)))*SUM(odds!F10:F11)+N(ISNUMBER(FIND(O$6,D3,1)))*SUM(odds!F8:F9)+N(ISNUMBER(FIND(O$7,D3,1)))*SUM(odds!F12:F13)+N(ISNUMBER(FIND(O$8,D3,1)))*SUM(odds!F14:F15)+N(ISNUMBER(FIND(O$9,D3,1)))*SUM(odds!F16:F19))*J3</f>
        <v>73.687999999999988</v>
      </c>
      <c r="M3" s="13">
        <f ca="1">IF(V$2=1,G3*(agent!D$6-agent!B$3)/100,(agent!D$6-agent!B$3)*10*J3*IF(INT(N8)=49,N(ISNUMBER(FIND(O$8,D3,1)))*SUM(odds!G14:G15)+N(ISNUMBER(FIND(O$9,D3,1)))*SUM(odds!G16:G19),(N(ISNUMBER(FIND(O$2,D3,1)))+N(ISNUMBER(FIND(O$3,D3,1))))*odds!G3+N(ISNUMBER(FIND(O$4,D3,1)))*SUM(odds!G4:G7)+N(ISNUMBER(FIND(O$5,D3,1)))*SUM(odds!G10:G11)+N(ISNUMBER(FIND(O$6,D3,1)))*SUM(odds!G8:G9)+N(ISNUMBER(FIND(O$7,D3,1)))*SUM(odds!G12:G13)+N(ISNUMBER(FIND(O$8,D3,1)))*SUM(odds!G14:G15)+N(ISNUMBER(FIND(O$9,D3,1)))*SUM(odds!G16:G19)))</f>
        <v>0.72000000000000008</v>
      </c>
      <c r="N3" s="13" t="str">
        <f>MID(E2,4,2)</f>
        <v>41</v>
      </c>
      <c r="O3" s="14" t="str">
        <f>IF(MOD(INT(N8),2)=0,",双,",",单,")</f>
        <v>,双,</v>
      </c>
      <c r="P3" s="14" t="str">
        <f>IF(MOD(INT($N2),2)=0,",双,",",单,")</f>
        <v>,单,</v>
      </c>
      <c r="Q3" s="14" t="str">
        <f>IF(MOD(INT($N3),2)=0,",双,",",单,")</f>
        <v>,单,</v>
      </c>
      <c r="R3" s="14" t="str">
        <f>IF(MOD(INT($N4),2)=0,",双,",",单,")</f>
        <v>,单,</v>
      </c>
      <c r="S3" s="14" t="str">
        <f>IF(MOD(INT($N5),2)=0,",双,",",单,")</f>
        <v>,单,</v>
      </c>
      <c r="T3" s="14" t="str">
        <f>IF(MOD(INT($N6),2)=0,",双,",",单,")</f>
        <v>,单,</v>
      </c>
      <c r="U3" s="14" t="str">
        <f>IF(MOD(INT($N7),2)=0,",双,",",单,")</f>
        <v>,单,</v>
      </c>
    </row>
    <row r="4" spans="1:27" ht="40.5" x14ac:dyDescent="0.15">
      <c r="A4" s="35" t="s">
        <v>95</v>
      </c>
      <c r="B4" s="14" t="s">
        <v>96</v>
      </c>
      <c r="C4" s="14" t="s">
        <v>108</v>
      </c>
      <c r="D4" s="15" t="s">
        <v>111</v>
      </c>
      <c r="E4" s="27" t="str">
        <f t="shared" ref="E4:E37" si="1">E3</f>
        <v>33,41,05,27,49,11,16</v>
      </c>
      <c r="G4" s="13">
        <f t="shared" si="0"/>
        <v>147</v>
      </c>
      <c r="H4" s="13">
        <f>LEN(SUBSTITUTE(D4,",",))/2</f>
        <v>49</v>
      </c>
      <c r="I4" s="13">
        <v>1</v>
      </c>
      <c r="J4" s="13">
        <v>3</v>
      </c>
      <c r="K4" s="13">
        <f>odds!F20</f>
        <v>7.9020000000000001</v>
      </c>
      <c r="L4" s="13">
        <f>SUM(N(ISNUMBER(FIND(N2,D4,1))),N(ISNUMBER(FIND(N3,D4,1))),N(ISNUMBER(FIND(N4,D4,1))),N(ISNUMBER(FIND(N5,D4,1))),N(ISNUMBER(FIND(N6,D4,1))),N(ISNUMBER(FIND(N7,D4,1))))*J4*K4</f>
        <v>142.23599999999999</v>
      </c>
      <c r="M4" s="13">
        <f>IF(V$2=1,G4*(agent!D$6-agent!B$3)/100,(agent!D$6-agent!B$3)*10*odds!E20*(L4/K4))</f>
        <v>1.44</v>
      </c>
      <c r="N4" s="13" t="str">
        <f>MID(E2,7,2)</f>
        <v>05</v>
      </c>
      <c r="O4" s="13" t="str">
        <f>","&amp;SUBSTITUTE(O2&amp;O3,",",)&amp;","</f>
        <v>,小双,</v>
      </c>
      <c r="P4" s="13" t="str">
        <f>","&amp;SUBSTITUTE(P2&amp;P3,",",)&amp;","</f>
        <v>,大单,</v>
      </c>
      <c r="Q4" s="13" t="str">
        <f t="shared" ref="Q4:S4" si="2">","&amp;SUBSTITUTE(Q2&amp;Q3,",",)&amp;","</f>
        <v>,大单,</v>
      </c>
      <c r="R4" s="13" t="str">
        <f t="shared" si="2"/>
        <v>,小单,</v>
      </c>
      <c r="S4" s="13" t="str">
        <f t="shared" si="2"/>
        <v>,大单,</v>
      </c>
      <c r="T4" s="13" t="str">
        <f>","&amp;SUBSTITUTE(T2&amp;T3,",",)&amp;","</f>
        <v>,大单,</v>
      </c>
      <c r="U4" s="13" t="str">
        <f>","&amp;SUBSTITUTE(U2&amp;U3,",",)&amp;","</f>
        <v>,小单,</v>
      </c>
    </row>
    <row r="5" spans="1:27" s="19" customFormat="1" ht="40.5" x14ac:dyDescent="0.15">
      <c r="A5" s="35"/>
      <c r="B5" s="13" t="s">
        <v>97</v>
      </c>
      <c r="C5" s="14" t="s">
        <v>108</v>
      </c>
      <c r="D5" s="15" t="s">
        <v>112</v>
      </c>
      <c r="E5" s="27" t="str">
        <f t="shared" si="1"/>
        <v>33,41,05,27,49,11,16</v>
      </c>
      <c r="F5" s="16"/>
      <c r="G5" s="13">
        <f t="shared" si="0"/>
        <v>98</v>
      </c>
      <c r="H5" s="13">
        <f>LEN(SUBSTITUTE(D5,",",))/2</f>
        <v>49</v>
      </c>
      <c r="I5" s="13">
        <v>1</v>
      </c>
      <c r="J5" s="21">
        <v>2</v>
      </c>
      <c r="K5" s="11">
        <f>odds!F21</f>
        <v>46.540999999999997</v>
      </c>
      <c r="L5" s="13">
        <f>N(ISNUMBER(FIND(N2,D5,1)))*J5*K5</f>
        <v>93.081999999999994</v>
      </c>
      <c r="M5" s="13">
        <f>IF(V$2=1,G5*(agent!D$6-agent!B$3)/100,(agent!D$6-agent!B$3)*10*odds!E21*(L5/K5))</f>
        <v>0.98</v>
      </c>
      <c r="N5" s="21" t="str">
        <f>MID(E2,10,2)</f>
        <v>27</v>
      </c>
      <c r="O5" s="13" t="str">
        <f>IF(LEFT(N8,1)+RIGHT(N8,1)&gt;6,",合大,",",合小,")</f>
        <v>,合大,</v>
      </c>
      <c r="P5" s="13" t="str">
        <f>IF(LEFT($N2,1)+RIGHT($N2,1)&gt;6,",合大,",",合小,")</f>
        <v>,合小,</v>
      </c>
      <c r="Q5" s="13" t="str">
        <f>IF(LEFT($N3,1)+RIGHT($N3,1)&gt;6,",合大,",",合小,")</f>
        <v>,合小,</v>
      </c>
      <c r="R5" s="13" t="str">
        <f>IF(LEFT($N4,1)+RIGHT($N4,1)&gt;6,",合大,",",合小,")</f>
        <v>,合小,</v>
      </c>
      <c r="S5" s="13" t="str">
        <f>IF(LEFT($N5,1)+RIGHT($N5,1)&gt;6,",合大,",",合小,")</f>
        <v>,合大,</v>
      </c>
      <c r="T5" s="13" t="str">
        <f>IF(LEFT($N6,1)+RIGHT($N6,1)&gt;6,",合大,",",合小,")</f>
        <v>,合大,</v>
      </c>
      <c r="U5" s="13" t="str">
        <f>IF(LEFT($N7,1)+RIGHT($N7,1)&gt;6,",合大,",",合小,")</f>
        <v>,合小,</v>
      </c>
    </row>
    <row r="6" spans="1:27" ht="27" x14ac:dyDescent="0.15">
      <c r="A6" s="35"/>
      <c r="B6" s="13" t="s">
        <v>98</v>
      </c>
      <c r="C6" s="14" t="s">
        <v>110</v>
      </c>
      <c r="D6" s="15" t="s">
        <v>160</v>
      </c>
      <c r="E6" s="27" t="str">
        <f t="shared" si="1"/>
        <v>33,41,05,27,49,11,16</v>
      </c>
      <c r="G6" s="13">
        <f t="shared" si="0"/>
        <v>19</v>
      </c>
      <c r="H6" s="13">
        <f>LEN(D6)-LEN(SUBSTITUTE(D6,",",))-1</f>
        <v>19</v>
      </c>
      <c r="I6" s="13">
        <v>1</v>
      </c>
      <c r="J6" s="13">
        <v>1</v>
      </c>
      <c r="L6" s="13">
        <f ca="1">IF(INT(N2)=49,N(ISNUMBER(FIND(P$8,D6,1)))*P$16+N(ISNUMBER(FIND(P$9,D6,1)))*P$17,N(ISNUMBER(FIND(P$2,D6,1)))*P$10+N(ISNUMBER(FIND(P$3,D6,1)))*P$11+N(ISNUMBER(FIND(P$4,D6,1)))*P$12+N(ISNUMBER(FIND(P$5,D6,1)))*P$13+N(ISNUMBER(FIND(P$6,D6,1)))*P$14+N(ISNUMBER(FIND(P$7,D6,1)))*P$15+N(ISNUMBER(FIND(P$8,D6,1)))*P$16+N(ISNUMBER(FIND(P$9,D6,1)))*P$17)*J6</f>
        <v>18.581999999999997</v>
      </c>
      <c r="M6" s="13">
        <f ca="1">IF(V$2=1,G6*(agent!D$6-agent!B$3)/100,(agent!D$6-agent!B$3)*10*IF(INT(N2)=49,N(ISNUMBER(FIND(P$8,D6,1)))*V$16+N(ISNUMBER(FIND(P$9,D6,1)))*V$17,N(ISNUMBER(FIND(P$2,D6,1)))*V$10+N(ISNUMBER(FIND(P$3,D6,1)))*V$11+N(ISNUMBER(FIND(P$4,D6,1)))*V$12+N(ISNUMBER(FIND(P$5,D6,1)))*V$13+N(ISNUMBER(FIND(P$6,D6,1)))*V$14+N(ISNUMBER(FIND(P$7,D6,1)))*V$15+N(ISNUMBER(FIND(P$8,D6,1)))*V$16+N(ISNUMBER(FIND(P$9,D6,1)))*V$17)*J6)</f>
        <v>0.19000000000000003</v>
      </c>
      <c r="N6" s="13" t="str">
        <f>MID(E2,13,2)</f>
        <v>49</v>
      </c>
      <c r="O6" s="13" t="str">
        <f>IF(MOD(LEFT(N8,1)+RIGHT(N8,1),2)=0,",合双,",",合单,")</f>
        <v>,合单,</v>
      </c>
      <c r="P6" s="13" t="str">
        <f>IF(MOD(LEFT($N2,1)+RIGHT($N2,1),2)=0,",合双,",",合单,")</f>
        <v>,合双,</v>
      </c>
      <c r="Q6" s="13" t="str">
        <f>IF(MOD(LEFT($N3,1)+RIGHT($N3,1),2)=0,",合双,",",合单,")</f>
        <v>,合单,</v>
      </c>
      <c r="R6" s="13" t="str">
        <f>IF(MOD(LEFT($N4,1)+RIGHT($N4,1),2)=0,",合双,",",合单,")</f>
        <v>,合单,</v>
      </c>
      <c r="S6" s="13" t="str">
        <f>IF(MOD(LEFT($N5,1)+RIGHT($N5,1),2)=0,",合双,",",合单,")</f>
        <v>,合单,</v>
      </c>
      <c r="T6" s="13" t="str">
        <f>IF(MOD(LEFT($N6,1)+RIGHT($N6,1),2)=0,",合双,",",合单,")</f>
        <v>,合单,</v>
      </c>
      <c r="U6" s="13" t="str">
        <f>IF(MOD(LEFT($N7,1)+RIGHT($N7,1),2)=0,",合双,",",合单,")</f>
        <v>,合双,</v>
      </c>
    </row>
    <row r="7" spans="1:27" ht="40.5" x14ac:dyDescent="0.15">
      <c r="A7" s="35"/>
      <c r="B7" s="13" t="s">
        <v>99</v>
      </c>
      <c r="C7" s="14" t="s">
        <v>108</v>
      </c>
      <c r="D7" s="15" t="s">
        <v>111</v>
      </c>
      <c r="E7" s="27" t="str">
        <f t="shared" si="1"/>
        <v>33,41,05,27,49,11,16</v>
      </c>
      <c r="G7" s="13">
        <f t="shared" si="0"/>
        <v>49</v>
      </c>
      <c r="H7" s="13">
        <f>LEN(SUBSTITUTE(D7,",",))/2</f>
        <v>49</v>
      </c>
      <c r="I7" s="13">
        <v>1</v>
      </c>
      <c r="J7" s="13">
        <v>1</v>
      </c>
      <c r="K7" s="11">
        <f>odds!F21</f>
        <v>46.540999999999997</v>
      </c>
      <c r="L7" s="13">
        <f>N(ISNUMBER(FIND(N3,D7,1)))*J7*K7</f>
        <v>46.540999999999997</v>
      </c>
      <c r="M7" s="13">
        <f>IF(V$2=1,G7*(agent!D$6-agent!B$3)/100,(agent!D$6-agent!B$3)*10*odds!E21*(L7/K7))</f>
        <v>0.49</v>
      </c>
      <c r="N7" s="13" t="str">
        <f>MID(E2,16,2)</f>
        <v>11</v>
      </c>
      <c r="O7" s="13" t="str">
        <f>IF(INT(RIGHT(N8,1))&gt;4,",尾大,",",尾小,")</f>
        <v>,尾大,</v>
      </c>
      <c r="P7" s="13" t="str">
        <f>IF(INT(RIGHT($N2,1))&gt;4,",尾大,",",尾小,")</f>
        <v>,尾小,</v>
      </c>
      <c r="Q7" s="13" t="str">
        <f>IF(INT(RIGHT($N3,1))&gt;4,",尾大,",",尾小,")</f>
        <v>,尾小,</v>
      </c>
      <c r="R7" s="13" t="str">
        <f>IF(INT(RIGHT($N4,1))&gt;4,",尾大,",",尾小,")</f>
        <v>,尾大,</v>
      </c>
      <c r="S7" s="13" t="str">
        <f>IF(INT(RIGHT($N5,1))&gt;4,",尾大,",",尾小,")</f>
        <v>,尾大,</v>
      </c>
      <c r="T7" s="13" t="str">
        <f>IF(INT(RIGHT($N6,1))&gt;4,",尾大,",",尾小,")</f>
        <v>,尾大,</v>
      </c>
      <c r="U7" s="13" t="str">
        <f>IF(INT(RIGHT($N7,1))&gt;4,",尾大,",",尾小,")</f>
        <v>,尾小,</v>
      </c>
    </row>
    <row r="8" spans="1:27" ht="27" x14ac:dyDescent="0.15">
      <c r="A8" s="35"/>
      <c r="B8" s="28" t="s">
        <v>374</v>
      </c>
      <c r="C8" s="14" t="s">
        <v>109</v>
      </c>
      <c r="D8" s="15" t="s">
        <v>160</v>
      </c>
      <c r="E8" s="27" t="str">
        <f t="shared" si="1"/>
        <v>33,41,05,27,49,11,16</v>
      </c>
      <c r="G8" s="13">
        <f t="shared" si="0"/>
        <v>95</v>
      </c>
      <c r="H8" s="13">
        <f>LEN(D8)-LEN(SUBSTITUTE(D8,",",))-1</f>
        <v>19</v>
      </c>
      <c r="I8" s="13">
        <v>1</v>
      </c>
      <c r="J8" s="13">
        <v>5</v>
      </c>
      <c r="L8" s="13">
        <f ca="1">IF(INT(N3)=49,N(ISNUMBER(FIND(Q$8,D8,1)))*Q$16+N(ISNUMBER(FIND(Q$9,D8,1)))*Q$17,N(ISNUMBER(FIND(Q$2,D8,1)))*Q$10+N(ISNUMBER(FIND(Q$3,D8,1)))*Q$11+N(ISNUMBER(FIND(Q$4,D8,1)))*Q$12+N(ISNUMBER(FIND(Q$5,D8,1)))*Q$13+N(ISNUMBER(FIND(Q$6,D8,1)))*Q$14+N(ISNUMBER(FIND(Q$7,D8,1)))*Q$15+N(ISNUMBER(FIND(Q$8,D8,1)))*Q$16+N(ISNUMBER(FIND(Q$9,D8,1)))*Q$17)*J8</f>
        <v>92.109999999999985</v>
      </c>
      <c r="M8" s="13">
        <f ca="1">IF(V$2=1,G8*(agent!D$6-agent!B$3)/100,(agent!D$6-agent!B$3)*10*IF(INT(N3)=49,N(ISNUMBER(FIND(Q$8,D8,1)))*W$16+N(ISNUMBER(FIND(Q$9,D8,1)))*W$17,N(ISNUMBER(FIND(Q$2,D8,1)))*W$10+N(ISNUMBER(FIND(Q$3,D8,1)))*W$11+N(ISNUMBER(FIND(Q$4,D8,1)))*W$12+N(ISNUMBER(FIND(Q$5,D8,1)))*W$13+N(ISNUMBER(FIND(Q$6,D8,1)))*W$14+N(ISNUMBER(FIND(Q$7,D8,1)))*W$15+N(ISNUMBER(FIND(Q$8,D8,1)))*W$16+N(ISNUMBER(FIND(Q$9,D8,1)))*W$17)*J8)</f>
        <v>0.90000000000000013</v>
      </c>
      <c r="N8" s="13" t="str">
        <f>RIGHT(E2,2)</f>
        <v>16</v>
      </c>
      <c r="O8" s="13" t="str">
        <f>IF(ISNUMBER(FIND(N8,O14,1)),N14,IF(ISNUMBER(FIND(N8,O15,1)),N15,N16))</f>
        <v>,绿波,</v>
      </c>
      <c r="P8" s="13" t="str">
        <f>IF(ISNUMBER(FIND($N2,$O14,1)),$N14,IF(ISNUMBER(FIND($N2,$O15,1)),$N15,$N16))</f>
        <v>,绿波,</v>
      </c>
      <c r="Q8" s="13" t="str">
        <f>IF(ISNUMBER(FIND($N3,$O14,1)),$N14,IF(ISNUMBER(FIND($N3,$O15,1)),$N15,$N16))</f>
        <v>,蓝波,</v>
      </c>
      <c r="R8" s="13" t="str">
        <f>IF(ISNUMBER(FIND($N4,$O14,1)),$N14,IF(ISNUMBER(FIND($N4,$O15,1)),$N15,$N16))</f>
        <v>,绿波,</v>
      </c>
      <c r="S8" s="13" t="str">
        <f>IF(ISNUMBER(FIND($N5,$O14,1)),$N14,IF(ISNUMBER(FIND($N5,$O15,1)),$N15,$N16))</f>
        <v>,绿波,</v>
      </c>
      <c r="T8" s="13" t="str">
        <f>IF(ISNUMBER(FIND($N6,$O14,1)),$N14,IF(ISNUMBER(FIND($N6,$O15,1)),$N15,$N16))</f>
        <v>,绿波,</v>
      </c>
      <c r="U8" s="13" t="str">
        <f>IF(ISNUMBER(FIND($N7,$O14,1)),$N14,IF(ISNUMBER(FIND($N7,$O15,1)),$N15,$N16))</f>
        <v>,绿波,</v>
      </c>
    </row>
    <row r="9" spans="1:27" ht="40.5" x14ac:dyDescent="0.15">
      <c r="A9" s="35"/>
      <c r="B9" s="13" t="s">
        <v>100</v>
      </c>
      <c r="C9" s="14" t="s">
        <v>108</v>
      </c>
      <c r="D9" s="15" t="s">
        <v>111</v>
      </c>
      <c r="E9" s="27" t="str">
        <f t="shared" si="1"/>
        <v>33,41,05,27,49,11,16</v>
      </c>
      <c r="G9" s="13">
        <f t="shared" si="0"/>
        <v>196</v>
      </c>
      <c r="H9" s="13">
        <f>LEN(SUBSTITUTE(D9,",",))/2</f>
        <v>49</v>
      </c>
      <c r="I9" s="13">
        <v>1</v>
      </c>
      <c r="J9" s="13">
        <v>4</v>
      </c>
      <c r="K9" s="11">
        <f>odds!F21</f>
        <v>46.540999999999997</v>
      </c>
      <c r="L9" s="13">
        <f>N(ISNUMBER(FIND(N4,D9,1)))*J9*K9</f>
        <v>186.16399999999999</v>
      </c>
      <c r="M9" s="13">
        <f>IF(V$2=1,G9*(agent!D$6-agent!B$3)/100,(agent!D$6-agent!B$3)*10*odds!E21*(L9/K9))</f>
        <v>1.96</v>
      </c>
      <c r="N9" s="13" t="str">
        <f ca="1">MID("鼠牛虎兔龙蛇马羊猴鸡狗猪",MOD(YEAR(TODAY())-4,12)+1,1)</f>
        <v>狗</v>
      </c>
      <c r="O9" s="13" t="str">
        <f>IF(ISNUMBER(FIND(N8,O10,1)),N10,N12)</f>
        <v>,家禽,</v>
      </c>
      <c r="P9" s="13" t="str">
        <f>IF(ISNUMBER(FIND($N2,$O10,1)),$N10,$N12)</f>
        <v>,野兽,</v>
      </c>
      <c r="Q9" s="13" t="str">
        <f>IF(ISNUMBER(FIND($N3,$O10,1)),$N10,$N12)</f>
        <v>,家禽,</v>
      </c>
      <c r="R9" s="13" t="str">
        <f>IF(ISNUMBER(FIND($N4,$O10,1)),$N10,$N12)</f>
        <v>,家禽,</v>
      </c>
      <c r="S9" s="13" t="str">
        <f>IF(ISNUMBER(FIND($N5,$O10,1)),$N10,$N12)</f>
        <v>,野兽,</v>
      </c>
      <c r="T9" s="13" t="str">
        <f>IF(ISNUMBER(FIND($N6,$O10,1)),$N10,$N12)</f>
        <v>,家禽,</v>
      </c>
      <c r="U9" s="13" t="str">
        <f>IF(ISNUMBER(FIND($N7,$O10,1)),$N10,$N12)</f>
        <v>,野兽,</v>
      </c>
    </row>
    <row r="10" spans="1:27" ht="81" x14ac:dyDescent="0.15">
      <c r="A10" s="35"/>
      <c r="B10" s="13" t="s">
        <v>107</v>
      </c>
      <c r="C10" s="14" t="s">
        <v>109</v>
      </c>
      <c r="D10" s="15" t="s">
        <v>160</v>
      </c>
      <c r="E10" s="27" t="str">
        <f t="shared" si="1"/>
        <v>33,41,05,27,49,11,16</v>
      </c>
      <c r="G10" s="13">
        <f t="shared" si="0"/>
        <v>38</v>
      </c>
      <c r="H10" s="13">
        <f>LEN(D10)-LEN(SUBSTITUTE(D10,",",))-1</f>
        <v>19</v>
      </c>
      <c r="I10" s="13">
        <v>1</v>
      </c>
      <c r="J10" s="13">
        <v>2</v>
      </c>
      <c r="L10" s="13">
        <f ca="1">IF(INT(N4)=49,N(ISNUMBER(FIND(R$8,D10,1)))*R$16+N(ISNUMBER(FIND(R$9,D10,1)))*R$17,N(ISNUMBER(FIND(R$2,D10,1)))*R$10+N(ISNUMBER(FIND(R$3,D10,1)))*R$11+N(ISNUMBER(FIND(R$4,D10,1)))*R$12+N(ISNUMBER(FIND(R$5,D10,1)))*R$13+N(ISNUMBER(FIND(R$6,D10,1)))*R$14+N(ISNUMBER(FIND(R$7,D10,1)))*R$15+N(ISNUMBER(FIND(R$8,D10,1)))*R$16+N(ISNUMBER(FIND(R$9,D10,1)))*R$17)*J10</f>
        <v>36.843999999999994</v>
      </c>
      <c r="M10" s="13">
        <f ca="1">IF(V$2=1,G10*(agent!D$6-agent!B$3)/100,(agent!D$6-agent!B$3)*10*IF(INT(N4)=49,N(ISNUMBER(FIND(R$8,D10,1)))*X$16+N(ISNUMBER(FIND(R$9,D10,1)))*X$17,N(ISNUMBER(FIND(R$2,D10,1)))*X$10+N(ISNUMBER(FIND(R$3,D10,1)))*X$11+N(ISNUMBER(FIND(R$4,D10,1)))*X$12+N(ISNUMBER(FIND(R$5,D10,1)))*X$13+N(ISNUMBER(FIND(R$6,D10,1)))*X$14+N(ISNUMBER(FIND(R$7,D10,1)))*X$15+N(ISNUMBER(FIND(R$8,D10,1)))*X$16+N(ISNUMBER(FIND(R$9,D10,1)))*X$17)*J10)</f>
        <v>0.36000000000000004</v>
      </c>
      <c r="N10" s="22" t="s">
        <v>268</v>
      </c>
      <c r="O10" s="17" t="str">
        <f>O18&amp;","&amp;O23&amp;","&amp;O24&amp;","&amp;O26&amp;","&amp;O27&amp;","&amp;O28</f>
        <v>牛,10,22,34,46,马,05,17,29,41,羊,04,16,28,40,鸡,02,14,26,38,狗,01,13,25,37,49,猪,12,24,36,48</v>
      </c>
      <c r="P10" s="13">
        <f>IF(ISNUMBER(FIND(SUBSTITUTE($P$2,",",),odds!$A$22,1)),odds!$F$22,odds!$F$23)</f>
        <v>1.956</v>
      </c>
      <c r="Q10" s="13">
        <f>IF(ISNUMBER(FIND(SUBSTITUTE(Q$2,",",),odds!$A$22,1)),odds!$F$22,odds!$F$23)</f>
        <v>1.956</v>
      </c>
      <c r="R10" s="13">
        <f>IF(ISNUMBER(FIND(SUBSTITUTE(R$2,",",),odds!$A$22,1)),odds!$F$22,odds!$F$23)</f>
        <v>1.956</v>
      </c>
      <c r="S10" s="13">
        <f>IF(ISNUMBER(FIND(SUBSTITUTE(S$2,",",),odds!$A$22,1)),odds!$F$22,odds!$F$23)</f>
        <v>1.956</v>
      </c>
      <c r="T10" s="13">
        <f>IF(ISNUMBER(FIND(SUBSTITUTE(T$2,",",),odds!$A$22,1)),odds!$F$22,odds!$F$23)</f>
        <v>1.956</v>
      </c>
      <c r="U10" s="13">
        <f>IF(ISNUMBER(FIND(SUBSTITUTE(U$2,",",),odds!$A$22,1)),odds!$F$22,odds!$F$23)</f>
        <v>1.956</v>
      </c>
      <c r="V10" s="13">
        <f>IF(ISNUMBER(FIND(SUBSTITUTE($P$2,",",),odds!$A$22,1)),odds!$E$22,odds!$E$23)</f>
        <v>2E-3</v>
      </c>
      <c r="W10" s="13">
        <f>IF(ISNUMBER(FIND(SUBSTITUTE(Q$2,",",),odds!$A$22,1)),odds!$E$22,odds!$E$23)</f>
        <v>2E-3</v>
      </c>
      <c r="X10" s="13">
        <f>IF(ISNUMBER(FIND(SUBSTITUTE(R$2,",",),odds!$A$22,1)),odds!$E$22,odds!$E$23)</f>
        <v>2E-3</v>
      </c>
      <c r="Y10" s="13">
        <f>IF(ISNUMBER(FIND(SUBSTITUTE(S$2,",",),odds!$A$22,1)),odds!$E$22,odds!$E$23)</f>
        <v>2E-3</v>
      </c>
      <c r="Z10" s="13">
        <f>IF(ISNUMBER(FIND(SUBSTITUTE(T$2,",",),odds!$A$22,1)),odds!$E$22,odds!$E$23)</f>
        <v>2E-3</v>
      </c>
      <c r="AA10" s="13">
        <f>IF(ISNUMBER(FIND(SUBSTITUTE(U$2,",",),odds!$A$22,1)),odds!$E$22,odds!$E$23)</f>
        <v>2E-3</v>
      </c>
    </row>
    <row r="11" spans="1:27" ht="40.5" x14ac:dyDescent="0.15">
      <c r="A11" s="35"/>
      <c r="B11" s="13" t="s">
        <v>102</v>
      </c>
      <c r="C11" s="14" t="s">
        <v>108</v>
      </c>
      <c r="D11" s="15" t="s">
        <v>111</v>
      </c>
      <c r="E11" s="27" t="str">
        <f t="shared" si="1"/>
        <v>33,41,05,27,49,11,16</v>
      </c>
      <c r="G11" s="13">
        <f t="shared" si="0"/>
        <v>147</v>
      </c>
      <c r="H11" s="13">
        <f>LEN(SUBSTITUTE(D11,",",))/2</f>
        <v>49</v>
      </c>
      <c r="I11" s="13">
        <v>1</v>
      </c>
      <c r="J11" s="13">
        <v>3</v>
      </c>
      <c r="K11" s="11">
        <f>odds!F21</f>
        <v>46.540999999999997</v>
      </c>
      <c r="L11" s="13">
        <f>N(ISNUMBER(FIND(N5,D11,1)))*J11*K11</f>
        <v>139.62299999999999</v>
      </c>
      <c r="M11" s="13">
        <f>IF(V$2=1,G11*(agent!D$6-agent!B$3)/100,(agent!D$6-agent!B$3)*10*odds!E21*(L11/K11))</f>
        <v>1.47</v>
      </c>
      <c r="N11" s="23" t="str">
        <f ca="1">IF(ISNUMBER(FIND(N$9,O11,1)),"家禽含本命","家禽不含本命")</f>
        <v>家禽含本命</v>
      </c>
      <c r="O11" s="23" t="s">
        <v>266</v>
      </c>
      <c r="P11" s="13">
        <f>IF(ISNUMBER(FIND(SUBSTITUTE($P$3,",",),odds!$A$24,1)),odds!$F$24,odds!$F$25)</f>
        <v>1.956</v>
      </c>
      <c r="Q11" s="13">
        <f>IF(ISNUMBER(FIND(SUBSTITUTE(Q$3,",",),odds!$A$24,1)),odds!$F$24,odds!$F$25)</f>
        <v>1.956</v>
      </c>
      <c r="R11" s="13">
        <f>IF(ISNUMBER(FIND(SUBSTITUTE(R$3,",",),odds!$A$24,1)),odds!$F$24,odds!$F$25)</f>
        <v>1.956</v>
      </c>
      <c r="S11" s="13">
        <f>IF(ISNUMBER(FIND(SUBSTITUTE(S$3,",",),odds!$A$24,1)),odds!$F$24,odds!$F$25)</f>
        <v>1.956</v>
      </c>
      <c r="T11" s="13">
        <f>IF(ISNUMBER(FIND(SUBSTITUTE(T$3,",",),odds!$A$24,1)),odds!$F$24,odds!$F$25)</f>
        <v>1.956</v>
      </c>
      <c r="U11" s="13">
        <f>IF(ISNUMBER(FIND(SUBSTITUTE(U$3,",",),odds!$A$24,1)),odds!$F$24,odds!$F$25)</f>
        <v>1.956</v>
      </c>
      <c r="V11" s="13">
        <f>IF(ISNUMBER(FIND(SUBSTITUTE($P$3,",",),odds!$A$24,1)),odds!$E$24,odds!$E$25)</f>
        <v>2E-3</v>
      </c>
      <c r="W11" s="13">
        <f>IF(ISNUMBER(FIND(SUBSTITUTE(Q$3,",",),odds!$A$24,1)),odds!$E$24,odds!$E$25)</f>
        <v>2E-3</v>
      </c>
      <c r="X11" s="13">
        <f>IF(ISNUMBER(FIND(SUBSTITUTE(R$3,",",),odds!$A$24,1)),odds!$E$24,odds!$E$25)</f>
        <v>2E-3</v>
      </c>
      <c r="Y11" s="13">
        <f>IF(ISNUMBER(FIND(SUBSTITUTE(S$3,",",),odds!$A$24,1)),odds!$E$24,odds!$E$25)</f>
        <v>2E-3</v>
      </c>
      <c r="Z11" s="13">
        <f>IF(ISNUMBER(FIND(SUBSTITUTE(T$3,",",),odds!$A$24,1)),odds!$E$24,odds!$E$25)</f>
        <v>2E-3</v>
      </c>
      <c r="AA11" s="13">
        <f>IF(ISNUMBER(FIND(SUBSTITUTE(U$3,",",),odds!$A$24,1)),odds!$E$24,odds!$E$25)</f>
        <v>2E-3</v>
      </c>
    </row>
    <row r="12" spans="1:27" ht="81" x14ac:dyDescent="0.15">
      <c r="A12" s="35"/>
      <c r="B12" s="13" t="s">
        <v>101</v>
      </c>
      <c r="C12" s="14" t="s">
        <v>109</v>
      </c>
      <c r="D12" s="15" t="s">
        <v>160</v>
      </c>
      <c r="E12" s="27" t="str">
        <f t="shared" si="1"/>
        <v>33,41,05,27,49,11,16</v>
      </c>
      <c r="G12" s="13">
        <f t="shared" si="0"/>
        <v>76</v>
      </c>
      <c r="H12" s="13">
        <f>LEN(D12)-LEN(SUBSTITUTE(D12,",",))-1</f>
        <v>19</v>
      </c>
      <c r="I12" s="13">
        <v>1</v>
      </c>
      <c r="J12" s="13">
        <v>4</v>
      </c>
      <c r="L12" s="13">
        <f ca="1">IF(INT(N5)=49,N(ISNUMBER(FIND(S$8,D12,1)))*S$16+N(ISNUMBER(FIND(S$9,D12,1)))*S$17,N(ISNUMBER(FIND(S$2,D12,1)))*S$10+N(ISNUMBER(FIND(S$3,D12,1)))*S$11+N(ISNUMBER(FIND(S$4,D12,1)))*S$12+N(ISNUMBER(FIND(S$5,D12,1)))*S$13+N(ISNUMBER(FIND(S$6,D12,1)))*S$14+N(ISNUMBER(FIND(S$7,D12,1)))*S$15+N(ISNUMBER(FIND(S$8,D12,1)))*S$16+N(ISNUMBER(FIND(S$9,D12,1)))*S$17)*J12</f>
        <v>74.327999999999989</v>
      </c>
      <c r="M12" s="13">
        <f ca="1">IF(V$2=1,G12*(agent!D$6-agent!B$3)/100,(agent!D$6-agent!B$3)*10*IF(INT(N5)=49,N(ISNUMBER(FIND(S$8,D12,1)))*Y$16+N(ISNUMBER(FIND(S$9,D12,1)))*Y$17,N(ISNUMBER(FIND(S$2,D12,1)))*Y$10+N(ISNUMBER(FIND(S$3,D12,1)))*Y$11+N(ISNUMBER(FIND(S$4,D12,1)))*Y$12+N(ISNUMBER(FIND(S$5,D12,1)))*Y$13+N(ISNUMBER(FIND(S$6,D12,1)))*Y$14+N(ISNUMBER(FIND(S$7,D12,1)))*Y$15+N(ISNUMBER(FIND(S$8,D12,1)))*Y$16+N(ISNUMBER(FIND(S$9,D12,1)))*Y$17)*J12)</f>
        <v>0.76000000000000012</v>
      </c>
      <c r="N12" s="22" t="s">
        <v>164</v>
      </c>
      <c r="O12" s="17" t="str">
        <f>O17&amp;","&amp;O19&amp;","&amp;O20&amp;","&amp;O21&amp;","&amp;O22&amp;","&amp;O25</f>
        <v>鼠,11,23,35,47,虎,09,21,33,45,兔,08,20,32,44,龙,07,19,31,43,蛇,06,18,30,42,猴,03,15,27,39</v>
      </c>
      <c r="P12" s="13">
        <f>IF(ISNUMBER(FIND(SUBSTITUTE($P$4,",",),odds!$A$26,1)),odds!$F$26,IF(ISNUMBER(FIND(SUBSTITUTE($P$4,",",),odds!$A$27,1)),odds!$F$27,IF(ISNUMBER(FIND(SUBSTITUTE($P$4,",",),odds!$A$28,1)),odds!$F$28,IF(ISNUMBER(FIND(SUBSTITUTE($P$4,",",),odds!$A$29,1)),odds!$F$29,0))))</f>
        <v>3.9119999999999999</v>
      </c>
      <c r="Q12" s="13">
        <f>IF(ISNUMBER(FIND(SUBSTITUTE(Q$4,",",),odds!$A$26,1)),odds!$F$26,IF(ISNUMBER(FIND(SUBSTITUTE(Q$4,",",),odds!$A$27,1)),odds!$F$27,IF(ISNUMBER(FIND(SUBSTITUTE(Q$4,",",),odds!$A$28,1)),odds!$F$28,IF(ISNUMBER(FIND(SUBSTITUTE(Q$4,",",),odds!$A$29,1)),odds!$F$29,0))))</f>
        <v>3.9119999999999999</v>
      </c>
      <c r="R12" s="13">
        <f>IF(ISNUMBER(FIND(SUBSTITUTE(R$4,",",),odds!$A$26,1)),odds!$F$26,IF(ISNUMBER(FIND(SUBSTITUTE(R$4,",",),odds!$A$27,1)),odds!$F$27,IF(ISNUMBER(FIND(SUBSTITUTE(R$4,",",),odds!$A$28,1)),odds!$F$28,IF(ISNUMBER(FIND(SUBSTITUTE(R$4,",",),odds!$A$29,1)),odds!$F$29,0))))</f>
        <v>3.9119999999999999</v>
      </c>
      <c r="S12" s="13">
        <f>IF(ISNUMBER(FIND(SUBSTITUTE(S$4,",",),odds!$A$26,1)),odds!$F$26,IF(ISNUMBER(FIND(SUBSTITUTE(S$4,",",),odds!$A$27,1)),odds!$F$27,IF(ISNUMBER(FIND(SUBSTITUTE(S$4,",",),odds!$A$28,1)),odds!$F$28,IF(ISNUMBER(FIND(SUBSTITUTE(S$4,",",),odds!$A$29,1)),odds!$F$29,0))))</f>
        <v>3.9119999999999999</v>
      </c>
      <c r="T12" s="13">
        <f>IF(ISNUMBER(FIND(SUBSTITUTE(T$4,",",),odds!$A$26,1)),odds!$F$26,IF(ISNUMBER(FIND(SUBSTITUTE(T$4,",",),odds!$A$27,1)),odds!$F$27,IF(ISNUMBER(FIND(SUBSTITUTE(T$4,",",),odds!$A$28,1)),odds!$F$28,IF(ISNUMBER(FIND(SUBSTITUTE(T$4,",",),odds!$A$29,1)),odds!$F$29,0))))</f>
        <v>3.9119999999999999</v>
      </c>
      <c r="U12" s="13">
        <f>IF(ISNUMBER(FIND(SUBSTITUTE(U$4,",",),odds!$A$26,1)),odds!$F$26,IF(ISNUMBER(FIND(SUBSTITUTE(U$4,",",),odds!$A$27,1)),odds!$F$27,IF(ISNUMBER(FIND(SUBSTITUTE(U$4,",",),odds!$A$28,1)),odds!$F$28,IF(ISNUMBER(FIND(SUBSTITUTE(U$4,",",),odds!$A$29,1)),odds!$F$29,0))))</f>
        <v>3.9119999999999999</v>
      </c>
      <c r="V12" s="13">
        <f>IF(ISNUMBER(FIND(SUBSTITUTE($P$4,",",),odds!$A$26,1)),odds!$E$26,IF(ISNUMBER(FIND(SUBSTITUTE($P$4,",",),odds!$A$27,1)),odds!$E$27,IF(ISNUMBER(FIND(SUBSTITUTE($P$4,",",),odds!$A$28,1)),odds!$E$28,IF(ISNUMBER(FIND(SUBSTITUTE($P$4,",",),odds!$A$29,1)),odds!$E$29,0))))</f>
        <v>4.0000000000000001E-3</v>
      </c>
      <c r="W12" s="13">
        <f>IF(ISNUMBER(FIND(SUBSTITUTE(Q$4,",",),odds!$A$26,1)),odds!$E$26,IF(ISNUMBER(FIND(SUBSTITUTE(Q$4,",",),odds!$A$27,1)),odds!$E$27,IF(ISNUMBER(FIND(SUBSTITUTE(Q$4,",",),odds!$A$28,1)),odds!$E$28,IF(ISNUMBER(FIND(SUBSTITUTE(Q$4,",",),odds!$A$29,1)),odds!$E$29,0))))</f>
        <v>4.0000000000000001E-3</v>
      </c>
      <c r="X12" s="13">
        <f>IF(ISNUMBER(FIND(SUBSTITUTE(R$4,",",),odds!$A$26,1)),odds!$E$26,IF(ISNUMBER(FIND(SUBSTITUTE(R$4,",",),odds!$A$27,1)),odds!$E$27,IF(ISNUMBER(FIND(SUBSTITUTE(R$4,",",),odds!$A$28,1)),odds!$E$28,IF(ISNUMBER(FIND(SUBSTITUTE(R$4,",",),odds!$A$29,1)),odds!$E$29,0))))</f>
        <v>4.0000000000000001E-3</v>
      </c>
      <c r="Y12" s="13">
        <f>IF(ISNUMBER(FIND(SUBSTITUTE(S$4,",",),odds!$A$26,1)),odds!$E$26,IF(ISNUMBER(FIND(SUBSTITUTE(S$4,",",),odds!$A$27,1)),odds!$E$27,IF(ISNUMBER(FIND(SUBSTITUTE(S$4,",",),odds!$A$28,1)),odds!$E$28,IF(ISNUMBER(FIND(SUBSTITUTE(S$4,",",),odds!$A$29,1)),odds!$E$29,0))))</f>
        <v>4.0000000000000001E-3</v>
      </c>
      <c r="Z12" s="13">
        <f>IF(ISNUMBER(FIND(SUBSTITUTE(T$4,",",),odds!$A$26,1)),odds!$E$26,IF(ISNUMBER(FIND(SUBSTITUTE(T$4,",",),odds!$A$27,1)),odds!$E$27,IF(ISNUMBER(FIND(SUBSTITUTE(T$4,",",),odds!$A$28,1)),odds!$E$28,IF(ISNUMBER(FIND(SUBSTITUTE(T$4,",",),odds!$A$29,1)),odds!$E$29,0))))</f>
        <v>4.0000000000000001E-3</v>
      </c>
      <c r="AA12" s="13">
        <f>IF(ISNUMBER(FIND(SUBSTITUTE(U$4,",",),odds!$A$26,1)),odds!$E$26,IF(ISNUMBER(FIND(SUBSTITUTE(U$4,",",),odds!$A$27,1)),odds!$E$27,IF(ISNUMBER(FIND(SUBSTITUTE(U$4,",",),odds!$A$28,1)),odds!$E$28,IF(ISNUMBER(FIND(SUBSTITUTE(U$4,",",),odds!$A$29,1)),odds!$E$29,0))))</f>
        <v>4.0000000000000001E-3</v>
      </c>
    </row>
    <row r="13" spans="1:27" ht="40.5" x14ac:dyDescent="0.15">
      <c r="A13" s="35"/>
      <c r="B13" s="13" t="s">
        <v>103</v>
      </c>
      <c r="C13" s="14" t="s">
        <v>108</v>
      </c>
      <c r="D13" s="15" t="s">
        <v>111</v>
      </c>
      <c r="E13" s="27" t="str">
        <f t="shared" si="1"/>
        <v>33,41,05,27,49,11,16</v>
      </c>
      <c r="G13" s="13">
        <f t="shared" si="0"/>
        <v>147</v>
      </c>
      <c r="H13" s="13">
        <f>LEN(SUBSTITUTE(D13,",",))/2</f>
        <v>49</v>
      </c>
      <c r="I13" s="13">
        <v>1</v>
      </c>
      <c r="J13" s="13">
        <v>3</v>
      </c>
      <c r="K13" s="11">
        <f>odds!F21</f>
        <v>46.540999999999997</v>
      </c>
      <c r="L13" s="13">
        <f>N(ISNUMBER(FIND(N6,D13,1)))*J13*K13</f>
        <v>139.62299999999999</v>
      </c>
      <c r="M13" s="13">
        <f>IF(V$2=1,G13*(agent!D$6-agent!B$3)/100,(agent!D$6-agent!B$3)*10*odds!E21*(L13/K13))</f>
        <v>1.47</v>
      </c>
      <c r="N13" s="23" t="str">
        <f ca="1">IF(ISNUMBER(FIND(N$9,O13,1)),"野兽含本命","野兽不含本命")</f>
        <v>野兽不含本命</v>
      </c>
      <c r="O13" s="23" t="s">
        <v>267</v>
      </c>
      <c r="P13" s="13">
        <f>IF(ISNUMBER(FIND(SUBSTITUTE($P$5,",",),odds!$A$32,1)),odds!$F$32,odds!$F$33)</f>
        <v>1.956</v>
      </c>
      <c r="Q13" s="13">
        <f>IF(ISNUMBER(FIND(SUBSTITUTE(Q$5,",",),odds!$A$32,1)),odds!$F$32,odds!$F$33)</f>
        <v>1.956</v>
      </c>
      <c r="R13" s="13">
        <f>IF(ISNUMBER(FIND(SUBSTITUTE(R$5,",",),odds!$A$32,1)),odds!$F$32,odds!$F$33)</f>
        <v>1.956</v>
      </c>
      <c r="S13" s="13">
        <f>IF(ISNUMBER(FIND(SUBSTITUTE(S$5,",",),odds!$A$32,1)),odds!$F$32,odds!$F$33)</f>
        <v>1.956</v>
      </c>
      <c r="T13" s="13">
        <f>IF(ISNUMBER(FIND(SUBSTITUTE(T$5,",",),odds!$A$32,1)),odds!$F$32,odds!$F$33)</f>
        <v>1.956</v>
      </c>
      <c r="U13" s="13">
        <f>IF(ISNUMBER(FIND(SUBSTITUTE(U$5,",",),odds!$A$32,1)),odds!$F$32,odds!$F$33)</f>
        <v>1.956</v>
      </c>
      <c r="V13" s="13">
        <f>IF(ISNUMBER(FIND(SUBSTITUTE($P$5,",",),odds!$A$32,1)),odds!$E$32,odds!$E$33)</f>
        <v>2E-3</v>
      </c>
      <c r="W13" s="13">
        <f>IF(ISNUMBER(FIND(SUBSTITUTE(Q$5,",",),odds!$A$32,1)),odds!$E$32,odds!$E$33)</f>
        <v>2E-3</v>
      </c>
      <c r="X13" s="13">
        <f>IF(ISNUMBER(FIND(SUBSTITUTE(R$5,",",),odds!$A$32,1)),odds!$E$32,odds!$E$33)</f>
        <v>2E-3</v>
      </c>
      <c r="Y13" s="13">
        <f>IF(ISNUMBER(FIND(SUBSTITUTE(S$5,",",),odds!$A$32,1)),odds!$E$32,odds!$E$33)</f>
        <v>2E-3</v>
      </c>
      <c r="Z13" s="13">
        <f>IF(ISNUMBER(FIND(SUBSTITUTE(T$5,",",),odds!$A$32,1)),odds!$E$32,odds!$E$33)</f>
        <v>2E-3</v>
      </c>
      <c r="AA13" s="13">
        <f>IF(ISNUMBER(FIND(SUBSTITUTE(U$5,",",),odds!$A$32,1)),odds!$E$32,odds!$E$33)</f>
        <v>2E-3</v>
      </c>
    </row>
    <row r="14" spans="1:27" ht="40.5" x14ac:dyDescent="0.15">
      <c r="A14" s="35"/>
      <c r="B14" s="13" t="s">
        <v>104</v>
      </c>
      <c r="C14" s="14" t="s">
        <v>109</v>
      </c>
      <c r="D14" s="15" t="s">
        <v>160</v>
      </c>
      <c r="E14" s="27" t="str">
        <f t="shared" si="1"/>
        <v>33,41,05,27,49,11,16</v>
      </c>
      <c r="G14" s="13">
        <f t="shared" si="0"/>
        <v>38</v>
      </c>
      <c r="H14" s="13">
        <f>LEN(D14)-LEN(SUBSTITUTE(D14,",",))-1</f>
        <v>19</v>
      </c>
      <c r="I14" s="13">
        <v>1</v>
      </c>
      <c r="J14" s="13">
        <v>2</v>
      </c>
      <c r="L14" s="13">
        <f ca="1">IF(INT(N6)=49,N(ISNUMBER(FIND(T$8,D14,1)))*T$16+N(ISNUMBER(FIND(T$9,D14,1)))*T$17,N(ISNUMBER(FIND(T$2,D14,1)))*T$10+N(ISNUMBER(FIND(T$3,D14,1)))*T$11+N(ISNUMBER(FIND(T$4,D14,1)))*T$12+N(ISNUMBER(FIND(T$5,D14,1)))*T$13+N(ISNUMBER(FIND(T$6,D14,1)))*T$14+N(ISNUMBER(FIND(T$7,D14,1)))*T$15+N(ISNUMBER(FIND(T$8,D14,1)))*T$16+N(ISNUMBER(FIND(T$9,D14,1)))*T$17)*J14</f>
        <v>9.4600000000000009</v>
      </c>
      <c r="M14" s="13">
        <f ca="1">IF(V$2=1,G14*(agent!D$6-agent!B$3)/100,(agent!D$6-agent!B$3)*10*IF(INT(N6)=49,N(ISNUMBER(FIND(T$8,D14,1)))*Z$16+N(ISNUMBER(FIND(T$9,D14,1)))*Z$17,N(ISNUMBER(FIND(T$2,D14,1)))*Z$10+N(ISNUMBER(FIND(T$3,D14,1)))*Z$11+N(ISNUMBER(FIND(T$4,D14,1)))*Z$12+N(ISNUMBER(FIND(T$5,D14,1)))*Z$13+N(ISNUMBER(FIND(T$6,D14,1)))*Z$14+N(ISNUMBER(FIND(T$7,D14,1)))*Z$15+N(ISNUMBER(FIND(T$8,D14,1)))*Z$16+N(ISNUMBER(FIND(T$9,D14,1)))*Z$17)*J14)</f>
        <v>0.08</v>
      </c>
      <c r="N14" s="14" t="s">
        <v>161</v>
      </c>
      <c r="O14" s="15" t="s">
        <v>159</v>
      </c>
      <c r="P14" s="13">
        <f>IF(ISNUMBER(FIND(SUBSTITUTE($P$6,",",),odds!$A$30,1)),odds!$F$30,odds!$F$31)</f>
        <v>1.956</v>
      </c>
      <c r="Q14" s="13">
        <f>IF(ISNUMBER(FIND(SUBSTITUTE(Q$6,",",),odds!$A$30,1)),odds!$F$30,odds!$F$31)</f>
        <v>1.956</v>
      </c>
      <c r="R14" s="13">
        <f>IF(ISNUMBER(FIND(SUBSTITUTE(R$6,",",),odds!$A$30,1)),odds!$F$30,odds!$F$31)</f>
        <v>1.956</v>
      </c>
      <c r="S14" s="13">
        <f>IF(ISNUMBER(FIND(SUBSTITUTE(S$6,",",),odds!$A$30,1)),odds!$F$30,odds!$F$31)</f>
        <v>1.956</v>
      </c>
      <c r="T14" s="13">
        <f>IF(ISNUMBER(FIND(SUBSTITUTE(T$6,",",),odds!$A$30,1)),odds!$F$30,odds!$F$31)</f>
        <v>1.956</v>
      </c>
      <c r="U14" s="13">
        <f>IF(ISNUMBER(FIND(SUBSTITUTE(U$6,",",),odds!$A$30,1)),odds!$F$30,odds!$F$31)</f>
        <v>1.956</v>
      </c>
      <c r="V14" s="13">
        <f>IF(ISNUMBER(FIND(SUBSTITUTE($P$6,",",),odds!$A$30,1)),odds!$E$30,odds!$E$31)</f>
        <v>2E-3</v>
      </c>
      <c r="W14" s="13">
        <f>IF(ISNUMBER(FIND(SUBSTITUTE(Q$6,",",),odds!$A$30,1)),odds!$E$30,odds!$E$31)</f>
        <v>2E-3</v>
      </c>
      <c r="X14" s="13">
        <f>IF(ISNUMBER(FIND(SUBSTITUTE(R$6,",",),odds!$A$30,1)),odds!$E$30,odds!$E$31)</f>
        <v>2E-3</v>
      </c>
      <c r="Y14" s="13">
        <f>IF(ISNUMBER(FIND(SUBSTITUTE(S$6,",",),odds!$A$30,1)),odds!$E$30,odds!$E$31)</f>
        <v>2E-3</v>
      </c>
      <c r="Z14" s="13">
        <f>IF(ISNUMBER(FIND(SUBSTITUTE(T$6,",",),odds!$A$30,1)),odds!$E$30,odds!$E$31)</f>
        <v>2E-3</v>
      </c>
      <c r="AA14" s="13">
        <f>IF(ISNUMBER(FIND(SUBSTITUTE(U$6,",",),odds!$A$30,1)),odds!$E$30,odds!$E$31)</f>
        <v>2E-3</v>
      </c>
    </row>
    <row r="15" spans="1:27" ht="40.5" x14ac:dyDescent="0.15">
      <c r="A15" s="35"/>
      <c r="B15" s="13" t="s">
        <v>105</v>
      </c>
      <c r="C15" s="14" t="s">
        <v>108</v>
      </c>
      <c r="D15" s="15" t="s">
        <v>111</v>
      </c>
      <c r="E15" s="27" t="str">
        <f t="shared" si="1"/>
        <v>33,41,05,27,49,11,16</v>
      </c>
      <c r="G15" s="13">
        <f t="shared" si="0"/>
        <v>49</v>
      </c>
      <c r="H15" s="13">
        <f>LEN(SUBSTITUTE(D15,",",))/2</f>
        <v>49</v>
      </c>
      <c r="I15" s="13">
        <v>1</v>
      </c>
      <c r="J15" s="13">
        <v>1</v>
      </c>
      <c r="K15" s="11">
        <f>odds!F21</f>
        <v>46.540999999999997</v>
      </c>
      <c r="L15" s="13">
        <f>N(ISNUMBER(FIND(N7,D15,1)))*J15*K15</f>
        <v>46.540999999999997</v>
      </c>
      <c r="M15" s="13">
        <f>IF(V$2=1,G15*(agent!D$6-agent!B$3)/100,(agent!D$6-agent!B$3)*10*odds!E21*(L15/K15))</f>
        <v>0.49</v>
      </c>
      <c r="N15" s="14" t="s">
        <v>162</v>
      </c>
      <c r="O15" s="15" t="s">
        <v>157</v>
      </c>
      <c r="P15" s="13">
        <f>IF(ISNUMBER(FIND(SUBSTITUTE($P$7,",",),odds!$A$34,1)),odds!$F$34,odds!$F$35)</f>
        <v>1.956</v>
      </c>
      <c r="Q15" s="13">
        <f>IF(ISNUMBER(FIND(SUBSTITUTE(Q$7,",",),odds!$A$34,1)),odds!$F$34,odds!$F$35)</f>
        <v>1.956</v>
      </c>
      <c r="R15" s="13">
        <f>IF(ISNUMBER(FIND(SUBSTITUTE(R$7,",",),odds!$A$34,1)),odds!$F$34,odds!$F$35)</f>
        <v>1.956</v>
      </c>
      <c r="S15" s="13">
        <f>IF(ISNUMBER(FIND(SUBSTITUTE(S$7,",",),odds!$A$34,1)),odds!$F$34,odds!$F$35)</f>
        <v>1.956</v>
      </c>
      <c r="T15" s="13">
        <f>IF(ISNUMBER(FIND(SUBSTITUTE(T$7,",",),odds!$A$34,1)),odds!$F$34,odds!$F$35)</f>
        <v>1.956</v>
      </c>
      <c r="U15" s="13">
        <f>IF(ISNUMBER(FIND(SUBSTITUTE(U$7,",",),odds!$A$34,1)),odds!$F$34,odds!$F$35)</f>
        <v>1.956</v>
      </c>
      <c r="V15" s="13">
        <f>IF(ISNUMBER(FIND(SUBSTITUTE($P$7,",",),odds!$A$34,1)),odds!$E$34,odds!$E$35)</f>
        <v>2E-3</v>
      </c>
      <c r="W15" s="13">
        <f>IF(ISNUMBER(FIND(SUBSTITUTE(Q$7,",",),odds!$A$34,1)),odds!$E$34,odds!$E$35)</f>
        <v>2E-3</v>
      </c>
      <c r="X15" s="13">
        <f>IF(ISNUMBER(FIND(SUBSTITUTE(R$7,",",),odds!$A$34,1)),odds!$E$34,odds!$E$35)</f>
        <v>2E-3</v>
      </c>
      <c r="Y15" s="13">
        <f>IF(ISNUMBER(FIND(SUBSTITUTE(S$7,",",),odds!$A$34,1)),odds!$E$34,odds!$E$35)</f>
        <v>2E-3</v>
      </c>
      <c r="Z15" s="13">
        <f>IF(ISNUMBER(FIND(SUBSTITUTE(T$7,",",),odds!$A$34,1)),odds!$E$34,odds!$E$35)</f>
        <v>2E-3</v>
      </c>
      <c r="AA15" s="13">
        <f>IF(ISNUMBER(FIND(SUBSTITUTE(U$7,",",),odds!$A$34,1)),odds!$E$34,odds!$E$35)</f>
        <v>2E-3</v>
      </c>
    </row>
    <row r="16" spans="1:27" ht="40.5" x14ac:dyDescent="0.15">
      <c r="A16" s="35"/>
      <c r="B16" s="14" t="s">
        <v>106</v>
      </c>
      <c r="C16" s="14" t="s">
        <v>109</v>
      </c>
      <c r="D16" s="15" t="s">
        <v>160</v>
      </c>
      <c r="E16" s="27" t="str">
        <f t="shared" si="1"/>
        <v>33,41,05,27,49,11,16</v>
      </c>
      <c r="G16" s="13">
        <f t="shared" si="0"/>
        <v>76</v>
      </c>
      <c r="H16" s="13">
        <f>LEN(D16)-LEN(SUBSTITUTE(D16,",",))-1</f>
        <v>19</v>
      </c>
      <c r="I16" s="13">
        <v>1</v>
      </c>
      <c r="J16" s="13">
        <v>4</v>
      </c>
      <c r="L16" s="13">
        <f ca="1">IF(INT(N7)=49,N(ISNUMBER(FIND(U$8,D16,1)))*U$16+N(ISNUMBER(FIND(U$9,D16,1)))*U$17,N(ISNUMBER(FIND(U$2,D16,1)))*U$10+N(ISNUMBER(FIND(U$3,D16,1)))*U$11+N(ISNUMBER(FIND(U$4,D16,1)))*U$12+N(ISNUMBER(FIND(U$5,D16,1)))*U$13+N(ISNUMBER(FIND(U$6,D16,1)))*U$14+N(ISNUMBER(FIND(U$7,D16,1)))*U$15+N(ISNUMBER(FIND(U$8,D16,1)))*U$16+N(ISNUMBER(FIND(U$9,D16,1)))*U$17)*J16</f>
        <v>74.327999999999989</v>
      </c>
      <c r="M16" s="13">
        <f ca="1">IF(V$2=1,G16*(agent!D$6-agent!B$3)/100,(agent!D$6-agent!B$3)*10*IF(INT(N7)=49,N(ISNUMBER(FIND(U$8,D16,1)))*AA$16+N(ISNUMBER(FIND(U$9,D16,1)))*AA$17,N(ISNUMBER(FIND(U$2,D16,1)))*AA$10+N(ISNUMBER(FIND(U$3,D16,1)))*AA$11+N(ISNUMBER(FIND(U$4,D16,1)))*AA$12+N(ISNUMBER(FIND(U$5,D16,1)))*AA$13+N(ISNUMBER(FIND(U$6,D16,1)))*AA$14+N(ISNUMBER(FIND(U$7,D16,1)))*AA$15+N(ISNUMBER(FIND(U$8,D16,1)))*AA$16+N(ISNUMBER(FIND(U$9,D16,1)))*AA$17)*J16)</f>
        <v>0.76000000000000012</v>
      </c>
      <c r="N16" s="14" t="s">
        <v>163</v>
      </c>
      <c r="O16" s="15" t="s">
        <v>158</v>
      </c>
      <c r="P16" s="13">
        <f>IF(ISNUMBER(FIND(SUBSTITUTE($P$8,",",),odds!$A$40,1)),odds!$F$40,odds!$F$41)</f>
        <v>2.9340000000000002</v>
      </c>
      <c r="Q16" s="13">
        <f>IF(ISNUMBER(FIND(SUBSTITUTE(Q$8,",",),odds!$A$40,1)),odds!$F$40,odds!$F$41)</f>
        <v>2.9340000000000002</v>
      </c>
      <c r="R16" s="13">
        <f>IF(ISNUMBER(FIND(SUBSTITUTE(R$8,",",),odds!$A$40,1)),odds!$F$40,odds!$F$41)</f>
        <v>2.9340000000000002</v>
      </c>
      <c r="S16" s="13">
        <f>IF(ISNUMBER(FIND(SUBSTITUTE(S$8,",",),odds!$A$40,1)),odds!$F$40,odds!$F$41)</f>
        <v>2.9340000000000002</v>
      </c>
      <c r="T16" s="13">
        <f>IF(ISNUMBER(FIND(SUBSTITUTE(T$8,",",),odds!$A$40,1)),odds!$F$40,odds!$F$41)</f>
        <v>2.9340000000000002</v>
      </c>
      <c r="U16" s="13">
        <f>IF(ISNUMBER(FIND(SUBSTITUTE(U$8,",",),odds!$A$40,1)),odds!$F$40,odds!$F$41)</f>
        <v>2.9340000000000002</v>
      </c>
      <c r="V16" s="13">
        <f>IF(ISNUMBER(FIND(SUBSTITUTE($P$8,",",),odds!$A$40,1)),odds!$E$40,odds!$E$41)</f>
        <v>3.0000000000000001E-3</v>
      </c>
      <c r="W16" s="13">
        <f>IF(ISNUMBER(FIND(SUBSTITUTE(Q$8,",",),odds!$A$40,1)),odds!$E$40,odds!$E$41)</f>
        <v>3.0000000000000001E-3</v>
      </c>
      <c r="X16" s="13">
        <f>IF(ISNUMBER(FIND(SUBSTITUTE(R$8,",",),odds!$A$40,1)),odds!$E$40,odds!$E$41)</f>
        <v>3.0000000000000001E-3</v>
      </c>
      <c r="Y16" s="13">
        <f>IF(ISNUMBER(FIND(SUBSTITUTE(S$8,",",),odds!$A$40,1)),odds!$E$40,odds!$E$41)</f>
        <v>3.0000000000000001E-3</v>
      </c>
      <c r="Z16" s="13">
        <f>IF(ISNUMBER(FIND(SUBSTITUTE(T$8,",",),odds!$A$40,1)),odds!$E$40,odds!$E$41)</f>
        <v>3.0000000000000001E-3</v>
      </c>
      <c r="AA16" s="13">
        <f>IF(ISNUMBER(FIND(SUBSTITUTE(U$8,",",),odds!$A$40,1)),odds!$E$40,odds!$E$41)</f>
        <v>3.0000000000000001E-3</v>
      </c>
    </row>
    <row r="17" spans="1:27" ht="27" x14ac:dyDescent="0.15">
      <c r="A17" s="34" t="s">
        <v>113</v>
      </c>
      <c r="B17" s="14" t="s">
        <v>114</v>
      </c>
      <c r="C17" s="13" t="s">
        <v>5</v>
      </c>
      <c r="D17" s="15" t="s">
        <v>351</v>
      </c>
      <c r="E17" s="27" t="str">
        <f t="shared" si="1"/>
        <v>33,41,05,27,49,11,16</v>
      </c>
      <c r="G17" s="13">
        <f t="shared" si="0"/>
        <v>24800</v>
      </c>
      <c r="H17" s="13">
        <f>COMBIN(LEN(SUBSTITUTE(D17,",",))/2,3)</f>
        <v>4960</v>
      </c>
      <c r="I17" s="13">
        <v>1</v>
      </c>
      <c r="J17" s="13">
        <v>5</v>
      </c>
      <c r="K17" s="13">
        <f>odds!F42</f>
        <v>654.02899999999988</v>
      </c>
      <c r="L17" s="13">
        <f>IF(SUM(N(ISNUMBER(FIND(N$2,D17,1))),N(ISNUMBER(FIND(N$3,D17,1))),N(ISNUMBER(FIND(N$4,D17,1))),N(ISNUMBER(FIND(N$5,D17,1))),N(ISNUMBER(FIND(N$6,D17,1))),N(ISNUMBER(FIND(N$7,D17,1))))&gt;2,COMBIN(SUM(N(ISNUMBER(FIND(N$2,D17,1))),N(ISNUMBER(FIND(N$3,D17,1))),N(ISNUMBER(FIND(N$4,D17,1))),N(ISNUMBER(FIND(N$5,D17,1))),N(ISNUMBER(FIND(N$6,D17,1))),N(ISNUMBER(FIND(N$7,D17,1)))),3)*J17*K17,0)</f>
        <v>13080.579999999998</v>
      </c>
      <c r="M17" s="13">
        <f>IF(V$2=1,G17*(agent!D$6-agent!B$3)/100,(agent!D$6-agent!B$3)*10*odds!E42*(L17/K17))</f>
        <v>184.20000000000002</v>
      </c>
      <c r="N17" s="14" t="s">
        <v>269</v>
      </c>
      <c r="O17" s="14" t="s">
        <v>270</v>
      </c>
      <c r="P17" s="13">
        <f ca="1">IF(ISNUMBER(FIND($P$22,$O$11,1)),IF(ISNUMBER(FIND($N$11,odds!$A$36,1)),odds!$F$36,odds!$F$37),IF(ISNUMBER(FIND($N$13,odds!$A$39,1)),odds!$F$39,odds!$F$38))</f>
        <v>1.956</v>
      </c>
      <c r="Q17" s="13">
        <f ca="1">IF(ISNUMBER(FIND($P$23,$O$11,1)),IF(ISNUMBER(FIND($N$11,odds!$A$36,1)),odds!$F$36,odds!$F$37),IF(ISNUMBER(FIND($N$13,odds!$A$39,1)),odds!$F$39,odds!$F$38))</f>
        <v>1.796</v>
      </c>
      <c r="R17" s="13">
        <f ca="1">IF(ISNUMBER(FIND($P$24,$O$11,1)),IF(ISNUMBER(FIND($N$11,odds!$A$36,1)),odds!$F$36,odds!$F$37),IF(ISNUMBER(FIND($N$13,odds!$A$39,1)),odds!$F$39,odds!$F$38))</f>
        <v>1.796</v>
      </c>
      <c r="S17" s="13">
        <f ca="1">IF(ISNUMBER(FIND($P$25,$O$11,1)),IF(ISNUMBER(FIND($N$11,odds!$A$36,1)),odds!$F$36,odds!$F$37),IF(ISNUMBER(FIND($N$13,odds!$A$39,1)),odds!$F$39,odds!$F$38))</f>
        <v>1.956</v>
      </c>
      <c r="T17" s="13">
        <f ca="1">IF(ISNUMBER(FIND($P$26,$O$11,1)),IF(ISNUMBER(FIND($N$11,odds!$A$36,1)),odds!$F$36,odds!$F$37),IF(ISNUMBER(FIND($N$13,odds!$A$39,1)),odds!$F$39,odds!$F$38))</f>
        <v>1.796</v>
      </c>
      <c r="U17" s="13">
        <f ca="1">IF(ISNUMBER(FIND($P$27,$O$11,1)),IF(ISNUMBER(FIND($N$11,odds!$A$36,1)),odds!$F$36,odds!$F$37),IF(ISNUMBER(FIND($N$13,odds!$A$39,1)),odds!$F$39,odds!$F$38))</f>
        <v>1.956</v>
      </c>
      <c r="V17" s="13">
        <f ca="1">IF(ISNUMBER(FIND($P$22,$O$11,1)),IF(ISNUMBER(FIND($N$11,odds!$A$36,1)),odds!$E$36,odds!$E$37),IF(ISNUMBER(FIND($N$13,odds!$A$39,1)),odds!$E$39,odds!$E$38))</f>
        <v>2E-3</v>
      </c>
      <c r="W17" s="13">
        <f ca="1">IF(ISNUMBER(FIND($P$23,$O$11,1)),IF(ISNUMBER(FIND($N$11,odds!$A$36,1)),odds!$E$36,odds!$E$37),IF(ISNUMBER(FIND($N$13,odds!$A$39,1)),odds!$E$39,odds!$E$38))</f>
        <v>1E-3</v>
      </c>
      <c r="X17" s="13">
        <f ca="1">IF(ISNUMBER(FIND($P$24,$O$11,1)),IF(ISNUMBER(FIND($N$11,odds!$A$36,1)),odds!$E$36,odds!$E$37),IF(ISNUMBER(FIND($N$13,odds!$A$39,1)),odds!$E$39,odds!$E$38))</f>
        <v>1E-3</v>
      </c>
      <c r="Y17" s="13">
        <f ca="1">IF(ISNUMBER(FIND($P$25,$O$11,1)),IF(ISNUMBER(FIND($N$11,odds!$A$36,1)),odds!$E$36,odds!$E$37),IF(ISNUMBER(FIND($N$13,odds!$A$39,1)),odds!$E$39,odds!$E$38))</f>
        <v>2E-3</v>
      </c>
      <c r="Z17" s="13">
        <f ca="1">IF(ISNUMBER(FIND($P$26,$O$11,1)),IF(ISNUMBER(FIND($N$11,odds!$A$36,1)),odds!$E$36,odds!$E$37),IF(ISNUMBER(FIND($N$13,odds!$A$39,1)),odds!$E$39,odds!$E$38))</f>
        <v>1E-3</v>
      </c>
      <c r="AA17" s="13">
        <f ca="1">IF(ISNUMBER(FIND($P$27,$O$11,1)),IF(ISNUMBER(FIND($N$11,odds!$A$36,1)),odds!$E$36,odds!$E$37),IF(ISNUMBER(FIND($N$13,odds!$A$39,1)),odds!$E$39,odds!$E$38))</f>
        <v>2E-3</v>
      </c>
    </row>
    <row r="18" spans="1:27" ht="27" x14ac:dyDescent="0.15">
      <c r="A18" s="34"/>
      <c r="B18" s="14" t="s">
        <v>115</v>
      </c>
      <c r="C18" s="13" t="s">
        <v>2</v>
      </c>
      <c r="D18" s="15" t="s">
        <v>352</v>
      </c>
      <c r="E18" s="27" t="str">
        <f t="shared" si="1"/>
        <v>33,41,05,27,49,11,16</v>
      </c>
      <c r="G18" s="13">
        <f t="shared" si="0"/>
        <v>9920</v>
      </c>
      <c r="H18" s="13">
        <f>COMBIN(LEN(SUBSTITUTE(D18,",",))/2,3)</f>
        <v>4960</v>
      </c>
      <c r="I18" s="13">
        <v>1</v>
      </c>
      <c r="J18" s="13">
        <v>2</v>
      </c>
      <c r="L18" s="11">
        <f>IF(P18&gt;1,IF(ISNUMBER(COMBIN(P18,2)),COMBIN(P18,2)*(LEN(SUBSTITUTE(D18,",",))/2-P18),0)*odds!F43+IF(ISNUMBER(COMBIN(P18,3)),COMBIN(P18,3),0)*odds!F44,0)*J18</f>
        <v>7779.4720000000007</v>
      </c>
      <c r="M18" s="13">
        <f>IF(V$2=1,G18*(agent!D$6-agent!B$3)/100,(agent!D$6-agent!B$3)*10*IF(P18&gt;1,IF(ISNUMBER(COMBIN(P18,2)),COMBIN(P18,2)*(LEN(SUBSTITUTE(D18,",",))/2-P18),0)*odds!E43+IF(ISNUMBER(COMBIN(P18,3)),COMBIN(P18,3),0)*odds!E44,0)*J18)</f>
        <v>90.88000000000001</v>
      </c>
      <c r="N18" s="14" t="s">
        <v>146</v>
      </c>
      <c r="O18" s="14" t="s">
        <v>271</v>
      </c>
      <c r="P18" s="13">
        <f>SUM(N(ISNUMBER(FIND(N$2,D18,1))),N(ISNUMBER(FIND(N$3,D18,1))),N(ISNUMBER(FIND(N$4,D18,1))),N(ISNUMBER(FIND(N$5,D18,1))),N(ISNUMBER(FIND(N$6,D18,1))),N(ISNUMBER(FIND(N$7,D18,1))))</f>
        <v>4</v>
      </c>
    </row>
    <row r="19" spans="1:27" ht="27" x14ac:dyDescent="0.15">
      <c r="A19" s="34"/>
      <c r="B19" s="14" t="s">
        <v>116</v>
      </c>
      <c r="C19" s="13" t="s">
        <v>3</v>
      </c>
      <c r="D19" s="15" t="s">
        <v>353</v>
      </c>
      <c r="E19" s="27" t="str">
        <f t="shared" si="1"/>
        <v>33,41,05,27,49,11,16</v>
      </c>
      <c r="G19" s="13">
        <f t="shared" si="0"/>
        <v>2340</v>
      </c>
      <c r="H19" s="13">
        <f>COMBIN(LEN(SUBSTITUTE(D19,",",))/2,2)</f>
        <v>780</v>
      </c>
      <c r="I19" s="13">
        <v>1</v>
      </c>
      <c r="J19" s="13">
        <v>3</v>
      </c>
      <c r="K19" s="13">
        <f>odds!F45</f>
        <v>65.811999999999998</v>
      </c>
      <c r="L19" s="13">
        <f>IF(P19&gt;1,COMBIN(P19,2)*J19*K19,0)</f>
        <v>1184.616</v>
      </c>
      <c r="M19" s="13">
        <f>IF(V$2=1,G19*(agent!D$6-agent!B$3)/100,(agent!D$6-agent!B$3)*10*odds!E45*(L19/K19))</f>
        <v>14.040000000000001</v>
      </c>
      <c r="N19" s="14" t="s">
        <v>147</v>
      </c>
      <c r="O19" s="14" t="s">
        <v>272</v>
      </c>
      <c r="P19" s="13">
        <f>SUM(N(ISNUMBER(FIND(N$2,D19,1))),N(ISNUMBER(FIND(N$3,D19,1))),N(ISNUMBER(FIND(N$4,D19,1))),N(ISNUMBER(FIND(N$5,D19,1))),N(ISNUMBER(FIND(N$6,D19,1))),N(ISNUMBER(FIND(N$7,D19,1))))</f>
        <v>4</v>
      </c>
      <c r="Q19" s="18"/>
    </row>
    <row r="20" spans="1:27" ht="27" x14ac:dyDescent="0.15">
      <c r="A20" s="34"/>
      <c r="B20" s="14" t="s">
        <v>117</v>
      </c>
      <c r="C20" s="13" t="s">
        <v>4</v>
      </c>
      <c r="D20" s="15" t="s">
        <v>354</v>
      </c>
      <c r="E20" s="27" t="str">
        <f t="shared" si="1"/>
        <v>33,41,05,27,49,11,16</v>
      </c>
      <c r="G20" s="13">
        <f t="shared" si="0"/>
        <v>3900</v>
      </c>
      <c r="H20" s="13">
        <f>COMBIN(LEN(SUBSTITUTE(D20,",",))/2,2)</f>
        <v>780</v>
      </c>
      <c r="I20" s="13">
        <v>1</v>
      </c>
      <c r="J20" s="13">
        <v>5</v>
      </c>
      <c r="L20" s="13">
        <f>IF((P20+Q20)&gt;1,IF(P20&gt;1,COMBIN(P20,2)*J20*odds!F46,0)+IF(AND(Q20=1,P20&gt;0),P20*J20*odds!F47,0),0)</f>
        <v>3453.4250000000002</v>
      </c>
      <c r="M20" s="13">
        <f>IF(V$2=1,G20*(agent!D$6-agent!B$3)/100,(agent!D$6-agent!B$3)*10*IF((P20+Q20)&gt;1,IF(P20&gt;1,COMBIN(P20,2)*odds!E46,0)+IF(AND(Q20=1,P20&gt;0),P20*odds!E47,0),0)*J20)</f>
        <v>40.749999999999993</v>
      </c>
      <c r="N20" s="21" t="s">
        <v>148</v>
      </c>
      <c r="O20" s="25" t="s">
        <v>273</v>
      </c>
      <c r="P20" s="13">
        <f>SUM(N(ISNUMBER(FIND(N$2,D20,1))),N(ISNUMBER(FIND(N$3,D20,1))),N(ISNUMBER(FIND(N$4,D20,1))),N(ISNUMBER(FIND(N$5,D20,1))),N(ISNUMBER(FIND(N$6,D20,1))),N(ISNUMBER(FIND(N$7,D20,1))))</f>
        <v>5</v>
      </c>
      <c r="Q20" s="13">
        <f>N(ISNUMBER(FIND(N$8,D20,1)))</f>
        <v>1</v>
      </c>
    </row>
    <row r="21" spans="1:27" ht="27" x14ac:dyDescent="0.15">
      <c r="A21" s="34"/>
      <c r="B21" s="14" t="s">
        <v>118</v>
      </c>
      <c r="C21" s="13" t="s">
        <v>3</v>
      </c>
      <c r="D21" s="15" t="s">
        <v>355</v>
      </c>
      <c r="E21" s="27" t="str">
        <f t="shared" si="1"/>
        <v>33,41,05,27,49,11,16</v>
      </c>
      <c r="G21" s="13">
        <f t="shared" si="0"/>
        <v>3280</v>
      </c>
      <c r="H21" s="13">
        <f>COMBIN(LEN(SUBSTITUTE(D21,",",))/2,2)</f>
        <v>820</v>
      </c>
      <c r="I21" s="13">
        <v>1</v>
      </c>
      <c r="J21" s="13">
        <v>4</v>
      </c>
      <c r="K21" s="13">
        <f>odds!F48</f>
        <v>158.75399999999999</v>
      </c>
      <c r="L21" s="13">
        <f>IF(AND(Q21=1,P21&gt;0),P21*J21*K21,0)</f>
        <v>3175.08</v>
      </c>
      <c r="M21" s="13">
        <f>IF(V$2=1,G21*(agent!D$6-agent!B$3)/100,(agent!D$6-agent!B$3)*10*odds!E48*(L21/K21))</f>
        <v>39.200000000000003</v>
      </c>
      <c r="N21" s="14" t="s">
        <v>149</v>
      </c>
      <c r="O21" s="14" t="s">
        <v>274</v>
      </c>
      <c r="P21" s="13">
        <f>SUM(N(ISNUMBER(FIND(N$2,D21,1))),N(ISNUMBER(FIND(N$3,D21,1))),N(ISNUMBER(FIND(N$4,D21,1))),N(ISNUMBER(FIND(N$5,D21,1))),N(ISNUMBER(FIND(N$6,D21,1))),N(ISNUMBER(FIND(N$7,D21,1))))</f>
        <v>5</v>
      </c>
      <c r="Q21" s="13">
        <f>N(ISNUMBER(FIND(N$8,D21,1)))</f>
        <v>1</v>
      </c>
    </row>
    <row r="22" spans="1:27" ht="27" x14ac:dyDescent="0.15">
      <c r="A22" s="14" t="s">
        <v>119</v>
      </c>
      <c r="B22" s="14" t="s">
        <v>120</v>
      </c>
      <c r="C22" s="14" t="s">
        <v>140</v>
      </c>
      <c r="D22" s="15" t="s">
        <v>356</v>
      </c>
      <c r="E22" s="27" t="str">
        <f t="shared" si="1"/>
        <v>33,41,05,27,49,11,16</v>
      </c>
      <c r="G22" s="13">
        <f t="shared" si="0"/>
        <v>54</v>
      </c>
      <c r="H22" s="13">
        <f>LEN(D22)-LEN(SUBSTITUTE(D22,",",))+1</f>
        <v>18</v>
      </c>
      <c r="I22" s="13">
        <v>1</v>
      </c>
      <c r="J22" s="13">
        <v>3</v>
      </c>
      <c r="L22" s="11">
        <f>IF(INT(N8)=49,0,SUM(N(ISNUMBER(FIND(Q22,D22,1)))*SUM(odds!F49:F50,odds!F55:F56,odds!F61:F62),N(ISNUMBER(FIND(R22,D22,1)))*SUM(odds!F51:F52,odds!F57:F58,odds!F63:F64),N(ISNUMBER(FIND(S22,D22,1)))*SUM(odds!F53:F54,odds!F59:F60,odds!F65:F66)))*J22</f>
        <v>59.220000000000006</v>
      </c>
      <c r="M22" s="13">
        <f>IF(V$2=1,G22*(agent!D$6-agent!B$3)/100,(agent!D$6-agent!B$3)*10*IF(INT(N8)=49,0,SUM(N(ISNUMBER(FIND(Q22,D22,1)))*SUM(odds!G49:G50,odds!G55:G56,odds!G61:G62),N(ISNUMBER(FIND(R22,D22,1)))*SUM(odds!G51:G52,odds!G57:G58,odds!G63:G64),N(ISNUMBER(FIND(S22,D22,1)))*SUM(odds!G53:G54,odds!G59:G60,odds!G65:G66)))*J22)</f>
        <v>0.63000000000000012</v>
      </c>
      <c r="N22" s="14" t="s">
        <v>150</v>
      </c>
      <c r="O22" s="14" t="s">
        <v>275</v>
      </c>
      <c r="P22" s="13" t="str">
        <f t="shared" ref="P22:P28" si="3">LEFT(VLOOKUP("*"&amp;N2&amp;"*",O$17:O$28,1,),1)</f>
        <v>虎</v>
      </c>
      <c r="Q22" s="13" t="str">
        <f>IF(INT(N8)=49,FALSE,IF(INT(N8)&gt;=25,MID(IF(ISNUMBER(FIND(N8,O14,1)),N14,IF(ISNUMBER(FIND(N8,O15,1)),N15,N16)),2,1)&amp;"大",MID(IF(ISNUMBER(FIND(N8,O14,1)),N14,IF(ISNUMBER(FIND(N8,O15,1)),N15,N16)),2,1)&amp;"小"))</f>
        <v>绿小</v>
      </c>
      <c r="R22" s="13" t="str">
        <f>IF(INT(N8)=49,FALSE,IF(MOD(N8,2)=0,MID(IF(ISNUMBER(FIND(N8,O14,1)),N14,IF(ISNUMBER(FIND(N8,O15,1)),N15,N16)),2,1)&amp;"双",MID(IF(ISNUMBER(FIND(N8,O14,1)),N14,IF(ISNUMBER(FIND(N8,O15,1)),N15,N16)),2,1)&amp;"单"))</f>
        <v>绿双</v>
      </c>
      <c r="S22" s="13" t="str">
        <f>IF(INT(N8)=49,FALSE,IF(MOD(LEFT(N8,1)+RIGHT(N8,1),2)=0,MID(IF(ISNUMBER(FIND(N8,O14,1)),N14,IF(ISNUMBER(FIND(N8,O15,1)),N15,N16)),2,1)&amp;"合双",MID(IF(ISNUMBER(FIND(N8,O14,1)),N14,IF(ISNUMBER(FIND(N8,O15,1)),N15,N16)),2,1)&amp;"合单"))</f>
        <v>绿合单</v>
      </c>
    </row>
    <row r="23" spans="1:27" x14ac:dyDescent="0.15">
      <c r="A23" s="34" t="s">
        <v>121</v>
      </c>
      <c r="B23" s="14" t="s">
        <v>122</v>
      </c>
      <c r="C23" s="14" t="s">
        <v>140</v>
      </c>
      <c r="D23" s="15" t="s">
        <v>127</v>
      </c>
      <c r="E23" s="27" t="str">
        <f t="shared" si="1"/>
        <v>33,41,05,27,49,11,16</v>
      </c>
      <c r="G23" s="13">
        <f t="shared" si="0"/>
        <v>12</v>
      </c>
      <c r="H23" s="13">
        <f>LEN(SUBSTITUTE(D23,",",))</f>
        <v>12</v>
      </c>
      <c r="I23" s="13">
        <v>1</v>
      </c>
      <c r="J23" s="13">
        <v>1</v>
      </c>
      <c r="K23" s="13">
        <f ca="1">SUM(odds!F67:F68)</f>
        <v>11.488000000000001</v>
      </c>
      <c r="L23" s="13">
        <f ca="1">IF(ISNUMBER(FIND(P28,D23,1)),K23*J23,0)</f>
        <v>11.488000000000001</v>
      </c>
      <c r="M23" s="13">
        <f ca="1">IF(V$2=1,G23*(agent!D$6-agent!B$3)/100,(agent!D$6-agent!B$3)*10*IF(ISNUMBER(FIND(P28,D23,1)),SUM(odds!G67:G68),0)*J23)</f>
        <v>0.12</v>
      </c>
      <c r="N23" s="14" t="s">
        <v>151</v>
      </c>
      <c r="O23" s="14" t="s">
        <v>276</v>
      </c>
      <c r="P23" s="13" t="str">
        <f>LEFT(VLOOKUP("*"&amp;N3&amp;"*",O$17:O$28,1,),1)</f>
        <v>马</v>
      </c>
    </row>
    <row r="24" spans="1:27" x14ac:dyDescent="0.15">
      <c r="A24" s="34"/>
      <c r="B24" s="14" t="s">
        <v>123</v>
      </c>
      <c r="C24" s="14" t="s">
        <v>140</v>
      </c>
      <c r="D24" s="15" t="s">
        <v>127</v>
      </c>
      <c r="E24" s="27" t="str">
        <f t="shared" si="1"/>
        <v>33,41,05,27,49,11,16</v>
      </c>
      <c r="G24" s="13">
        <f t="shared" si="0"/>
        <v>24</v>
      </c>
      <c r="H24" s="13">
        <f>LEN(SUBSTITUTE(D24,",",))</f>
        <v>12</v>
      </c>
      <c r="I24" s="13">
        <v>1</v>
      </c>
      <c r="J24" s="13">
        <v>2</v>
      </c>
      <c r="L24" s="13">
        <f ca="1">SUM(N(ISNUMBER(FIND(Q24,D24,1)))*IF(EXACT(Q24,N$9),odds!F69,odds!F70),N(ISNUMBER(FIND(R24,D24,1)))*IF(EXACT(R24,N$9),odds!F69,odds!F70),N(ISNUMBER(FIND(S24,D24,1)))*IF(EXACT(S24,N$9),odds!F69,odds!F70),N(ISNUMBER(FIND(T24,D24,1)))*IF(EXACT(T24,N$9),odds!F69,odds!F70),N(ISNUMBER(FIND(U24,D24,1)))*IF(EXACT(U24,N$9),odds!F69,odds!F70),N(ISNUMBER(FIND(V24,D24,1)))*IF(EXACT(V24,N$9),odds!F69,odds!F70),N(ISNUMBER(FIND(W24,D24,1)))*IF(EXACT(W24,N$9),odds!F69,odds!F70))*J24</f>
        <v>23.07</v>
      </c>
      <c r="M24" s="13">
        <f ca="1">IF(V$2=1,G24*(agent!D$6-agent!B$3)/100,(agent!D$6-agent!B$3)*10*SUM(N(ISNUMBER(FIND(Q24,D24,1)))*IF(EXACT(Q24,N$9),odds!E69,odds!E70),N(ISNUMBER(FIND(R24,D24,1)))*IF(EXACT(R24,N$9),odds!E69,odds!E70),N(ISNUMBER(FIND(S24,D24,1)))*IF(EXACT(S24,N$9),odds!E69,odds!E70),N(ISNUMBER(FIND(T24,D24,1)))*IF(EXACT(T24,N$9),odds!E69,odds!E70),N(ISNUMBER(FIND(U24,D24,1)))*IF(EXACT(U24,N$9),odds!E69,odds!E70),N(ISNUMBER(FIND(V24,D24,1)))*IF(EXACT(V24,N$9),odds!E69,odds!E70),N(ISNUMBER(FIND(W24,D24,1)))*IF(EXACT(W24,N$9),odds!E69,odds!E70))*J24)</f>
        <v>0.22000000000000003</v>
      </c>
      <c r="N24" s="14" t="s">
        <v>152</v>
      </c>
      <c r="O24" s="14" t="s">
        <v>277</v>
      </c>
      <c r="P24" s="13" t="str">
        <f t="shared" si="3"/>
        <v>马</v>
      </c>
      <c r="Q24" s="13" t="str">
        <f>IF(AND(ISNUMBER(FIND(P$22,D24,1)),COUNTIF(P$22:P$29,P$22)&gt;1),FALSE,P$22)</f>
        <v>虎</v>
      </c>
      <c r="R24" s="13" t="b">
        <f>IF(AND(ISNUMBER(FIND(P$23,D24,1)),COUNTIF(P$23:P$29,P$23)&gt;1),FALSE,P$23)</f>
        <v>0</v>
      </c>
      <c r="S24" s="13" t="str">
        <f>IF(AND(ISNUMBER(FIND(P$24,D24,1)),COUNTIF(P$24:P$29,P$24)&gt;1),FALSE,P$24)</f>
        <v>马</v>
      </c>
      <c r="T24" s="13" t="str">
        <f>IF(AND(ISNUMBER(FIND(P$25,D24,1)),COUNTIF(P$25:P$29,P$25)&gt;1),FALSE,P$25)</f>
        <v>猴</v>
      </c>
      <c r="U24" s="13" t="str">
        <f>IF(AND(ISNUMBER(FIND(P$26,D24,1)),COUNTIF(P$26:P$29,P$26)&gt;1),FALSE,P$26)</f>
        <v>狗</v>
      </c>
      <c r="V24" s="13" t="str">
        <f>IF(AND(ISNUMBER(FIND(P$27,D24,1)),COUNTIF(P$27:P$29,P$27)&gt;1),FALSE,P$27)</f>
        <v>鼠</v>
      </c>
      <c r="W24" s="13" t="str">
        <f>IF(AND(ISNUMBER(FIND(P$28,D24,1)),COUNTIF(P$28:P$28,P$28)&gt;1),FALSE,P$28)</f>
        <v>羊</v>
      </c>
    </row>
    <row r="25" spans="1:27" x14ac:dyDescent="0.15">
      <c r="A25" s="34"/>
      <c r="B25" s="14" t="s">
        <v>124</v>
      </c>
      <c r="C25" s="14" t="s">
        <v>140</v>
      </c>
      <c r="D25" s="15" t="s">
        <v>127</v>
      </c>
      <c r="E25" s="27" t="str">
        <f t="shared" si="1"/>
        <v>33,41,05,27,49,11,16</v>
      </c>
      <c r="G25" s="13">
        <f t="shared" si="0"/>
        <v>330</v>
      </c>
      <c r="H25" s="13">
        <f>COMBIN(LEN(SUBSTITUTE(D25,",",)),2)</f>
        <v>66</v>
      </c>
      <c r="I25" s="13">
        <v>1</v>
      </c>
      <c r="J25" s="13">
        <v>5</v>
      </c>
      <c r="L25" s="13">
        <f ca="1">IF(R25=1,IF(LEN(Q25)&gt;2,COMBIN(LEN(Q25)-1,2)*odds!F72+(LEN(Q25)-1)*odds!F71,(LEN(Q25)-1)*odds!F71),IF(LEN(Q25)&gt;1,COMBIN(LEN(Q25),2)*odds!F72,0))*J25</f>
        <v>296.95</v>
      </c>
      <c r="M25" s="13">
        <f ca="1">IF(V$2=1,G25*(agent!D$6-agent!B$3)/100,(agent!D$6-agent!B$3)*10*IF(R25=1,IF(LEN(Q25)&gt;2,COMBIN(LEN(Q25)-1,2)*odds!E72+(LEN(Q25)-1)*odds!E71,(LEN(Q25)-1)*odds!E71),IF(LEN(Q25)&gt;1,COMBIN(LEN(Q25),2)*odds!E72,0))*J25)</f>
        <v>3</v>
      </c>
      <c r="N25" s="14" t="s">
        <v>153</v>
      </c>
      <c r="O25" s="14" t="s">
        <v>278</v>
      </c>
      <c r="P25" s="13" t="str">
        <f t="shared" si="3"/>
        <v>猴</v>
      </c>
      <c r="Q25" s="13" t="str">
        <f>IF(AND(ISNUMBER(FIND(P$22,D25,1)),COUNTIF(P$22:P$29,P$22)&gt;1),"",P$22)&amp;IF(AND(ISNUMBER(FIND(P$23,D25,1)),COUNTIF(P$23:P$29,P$23)&gt;1),"",P$23)&amp;IF(AND(ISNUMBER(FIND(P$24,D25,1)),COUNTIF(P$24:P$29,P$24)&gt;1),"",P$24)&amp;IF(AND(ISNUMBER(FIND(P$25,D25,1)),COUNTIF(P$25:P$29,P$25)&gt;1),"",P$25)&amp;IF(AND(ISNUMBER(FIND(P$26,D25,1)),COUNTIF(P$26:P$29,P$26)&gt;1),"",P$26)&amp;IF(AND(ISNUMBER(FIND(P$27,D25,1)),COUNTIF(P$27:P$29,P$27)&gt;1),"",P$27)&amp;IF(AND(ISNUMBER(FIND(P$28,D25,1)),COUNTIF(P$28:P$28,P$28)&gt;1),"",P$28)</f>
        <v>虎马猴狗鼠羊</v>
      </c>
      <c r="R25" s="13">
        <f ca="1">IF(AND(ISNUMBER(FIND(N$9,D25,1)),SUM(N(EXACT(P$22,N$9)),N(EXACT(P$23,N$9)),N(EXACT(P$24,N$9)),N(EXACT(P$25,N$9)),N(EXACT(P$26,N$9)),N(EXACT(P$27,N$9)),N(EXACT(P$28,N$9)))&gt;0),1,0)</f>
        <v>1</v>
      </c>
    </row>
    <row r="26" spans="1:27" ht="13.5" customHeight="1" x14ac:dyDescent="0.15">
      <c r="A26" s="34"/>
      <c r="B26" s="14" t="s">
        <v>125</v>
      </c>
      <c r="C26" s="14" t="s">
        <v>140</v>
      </c>
      <c r="D26" s="15" t="s">
        <v>127</v>
      </c>
      <c r="E26" s="27" t="str">
        <f t="shared" si="1"/>
        <v>33,41,05,27,49,11,16</v>
      </c>
      <c r="G26" s="13">
        <f t="shared" si="0"/>
        <v>880</v>
      </c>
      <c r="H26" s="13">
        <f>COMBIN(LEN(SUBSTITUTE(D26,",",)),3)</f>
        <v>220</v>
      </c>
      <c r="I26" s="13">
        <v>1</v>
      </c>
      <c r="J26" s="13">
        <v>4</v>
      </c>
      <c r="L26" s="13">
        <f ca="1">IF(R26=1,IF(LEN(Q26)&gt;3,COMBIN(LEN(Q26)-1,3)*J26*odds!F74+COMBIN(LEN(Q26)-1,2)*J26*odds!F73,IF(LEN(Q26)=1,0,(LEN(Q26)-2)*J26*odds!F73)),IF(LEN(Q26)&gt;2,COMBIN(LEN(Q26),3)*J26*odds!F74,0))</f>
        <v>791.5200000000001</v>
      </c>
      <c r="M26" s="13">
        <f ca="1">IF(V$2=1,G26*(agent!D$6-agent!B$3)/100,(agent!D$6-agent!B$3)*10*IF(R26=1,IF(LEN(Q26)&gt;3,COMBIN(LEN(Q26)-1,3)*odds!E74+COMBIN(LEN(Q26)-1,2)*odds!E73,IF(LEN(Q26)=1,0,(LEN(Q26)-2)*odds!E73)),IF(LEN(Q26)&gt;2,COMBIN(LEN(Q26),3)*odds!E74,0))*J26)</f>
        <v>8.8000000000000007</v>
      </c>
      <c r="N26" s="14" t="s">
        <v>154</v>
      </c>
      <c r="O26" s="14" t="s">
        <v>279</v>
      </c>
      <c r="P26" s="13" t="str">
        <f t="shared" si="3"/>
        <v>狗</v>
      </c>
      <c r="Q26" s="13" t="str">
        <f>IF(AND(ISNUMBER(FIND(P$22,D26,1)),COUNTIF(P$22:P$29,P$22)&gt;1),"",P$22)&amp;IF(AND(ISNUMBER(FIND(P$23,D26,1)),COUNTIF(P$23:P$29,P$23)&gt;1),"",P$23)&amp;IF(AND(ISNUMBER(FIND(P$24,D26,1)),COUNTIF(P$24:P$29,P$24)&gt;1),"",P$24)&amp;IF(AND(ISNUMBER(FIND(P$25,D26,1)),COUNTIF(P$25:P$29,P$25)&gt;1),"",P$25)&amp;IF(AND(ISNUMBER(FIND(P$26,D26,1)),COUNTIF(P$26:P$29,P$26)&gt;1),"",P$26)&amp;IF(AND(ISNUMBER(FIND(P$27,D26,1)),COUNTIF(P$27:P$29,P$27)&gt;1),"",P$27)&amp;IF(AND(ISNUMBER(FIND(P$28,D26,1)),COUNTIF(P$28:P$28,P$28)&gt;1),"",P$28)</f>
        <v>虎马猴狗鼠羊</v>
      </c>
      <c r="R26" s="13">
        <f ca="1">IF(AND(ISNUMBER(FIND(N$9,D26,1)),SUM(N(EXACT(P$22,N$9)),N(EXACT(P$23,N$9)),N(EXACT(P$24,N$9)),N(EXACT(P$25,N$9)),N(EXACT(P$26,N$9)),N(EXACT(P$27,N$9)),N(EXACT(P$28,N$9)))&gt;0),1,0)</f>
        <v>1</v>
      </c>
    </row>
    <row r="27" spans="1:27" x14ac:dyDescent="0.15">
      <c r="A27" s="34"/>
      <c r="B27" s="14" t="s">
        <v>126</v>
      </c>
      <c r="C27" s="14" t="s">
        <v>140</v>
      </c>
      <c r="D27" s="15" t="s">
        <v>127</v>
      </c>
      <c r="E27" s="27" t="str">
        <f t="shared" si="1"/>
        <v>33,41,05,27,49,11,16</v>
      </c>
      <c r="G27" s="13">
        <f t="shared" si="0"/>
        <v>495</v>
      </c>
      <c r="H27" s="13">
        <f>COMBIN(LEN(SUBSTITUTE(D27,",",)),4)</f>
        <v>495</v>
      </c>
      <c r="I27" s="13">
        <v>1</v>
      </c>
      <c r="J27" s="13">
        <v>1</v>
      </c>
      <c r="L27" s="13">
        <f ca="1">IF(R27=1,IF(LEN(Q27)&gt;4,COMBIN(LEN(Q27)-1,4)*odds!F76+COMBIN(LEN(Q27)-1,3)*odds!F75,IF(LEN(Q27)&lt;3,0,(LEN(Q27)-3)*odds!F75)),IF(LEN(Q27)&gt;3,COMBIN(LEN(Q27),4)*odds!F76,0))*J27</f>
        <v>420.41999999999996</v>
      </c>
      <c r="M27" s="13">
        <f ca="1">IF(V$2=1,G27*(agent!D$6-agent!B$3)/100,(agent!D$6-agent!B$3)*10*IF(R27=1,IF(LEN(Q27)&gt;4,COMBIN(LEN(Q27)-1,4)*odds!E76+COMBIN(LEN(Q27)-1,3)*odds!E75,IF(LEN(Q27)&lt;3,0,(LEN(Q27)-3)*odds!E75)),IF(LEN(Q27)&gt;3,COMBIN(LEN(Q27),4)*odds!E76,0))*J27)</f>
        <v>4.8</v>
      </c>
      <c r="N27" s="14" t="s">
        <v>155</v>
      </c>
      <c r="O27" s="14" t="s">
        <v>280</v>
      </c>
      <c r="P27" s="13" t="str">
        <f t="shared" si="3"/>
        <v>鼠</v>
      </c>
      <c r="Q27" s="13" t="str">
        <f>IF(AND(ISNUMBER(FIND(P$22,D27,1)),COUNTIF(P$22:P$29,P$22)&gt;1),"",P$22)&amp;IF(AND(ISNUMBER(FIND(P$23,D27,1)),COUNTIF(P$23:P$29,P$23)&gt;1),"",P$23)&amp;IF(AND(ISNUMBER(FIND(P$24,D27,1)),COUNTIF(P$24:P$29,P$24)&gt;1),"",P$24)&amp;IF(AND(ISNUMBER(FIND(P$25,D27,1)),COUNTIF(P$25:P$29,P$25)&gt;1),"",P$25)&amp;IF(AND(ISNUMBER(FIND(P$26,D27,1)),COUNTIF(P$26:P$29,P$26)&gt;1),"",P$26)&amp;IF(AND(ISNUMBER(FIND(P$27,D27,1)),COUNTIF(P$27:P$29,P$27)&gt;1),"",P$27)&amp;IF(AND(ISNUMBER(FIND(P$28,D27,1)),COUNTIF(P$28:P$28,P$28)&gt;1),"",P$28)</f>
        <v>虎马猴狗鼠羊</v>
      </c>
      <c r="R27" s="13">
        <f ca="1">IF(AND(ISNUMBER(FIND(N$9,D27,1)),SUM(N(EXACT(P$22,N$9)),N(EXACT(P$23,N$9)),N(EXACT(P$24,N$9)),N(EXACT(P$25,N$9)),N(EXACT(P$26,N$9)),N(EXACT(P$27,N$9)),N(EXACT(P$28,N$9)))&gt;0),1,0)</f>
        <v>1</v>
      </c>
    </row>
    <row r="28" spans="1:27" ht="13.5" customHeight="1" x14ac:dyDescent="0.15">
      <c r="A28" s="34" t="s">
        <v>128</v>
      </c>
      <c r="B28" s="14" t="s">
        <v>130</v>
      </c>
      <c r="C28" s="14" t="s">
        <v>140</v>
      </c>
      <c r="D28" s="15" t="s">
        <v>141</v>
      </c>
      <c r="E28" s="27" t="str">
        <f t="shared" si="1"/>
        <v>33,41,05,27,49,11,16</v>
      </c>
      <c r="G28" s="13">
        <f t="shared" si="0"/>
        <v>15</v>
      </c>
      <c r="H28" s="13">
        <f>LEN(SUBSTITUTE(D28,",",))/2</f>
        <v>15</v>
      </c>
      <c r="I28" s="13">
        <v>1</v>
      </c>
      <c r="J28" s="13">
        <v>1</v>
      </c>
      <c r="L28" s="13">
        <f>(IF(INT(LEFT(N8,1))=0,N(ISNUMBER(FIND(LEFT(N8,1)&amp;"头",D28,1)))*odds!F77,N(ISNUMBER(FIND(LEFT(N8,1)&amp;"头",D28,1)))*odds!F78)+IF(INT(RIGHT(N8,1))=0,N(ISNUMBER(FIND(RIGHT(N8,1)&amp;"尾",D28,1)))*odds!F79,N(ISNUMBER(FIND(RIGHT(N8,1)&amp;"尾",D28,1)))*odds!F80))*J28</f>
        <v>13.647</v>
      </c>
      <c r="M28" s="13">
        <f>IF(V$2=1,G28*(agent!D$6-agent!B$3)/100,(agent!D$6-agent!B$3)*10*(IF(INT(LEFT(N8,1))=0,N(ISNUMBER(FIND(LEFT(N8,1)&amp;"头",D28,1)))*odds!E77,N(ISNUMBER(FIND(LEFT(N8,1)&amp;"头",D28,1)))*odds!E78)+IF(INT(RIGHT(N8,1))=0,N(ISNUMBER(FIND(RIGHT(N8,1)&amp;"尾",D28,1)))*odds!E79,N(ISNUMBER(FIND(RIGHT(N8,1)&amp;"尾",D28,1)))*odds!E80))*J28)</f>
        <v>0.13</v>
      </c>
      <c r="N28" s="14" t="s">
        <v>156</v>
      </c>
      <c r="O28" s="14" t="s">
        <v>281</v>
      </c>
      <c r="P28" s="13" t="str">
        <f>LEFT(VLOOKUP("*"&amp;N8&amp;"*",O$17:O$28,1,),1)</f>
        <v>羊</v>
      </c>
    </row>
    <row r="29" spans="1:27" x14ac:dyDescent="0.15">
      <c r="A29" s="34"/>
      <c r="B29" s="14" t="s">
        <v>131</v>
      </c>
      <c r="C29" s="14" t="s">
        <v>140</v>
      </c>
      <c r="D29" s="15" t="s">
        <v>142</v>
      </c>
      <c r="E29" s="27" t="str">
        <f t="shared" si="1"/>
        <v>33,41,05,27,49,11,16</v>
      </c>
      <c r="G29" s="13">
        <f t="shared" si="0"/>
        <v>135</v>
      </c>
      <c r="H29" s="13">
        <f>COMBIN(LEN(SUBSTITUTE(D29,",",))/2,2)</f>
        <v>45</v>
      </c>
      <c r="I29" s="13">
        <v>1</v>
      </c>
      <c r="J29" s="13">
        <v>3</v>
      </c>
      <c r="L29" s="13">
        <f>IF(P29=1,IF(Q29&gt;2,(Q29-1)*odds!F81+COMBIN(Q29-1,2)*odds!F82,(Q29-1)*odds!F81),IF(Q29&gt;1,COMBIN(Q29,2)*odds!F82,0))*J29</f>
        <v>134.41500000000002</v>
      </c>
      <c r="M29" s="13">
        <f>IF(V$2=1,G29*(agent!D$6-agent!B$3)/100,(agent!D$6-agent!B$3)*10*IF(P29=1,IF(Q29&gt;2,(Q29-1)*odds!E81+COMBIN(Q29-1,2)*odds!E82,(Q29-1)*odds!E81),IF(Q29&gt;1,COMBIN(Q29,2)*odds!E82,0))*J29)</f>
        <v>1.3499999999999999</v>
      </c>
      <c r="N29" s="13" t="str">
        <f>RIGHT(N2,1)&amp;"尾"</f>
        <v>3尾</v>
      </c>
      <c r="O29" s="13" t="str">
        <f>IF(AND(ISNUMBER(FIND($N29,$D29,1)),COUNTIF($N29:$N$35,$N29)&gt;1),FALSE,$N29)</f>
        <v>3尾</v>
      </c>
      <c r="P29" s="13">
        <f>N(OR(EXACT($O$29,"0尾"),EXACT($O$30,"0尾"),EXACT($O$31,"0尾"),EXACT($O$32,"0尾"),EXACT($O$33,"0尾"),EXACT($O$34,"0尾"),EXACT($O$35,"0尾")))*N(ISNUMBER(FIND("0尾",D29,1)))</f>
        <v>0</v>
      </c>
      <c r="Q29" s="13">
        <f>SUM(N(ISNUMBER(FIND($O$29,D29,1))),N(ISNUMBER(FIND($O$30,D29,1))),N(ISNUMBER(FIND($O$31,D29,1))),N(ISNUMBER(FIND($O$32,D29,1))),N(ISNUMBER(FIND($O$33,D29,1))),N(ISNUMBER(FIND($O$34,D29,1))),N(ISNUMBER(FIND($O$35,D29,1))),)</f>
        <v>6</v>
      </c>
    </row>
    <row r="30" spans="1:27" x14ac:dyDescent="0.15">
      <c r="A30" s="34"/>
      <c r="B30" s="14" t="s">
        <v>132</v>
      </c>
      <c r="C30" s="14" t="s">
        <v>140</v>
      </c>
      <c r="D30" s="15" t="s">
        <v>144</v>
      </c>
      <c r="E30" s="27" t="str">
        <f t="shared" si="1"/>
        <v>33,41,05,27,49,11,16</v>
      </c>
      <c r="G30" s="13">
        <f t="shared" si="0"/>
        <v>120</v>
      </c>
      <c r="H30" s="13">
        <f>COMBIN(LEN(SUBSTITUTE(D30,",",))/2,3)</f>
        <v>120</v>
      </c>
      <c r="I30" s="13">
        <v>1</v>
      </c>
      <c r="J30" s="13">
        <v>1</v>
      </c>
      <c r="L30" s="13">
        <f>IF(P30=1,IF(Q30&gt;3,COMBIN((Q30-1),2)*odds!F83+COMBIN(Q30-1,3)*odds!F84,IF(Q30=1,0,(Q30-2)*odds!F83)),IF(Q30&gt;2,COMBIN(Q30,3)*odds!F84,0))*J30</f>
        <v>127.06</v>
      </c>
      <c r="M30" s="13">
        <f>IF(V$2=1,G30*(agent!D$6-agent!B$3)/100,(agent!D$6-agent!B$3)*10*IF(P30=1,IF(Q30&gt;3,COMBIN((Q30-1),2)*odds!E83+COMBIN(Q30-1,3)*odds!E84,IF(Q30=1,0,(Q30-2)*odds!E83)),IF(Q30&gt;2,COMBIN(Q30,3)*odds!E84,0))*J30)</f>
        <v>1.4000000000000001</v>
      </c>
      <c r="N30" s="13" t="str">
        <f t="shared" ref="N30:N35" si="4">RIGHT(N3,1)&amp;"尾"</f>
        <v>1尾</v>
      </c>
      <c r="O30" s="13" t="b">
        <f>IF(AND(ISNUMBER(FIND($N30,$D29,1)),COUNTIF($N30:$N$35,$N30)&gt;1),FALSE,$N30)</f>
        <v>0</v>
      </c>
      <c r="P30" s="13">
        <f>N(OR(EXACT($O$29,"0尾"),EXACT($O$30,"0尾"),EXACT($O$31,"0尾"),EXACT($O$32,"0尾"),EXACT($O$33,"0尾"),EXACT($O$34,"0尾"),EXACT($O$35,"0尾")))*N(ISNUMBER(FIND("0尾",D30,1)))</f>
        <v>0</v>
      </c>
      <c r="Q30" s="13">
        <f>SUM(N(ISNUMBER(FIND($O$29,D30,1))),N(ISNUMBER(FIND($O$30,D30,1))),N(ISNUMBER(FIND($O$31,D30,1))),N(ISNUMBER(FIND($O$32,D30,1))),N(ISNUMBER(FIND($O$33,D30,1))),N(ISNUMBER(FIND($O$34,D30,1))),N(ISNUMBER(FIND($O$35,D30,1))),)</f>
        <v>6</v>
      </c>
    </row>
    <row r="31" spans="1:27" ht="13.5" customHeight="1" x14ac:dyDescent="0.15">
      <c r="A31" s="34"/>
      <c r="B31" s="14" t="s">
        <v>133</v>
      </c>
      <c r="C31" s="14" t="s">
        <v>140</v>
      </c>
      <c r="D31" s="15" t="s">
        <v>143</v>
      </c>
      <c r="E31" s="27" t="str">
        <f t="shared" si="1"/>
        <v>33,41,05,27,49,11,16</v>
      </c>
      <c r="G31" s="13">
        <f t="shared" si="0"/>
        <v>419.99999999999994</v>
      </c>
      <c r="H31" s="13">
        <f>COMBIN(LEN(SUBSTITUTE(D31,",",))/2,4)</f>
        <v>209.99999999999997</v>
      </c>
      <c r="I31" s="13">
        <v>1</v>
      </c>
      <c r="J31" s="13">
        <v>2</v>
      </c>
      <c r="L31" s="13">
        <f>IF(P31=1,IF(Q31&gt;4,COMBIN((Q31-1),3)*odds!F85+COMBIN(Q31-1,4)*odds!F86,IF(Q31&lt;3,0,(Q31-3)*odds!F85)),IF(Q31&gt;3,COMBIN(Q31,4)*odds!F86,0))*J31</f>
        <v>452.19</v>
      </c>
      <c r="M31" s="13">
        <f>IF(V$2=1,G31*(agent!D$6-agent!B$3)/100,(agent!D$6-agent!B$3)*10*IF(P31=1,IF(Q31&gt;4,COMBIN((Q31-1),3)*odds!E85+COMBIN(Q31-1,4)*odds!E86,IF(Q31&lt;3,0,(Q31-3)*odds!E85)),IF(Q31&gt;3,COMBIN(Q31,4)*odds!E86,0))*J31)</f>
        <v>5.0999999999999996</v>
      </c>
      <c r="N31" s="13" t="str">
        <f t="shared" si="4"/>
        <v>5尾</v>
      </c>
      <c r="O31" s="13" t="str">
        <f>IF(AND(ISNUMBER(FIND($N31,$D29,1)),COUNTIF($N31:$N$35,$N31)&gt;1),FALSE,$N31)</f>
        <v>5尾</v>
      </c>
      <c r="P31" s="13">
        <f t="shared" ref="P31" si="5">N(OR(EXACT($O$29,"0尾"),EXACT($O$30,"0尾"),EXACT($O$31,"0尾"),EXACT($O$32,"0尾"),EXACT($O$33,"0尾"),EXACT($O$34,"0尾"),EXACT($O$35,"0尾")))*N(ISNUMBER(FIND("0尾",D31,1)))</f>
        <v>0</v>
      </c>
      <c r="Q31" s="13">
        <f>SUM(N(ISNUMBER(FIND($O$29,D31,1))),N(ISNUMBER(FIND($O$30,D31,1))),N(ISNUMBER(FIND($O$31,D31,1))),N(ISNUMBER(FIND($O$32,D31,1))),N(ISNUMBER(FIND($O$33,D31,1))),N(ISNUMBER(FIND($O$34,D31,1))),N(ISNUMBER(FIND($O$35,D31,1))),)</f>
        <v>6</v>
      </c>
    </row>
    <row r="32" spans="1:27" x14ac:dyDescent="0.15">
      <c r="A32" s="34" t="s">
        <v>129</v>
      </c>
      <c r="B32" s="14" t="s">
        <v>134</v>
      </c>
      <c r="C32" s="14" t="s">
        <v>145</v>
      </c>
      <c r="D32" s="15" t="s">
        <v>345</v>
      </c>
      <c r="E32" s="27" t="str">
        <f t="shared" si="1"/>
        <v>33,41,05,27,49,11,16</v>
      </c>
      <c r="G32" s="13">
        <f t="shared" si="0"/>
        <v>15015</v>
      </c>
      <c r="H32" s="13">
        <f>COMBIN(LEN(SUBSTITUTE(D32,",",))/2,5)</f>
        <v>3003</v>
      </c>
      <c r="I32" s="13">
        <v>1</v>
      </c>
      <c r="J32" s="13">
        <v>5</v>
      </c>
      <c r="K32" s="13">
        <f>odds!F87</f>
        <v>2.0779999999999998</v>
      </c>
      <c r="L32" s="13">
        <f>IF(Q32-P32&gt;4,COMBIN(Q32-P32,5)*K32*J32,0)</f>
        <v>13371.93</v>
      </c>
      <c r="M32" s="13">
        <f>IF(V$2=1,G32*(agent!D$6-agent!B$3)/100,(agent!D$6-agent!B$3)*10*odds!E87*(L32/K32))</f>
        <v>128.70000000000002</v>
      </c>
      <c r="N32" s="13" t="str">
        <f t="shared" si="4"/>
        <v>7尾</v>
      </c>
      <c r="O32" s="13" t="str">
        <f>IF(AND(ISNUMBER(FIND($N32,$D29,1)),COUNTIF($N32:$N$35,$N32)&gt;1),FALSE,$N32)</f>
        <v>7尾</v>
      </c>
      <c r="P32" s="13">
        <f t="shared" ref="P32:P37" si="6">SUM(N(ISNUMBER(FIND($N$2,D32,1))),N(ISNUMBER(FIND($N$3,D32,1))),N(ISNUMBER(FIND($N$4,D32,1))),N(ISNUMBER(FIND($N$5,D32,1))),N(ISNUMBER(FIND($N$6,D32,1))),N(ISNUMBER(FIND($N$7,D32,1))),N(ISNUMBER(FIND($N$8,D32,1))))</f>
        <v>2</v>
      </c>
      <c r="Q32" s="13">
        <f t="shared" ref="Q32:Q37" si="7">LEN(SUBSTITUTE(D32,",",))/2</f>
        <v>15</v>
      </c>
    </row>
    <row r="33" spans="1:17" x14ac:dyDescent="0.15">
      <c r="A33" s="34"/>
      <c r="B33" s="14" t="s">
        <v>135</v>
      </c>
      <c r="C33" s="14" t="s">
        <v>145</v>
      </c>
      <c r="D33" s="15" t="s">
        <v>346</v>
      </c>
      <c r="E33" s="27" t="str">
        <f t="shared" si="1"/>
        <v>33,41,05,27,49,11,16</v>
      </c>
      <c r="G33" s="13">
        <f t="shared" si="0"/>
        <v>15015</v>
      </c>
      <c r="H33" s="13">
        <f>COMBIN(LEN(SUBSTITUTE(D33,",",))/2,6)</f>
        <v>5005</v>
      </c>
      <c r="I33" s="13">
        <v>1</v>
      </c>
      <c r="J33" s="13">
        <v>3</v>
      </c>
      <c r="K33" s="13">
        <f>odds!F88</f>
        <v>2.4379999999999997</v>
      </c>
      <c r="L33" s="13">
        <f>IF(Q33-P33&gt;5,COMBIN(Q33-P33,6)*K33*J33,0)</f>
        <v>12550.823999999997</v>
      </c>
      <c r="M33" s="13">
        <f>IF(V$2=1,G33*(agent!D$6-agent!B$3)/100,(agent!D$6-agent!B$3)*10*odds!E88*(L33/K33))</f>
        <v>102.95999999999998</v>
      </c>
      <c r="N33" s="13" t="str">
        <f t="shared" si="4"/>
        <v>9尾</v>
      </c>
      <c r="O33" s="13" t="str">
        <f>IF(AND(ISNUMBER(FIND($N33,$D29,1)),COUNTIF($N33:$N$35,$N33)&gt;1),FALSE,$N33)</f>
        <v>9尾</v>
      </c>
      <c r="P33" s="13">
        <f t="shared" si="6"/>
        <v>2</v>
      </c>
      <c r="Q33" s="13">
        <f t="shared" si="7"/>
        <v>15</v>
      </c>
    </row>
    <row r="34" spans="1:17" x14ac:dyDescent="0.15">
      <c r="A34" s="34"/>
      <c r="B34" s="14" t="s">
        <v>136</v>
      </c>
      <c r="C34" s="14" t="s">
        <v>145</v>
      </c>
      <c r="D34" s="15" t="s">
        <v>347</v>
      </c>
      <c r="E34" s="27" t="str">
        <f t="shared" si="1"/>
        <v>33,41,05,27,49,11,16</v>
      </c>
      <c r="G34" s="13">
        <f t="shared" si="0"/>
        <v>6434.9999999999991</v>
      </c>
      <c r="H34" s="13">
        <f>COMBIN(LEN(SUBSTITUTE(D34,",",))/2,7)</f>
        <v>6434.9999999999991</v>
      </c>
      <c r="I34" s="13">
        <v>1</v>
      </c>
      <c r="J34" s="13">
        <v>1</v>
      </c>
      <c r="K34" s="13">
        <f>odds!F89</f>
        <v>2.9670000000000005</v>
      </c>
      <c r="L34" s="13">
        <f>IF(Q34-P34&gt;6,COMBIN(Q34-P34,7)*K34*J34,0)</f>
        <v>5091.3720000000012</v>
      </c>
      <c r="M34" s="13">
        <f>IF(V$2=1,G34*(agent!D$6-agent!B$3)/100,(agent!D$6-agent!B$3)*10*odds!E89*(L34/K34))</f>
        <v>51.48</v>
      </c>
      <c r="N34" s="13" t="str">
        <f t="shared" si="4"/>
        <v>1尾</v>
      </c>
      <c r="O34" s="13" t="str">
        <f>IF(AND(ISNUMBER(FIND($N34,$D29,1)),COUNTIF($N34:$N$35,$N34)&gt;1),FALSE,$N34)</f>
        <v>1尾</v>
      </c>
      <c r="P34" s="13">
        <f t="shared" si="6"/>
        <v>2</v>
      </c>
      <c r="Q34" s="13">
        <f t="shared" si="7"/>
        <v>15</v>
      </c>
    </row>
    <row r="35" spans="1:17" x14ac:dyDescent="0.15">
      <c r="A35" s="34"/>
      <c r="B35" s="14" t="s">
        <v>137</v>
      </c>
      <c r="C35" s="14" t="s">
        <v>145</v>
      </c>
      <c r="D35" s="15" t="s">
        <v>348</v>
      </c>
      <c r="E35" s="27" t="str">
        <f t="shared" si="1"/>
        <v>33,41,05,27,49,11,16</v>
      </c>
      <c r="G35" s="13">
        <f t="shared" si="0"/>
        <v>12869.999999999998</v>
      </c>
      <c r="H35" s="13">
        <f>COMBIN(LEN(SUBSTITUTE(D35,",",))/2,8)</f>
        <v>6434.9999999999991</v>
      </c>
      <c r="I35" s="13">
        <v>1</v>
      </c>
      <c r="J35" s="13">
        <v>2</v>
      </c>
      <c r="K35" s="13">
        <f>odds!F90</f>
        <v>3.5170000000000003</v>
      </c>
      <c r="L35" s="13">
        <f>IF(Q35-P35&gt;7,COMBIN(Q35-P35,8)*K35*J35,0)</f>
        <v>9052.7580000000016</v>
      </c>
      <c r="M35" s="13">
        <f>IF(V$2=1,G35*(agent!D$6-agent!B$3)/100,(agent!D$6-agent!B$3)*10*odds!E90*(L35/K35))</f>
        <v>77.22</v>
      </c>
      <c r="N35" s="13" t="str">
        <f t="shared" si="4"/>
        <v>6尾</v>
      </c>
      <c r="O35" s="13" t="str">
        <f>IF(AND(ISNUMBER(FIND($N35,$D29,1)),COUNTIF($N35:$N$35,$N35)&gt;1),FALSE,$N35)</f>
        <v>6尾</v>
      </c>
      <c r="P35" s="13">
        <f t="shared" si="6"/>
        <v>2</v>
      </c>
      <c r="Q35" s="13">
        <f t="shared" si="7"/>
        <v>15</v>
      </c>
    </row>
    <row r="36" spans="1:17" x14ac:dyDescent="0.15">
      <c r="A36" s="34"/>
      <c r="B36" s="14" t="s">
        <v>138</v>
      </c>
      <c r="C36" s="14" t="s">
        <v>145</v>
      </c>
      <c r="D36" s="15" t="s">
        <v>349</v>
      </c>
      <c r="E36" s="27" t="str">
        <f t="shared" si="1"/>
        <v>33,41,05,27,49,11,16</v>
      </c>
      <c r="G36" s="13">
        <f t="shared" si="0"/>
        <v>25025</v>
      </c>
      <c r="H36" s="13">
        <f>COMBIN(LEN(SUBSTITUTE(D36,",",))/2,9)</f>
        <v>5005</v>
      </c>
      <c r="I36" s="13">
        <v>1</v>
      </c>
      <c r="J36" s="13">
        <v>5</v>
      </c>
      <c r="K36" s="13">
        <f>odds!F91</f>
        <v>4.2759999999999998</v>
      </c>
      <c r="L36" s="13">
        <f>IF(Q36-P36&gt;8,COMBIN(Q36-P36,9)*K36*J36,0)</f>
        <v>1175.8999999999999</v>
      </c>
      <c r="M36" s="13">
        <f>IF(V$2=1,G36*(agent!D$6-agent!B$3)/100,(agent!D$6-agent!B$3)*10*odds!E91*(L36/K36))</f>
        <v>11</v>
      </c>
      <c r="P36" s="13">
        <f t="shared" si="6"/>
        <v>4</v>
      </c>
      <c r="Q36" s="13">
        <f t="shared" si="7"/>
        <v>15</v>
      </c>
    </row>
    <row r="37" spans="1:17" x14ac:dyDescent="0.15">
      <c r="A37" s="34"/>
      <c r="B37" s="14" t="s">
        <v>139</v>
      </c>
      <c r="C37" s="14" t="s">
        <v>145</v>
      </c>
      <c r="D37" s="15" t="s">
        <v>350</v>
      </c>
      <c r="E37" s="27" t="str">
        <f t="shared" si="1"/>
        <v>33,41,05,27,49,11,16</v>
      </c>
      <c r="G37" s="13">
        <f t="shared" si="0"/>
        <v>12012</v>
      </c>
      <c r="H37" s="13">
        <f>COMBIN(LEN(SUBSTITUTE(D37,",",))/2,10)</f>
        <v>3003</v>
      </c>
      <c r="I37" s="13">
        <v>1</v>
      </c>
      <c r="J37" s="13">
        <v>4</v>
      </c>
      <c r="K37" s="13">
        <f>odds!F92</f>
        <v>5.1950000000000003</v>
      </c>
      <c r="L37" s="13">
        <f>IF(Q37-P37&gt;9,COMBIN(Q37-P37,10)*K37*J37,0)</f>
        <v>1371.48</v>
      </c>
      <c r="M37" s="13">
        <f>IF(V$2=1,G37*(agent!D$6-agent!B$3)/100,(agent!D$6-agent!B$3)*10*odds!E92*(L37/K37))</f>
        <v>13.200000000000001</v>
      </c>
      <c r="P37" s="13">
        <f t="shared" si="6"/>
        <v>3</v>
      </c>
      <c r="Q37" s="13">
        <f t="shared" si="7"/>
        <v>15</v>
      </c>
    </row>
  </sheetData>
  <autoFilter ref="A1:L32"/>
  <mergeCells count="6">
    <mergeCell ref="A23:A27"/>
    <mergeCell ref="A28:A31"/>
    <mergeCell ref="A32:A37"/>
    <mergeCell ref="A2:A3"/>
    <mergeCell ref="A4:A16"/>
    <mergeCell ref="A17:A21"/>
  </mergeCells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2"/>
  <sheetViews>
    <sheetView workbookViewId="0">
      <selection activeCell="F4" sqref="F4"/>
    </sheetView>
  </sheetViews>
  <sheetFormatPr defaultRowHeight="13.5" x14ac:dyDescent="0.15"/>
  <cols>
    <col min="1" max="1" width="23.625" bestFit="1" customWidth="1"/>
    <col min="2" max="3" width="10.5" customWidth="1"/>
    <col min="4" max="4" width="8.5" bestFit="1" customWidth="1"/>
    <col min="5" max="5" width="10.5" bestFit="1" customWidth="1"/>
    <col min="6" max="6" width="8.5" bestFit="1" customWidth="1"/>
  </cols>
  <sheetData>
    <row r="1" spans="1:8" x14ac:dyDescent="0.15">
      <c r="A1" s="11"/>
      <c r="B1" s="11" t="s">
        <v>172</v>
      </c>
      <c r="C1" s="12" t="s">
        <v>259</v>
      </c>
      <c r="D1" s="11">
        <v>9.9</v>
      </c>
      <c r="E1" s="11" t="s">
        <v>173</v>
      </c>
      <c r="F1" s="12" t="s">
        <v>342</v>
      </c>
    </row>
    <row r="2" spans="1:8" x14ac:dyDescent="0.15">
      <c r="A2" s="11" t="s">
        <v>174</v>
      </c>
      <c r="B2" s="11">
        <v>48.51</v>
      </c>
      <c r="C2" s="11">
        <v>43.65</v>
      </c>
      <c r="D2" s="11">
        <f>E2*99+C2</f>
        <v>48.500999999999998</v>
      </c>
      <c r="E2" s="11">
        <f>TRUNC((B2-C2)/99,3)</f>
        <v>4.9000000000000002E-2</v>
      </c>
      <c r="F2" s="11">
        <f>D2-(9.9-agent!B$3)*10*E2</f>
        <v>48.010999999999996</v>
      </c>
      <c r="H2" s="11" t="str">
        <f ca="1">MID("鼠牛虎兔龙蛇马羊猴鸡狗猪",MOD(YEAR(TODAY())-4,12)+1,1)</f>
        <v>狗</v>
      </c>
    </row>
    <row r="3" spans="1:8" x14ac:dyDescent="0.15">
      <c r="A3" s="12" t="s">
        <v>264</v>
      </c>
      <c r="B3" s="11">
        <v>1.98</v>
      </c>
      <c r="C3" s="11">
        <v>1.778</v>
      </c>
      <c r="D3" s="11">
        <f>E3*99+C3</f>
        <v>1.976</v>
      </c>
      <c r="E3" s="11">
        <f t="shared" ref="E3:E70" si="0">TRUNC((B3-C3)/99,3)</f>
        <v>2E-3</v>
      </c>
      <c r="F3" s="11">
        <f>D3-(9.9-agent!B$3)*10*E3</f>
        <v>1.956</v>
      </c>
      <c r="G3">
        <f>IF(F3=0,0,E3)</f>
        <v>2E-3</v>
      </c>
    </row>
    <row r="4" spans="1:8" x14ac:dyDescent="0.15">
      <c r="A4" s="11" t="s">
        <v>175</v>
      </c>
      <c r="B4" s="11">
        <v>3.96</v>
      </c>
      <c r="C4" s="11">
        <v>3.556</v>
      </c>
      <c r="D4" s="11">
        <f>E4*99+C4</f>
        <v>3.952</v>
      </c>
      <c r="E4" s="11">
        <f>TRUNC((B4-C4)/99,3)</f>
        <v>4.0000000000000001E-3</v>
      </c>
      <c r="F4" s="11">
        <f>IF(ISNUMBER(FIND(SUBSTITUTE(LHCSource!O$4,",",),A4,1)),D4-(9.9-agent!B$3)*10*E4,0)</f>
        <v>0</v>
      </c>
      <c r="G4">
        <f t="shared" ref="G4:G19" si="1">IF(F4=0,0,E4)</f>
        <v>0</v>
      </c>
    </row>
    <row r="5" spans="1:8" x14ac:dyDescent="0.15">
      <c r="A5" s="11" t="s">
        <v>176</v>
      </c>
      <c r="B5" s="11">
        <v>3.96</v>
      </c>
      <c r="C5" s="11">
        <v>3.556</v>
      </c>
      <c r="D5" s="11">
        <f>E5*99+C5</f>
        <v>3.952</v>
      </c>
      <c r="E5" s="11">
        <f>TRUNC((B5-C5)/99,3)</f>
        <v>4.0000000000000001E-3</v>
      </c>
      <c r="F5" s="11">
        <f>IF(ISNUMBER(FIND(SUBSTITUTE(LHCSource!O$4,",",),A5,1)),D5-(9.9-agent!B$3)*10*E5,0)</f>
        <v>0</v>
      </c>
      <c r="G5">
        <f t="shared" si="1"/>
        <v>0</v>
      </c>
    </row>
    <row r="6" spans="1:8" x14ac:dyDescent="0.15">
      <c r="A6" s="11" t="s">
        <v>177</v>
      </c>
      <c r="B6" s="11">
        <v>3.96</v>
      </c>
      <c r="C6" s="11">
        <v>3.556</v>
      </c>
      <c r="D6" s="11">
        <f>E6*99+C6</f>
        <v>3.952</v>
      </c>
      <c r="E6" s="11">
        <f>TRUNC((B6-C6)/99,3)</f>
        <v>4.0000000000000001E-3</v>
      </c>
      <c r="F6" s="11">
        <f>IF(ISNUMBER(FIND(SUBSTITUTE(LHCSource!O$4,",",),A6,1)),D6-(9.9-agent!B$3)*10*E6,0)</f>
        <v>0</v>
      </c>
      <c r="G6">
        <f t="shared" si="1"/>
        <v>0</v>
      </c>
    </row>
    <row r="7" spans="1:8" x14ac:dyDescent="0.15">
      <c r="A7" s="11" t="s">
        <v>178</v>
      </c>
      <c r="B7" s="11">
        <v>3.96</v>
      </c>
      <c r="C7" s="11">
        <v>3.556</v>
      </c>
      <c r="D7" s="11">
        <f t="shared" ref="D7:D74" si="2">E7*99+C7</f>
        <v>3.952</v>
      </c>
      <c r="E7" s="11">
        <f>TRUNC((B7-C7)/99,3)</f>
        <v>4.0000000000000001E-3</v>
      </c>
      <c r="F7" s="11">
        <f>IF(ISNUMBER(FIND(SUBSTITUTE(LHCSource!O$4,",",),A7,1)),D7-(9.9-agent!B$3)*10*E7,0)</f>
        <v>3.9119999999999999</v>
      </c>
      <c r="G7">
        <f t="shared" si="1"/>
        <v>4.0000000000000001E-3</v>
      </c>
    </row>
    <row r="8" spans="1:8" x14ac:dyDescent="0.15">
      <c r="A8" s="11" t="s">
        <v>179</v>
      </c>
      <c r="B8" s="11">
        <v>1.98</v>
      </c>
      <c r="C8" s="11">
        <v>1.778</v>
      </c>
      <c r="D8" s="11">
        <f t="shared" si="2"/>
        <v>1.976</v>
      </c>
      <c r="E8" s="11">
        <f t="shared" si="0"/>
        <v>2E-3</v>
      </c>
      <c r="F8" s="11">
        <f>IF(ISNUMBER(FIND(SUBSTITUTE(LHCSource!O$6,",",),A8,1)),D8-(9.9-agent!B$3)*10*E8,0)</f>
        <v>1.956</v>
      </c>
      <c r="G8">
        <f t="shared" si="1"/>
        <v>2E-3</v>
      </c>
    </row>
    <row r="9" spans="1:8" x14ac:dyDescent="0.15">
      <c r="A9" s="11" t="s">
        <v>180</v>
      </c>
      <c r="B9" s="11">
        <v>1.98</v>
      </c>
      <c r="C9" s="11">
        <v>1.778</v>
      </c>
      <c r="D9" s="11">
        <f t="shared" si="2"/>
        <v>1.976</v>
      </c>
      <c r="E9" s="11">
        <f t="shared" si="0"/>
        <v>2E-3</v>
      </c>
      <c r="F9" s="11">
        <f>IF(ISNUMBER(FIND(SUBSTITUTE(LHCSource!O$6,",",),A9,1)),D9-(9.9-agent!B$3)*10*E9,0)</f>
        <v>0</v>
      </c>
      <c r="G9">
        <f t="shared" si="1"/>
        <v>0</v>
      </c>
    </row>
    <row r="10" spans="1:8" x14ac:dyDescent="0.15">
      <c r="A10" s="11" t="s">
        <v>181</v>
      </c>
      <c r="B10" s="11">
        <v>1.98</v>
      </c>
      <c r="C10" s="11">
        <v>1.778</v>
      </c>
      <c r="D10" s="11">
        <f t="shared" si="2"/>
        <v>1.976</v>
      </c>
      <c r="E10" s="11">
        <f t="shared" si="0"/>
        <v>2E-3</v>
      </c>
      <c r="F10" s="11">
        <f>IF(ISNUMBER(FIND(SUBSTITUTE(LHCSource!O$5,",",),A10,1)),D10-(9.9-agent!B$3)*10*E10,0)</f>
        <v>1.956</v>
      </c>
      <c r="G10">
        <f t="shared" si="1"/>
        <v>2E-3</v>
      </c>
    </row>
    <row r="11" spans="1:8" x14ac:dyDescent="0.15">
      <c r="A11" s="11" t="s">
        <v>182</v>
      </c>
      <c r="B11" s="11">
        <v>1.98</v>
      </c>
      <c r="C11" s="11">
        <v>1.778</v>
      </c>
      <c r="D11" s="11">
        <f t="shared" si="2"/>
        <v>1.976</v>
      </c>
      <c r="E11" s="11">
        <f t="shared" si="0"/>
        <v>2E-3</v>
      </c>
      <c r="F11" s="11">
        <f>IF(ISNUMBER(FIND(SUBSTITUTE(LHCSource!O$5,",",),A11,1)),D11-(9.9-agent!B$3)*10*E11,0)</f>
        <v>0</v>
      </c>
      <c r="G11">
        <f t="shared" si="1"/>
        <v>0</v>
      </c>
    </row>
    <row r="12" spans="1:8" x14ac:dyDescent="0.15">
      <c r="A12" s="11" t="s">
        <v>183</v>
      </c>
      <c r="B12" s="11">
        <v>1.98</v>
      </c>
      <c r="C12" s="11">
        <v>1.778</v>
      </c>
      <c r="D12" s="11">
        <f t="shared" si="2"/>
        <v>1.976</v>
      </c>
      <c r="E12" s="11">
        <f t="shared" si="0"/>
        <v>2E-3</v>
      </c>
      <c r="F12" s="11">
        <f>IF(ISNUMBER(FIND(SUBSTITUTE(LHCSource!O$7,",",),A12,1)),D12-(9.9-agent!B$3)*10*E12,0)</f>
        <v>1.956</v>
      </c>
      <c r="G12">
        <f t="shared" si="1"/>
        <v>2E-3</v>
      </c>
    </row>
    <row r="13" spans="1:8" x14ac:dyDescent="0.15">
      <c r="A13" s="11" t="s">
        <v>184</v>
      </c>
      <c r="B13" s="11">
        <v>1.98</v>
      </c>
      <c r="C13" s="11">
        <v>1.778</v>
      </c>
      <c r="D13" s="11">
        <f t="shared" si="2"/>
        <v>1.976</v>
      </c>
      <c r="E13" s="11">
        <f t="shared" si="0"/>
        <v>2E-3</v>
      </c>
      <c r="F13" s="11">
        <f>IF(ISNUMBER(FIND(SUBSTITUTE(LHCSource!O$7,",",),A13,1)),D13-(9.9-agent!B$3)*10*E13,0)</f>
        <v>0</v>
      </c>
      <c r="G13">
        <f t="shared" si="1"/>
        <v>0</v>
      </c>
    </row>
    <row r="14" spans="1:8" x14ac:dyDescent="0.15">
      <c r="A14" s="11" t="s">
        <v>185</v>
      </c>
      <c r="B14" s="11">
        <v>2.7949999999999999</v>
      </c>
      <c r="C14" s="11">
        <v>2.5099999999999998</v>
      </c>
      <c r="D14" s="11">
        <f t="shared" si="2"/>
        <v>2.7079999999999997</v>
      </c>
      <c r="E14" s="11">
        <f t="shared" si="0"/>
        <v>2E-3</v>
      </c>
      <c r="F14" s="11">
        <f>IF(ISNUMBER(FIND(SUBSTITUTE(LHCSource!O$8,",",),A14,1)),D14-(9.9-agent!B$3)*10*E14,0)</f>
        <v>0</v>
      </c>
      <c r="G14">
        <f t="shared" si="1"/>
        <v>0</v>
      </c>
    </row>
    <row r="15" spans="1:8" x14ac:dyDescent="0.15">
      <c r="A15" s="12" t="s">
        <v>265</v>
      </c>
      <c r="B15" s="11">
        <v>2.97</v>
      </c>
      <c r="C15" s="11">
        <v>2.6669999999999998</v>
      </c>
      <c r="D15" s="11">
        <f t="shared" si="2"/>
        <v>2.964</v>
      </c>
      <c r="E15" s="11">
        <f t="shared" si="0"/>
        <v>3.0000000000000001E-3</v>
      </c>
      <c r="F15" s="11">
        <f>IF(ISNUMBER(FIND(SUBSTITUTE(LHCSource!O$8,",",),A15,1)),D15-(9.9-agent!B$3)*10*E15,0)</f>
        <v>2.9340000000000002</v>
      </c>
      <c r="G15">
        <f t="shared" si="1"/>
        <v>3.0000000000000001E-3</v>
      </c>
    </row>
    <row r="16" spans="1:8" x14ac:dyDescent="0.15">
      <c r="A16" s="11" t="s">
        <v>186</v>
      </c>
      <c r="B16" s="11">
        <v>1.901</v>
      </c>
      <c r="C16" s="11">
        <v>1.7070000000000001</v>
      </c>
      <c r="D16" s="11">
        <f t="shared" si="2"/>
        <v>1.806</v>
      </c>
      <c r="E16" s="11">
        <f t="shared" si="0"/>
        <v>1E-3</v>
      </c>
      <c r="F16" s="11">
        <f ca="1">IF(ISNUMBER(FIND(SUBSTITUTE(LHCSource!O$9,",",),A16,1)),IF(ISNUMBER(FIND(LHCSource!N$11,A16,1)),D16-(9.9-agent!B$3)*10*E16,0),0)</f>
        <v>1.796</v>
      </c>
      <c r="G16">
        <f t="shared" ca="1" si="1"/>
        <v>1E-3</v>
      </c>
    </row>
    <row r="17" spans="1:7" x14ac:dyDescent="0.15">
      <c r="A17" s="11" t="s">
        <v>187</v>
      </c>
      <c r="B17" s="11">
        <v>1.98</v>
      </c>
      <c r="C17" s="11">
        <v>1.778</v>
      </c>
      <c r="D17" s="11">
        <f t="shared" si="2"/>
        <v>1.976</v>
      </c>
      <c r="E17" s="11">
        <f t="shared" si="0"/>
        <v>2E-3</v>
      </c>
      <c r="F17" s="11">
        <f ca="1">IF(ISNUMBER(FIND(SUBSTITUTE(LHCSource!O$9,",",),A17,1)),IF(ISNUMBER(FIND(LHCSource!N$11,A17,1)),D17-(9.9-agent!B$3)*10*E17,0),0)</f>
        <v>0</v>
      </c>
      <c r="G17">
        <f t="shared" ca="1" si="1"/>
        <v>0</v>
      </c>
    </row>
    <row r="18" spans="1:7" x14ac:dyDescent="0.15">
      <c r="A18" s="11" t="s">
        <v>188</v>
      </c>
      <c r="B18" s="11">
        <v>1.901</v>
      </c>
      <c r="C18" s="11">
        <v>1.7070000000000001</v>
      </c>
      <c r="D18" s="11">
        <f t="shared" si="2"/>
        <v>1.806</v>
      </c>
      <c r="E18" s="11">
        <f t="shared" si="0"/>
        <v>1E-3</v>
      </c>
      <c r="F18" s="11">
        <f>IF(ISNUMBER(FIND(SUBSTITUTE(LHCSource!O$9,",",),A18,1)),IF(ISNUMBER(FIND(LHCSource!N$13,A18,1)),D18-(9.9-agent!B$3)*10*E18,0),0)</f>
        <v>0</v>
      </c>
      <c r="G18">
        <f t="shared" si="1"/>
        <v>0</v>
      </c>
    </row>
    <row r="19" spans="1:7" x14ac:dyDescent="0.15">
      <c r="A19" s="11" t="s">
        <v>189</v>
      </c>
      <c r="B19" s="11">
        <v>1.98</v>
      </c>
      <c r="C19" s="11">
        <v>1.778</v>
      </c>
      <c r="D19" s="11">
        <f t="shared" si="2"/>
        <v>1.976</v>
      </c>
      <c r="E19" s="11">
        <f t="shared" si="0"/>
        <v>2E-3</v>
      </c>
      <c r="F19" s="11">
        <f>IF(ISNUMBER(FIND(SUBSTITUTE(LHCSource!O$9,",",),A19,1)),IF(ISNUMBER(FIND(LHCSource!N$13,A19,1)),D19-(9.9-agent!B$3)*10*E19,0),0)</f>
        <v>0</v>
      </c>
      <c r="G19">
        <f t="shared" si="1"/>
        <v>0</v>
      </c>
    </row>
    <row r="20" spans="1:7" x14ac:dyDescent="0.15">
      <c r="A20" s="11" t="s">
        <v>190</v>
      </c>
      <c r="B20" s="11">
        <v>8</v>
      </c>
      <c r="C20" s="11">
        <v>7.19</v>
      </c>
      <c r="D20" s="11">
        <f t="shared" si="2"/>
        <v>7.9820000000000002</v>
      </c>
      <c r="E20" s="11">
        <f t="shared" si="0"/>
        <v>8.0000000000000002E-3</v>
      </c>
      <c r="F20" s="11">
        <f>D20-(9.9-agent!B$3)*10*E20</f>
        <v>7.9020000000000001</v>
      </c>
    </row>
    <row r="21" spans="1:7" x14ac:dyDescent="0.15">
      <c r="A21" s="11" t="s">
        <v>191</v>
      </c>
      <c r="B21" s="11">
        <v>47.04</v>
      </c>
      <c r="C21" s="11">
        <v>42.18</v>
      </c>
      <c r="D21" s="11">
        <f t="shared" si="2"/>
        <v>47.030999999999999</v>
      </c>
      <c r="E21" s="11">
        <f t="shared" si="0"/>
        <v>4.9000000000000002E-2</v>
      </c>
      <c r="F21" s="11">
        <f>D21-(9.9-agent!B$3)*10*E21</f>
        <v>46.540999999999997</v>
      </c>
    </row>
    <row r="22" spans="1:7" x14ac:dyDescent="0.15">
      <c r="A22" s="11" t="s">
        <v>192</v>
      </c>
      <c r="B22" s="11">
        <v>1.98</v>
      </c>
      <c r="C22" s="11">
        <v>1.778</v>
      </c>
      <c r="D22" s="11">
        <f t="shared" si="2"/>
        <v>1.976</v>
      </c>
      <c r="E22" s="11">
        <f t="shared" si="0"/>
        <v>2E-3</v>
      </c>
      <c r="F22" s="11">
        <f>D22-(9.9-agent!B$3)*10*E22</f>
        <v>1.956</v>
      </c>
    </row>
    <row r="23" spans="1:7" x14ac:dyDescent="0.15">
      <c r="A23" s="11" t="s">
        <v>193</v>
      </c>
      <c r="B23" s="11">
        <v>1.98</v>
      </c>
      <c r="C23" s="11">
        <v>1.778</v>
      </c>
      <c r="D23" s="11">
        <f t="shared" si="2"/>
        <v>1.976</v>
      </c>
      <c r="E23" s="11">
        <f t="shared" si="0"/>
        <v>2E-3</v>
      </c>
      <c r="F23" s="11">
        <f>D23-(9.9-agent!B$3)*10*E23</f>
        <v>1.956</v>
      </c>
    </row>
    <row r="24" spans="1:7" x14ac:dyDescent="0.15">
      <c r="A24" s="11" t="s">
        <v>194</v>
      </c>
      <c r="B24" s="11">
        <v>1.98</v>
      </c>
      <c r="C24" s="11">
        <v>1.778</v>
      </c>
      <c r="D24" s="11">
        <f t="shared" si="2"/>
        <v>1.976</v>
      </c>
      <c r="E24" s="11">
        <f t="shared" si="0"/>
        <v>2E-3</v>
      </c>
      <c r="F24" s="11">
        <f>D24-(9.9-agent!B$3)*10*E24</f>
        <v>1.956</v>
      </c>
    </row>
    <row r="25" spans="1:7" x14ac:dyDescent="0.15">
      <c r="A25" s="11" t="s">
        <v>195</v>
      </c>
      <c r="B25" s="11">
        <v>1.98</v>
      </c>
      <c r="C25" s="11">
        <v>1.778</v>
      </c>
      <c r="D25" s="11">
        <f t="shared" si="2"/>
        <v>1.976</v>
      </c>
      <c r="E25" s="11">
        <f t="shared" si="0"/>
        <v>2E-3</v>
      </c>
      <c r="F25" s="11">
        <f>D25-(9.9-agent!B$3)*10*E25</f>
        <v>1.956</v>
      </c>
    </row>
    <row r="26" spans="1:7" x14ac:dyDescent="0.15">
      <c r="A26" s="11" t="s">
        <v>196</v>
      </c>
      <c r="B26" s="11">
        <v>3.96</v>
      </c>
      <c r="C26" s="11">
        <v>3.556</v>
      </c>
      <c r="D26" s="11">
        <f t="shared" si="2"/>
        <v>3.952</v>
      </c>
      <c r="E26" s="11">
        <f t="shared" si="0"/>
        <v>4.0000000000000001E-3</v>
      </c>
      <c r="F26" s="11">
        <f>D26-(9.9-agent!B$3)*10*E26</f>
        <v>3.9119999999999999</v>
      </c>
    </row>
    <row r="27" spans="1:7" x14ac:dyDescent="0.15">
      <c r="A27" s="11" t="s">
        <v>197</v>
      </c>
      <c r="B27" s="11">
        <v>3.96</v>
      </c>
      <c r="C27" s="11">
        <v>3.556</v>
      </c>
      <c r="D27" s="11">
        <f t="shared" si="2"/>
        <v>3.952</v>
      </c>
      <c r="E27" s="11">
        <f t="shared" si="0"/>
        <v>4.0000000000000001E-3</v>
      </c>
      <c r="F27" s="11">
        <f>D27-(9.9-agent!B$3)*10*E27</f>
        <v>3.9119999999999999</v>
      </c>
    </row>
    <row r="28" spans="1:7" x14ac:dyDescent="0.15">
      <c r="A28" s="11" t="s">
        <v>198</v>
      </c>
      <c r="B28" s="11">
        <v>3.96</v>
      </c>
      <c r="C28" s="11">
        <v>3.556</v>
      </c>
      <c r="D28" s="11">
        <f t="shared" si="2"/>
        <v>3.952</v>
      </c>
      <c r="E28" s="11">
        <f t="shared" si="0"/>
        <v>4.0000000000000001E-3</v>
      </c>
      <c r="F28" s="11">
        <f>D28-(9.9-agent!B$3)*10*E28</f>
        <v>3.9119999999999999</v>
      </c>
    </row>
    <row r="29" spans="1:7" x14ac:dyDescent="0.15">
      <c r="A29" s="11" t="s">
        <v>199</v>
      </c>
      <c r="B29" s="11">
        <v>3.96</v>
      </c>
      <c r="C29" s="11">
        <v>3.556</v>
      </c>
      <c r="D29" s="11">
        <f t="shared" si="2"/>
        <v>3.952</v>
      </c>
      <c r="E29" s="11">
        <f t="shared" si="0"/>
        <v>4.0000000000000001E-3</v>
      </c>
      <c r="F29" s="11">
        <f>D29-(9.9-agent!B$3)*10*E29</f>
        <v>3.9119999999999999</v>
      </c>
    </row>
    <row r="30" spans="1:7" x14ac:dyDescent="0.15">
      <c r="A30" s="11" t="s">
        <v>200</v>
      </c>
      <c r="B30" s="11">
        <v>1.98</v>
      </c>
      <c r="C30" s="11">
        <v>1.778</v>
      </c>
      <c r="D30" s="11">
        <f t="shared" si="2"/>
        <v>1.976</v>
      </c>
      <c r="E30" s="11">
        <f t="shared" si="0"/>
        <v>2E-3</v>
      </c>
      <c r="F30" s="11">
        <f>D30-(9.9-agent!B$3)*10*E30</f>
        <v>1.956</v>
      </c>
    </row>
    <row r="31" spans="1:7" x14ac:dyDescent="0.15">
      <c r="A31" s="11" t="s">
        <v>201</v>
      </c>
      <c r="B31" s="11">
        <v>1.98</v>
      </c>
      <c r="C31" s="11">
        <v>1.778</v>
      </c>
      <c r="D31" s="11">
        <f t="shared" si="2"/>
        <v>1.976</v>
      </c>
      <c r="E31" s="11">
        <f t="shared" si="0"/>
        <v>2E-3</v>
      </c>
      <c r="F31" s="11">
        <f>D31-(9.9-agent!B$3)*10*E31</f>
        <v>1.956</v>
      </c>
    </row>
    <row r="32" spans="1:7" x14ac:dyDescent="0.15">
      <c r="A32" s="11" t="s">
        <v>202</v>
      </c>
      <c r="B32" s="11">
        <v>1.98</v>
      </c>
      <c r="C32" s="11">
        <v>1.778</v>
      </c>
      <c r="D32" s="11">
        <f t="shared" si="2"/>
        <v>1.976</v>
      </c>
      <c r="E32" s="11">
        <f t="shared" si="0"/>
        <v>2E-3</v>
      </c>
      <c r="F32" s="11">
        <f>D32-(9.9-agent!B$3)*10*E32</f>
        <v>1.956</v>
      </c>
    </row>
    <row r="33" spans="1:6" x14ac:dyDescent="0.15">
      <c r="A33" s="11" t="s">
        <v>203</v>
      </c>
      <c r="B33" s="11">
        <v>1.98</v>
      </c>
      <c r="C33" s="11">
        <v>1.778</v>
      </c>
      <c r="D33" s="11">
        <f t="shared" si="2"/>
        <v>1.976</v>
      </c>
      <c r="E33" s="11">
        <f t="shared" si="0"/>
        <v>2E-3</v>
      </c>
      <c r="F33" s="11">
        <f>D33-(9.9-agent!B$3)*10*E33</f>
        <v>1.956</v>
      </c>
    </row>
    <row r="34" spans="1:6" x14ac:dyDescent="0.15">
      <c r="A34" s="11" t="s">
        <v>204</v>
      </c>
      <c r="B34" s="11">
        <v>1.98</v>
      </c>
      <c r="C34" s="11">
        <v>1.778</v>
      </c>
      <c r="D34" s="11">
        <f t="shared" si="2"/>
        <v>1.976</v>
      </c>
      <c r="E34" s="11">
        <f t="shared" si="0"/>
        <v>2E-3</v>
      </c>
      <c r="F34" s="11">
        <f>D34-(9.9-agent!B$3)*10*E34</f>
        <v>1.956</v>
      </c>
    </row>
    <row r="35" spans="1:6" x14ac:dyDescent="0.15">
      <c r="A35" s="11" t="s">
        <v>205</v>
      </c>
      <c r="B35" s="11">
        <v>1.98</v>
      </c>
      <c r="C35" s="11">
        <v>1.778</v>
      </c>
      <c r="D35" s="11">
        <f t="shared" si="2"/>
        <v>1.976</v>
      </c>
      <c r="E35" s="11">
        <f t="shared" si="0"/>
        <v>2E-3</v>
      </c>
      <c r="F35" s="11">
        <f>D35-(9.9-agent!B$3)*10*E35</f>
        <v>1.956</v>
      </c>
    </row>
    <row r="36" spans="1:6" x14ac:dyDescent="0.15">
      <c r="A36" s="12" t="s">
        <v>260</v>
      </c>
      <c r="B36" s="11">
        <v>1.901</v>
      </c>
      <c r="C36" s="11">
        <v>1.7070000000000001</v>
      </c>
      <c r="D36" s="11">
        <f t="shared" ref="D36:D39" si="3">E36*99+C36</f>
        <v>1.806</v>
      </c>
      <c r="E36" s="11">
        <f t="shared" ref="E36:E39" si="4">TRUNC((B36-C36)/99,3)</f>
        <v>1E-3</v>
      </c>
      <c r="F36" s="11">
        <f>D36-(9.9-agent!B$3)*10*E36</f>
        <v>1.796</v>
      </c>
    </row>
    <row r="37" spans="1:6" x14ac:dyDescent="0.15">
      <c r="A37" s="12" t="s">
        <v>261</v>
      </c>
      <c r="B37" s="11">
        <v>1.98</v>
      </c>
      <c r="C37" s="11">
        <v>1.778</v>
      </c>
      <c r="D37" s="11">
        <f t="shared" si="3"/>
        <v>1.976</v>
      </c>
      <c r="E37" s="11">
        <f t="shared" si="4"/>
        <v>2E-3</v>
      </c>
      <c r="F37" s="11">
        <f>D37-(9.9-agent!B$3)*10*E37</f>
        <v>1.956</v>
      </c>
    </row>
    <row r="38" spans="1:6" x14ac:dyDescent="0.15">
      <c r="A38" s="12" t="s">
        <v>262</v>
      </c>
      <c r="B38" s="11">
        <v>1.901</v>
      </c>
      <c r="C38" s="11">
        <v>1.7070000000000001</v>
      </c>
      <c r="D38" s="11">
        <f t="shared" si="3"/>
        <v>1.806</v>
      </c>
      <c r="E38" s="11">
        <f t="shared" si="4"/>
        <v>1E-3</v>
      </c>
      <c r="F38" s="11">
        <f>D38-(9.9-agent!B$3)*10*E38</f>
        <v>1.796</v>
      </c>
    </row>
    <row r="39" spans="1:6" x14ac:dyDescent="0.15">
      <c r="A39" s="12" t="s">
        <v>263</v>
      </c>
      <c r="B39" s="11">
        <v>1.98</v>
      </c>
      <c r="C39" s="11">
        <v>1.778</v>
      </c>
      <c r="D39" s="11">
        <f t="shared" si="3"/>
        <v>1.976</v>
      </c>
      <c r="E39" s="11">
        <f t="shared" si="4"/>
        <v>2E-3</v>
      </c>
      <c r="F39" s="11">
        <f>D39-(9.9-agent!B$3)*10*E39</f>
        <v>1.956</v>
      </c>
    </row>
    <row r="40" spans="1:6" x14ac:dyDescent="0.15">
      <c r="A40" s="11" t="s">
        <v>206</v>
      </c>
      <c r="B40" s="11">
        <v>2.7949999999999999</v>
      </c>
      <c r="C40" s="11">
        <v>2.5099999999999998</v>
      </c>
      <c r="D40" s="11">
        <f t="shared" si="2"/>
        <v>2.7079999999999997</v>
      </c>
      <c r="E40" s="11">
        <f t="shared" si="0"/>
        <v>2E-3</v>
      </c>
      <c r="F40" s="11">
        <f>D40-(9.9-agent!B$3)*10*E40</f>
        <v>2.6879999999999997</v>
      </c>
    </row>
    <row r="41" spans="1:6" x14ac:dyDescent="0.15">
      <c r="A41" s="11" t="s">
        <v>207</v>
      </c>
      <c r="B41" s="11">
        <v>2.97</v>
      </c>
      <c r="C41" s="11">
        <v>2.6669999999999998</v>
      </c>
      <c r="D41" s="11">
        <f t="shared" si="2"/>
        <v>2.964</v>
      </c>
      <c r="E41" s="11">
        <f t="shared" si="0"/>
        <v>3.0000000000000001E-3</v>
      </c>
      <c r="F41" s="11">
        <f>D41-(9.9-agent!B$3)*10*E41</f>
        <v>2.9340000000000002</v>
      </c>
    </row>
    <row r="42" spans="1:6" x14ac:dyDescent="0.15">
      <c r="A42" s="11" t="s">
        <v>208</v>
      </c>
      <c r="B42" s="11">
        <v>663.26</v>
      </c>
      <c r="C42" s="11">
        <v>572.05999999999995</v>
      </c>
      <c r="D42" s="11">
        <f t="shared" si="2"/>
        <v>663.23899999999992</v>
      </c>
      <c r="E42" s="11">
        <f t="shared" si="0"/>
        <v>0.92100000000000004</v>
      </c>
      <c r="F42" s="11">
        <f>D42-(9.9-agent!B$3)*10*E42</f>
        <v>654.02899999999988</v>
      </c>
    </row>
    <row r="43" spans="1:6" x14ac:dyDescent="0.15">
      <c r="A43" s="11" t="s">
        <v>209</v>
      </c>
      <c r="B43" s="11">
        <v>20.88</v>
      </c>
      <c r="C43" s="11">
        <v>18.440000000000001</v>
      </c>
      <c r="D43" s="11">
        <f t="shared" si="2"/>
        <v>20.816000000000003</v>
      </c>
      <c r="E43" s="11">
        <f t="shared" si="0"/>
        <v>2.4E-2</v>
      </c>
      <c r="F43" s="11">
        <f>D43-(9.9-agent!B$3)*10*E43</f>
        <v>20.576000000000004</v>
      </c>
    </row>
    <row r="44" spans="1:6" x14ac:dyDescent="0.15">
      <c r="A44" s="11" t="s">
        <v>210</v>
      </c>
      <c r="B44" s="11">
        <v>109.62</v>
      </c>
      <c r="C44" s="11">
        <v>96.85</v>
      </c>
      <c r="D44" s="11">
        <f t="shared" si="2"/>
        <v>109.52199999999999</v>
      </c>
      <c r="E44" s="11">
        <f t="shared" si="0"/>
        <v>0.128</v>
      </c>
      <c r="F44" s="11">
        <f>D44-(9.9-agent!B$3)*10*E44</f>
        <v>108.24199999999999</v>
      </c>
    </row>
    <row r="45" spans="1:6" x14ac:dyDescent="0.15">
      <c r="A45" s="11" t="s">
        <v>211</v>
      </c>
      <c r="B45" s="11">
        <v>66.64</v>
      </c>
      <c r="C45" s="11">
        <v>58.87</v>
      </c>
      <c r="D45" s="11">
        <f t="shared" si="2"/>
        <v>66.591999999999999</v>
      </c>
      <c r="E45" s="11">
        <f t="shared" si="0"/>
        <v>7.8E-2</v>
      </c>
      <c r="F45" s="11">
        <f>D45-(9.9-agent!B$3)*10*E45</f>
        <v>65.811999999999998</v>
      </c>
    </row>
    <row r="46" spans="1:6" x14ac:dyDescent="0.15">
      <c r="A46" s="11" t="s">
        <v>212</v>
      </c>
      <c r="B46" s="11">
        <v>53.31</v>
      </c>
      <c r="C46" s="11">
        <v>47.1</v>
      </c>
      <c r="D46" s="11">
        <f t="shared" si="2"/>
        <v>53.238</v>
      </c>
      <c r="E46" s="11">
        <f t="shared" si="0"/>
        <v>6.2E-2</v>
      </c>
      <c r="F46" s="11">
        <f>D46-(9.9-agent!B$3)*10*E46</f>
        <v>52.618000000000002</v>
      </c>
    </row>
    <row r="47" spans="1:6" x14ac:dyDescent="0.15">
      <c r="A47" s="11" t="s">
        <v>213</v>
      </c>
      <c r="B47" s="11">
        <v>33.32</v>
      </c>
      <c r="C47" s="11">
        <v>29.43</v>
      </c>
      <c r="D47" s="11">
        <f t="shared" si="2"/>
        <v>33.290999999999997</v>
      </c>
      <c r="E47" s="11">
        <f t="shared" si="0"/>
        <v>3.9E-2</v>
      </c>
      <c r="F47" s="11">
        <f>D47-(9.9-agent!B$3)*10*E47</f>
        <v>32.900999999999996</v>
      </c>
    </row>
    <row r="48" spans="1:6" x14ac:dyDescent="0.15">
      <c r="A48" s="11" t="s">
        <v>214</v>
      </c>
      <c r="B48" s="11">
        <v>160.72</v>
      </c>
      <c r="C48" s="11">
        <v>141.31</v>
      </c>
      <c r="D48" s="11">
        <f t="shared" si="2"/>
        <v>160.714</v>
      </c>
      <c r="E48" s="11">
        <f t="shared" si="0"/>
        <v>0.19600000000000001</v>
      </c>
      <c r="F48" s="11">
        <f>D48-(9.9-agent!B$3)*10*E48</f>
        <v>158.75399999999999</v>
      </c>
    </row>
    <row r="49" spans="1:7" x14ac:dyDescent="0.15">
      <c r="A49" s="24" t="s">
        <v>215</v>
      </c>
      <c r="B49" s="24">
        <v>6.65</v>
      </c>
      <c r="C49" s="24">
        <v>5.9569999999999999</v>
      </c>
      <c r="D49" s="24">
        <f t="shared" si="2"/>
        <v>6.65</v>
      </c>
      <c r="E49" s="24">
        <f t="shared" si="0"/>
        <v>7.0000000000000001E-3</v>
      </c>
      <c r="F49" s="11">
        <f>IF(ISNUMBER(FIND(LHCSource!Q$22,A49,1)),D49-(9.9-agent!B$3)*10*E49,0)</f>
        <v>0</v>
      </c>
      <c r="G49">
        <f t="shared" ref="G49:G68" si="5">IF(F49=0,0,E49)</f>
        <v>0</v>
      </c>
    </row>
    <row r="50" spans="1:7" x14ac:dyDescent="0.15">
      <c r="A50" s="11" t="s">
        <v>216</v>
      </c>
      <c r="B50" s="11">
        <v>4.6550000000000002</v>
      </c>
      <c r="C50" s="11">
        <v>4.1689999999999996</v>
      </c>
      <c r="D50" s="11">
        <f t="shared" si="2"/>
        <v>4.5649999999999995</v>
      </c>
      <c r="E50" s="11">
        <f t="shared" si="0"/>
        <v>4.0000000000000001E-3</v>
      </c>
      <c r="F50" s="11">
        <f>IF(ISNUMBER(FIND(LHCSource!Q$22,A50,1)),D50-(9.9-agent!B$3)*10*E50,0)</f>
        <v>0</v>
      </c>
      <c r="G50">
        <f t="shared" si="5"/>
        <v>0</v>
      </c>
    </row>
    <row r="51" spans="1:7" x14ac:dyDescent="0.15">
      <c r="A51" s="11" t="s">
        <v>217</v>
      </c>
      <c r="B51" s="11">
        <v>5.8179999999999996</v>
      </c>
      <c r="C51" s="11">
        <v>5.2119999999999997</v>
      </c>
      <c r="D51" s="11">
        <f t="shared" si="2"/>
        <v>5.806</v>
      </c>
      <c r="E51" s="11">
        <f t="shared" si="0"/>
        <v>6.0000000000000001E-3</v>
      </c>
      <c r="F51" s="11">
        <f>IF(ISNUMBER(FIND(LHCSource!R$22,A51,1)),D51-(9.9-agent!B$3)*10*E51,0)</f>
        <v>0</v>
      </c>
      <c r="G51">
        <f t="shared" si="5"/>
        <v>0</v>
      </c>
    </row>
    <row r="52" spans="1:7" x14ac:dyDescent="0.15">
      <c r="A52" s="11" t="s">
        <v>218</v>
      </c>
      <c r="B52" s="11">
        <v>5.1719999999999997</v>
      </c>
      <c r="C52" s="11">
        <v>4.633</v>
      </c>
      <c r="D52" s="11">
        <f t="shared" si="2"/>
        <v>5.1280000000000001</v>
      </c>
      <c r="E52" s="11">
        <f t="shared" si="0"/>
        <v>5.0000000000000001E-3</v>
      </c>
      <c r="F52" s="11">
        <f>IF(ISNUMBER(FIND(LHCSource!R$22,A52,1)),D52-(9.9-agent!B$3)*10*E52,0)</f>
        <v>0</v>
      </c>
      <c r="G52">
        <f t="shared" si="5"/>
        <v>0</v>
      </c>
    </row>
    <row r="53" spans="1:7" x14ac:dyDescent="0.15">
      <c r="A53" s="11" t="s">
        <v>219</v>
      </c>
      <c r="B53" s="11">
        <v>5.1719999999999997</v>
      </c>
      <c r="C53" s="11">
        <v>4.633</v>
      </c>
      <c r="D53" s="11">
        <f t="shared" si="2"/>
        <v>5.1280000000000001</v>
      </c>
      <c r="E53" s="11">
        <f t="shared" si="0"/>
        <v>5.0000000000000001E-3</v>
      </c>
      <c r="F53" s="11">
        <f>IF(ISNUMBER(FIND(LHCSource!S$22,A53,1)),D53-(9.9-agent!B$3)*10*E53,0)</f>
        <v>0</v>
      </c>
      <c r="G53">
        <f t="shared" si="5"/>
        <v>0</v>
      </c>
    </row>
    <row r="54" spans="1:7" x14ac:dyDescent="0.15">
      <c r="A54" s="11" t="s">
        <v>220</v>
      </c>
      <c r="B54" s="11">
        <v>5.8179999999999996</v>
      </c>
      <c r="C54" s="11">
        <v>5.2119999999999997</v>
      </c>
      <c r="D54" s="11">
        <f t="shared" si="2"/>
        <v>5.806</v>
      </c>
      <c r="E54" s="11">
        <f t="shared" si="0"/>
        <v>6.0000000000000001E-3</v>
      </c>
      <c r="F54" s="11">
        <f>IF(ISNUMBER(FIND(LHCSource!S$22,A54,1)),D54-(9.9-agent!B$3)*10*E54,0)</f>
        <v>0</v>
      </c>
      <c r="G54">
        <f t="shared" si="5"/>
        <v>0</v>
      </c>
    </row>
    <row r="55" spans="1:7" x14ac:dyDescent="0.15">
      <c r="A55" s="11" t="s">
        <v>221</v>
      </c>
      <c r="B55" s="11">
        <v>5.8179999999999996</v>
      </c>
      <c r="C55" s="11">
        <v>5.2119999999999997</v>
      </c>
      <c r="D55" s="11">
        <f t="shared" si="2"/>
        <v>5.806</v>
      </c>
      <c r="E55" s="11">
        <f t="shared" si="0"/>
        <v>6.0000000000000001E-3</v>
      </c>
      <c r="F55" s="11">
        <f>IF(ISNUMBER(FIND(LHCSource!Q$22,A55,1)),D55-(9.9-agent!B$3)*10*E55,0)</f>
        <v>0</v>
      </c>
      <c r="G55">
        <f t="shared" si="5"/>
        <v>0</v>
      </c>
    </row>
    <row r="56" spans="1:7" x14ac:dyDescent="0.15">
      <c r="A56" s="11" t="s">
        <v>222</v>
      </c>
      <c r="B56" s="11">
        <v>6.65</v>
      </c>
      <c r="C56" s="11">
        <v>5.9569999999999999</v>
      </c>
      <c r="D56" s="11">
        <f t="shared" si="2"/>
        <v>6.65</v>
      </c>
      <c r="E56" s="11">
        <f t="shared" si="0"/>
        <v>7.0000000000000001E-3</v>
      </c>
      <c r="F56" s="11">
        <f>IF(ISNUMBER(FIND(LHCSource!Q$22,A56,1)),D56-(9.9-agent!B$3)*10*E56,0)</f>
        <v>6.58</v>
      </c>
      <c r="G56">
        <f t="shared" si="5"/>
        <v>7.0000000000000001E-3</v>
      </c>
    </row>
    <row r="57" spans="1:7" x14ac:dyDescent="0.15">
      <c r="A57" s="11" t="s">
        <v>223</v>
      </c>
      <c r="B57" s="11">
        <v>5.8179999999999996</v>
      </c>
      <c r="C57" s="11">
        <v>5.2119999999999997</v>
      </c>
      <c r="D57" s="11">
        <f t="shared" si="2"/>
        <v>5.806</v>
      </c>
      <c r="E57" s="11">
        <f t="shared" si="0"/>
        <v>6.0000000000000001E-3</v>
      </c>
      <c r="F57" s="11">
        <f>IF(ISNUMBER(FIND(LHCSource!R$22,A57,1)),D57-(9.9-agent!B$3)*10*E57,0)</f>
        <v>0</v>
      </c>
      <c r="G57">
        <f t="shared" si="5"/>
        <v>0</v>
      </c>
    </row>
    <row r="58" spans="1:7" x14ac:dyDescent="0.15">
      <c r="A58" s="11" t="s">
        <v>224</v>
      </c>
      <c r="B58" s="11">
        <v>6.65</v>
      </c>
      <c r="C58" s="11">
        <v>5.9569999999999999</v>
      </c>
      <c r="D58" s="11">
        <f t="shared" si="2"/>
        <v>6.65</v>
      </c>
      <c r="E58" s="11">
        <f t="shared" si="0"/>
        <v>7.0000000000000001E-3</v>
      </c>
      <c r="F58" s="11">
        <f>IF(ISNUMBER(FIND(LHCSource!R$22,A58,1)),D58-(9.9-agent!B$3)*10*E58,0)</f>
        <v>6.58</v>
      </c>
      <c r="G58">
        <f t="shared" si="5"/>
        <v>7.0000000000000001E-3</v>
      </c>
    </row>
    <row r="59" spans="1:7" x14ac:dyDescent="0.15">
      <c r="A59" s="11" t="s">
        <v>225</v>
      </c>
      <c r="B59" s="11">
        <v>6.65</v>
      </c>
      <c r="C59" s="11">
        <v>5.9569999999999999</v>
      </c>
      <c r="D59" s="11">
        <f t="shared" si="2"/>
        <v>6.65</v>
      </c>
      <c r="E59" s="11">
        <f t="shared" si="0"/>
        <v>7.0000000000000001E-3</v>
      </c>
      <c r="F59" s="11">
        <f>IF(ISNUMBER(FIND(LHCSource!S$22,A59,1)),D59-(9.9-agent!B$3)*10*E59,0)</f>
        <v>6.58</v>
      </c>
      <c r="G59">
        <f t="shared" si="5"/>
        <v>7.0000000000000001E-3</v>
      </c>
    </row>
    <row r="60" spans="1:7" x14ac:dyDescent="0.15">
      <c r="A60" s="11" t="s">
        <v>226</v>
      </c>
      <c r="B60" s="11">
        <v>5.8179999999999996</v>
      </c>
      <c r="C60" s="11">
        <v>5.2119999999999997</v>
      </c>
      <c r="D60" s="11">
        <f t="shared" si="2"/>
        <v>5.806</v>
      </c>
      <c r="E60" s="11">
        <f t="shared" si="0"/>
        <v>6.0000000000000001E-3</v>
      </c>
      <c r="F60" s="11">
        <f>IF(ISNUMBER(FIND(LHCSource!S$22,A60,1)),D60-(9.9-agent!B$3)*10*E60,0)</f>
        <v>0</v>
      </c>
      <c r="G60">
        <f t="shared" si="5"/>
        <v>0</v>
      </c>
    </row>
    <row r="61" spans="1:7" x14ac:dyDescent="0.15">
      <c r="A61" s="11" t="s">
        <v>227</v>
      </c>
      <c r="B61" s="11">
        <v>5.1719999999999997</v>
      </c>
      <c r="C61" s="11">
        <v>4.633</v>
      </c>
      <c r="D61" s="11">
        <f t="shared" si="2"/>
        <v>5.1280000000000001</v>
      </c>
      <c r="E61" s="11">
        <f t="shared" si="0"/>
        <v>5.0000000000000001E-3</v>
      </c>
      <c r="F61" s="11">
        <f>IF(ISNUMBER(FIND(LHCSource!Q$22,A61,1)),D61-(9.9-agent!B$3)*10*E61,0)</f>
        <v>0</v>
      </c>
      <c r="G61">
        <f t="shared" si="5"/>
        <v>0</v>
      </c>
    </row>
    <row r="62" spans="1:7" x14ac:dyDescent="0.15">
      <c r="A62" s="11" t="s">
        <v>228</v>
      </c>
      <c r="B62" s="11">
        <v>6.65</v>
      </c>
      <c r="C62" s="11">
        <v>5.9569999999999999</v>
      </c>
      <c r="D62" s="11">
        <f t="shared" si="2"/>
        <v>6.65</v>
      </c>
      <c r="E62" s="11">
        <f t="shared" si="0"/>
        <v>7.0000000000000001E-3</v>
      </c>
      <c r="F62" s="11">
        <f>IF(ISNUMBER(FIND(LHCSource!Q$22,A62,1)),D62-(9.9-agent!B$3)*10*E62,0)</f>
        <v>0</v>
      </c>
      <c r="G62">
        <f t="shared" si="5"/>
        <v>0</v>
      </c>
    </row>
    <row r="63" spans="1:7" x14ac:dyDescent="0.15">
      <c r="A63" s="11" t="s">
        <v>229</v>
      </c>
      <c r="B63" s="11">
        <v>5.8179999999999996</v>
      </c>
      <c r="C63" s="11">
        <v>5.2119999999999997</v>
      </c>
      <c r="D63" s="11">
        <f t="shared" si="2"/>
        <v>5.806</v>
      </c>
      <c r="E63" s="11">
        <f t="shared" si="0"/>
        <v>6.0000000000000001E-3</v>
      </c>
      <c r="F63" s="11">
        <f>IF(ISNUMBER(FIND(LHCSource!R$22,A63,1)),D63-(9.9-agent!B$3)*10*E63,0)</f>
        <v>0</v>
      </c>
      <c r="G63">
        <f t="shared" si="5"/>
        <v>0</v>
      </c>
    </row>
    <row r="64" spans="1:7" x14ac:dyDescent="0.15">
      <c r="A64" s="11" t="s">
        <v>230</v>
      </c>
      <c r="B64" s="11">
        <v>5.8179999999999996</v>
      </c>
      <c r="C64" s="11">
        <v>5.2119999999999997</v>
      </c>
      <c r="D64" s="11">
        <f t="shared" si="2"/>
        <v>5.806</v>
      </c>
      <c r="E64" s="11">
        <f t="shared" si="0"/>
        <v>6.0000000000000001E-3</v>
      </c>
      <c r="F64" s="11">
        <f>IF(ISNUMBER(FIND(LHCSource!R$22,A64,1)),D64-(9.9-agent!B$3)*10*E64,0)</f>
        <v>0</v>
      </c>
      <c r="G64">
        <f t="shared" si="5"/>
        <v>0</v>
      </c>
    </row>
    <row r="65" spans="1:7" x14ac:dyDescent="0.15">
      <c r="A65" s="11" t="s">
        <v>231</v>
      </c>
      <c r="B65" s="11">
        <v>5.8179999999999996</v>
      </c>
      <c r="C65" s="11">
        <v>5.2119999999999997</v>
      </c>
      <c r="D65" s="11">
        <f t="shared" si="2"/>
        <v>5.806</v>
      </c>
      <c r="E65" s="11">
        <f t="shared" si="0"/>
        <v>6.0000000000000001E-3</v>
      </c>
      <c r="F65" s="11">
        <f>IF(ISNUMBER(FIND(LHCSource!S$22,A65,1)),D65-(9.9-agent!B$3)*10*E65,0)</f>
        <v>0</v>
      </c>
      <c r="G65">
        <f t="shared" si="5"/>
        <v>0</v>
      </c>
    </row>
    <row r="66" spans="1:7" x14ac:dyDescent="0.15">
      <c r="A66" s="11" t="s">
        <v>232</v>
      </c>
      <c r="B66" s="11">
        <v>5.8179999999999996</v>
      </c>
      <c r="C66" s="11">
        <v>5.2119999999999997</v>
      </c>
      <c r="D66" s="11">
        <f t="shared" si="2"/>
        <v>5.806</v>
      </c>
      <c r="E66" s="11">
        <f t="shared" si="0"/>
        <v>6.0000000000000001E-3</v>
      </c>
      <c r="F66" s="11">
        <f>IF(ISNUMBER(FIND(LHCSource!S$22,A66,1)),D66-(9.9-agent!B$3)*10*E66,0)</f>
        <v>0</v>
      </c>
      <c r="G66">
        <f t="shared" si="5"/>
        <v>0</v>
      </c>
    </row>
    <row r="67" spans="1:7" x14ac:dyDescent="0.15">
      <c r="A67" s="11" t="s">
        <v>233</v>
      </c>
      <c r="B67" s="11">
        <v>9.31</v>
      </c>
      <c r="C67" s="11">
        <v>8.33</v>
      </c>
      <c r="D67" s="11">
        <f t="shared" si="2"/>
        <v>9.2210000000000001</v>
      </c>
      <c r="E67" s="11">
        <f t="shared" si="0"/>
        <v>8.9999999999999993E-3</v>
      </c>
      <c r="F67" s="11">
        <f ca="1">IF(EXACT(LHCSource!P$28,H$2),D67-(9.9-agent!B$3)*10*E67,0)</f>
        <v>0</v>
      </c>
      <c r="G67">
        <f t="shared" ca="1" si="5"/>
        <v>0</v>
      </c>
    </row>
    <row r="68" spans="1:7" x14ac:dyDescent="0.15">
      <c r="A68" s="11" t="s">
        <v>234</v>
      </c>
      <c r="B68" s="11">
        <v>11.63</v>
      </c>
      <c r="C68" s="11">
        <v>10.42</v>
      </c>
      <c r="D68" s="11">
        <f t="shared" si="2"/>
        <v>11.608000000000001</v>
      </c>
      <c r="E68" s="11">
        <f t="shared" si="0"/>
        <v>1.2E-2</v>
      </c>
      <c r="F68" s="11">
        <f ca="1">IF(EXACT(LHCSource!P$28,H$2),0,D68-(9.9-agent!B$3)*10*E68)</f>
        <v>11.488000000000001</v>
      </c>
      <c r="G68">
        <f t="shared" ca="1" si="5"/>
        <v>1.2E-2</v>
      </c>
    </row>
    <row r="69" spans="1:7" x14ac:dyDescent="0.15">
      <c r="A69" s="11" t="s">
        <v>235</v>
      </c>
      <c r="B69" s="11">
        <v>1.7150000000000001</v>
      </c>
      <c r="C69" s="11">
        <v>1.536</v>
      </c>
      <c r="D69" s="11">
        <f t="shared" si="2"/>
        <v>1.635</v>
      </c>
      <c r="E69" s="11">
        <f t="shared" si="0"/>
        <v>1E-3</v>
      </c>
      <c r="F69" s="11">
        <f>D69-(9.9-agent!B$3)*10*E69</f>
        <v>1.625</v>
      </c>
    </row>
    <row r="70" spans="1:7" x14ac:dyDescent="0.15">
      <c r="A70" s="11" t="s">
        <v>236</v>
      </c>
      <c r="B70" s="11">
        <v>2.0129999999999999</v>
      </c>
      <c r="C70" s="11">
        <v>1.804</v>
      </c>
      <c r="D70" s="11">
        <f t="shared" si="2"/>
        <v>2.0020000000000002</v>
      </c>
      <c r="E70" s="11">
        <f t="shared" si="0"/>
        <v>2E-3</v>
      </c>
      <c r="F70" s="11">
        <f>D70-(9.9-agent!B$3)*10*E70</f>
        <v>1.9820000000000002</v>
      </c>
    </row>
    <row r="71" spans="1:7" x14ac:dyDescent="0.15">
      <c r="A71" s="11" t="s">
        <v>237</v>
      </c>
      <c r="B71" s="11">
        <v>3.62</v>
      </c>
      <c r="C71" s="11">
        <v>3.21</v>
      </c>
      <c r="D71" s="11">
        <f t="shared" si="2"/>
        <v>3.6059999999999999</v>
      </c>
      <c r="E71" s="11">
        <f t="shared" ref="E71:E91" si="6">TRUNC((B71-C71)/99,3)</f>
        <v>4.0000000000000001E-3</v>
      </c>
      <c r="F71" s="11">
        <f>D71-(9.9-agent!B$3)*10*E71</f>
        <v>3.5659999999999998</v>
      </c>
    </row>
    <row r="72" spans="1:7" x14ac:dyDescent="0.15">
      <c r="A72" s="11" t="s">
        <v>238</v>
      </c>
      <c r="B72" s="11">
        <v>4.28</v>
      </c>
      <c r="C72" s="11">
        <v>3.8</v>
      </c>
      <c r="D72" s="11">
        <f t="shared" si="2"/>
        <v>4.1959999999999997</v>
      </c>
      <c r="E72" s="11">
        <f t="shared" si="6"/>
        <v>4.0000000000000001E-3</v>
      </c>
      <c r="F72" s="11">
        <f>D72-(9.9-agent!B$3)*10*E72</f>
        <v>4.1559999999999997</v>
      </c>
    </row>
    <row r="73" spans="1:7" x14ac:dyDescent="0.15">
      <c r="A73" s="11" t="s">
        <v>239</v>
      </c>
      <c r="B73" s="11">
        <v>9.17</v>
      </c>
      <c r="C73" s="11">
        <v>8.1300000000000008</v>
      </c>
      <c r="D73" s="11">
        <f t="shared" si="2"/>
        <v>9.120000000000001</v>
      </c>
      <c r="E73" s="11">
        <f t="shared" si="6"/>
        <v>0.01</v>
      </c>
      <c r="F73" s="11">
        <f>D73-(9.9-agent!B$3)*10*E73</f>
        <v>9.0200000000000014</v>
      </c>
    </row>
    <row r="74" spans="1:7" x14ac:dyDescent="0.15">
      <c r="A74" s="11" t="s">
        <v>240</v>
      </c>
      <c r="B74" s="11">
        <v>10.93</v>
      </c>
      <c r="C74" s="11">
        <v>9.6999999999999993</v>
      </c>
      <c r="D74" s="11">
        <f t="shared" si="2"/>
        <v>10.888</v>
      </c>
      <c r="E74" s="11">
        <f t="shared" si="6"/>
        <v>1.2E-2</v>
      </c>
      <c r="F74" s="11">
        <f>D74-(9.9-agent!B$3)*10*E74</f>
        <v>10.768000000000001</v>
      </c>
    </row>
    <row r="75" spans="1:7" x14ac:dyDescent="0.15">
      <c r="A75" s="11" t="s">
        <v>241</v>
      </c>
      <c r="B75" s="11">
        <v>26.57</v>
      </c>
      <c r="C75" s="11">
        <v>23.58</v>
      </c>
      <c r="D75" s="11">
        <f t="shared" ref="D75:D92" si="7">E75*99+C75</f>
        <v>26.549999999999997</v>
      </c>
      <c r="E75" s="11">
        <f t="shared" si="6"/>
        <v>0.03</v>
      </c>
      <c r="F75" s="11">
        <f>D75-(9.9-agent!B$3)*10*E75</f>
        <v>26.249999999999996</v>
      </c>
    </row>
    <row r="76" spans="1:7" x14ac:dyDescent="0.15">
      <c r="A76" s="11" t="s">
        <v>242</v>
      </c>
      <c r="B76" s="11">
        <v>31.97</v>
      </c>
      <c r="C76" s="11">
        <v>28.38</v>
      </c>
      <c r="D76" s="11">
        <f t="shared" si="7"/>
        <v>31.943999999999999</v>
      </c>
      <c r="E76" s="11">
        <f t="shared" si="6"/>
        <v>3.5999999999999997E-2</v>
      </c>
      <c r="F76" s="11">
        <f>D76-(9.9-agent!B$3)*10*E76</f>
        <v>31.584</v>
      </c>
    </row>
    <row r="77" spans="1:7" x14ac:dyDescent="0.15">
      <c r="A77" s="11" t="s">
        <v>243</v>
      </c>
      <c r="B77" s="11">
        <v>5.17</v>
      </c>
      <c r="C77" s="11">
        <v>4.63</v>
      </c>
      <c r="D77" s="11">
        <f t="shared" si="7"/>
        <v>5.125</v>
      </c>
      <c r="E77" s="11">
        <f t="shared" si="6"/>
        <v>5.0000000000000001E-3</v>
      </c>
      <c r="F77" s="11">
        <f>D77-(9.9-agent!B$3)*10*E77</f>
        <v>5.0750000000000002</v>
      </c>
    </row>
    <row r="78" spans="1:7" x14ac:dyDescent="0.15">
      <c r="A78" s="11" t="s">
        <v>244</v>
      </c>
      <c r="B78" s="11">
        <v>4.6500000000000004</v>
      </c>
      <c r="C78" s="11">
        <v>4.16</v>
      </c>
      <c r="D78" s="11">
        <f t="shared" si="7"/>
        <v>4.556</v>
      </c>
      <c r="E78" s="11">
        <f t="shared" si="6"/>
        <v>4.0000000000000001E-3</v>
      </c>
      <c r="F78" s="11">
        <f>D78-(9.9-agent!B$3)*10*E78</f>
        <v>4.516</v>
      </c>
    </row>
    <row r="79" spans="1:7" x14ac:dyDescent="0.15">
      <c r="A79" s="11" t="s">
        <v>245</v>
      </c>
      <c r="B79" s="11">
        <v>11.63</v>
      </c>
      <c r="C79" s="11">
        <v>10.42</v>
      </c>
      <c r="D79" s="11">
        <f t="shared" si="7"/>
        <v>11.608000000000001</v>
      </c>
      <c r="E79" s="11">
        <f t="shared" si="6"/>
        <v>1.2E-2</v>
      </c>
      <c r="F79" s="11">
        <f>D79-(9.9-agent!B$3)*10*E79</f>
        <v>11.488000000000001</v>
      </c>
    </row>
    <row r="80" spans="1:7" x14ac:dyDescent="0.15">
      <c r="A80" s="11" t="s">
        <v>246</v>
      </c>
      <c r="B80" s="11">
        <v>9.31</v>
      </c>
      <c r="C80" s="11">
        <v>8.33</v>
      </c>
      <c r="D80" s="11">
        <f t="shared" si="7"/>
        <v>9.2210000000000001</v>
      </c>
      <c r="E80" s="11">
        <f t="shared" si="6"/>
        <v>8.9999999999999993E-3</v>
      </c>
      <c r="F80" s="11">
        <f>D80-(9.9-agent!B$3)*10*E80</f>
        <v>9.1310000000000002</v>
      </c>
    </row>
    <row r="81" spans="1:6" x14ac:dyDescent="0.15">
      <c r="A81" s="11" t="s">
        <v>247</v>
      </c>
      <c r="B81" s="11">
        <v>3.62</v>
      </c>
      <c r="C81" s="11">
        <v>3.21</v>
      </c>
      <c r="D81" s="11">
        <f t="shared" si="7"/>
        <v>3.6059999999999999</v>
      </c>
      <c r="E81" s="11">
        <f t="shared" si="6"/>
        <v>4.0000000000000001E-3</v>
      </c>
      <c r="F81" s="11">
        <f>D81-(9.9-agent!B$3)*10*E81</f>
        <v>3.5659999999999998</v>
      </c>
    </row>
    <row r="82" spans="1:6" x14ac:dyDescent="0.15">
      <c r="A82" s="11" t="s">
        <v>248</v>
      </c>
      <c r="B82" s="11">
        <v>3.06</v>
      </c>
      <c r="C82" s="11">
        <v>2.72</v>
      </c>
      <c r="D82" s="11">
        <f t="shared" si="7"/>
        <v>3.0170000000000003</v>
      </c>
      <c r="E82" s="11">
        <f t="shared" si="6"/>
        <v>3.0000000000000001E-3</v>
      </c>
      <c r="F82" s="11">
        <f>D82-(9.9-agent!B$3)*10*E82</f>
        <v>2.9870000000000005</v>
      </c>
    </row>
    <row r="83" spans="1:6" x14ac:dyDescent="0.15">
      <c r="A83" s="11" t="s">
        <v>249</v>
      </c>
      <c r="B83" s="11">
        <v>7.69</v>
      </c>
      <c r="C83" s="11">
        <v>6.82</v>
      </c>
      <c r="D83" s="11">
        <f t="shared" si="7"/>
        <v>7.6120000000000001</v>
      </c>
      <c r="E83" s="11">
        <f t="shared" si="6"/>
        <v>8.0000000000000002E-3</v>
      </c>
      <c r="F83" s="11">
        <f>D83-(9.9-agent!B$3)*10*E83</f>
        <v>7.532</v>
      </c>
    </row>
    <row r="84" spans="1:6" x14ac:dyDescent="0.15">
      <c r="A84" s="11" t="s">
        <v>250</v>
      </c>
      <c r="B84" s="11">
        <v>6.45</v>
      </c>
      <c r="C84" s="11">
        <v>5.73</v>
      </c>
      <c r="D84" s="11">
        <f t="shared" si="7"/>
        <v>6.423</v>
      </c>
      <c r="E84" s="11">
        <f t="shared" si="6"/>
        <v>7.0000000000000001E-3</v>
      </c>
      <c r="F84" s="11">
        <f>D84-(9.9-agent!B$3)*10*E84</f>
        <v>6.3529999999999998</v>
      </c>
    </row>
    <row r="85" spans="1:6" x14ac:dyDescent="0.15">
      <c r="A85" s="11" t="s">
        <v>251</v>
      </c>
      <c r="B85" s="11">
        <v>18.36</v>
      </c>
      <c r="C85" s="11">
        <v>16.3</v>
      </c>
      <c r="D85" s="11">
        <f t="shared" si="7"/>
        <v>18.28</v>
      </c>
      <c r="E85" s="11">
        <f t="shared" si="6"/>
        <v>0.02</v>
      </c>
      <c r="F85" s="11">
        <f>D85-(9.9-agent!B$3)*10*E85</f>
        <v>18.080000000000002</v>
      </c>
    </row>
    <row r="86" spans="1:6" x14ac:dyDescent="0.15">
      <c r="A86" s="11" t="s">
        <v>252</v>
      </c>
      <c r="B86" s="11">
        <v>15.28</v>
      </c>
      <c r="C86" s="11">
        <v>13.56</v>
      </c>
      <c r="D86" s="11">
        <f t="shared" si="7"/>
        <v>15.243</v>
      </c>
      <c r="E86" s="11">
        <f t="shared" si="6"/>
        <v>1.7000000000000001E-2</v>
      </c>
      <c r="F86" s="11">
        <f>D86-(9.9-agent!B$3)*10*E86</f>
        <v>15.073</v>
      </c>
    </row>
    <row r="87" spans="1:6" x14ac:dyDescent="0.15">
      <c r="A87" s="11" t="s">
        <v>253</v>
      </c>
      <c r="B87" s="11">
        <v>2.12</v>
      </c>
      <c r="C87" s="11">
        <v>1.9</v>
      </c>
      <c r="D87" s="11">
        <f t="shared" si="7"/>
        <v>2.0979999999999999</v>
      </c>
      <c r="E87" s="11">
        <f t="shared" si="6"/>
        <v>2E-3</v>
      </c>
      <c r="F87" s="11">
        <f>D87-(9.9-agent!B$3)*10*E87</f>
        <v>2.0779999999999998</v>
      </c>
    </row>
    <row r="88" spans="1:6" x14ac:dyDescent="0.15">
      <c r="A88" s="11" t="s">
        <v>254</v>
      </c>
      <c r="B88" s="11">
        <v>2.5299999999999998</v>
      </c>
      <c r="C88" s="11">
        <v>2.2599999999999998</v>
      </c>
      <c r="D88" s="11">
        <f t="shared" si="7"/>
        <v>2.4579999999999997</v>
      </c>
      <c r="E88" s="11">
        <f t="shared" si="6"/>
        <v>2E-3</v>
      </c>
      <c r="F88" s="11">
        <f>D88-(9.9-agent!B$3)*10*E88</f>
        <v>2.4379999999999997</v>
      </c>
    </row>
    <row r="89" spans="1:6" x14ac:dyDescent="0.15">
      <c r="A89" s="11" t="s">
        <v>255</v>
      </c>
      <c r="B89" s="11">
        <v>3.02</v>
      </c>
      <c r="C89" s="11">
        <v>2.7</v>
      </c>
      <c r="D89" s="11">
        <f t="shared" si="7"/>
        <v>2.9970000000000003</v>
      </c>
      <c r="E89" s="11">
        <f t="shared" si="6"/>
        <v>3.0000000000000001E-3</v>
      </c>
      <c r="F89" s="11">
        <f>D89-(9.9-agent!B$3)*10*E89</f>
        <v>2.9670000000000005</v>
      </c>
    </row>
    <row r="90" spans="1:6" x14ac:dyDescent="0.15">
      <c r="A90" s="11" t="s">
        <v>256</v>
      </c>
      <c r="B90" s="11">
        <v>3.62</v>
      </c>
      <c r="C90" s="11">
        <v>3.25</v>
      </c>
      <c r="D90" s="11">
        <f t="shared" si="7"/>
        <v>3.5470000000000002</v>
      </c>
      <c r="E90" s="11">
        <f t="shared" si="6"/>
        <v>3.0000000000000001E-3</v>
      </c>
      <c r="F90" s="11">
        <f>D90-(9.9-agent!B$3)*10*E90</f>
        <v>3.5170000000000003</v>
      </c>
    </row>
    <row r="91" spans="1:6" x14ac:dyDescent="0.15">
      <c r="A91" s="11" t="s">
        <v>257</v>
      </c>
      <c r="B91" s="11">
        <v>4.37</v>
      </c>
      <c r="C91" s="11">
        <v>3.92</v>
      </c>
      <c r="D91" s="11">
        <f t="shared" si="7"/>
        <v>4.3159999999999998</v>
      </c>
      <c r="E91" s="11">
        <f t="shared" si="6"/>
        <v>4.0000000000000001E-3</v>
      </c>
      <c r="F91" s="11">
        <f>D91-(9.9-agent!B$3)*10*E91</f>
        <v>4.2759999999999998</v>
      </c>
    </row>
    <row r="92" spans="1:6" x14ac:dyDescent="0.15">
      <c r="A92" s="11" t="s">
        <v>258</v>
      </c>
      <c r="B92" s="11">
        <v>5.3</v>
      </c>
      <c r="C92" s="11">
        <v>4.75</v>
      </c>
      <c r="D92" s="11">
        <f t="shared" si="7"/>
        <v>5.2450000000000001</v>
      </c>
      <c r="E92" s="11">
        <f>TRUNC((B92-C92)/99,3)</f>
        <v>5.0000000000000001E-3</v>
      </c>
      <c r="F92" s="11">
        <f>D92-(9.9-agent!B$3)*10*E92</f>
        <v>5.1950000000000003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48"/>
  <sheetViews>
    <sheetView zoomScaleNormal="100" workbookViewId="0">
      <selection activeCell="I4" sqref="I4"/>
    </sheetView>
  </sheetViews>
  <sheetFormatPr defaultColWidth="9" defaultRowHeight="13.5" x14ac:dyDescent="0.15"/>
  <cols>
    <col min="1" max="1" width="10.375" style="1" customWidth="1"/>
    <col min="2" max="2" width="17.875" style="1" customWidth="1"/>
    <col min="3" max="3" width="12.875" style="1" customWidth="1"/>
    <col min="4" max="4" width="13.25" style="1" customWidth="1"/>
    <col min="5" max="5" width="14.625" style="1" customWidth="1"/>
    <col min="6" max="6" width="12.875" style="1" customWidth="1"/>
    <col min="7" max="7" width="11" style="1" customWidth="1"/>
    <col min="8" max="9" width="11.25" style="1" customWidth="1"/>
    <col min="10" max="10" width="13.25" style="1" customWidth="1"/>
    <col min="11" max="11" width="9" style="1"/>
    <col min="12" max="12" width="11.125" style="1" customWidth="1"/>
    <col min="13" max="13" width="9" style="1"/>
    <col min="14" max="14" width="10.875" style="1" customWidth="1"/>
    <col min="15" max="16384" width="9" style="1"/>
  </cols>
  <sheetData>
    <row r="1" spans="1:15" ht="13.5" customHeight="1" x14ac:dyDescent="0.15">
      <c r="A1" s="2" t="s">
        <v>34</v>
      </c>
      <c r="G1" s="5" t="s">
        <v>39</v>
      </c>
      <c r="H1" s="4" t="s">
        <v>38</v>
      </c>
      <c r="I1" s="4" t="s">
        <v>37</v>
      </c>
      <c r="J1" s="36" t="s">
        <v>36</v>
      </c>
      <c r="K1" s="36"/>
      <c r="L1" s="36" t="s">
        <v>35</v>
      </c>
      <c r="M1" s="36"/>
      <c r="N1" s="36" t="s">
        <v>57</v>
      </c>
      <c r="O1" s="36"/>
    </row>
    <row r="2" spans="1:15" x14ac:dyDescent="0.15">
      <c r="A2" s="6">
        <v>10003</v>
      </c>
      <c r="B2" s="2" t="s">
        <v>33</v>
      </c>
      <c r="F2" s="6" t="s">
        <v>89</v>
      </c>
      <c r="G2" s="6">
        <v>10002</v>
      </c>
      <c r="H2" s="6" t="s">
        <v>78</v>
      </c>
      <c r="I2" s="6">
        <v>9.9</v>
      </c>
      <c r="J2" s="3">
        <v>1499688</v>
      </c>
      <c r="K2" s="6">
        <f>I2</f>
        <v>9.9</v>
      </c>
      <c r="L2" s="3">
        <v>1591936</v>
      </c>
      <c r="M2" s="6">
        <v>8.8000000000000007</v>
      </c>
      <c r="N2" s="3"/>
      <c r="O2" s="6">
        <f>K2-0.5</f>
        <v>9.4</v>
      </c>
    </row>
    <row r="3" spans="1:15" x14ac:dyDescent="0.15">
      <c r="B3" s="2">
        <f>INDEX(G$2:O$48,MATCH(A2,G:G)-1,3)</f>
        <v>8.9</v>
      </c>
      <c r="F3" s="6" t="s">
        <v>90</v>
      </c>
      <c r="G3" s="6">
        <v>10003</v>
      </c>
      <c r="H3" s="6">
        <f>L2</f>
        <v>1591936</v>
      </c>
      <c r="I3" s="6">
        <v>8.9</v>
      </c>
      <c r="J3" s="3">
        <v>1691330</v>
      </c>
      <c r="K3" s="6">
        <f>I3</f>
        <v>8.9</v>
      </c>
      <c r="L3" s="3">
        <v>1796656</v>
      </c>
      <c r="M3" s="6">
        <f>K3-0.6</f>
        <v>8.3000000000000007</v>
      </c>
      <c r="N3" s="3"/>
      <c r="O3" s="6">
        <f>K3-0.3</f>
        <v>8.6</v>
      </c>
    </row>
    <row r="4" spans="1:15" x14ac:dyDescent="0.15">
      <c r="F4" s="6" t="s">
        <v>79</v>
      </c>
      <c r="G4" s="6">
        <v>10004</v>
      </c>
      <c r="H4" s="6">
        <f>L3</f>
        <v>1796656</v>
      </c>
      <c r="I4" s="6">
        <f>M3</f>
        <v>8.3000000000000007</v>
      </c>
      <c r="J4" s="3">
        <v>1109864</v>
      </c>
      <c r="K4" s="6">
        <f>I4</f>
        <v>8.3000000000000007</v>
      </c>
      <c r="L4" s="3"/>
      <c r="M4" s="6"/>
      <c r="N4" s="3"/>
      <c r="O4" s="6"/>
    </row>
    <row r="5" spans="1:15" x14ac:dyDescent="0.15">
      <c r="B5" s="2" t="s">
        <v>32</v>
      </c>
      <c r="C5" s="2" t="s">
        <v>31</v>
      </c>
      <c r="D5" s="2" t="s">
        <v>10</v>
      </c>
      <c r="E5" s="2" t="s">
        <v>30</v>
      </c>
      <c r="F5" s="6"/>
      <c r="G5" s="6"/>
      <c r="H5" s="6"/>
      <c r="I5" s="6"/>
      <c r="J5" s="3"/>
      <c r="K5" s="6"/>
      <c r="L5" s="3"/>
      <c r="M5" s="6"/>
      <c r="N5" s="3"/>
      <c r="O5" s="6"/>
    </row>
    <row r="6" spans="1:15" x14ac:dyDescent="0.15">
      <c r="B6" s="1">
        <f>IF(ISNUMBER(INDEX(G$2:O$12,MATCH(A2,G:G)-1,2)),INDEX(G$2:O$12,MATCH(A2,G:G)-1,2),"没有上级")</f>
        <v>1591936</v>
      </c>
      <c r="C6" s="3">
        <f>IF(ISNUMBER(INT(B6)),IF(AND(A2&lt;10005,A2&gt;10001),INDEX(G$2:O$48,MATCH(B6,L:L,0)-1,1),IF(A2=10002,"没有上级",INDEX(G$2:O$48,MATCH(B6,N:N,0)-1,1))),"没有上级")</f>
        <v>10002</v>
      </c>
      <c r="D6" s="1">
        <f>IF(ISNUMBER(INDEX(G$2:O$48,MATCH(C6,$G:$G)-1,3)),INDEX(G$2:O$48,MATCH(C6,$G:$G)-1,3),"没有上级")</f>
        <v>9.9</v>
      </c>
      <c r="E6" s="1">
        <f>IF(ISNUMBER(D6-B3),ROUND((D6-B3)*10,0),"没有上级")</f>
        <v>10</v>
      </c>
      <c r="F6" s="6"/>
      <c r="G6" s="6"/>
      <c r="H6" s="6"/>
      <c r="I6" s="6"/>
      <c r="J6" s="3"/>
      <c r="K6" s="6"/>
      <c r="L6" s="3"/>
      <c r="M6" s="6"/>
      <c r="N6" s="3"/>
      <c r="O6" s="6"/>
    </row>
    <row r="7" spans="1:15" x14ac:dyDescent="0.15">
      <c r="F7" s="6"/>
      <c r="G7" s="6"/>
      <c r="H7" s="6"/>
      <c r="I7" s="6"/>
      <c r="J7" s="3"/>
      <c r="K7" s="6"/>
      <c r="L7" s="3"/>
      <c r="M7" s="6"/>
      <c r="N7" s="3"/>
      <c r="O7" s="6"/>
    </row>
    <row r="8" spans="1:15" x14ac:dyDescent="0.15">
      <c r="B8" s="2" t="s">
        <v>29</v>
      </c>
      <c r="C8" s="2" t="s">
        <v>28</v>
      </c>
      <c r="D8" s="2" t="s">
        <v>27</v>
      </c>
      <c r="E8" s="1" t="s">
        <v>48</v>
      </c>
      <c r="F8" s="6"/>
      <c r="G8" s="6"/>
      <c r="H8" s="6"/>
      <c r="I8" s="6"/>
      <c r="J8" s="3"/>
      <c r="K8" s="6"/>
      <c r="L8" s="3"/>
      <c r="M8" s="6"/>
      <c r="N8" s="3"/>
      <c r="O8" s="6"/>
    </row>
    <row r="9" spans="1:15" x14ac:dyDescent="0.15">
      <c r="B9" s="6" t="str">
        <f>IF(ISNUMBER(INDEX(G$2:O$48,MATCH(C6,G:G)-1,2)),INDEX(G$2:O$48,MATCH(C6,G:G)-1,2),"没有上级")</f>
        <v>没有上级</v>
      </c>
      <c r="C9" s="3" t="str">
        <f>IF(ISNUMBER(INT(B9)),IF(AND(C6&lt;10005,C6&gt;10001),INDEX(G$2:O$48,MATCH(B9,L:L,0)-1,1),IF(C6=10002,"没有上级",INDEX(G$2:O$48,MATCH(B9,N:N,0)-1,1))),"没有上级")</f>
        <v>没有上级</v>
      </c>
      <c r="D9" s="6" t="str">
        <f>IF(ISNUMBER(INDEX(G$2:O$12,MATCH(C9,$G:$G)-1,3)),INDEX(G$2:O$48,MATCH(C9,$G:$G)-1,3),"没有上级")</f>
        <v>没有上级</v>
      </c>
      <c r="E9" s="6" t="str">
        <f>IF(ISNUMBER(D9-D6),ROUND((D9-D6)*10,0),"没有上级")</f>
        <v>没有上级</v>
      </c>
      <c r="F9" s="6"/>
      <c r="G9" s="6"/>
      <c r="H9" s="6"/>
      <c r="I9" s="6"/>
      <c r="J9" s="3"/>
      <c r="K9" s="6"/>
      <c r="L9" s="3"/>
      <c r="M9" s="6"/>
      <c r="N9" s="3"/>
      <c r="O9" s="6"/>
    </row>
    <row r="10" spans="1:15" x14ac:dyDescent="0.15">
      <c r="F10" s="6"/>
      <c r="G10" s="6"/>
      <c r="H10" s="6"/>
      <c r="I10" s="6"/>
      <c r="J10" s="3"/>
      <c r="K10" s="6"/>
      <c r="L10" s="3"/>
      <c r="M10" s="6"/>
      <c r="N10" s="3"/>
      <c r="O10" s="6"/>
    </row>
    <row r="11" spans="1:15" x14ac:dyDescent="0.15">
      <c r="B11" s="2" t="s">
        <v>26</v>
      </c>
      <c r="C11" s="2" t="s">
        <v>25</v>
      </c>
      <c r="D11" s="2" t="s">
        <v>40</v>
      </c>
      <c r="E11" s="1" t="s">
        <v>49</v>
      </c>
      <c r="F11" s="6"/>
      <c r="G11" s="6"/>
      <c r="H11" s="6"/>
      <c r="I11" s="6"/>
      <c r="J11" s="3"/>
      <c r="K11" s="6"/>
      <c r="L11" s="3"/>
      <c r="M11" s="6"/>
      <c r="N11" s="3"/>
      <c r="O11" s="6"/>
    </row>
    <row r="12" spans="1:15" x14ac:dyDescent="0.15">
      <c r="B12" s="6" t="str">
        <f>IF(ISNUMBER(INDEX(G$2:O$48,MATCH(C9,G:G)-1,2)),INDEX(G$2:O$48,MATCH(C9,G:G)-1,2),"没有上级")</f>
        <v>没有上级</v>
      </c>
      <c r="C12" s="3" t="str">
        <f>IF(ISNUMBER(INT(B12)),IF(AND(C9&lt;10005,C9&gt;10001),INDEX(G$2:O$48,MATCH(B12,L:L,0)-1,1),IF(C9=10002,"没有上级",INDEX(G$2:O$48,MATCH(B12,N:N,0)-1,1))),"没有上级")</f>
        <v>没有上级</v>
      </c>
      <c r="D12" s="6" t="str">
        <f>IF(ISNUMBER(INDEX(G$2:O$48,MATCH(C12,$G:$G)-1,3)),INDEX(G$2:O$48,MATCH(C12,$G:$G)-1,3),"没有上级")</f>
        <v>没有上级</v>
      </c>
      <c r="E12" s="6" t="str">
        <f>IF(ISNUMBER(D12-D9),ROUND((D12-D9)*10,0),"没有上级")</f>
        <v>没有上级</v>
      </c>
      <c r="F12" s="6"/>
      <c r="G12" s="6"/>
      <c r="H12" s="6"/>
      <c r="I12" s="6"/>
      <c r="J12" s="3"/>
      <c r="K12" s="6"/>
      <c r="L12" s="3"/>
      <c r="M12" s="6"/>
      <c r="N12" s="3"/>
      <c r="O12" s="6"/>
    </row>
    <row r="13" spans="1:15" x14ac:dyDescent="0.15">
      <c r="F13" s="6"/>
      <c r="G13" s="6"/>
      <c r="H13" s="6"/>
      <c r="I13" s="6"/>
      <c r="J13" s="3"/>
      <c r="K13" s="6"/>
      <c r="L13" s="3"/>
      <c r="N13" s="3"/>
    </row>
    <row r="14" spans="1:15" x14ac:dyDescent="0.15">
      <c r="B14" s="2" t="s">
        <v>24</v>
      </c>
      <c r="C14" s="2" t="s">
        <v>23</v>
      </c>
      <c r="D14" s="2" t="s">
        <v>41</v>
      </c>
      <c r="E14" s="1" t="s">
        <v>50</v>
      </c>
      <c r="F14" s="6"/>
      <c r="G14" s="6"/>
      <c r="H14" s="6"/>
      <c r="I14" s="6"/>
      <c r="J14" s="3"/>
      <c r="K14" s="6"/>
      <c r="L14" s="3"/>
      <c r="N14" s="3"/>
    </row>
    <row r="15" spans="1:15" x14ac:dyDescent="0.15">
      <c r="B15" s="6" t="str">
        <f>IF(ISNUMBER(INDEX(G$2:O$48,MATCH(C12,G:G)-1,2)),INDEX(G$2:O$48,MATCH(C12,G:G)-1,2),"没有上级")</f>
        <v>没有上级</v>
      </c>
      <c r="C15" s="3" t="str">
        <f>IF(ISNUMBER(INT(B15)),IF(AND(C12&lt;10005,C12&gt;10001),INDEX(G$2:O$48,MATCH(B15,L:L,0)-1,1),IF(C12=10002,"没有上级",INDEX(G$2:O$48,MATCH(B15,N:N,0)-1,1))),"没有上级")</f>
        <v>没有上级</v>
      </c>
      <c r="D15" s="6" t="str">
        <f>IF(ISNUMBER(INDEX(G$2:O$48,MATCH(C15,$G:$G)-1,3)),INDEX(G$2:O$48,MATCH(C15,$G:$G)-1,3),"没有上级")</f>
        <v>没有上级</v>
      </c>
      <c r="E15" s="6" t="str">
        <f>IF(ISNUMBER(D15-D12),ROUND((D15-D12)*10,0),"没有上级")</f>
        <v>没有上级</v>
      </c>
      <c r="F15" s="6"/>
      <c r="G15" s="6"/>
    </row>
    <row r="16" spans="1:15" x14ac:dyDescent="0.15">
      <c r="F16" s="6"/>
      <c r="G16" s="6"/>
      <c r="H16" s="6"/>
      <c r="I16" s="6"/>
      <c r="K16" s="6"/>
    </row>
    <row r="17" spans="2:16" x14ac:dyDescent="0.15">
      <c r="B17" s="2" t="s">
        <v>22</v>
      </c>
      <c r="C17" s="2" t="s">
        <v>21</v>
      </c>
      <c r="D17" s="2" t="s">
        <v>42</v>
      </c>
      <c r="E17" s="1" t="s">
        <v>51</v>
      </c>
      <c r="F17" s="6"/>
      <c r="G17" s="6"/>
      <c r="H17" s="6"/>
      <c r="I17" s="6"/>
      <c r="K17" s="6"/>
    </row>
    <row r="18" spans="2:16" x14ac:dyDescent="0.15">
      <c r="B18" s="6" t="str">
        <f>IF(ISNUMBER(INDEX(G$2:O$48,MATCH(C15,G:G)-1,2)),INDEX(G$2:O$48,MATCH(C15,G:G)-1,2),"没有上级")</f>
        <v>没有上级</v>
      </c>
      <c r="C18" s="3" t="str">
        <f>IF(ISNUMBER(INT(B18)),IF(AND(C15&lt;10005,C15&gt;10001),INDEX(G$2:O$48,MATCH(B18,L:L,0)-1,1),IF(C15=10002,"没有上级",INDEX(G$2:O$48,MATCH(B18,N:N,0)-1,1))),"没有上级")</f>
        <v>没有上级</v>
      </c>
      <c r="D18" s="6" t="str">
        <f>IF(ISNUMBER(INDEX(G$2:O$48,MATCH(C18,$G:$G)-1,3)),INDEX(G$2:O$48,MATCH(C18,$G:$G)-1,3),"没有上级")</f>
        <v>没有上级</v>
      </c>
      <c r="E18" s="6" t="str">
        <f>IF(ISNUMBER(D18-D15),ROUND((D18-D15)*10,0),"没有上级")</f>
        <v>没有上级</v>
      </c>
      <c r="F18" s="6"/>
      <c r="G18" s="6"/>
      <c r="H18" s="6"/>
      <c r="I18" s="6"/>
      <c r="K18" s="6"/>
    </row>
    <row r="19" spans="2:16" x14ac:dyDescent="0.15">
      <c r="F19" s="6"/>
      <c r="G19" s="6"/>
      <c r="H19" s="6"/>
      <c r="I19" s="6"/>
      <c r="K19" s="6"/>
    </row>
    <row r="20" spans="2:16" x14ac:dyDescent="0.15">
      <c r="B20" s="2" t="s">
        <v>20</v>
      </c>
      <c r="C20" s="2" t="s">
        <v>19</v>
      </c>
      <c r="D20" s="2" t="s">
        <v>43</v>
      </c>
      <c r="E20" s="1" t="s">
        <v>52</v>
      </c>
      <c r="F20" s="6"/>
      <c r="G20" s="6"/>
      <c r="H20" s="6"/>
      <c r="I20" s="6"/>
      <c r="K20" s="6"/>
    </row>
    <row r="21" spans="2:16" x14ac:dyDescent="0.15">
      <c r="B21" s="6" t="str">
        <f>IF(ISNUMBER(INDEX(G$2:O$48,MATCH(C18,G:G)-1,2)),INDEX(G$2:O$48,MATCH(C18,G:G)-1,2),"没有上级")</f>
        <v>没有上级</v>
      </c>
      <c r="C21" s="3" t="str">
        <f>IF(ISNUMBER(INT(B21)),IF(AND(C18&lt;10005,C18&gt;10001),INDEX(G$2:O$48,MATCH(B21,L:L,0)-1,1),IF(C18=10002,"没有上级",INDEX(G$2:O$48,MATCH(B21,N:N,0)-1,1))),"没有上级")</f>
        <v>没有上级</v>
      </c>
      <c r="D21" s="6" t="str">
        <f>IF(ISNUMBER(INDEX(G$2:O$48,MATCH(C21,$G:$G)-1,3)),INDEX(G$2:O$48,MATCH(C21,$G:$G)-1,3),"没有上级")</f>
        <v>没有上级</v>
      </c>
      <c r="E21" s="6" t="str">
        <f>IF(ISNUMBER(D21-D18),ROUND((D21-D18)*10,0),"没有上级")</f>
        <v>没有上级</v>
      </c>
      <c r="F21" s="6"/>
      <c r="G21" s="6"/>
      <c r="H21" s="6"/>
      <c r="I21" s="6"/>
      <c r="K21" s="6"/>
    </row>
    <row r="22" spans="2:16" x14ac:dyDescent="0.15">
      <c r="F22" s="6"/>
      <c r="G22" s="6"/>
      <c r="H22" s="6"/>
      <c r="I22" s="6"/>
      <c r="K22" s="6"/>
    </row>
    <row r="23" spans="2:16" x14ac:dyDescent="0.15">
      <c r="B23" s="2" t="s">
        <v>18</v>
      </c>
      <c r="C23" s="2" t="s">
        <v>17</v>
      </c>
      <c r="D23" s="2" t="s">
        <v>44</v>
      </c>
      <c r="E23" s="1" t="s">
        <v>53</v>
      </c>
      <c r="F23" s="6"/>
      <c r="G23" s="6"/>
      <c r="H23" s="6"/>
      <c r="I23" s="6"/>
      <c r="K23" s="6"/>
    </row>
    <row r="24" spans="2:16" x14ac:dyDescent="0.15">
      <c r="B24" s="6" t="str">
        <f>IF(ISNUMBER(INDEX(G$2:O$48,MATCH(C21,G:G)-1,2)),INDEX(G$2:O$48,MATCH(C21,G:G)-1,2),"没有上级")</f>
        <v>没有上级</v>
      </c>
      <c r="C24" s="3" t="str">
        <f>IF(ISNUMBER(INT(B24)),IF(AND(C21&lt;10005,C21&gt;10001),INDEX(G$2:O$48,MATCH(B24,L:L,0)-1,1),IF(C21=10002,"没有上级",INDEX(G$2:O$48,MATCH(B24,N:N,0)-1,1))),"没有上级")</f>
        <v>没有上级</v>
      </c>
      <c r="D24" s="6" t="str">
        <f>IF(ISNUMBER(INDEX(G$2:O$48,MATCH(C24,$G:$G)-1,3)),INDEX(G$2:O$48,MATCH(C24,$G:$G)-1,3),"没有上级")</f>
        <v>没有上级</v>
      </c>
      <c r="E24" s="6" t="str">
        <f>IF(ISNUMBER(D24-D21),ROUND((D24-D21)*10,0),"没有上级")</f>
        <v>没有上级</v>
      </c>
      <c r="F24" s="6"/>
      <c r="G24" s="6"/>
      <c r="H24" s="6"/>
      <c r="I24" s="6"/>
      <c r="K24" s="6"/>
    </row>
    <row r="25" spans="2:16" x14ac:dyDescent="0.15">
      <c r="F25" s="6"/>
      <c r="G25" s="6"/>
      <c r="H25" s="6"/>
      <c r="I25" s="6"/>
      <c r="K25" s="6"/>
    </row>
    <row r="26" spans="2:16" x14ac:dyDescent="0.15">
      <c r="B26" s="2" t="s">
        <v>16</v>
      </c>
      <c r="C26" s="2" t="s">
        <v>15</v>
      </c>
      <c r="D26" s="2" t="s">
        <v>45</v>
      </c>
      <c r="E26" s="1" t="s">
        <v>54</v>
      </c>
      <c r="F26" s="6"/>
      <c r="G26" s="6"/>
      <c r="H26" s="6"/>
      <c r="I26" s="6"/>
      <c r="K26" s="6"/>
    </row>
    <row r="27" spans="2:16" x14ac:dyDescent="0.15">
      <c r="B27" s="6" t="str">
        <f>IF(ISNUMBER(INDEX(G$2:O$48,MATCH(C24,G:G)-1,2)),INDEX(G$2:O$48,MATCH(C24,G:G)-1,2),"没有上级")</f>
        <v>没有上级</v>
      </c>
      <c r="C27" s="3" t="str">
        <f>IF(ISNUMBER(INT(B27)),IF(AND(C24&lt;10005,C24&gt;10001),INDEX(G$2:O$48,MATCH(B27,L:L,0)-1,1),IF(C24=10002,"没有上级",INDEX(G$2:O$48,MATCH(B27,N:N,0)-1,1))),"没有上级")</f>
        <v>没有上级</v>
      </c>
      <c r="D27" s="6" t="str">
        <f>IF(ISNUMBER(INDEX(G$2:O$48,MATCH(C27,$G:$G)-1,3)),INDEX(G$2:O$48,MATCH(C27,$G:$G)-1,3),"没有上级")</f>
        <v>没有上级</v>
      </c>
      <c r="E27" s="6" t="str">
        <f>IF(ISNUMBER(D27-D24),ROUND((D27-D24)*10,0),"没有上级")</f>
        <v>没有上级</v>
      </c>
      <c r="F27" s="6"/>
      <c r="G27" s="6"/>
      <c r="H27" s="6"/>
      <c r="I27" s="6"/>
      <c r="K27" s="6"/>
    </row>
    <row r="28" spans="2:16" x14ac:dyDescent="0.15">
      <c r="G28" s="6"/>
      <c r="H28" s="6"/>
      <c r="I28" s="6"/>
      <c r="J28" s="6"/>
      <c r="K28" s="6"/>
      <c r="L28" s="6"/>
      <c r="M28" s="6"/>
      <c r="N28" s="6"/>
      <c r="O28" s="6"/>
      <c r="P28" s="6"/>
    </row>
    <row r="29" spans="2:16" x14ac:dyDescent="0.15">
      <c r="B29" s="2" t="s">
        <v>14</v>
      </c>
      <c r="C29" s="2" t="s">
        <v>13</v>
      </c>
      <c r="D29" s="2" t="s">
        <v>46</v>
      </c>
      <c r="E29" s="1" t="s">
        <v>55</v>
      </c>
      <c r="J29" s="6"/>
      <c r="K29" s="6"/>
      <c r="L29" s="6"/>
      <c r="N29" s="6"/>
    </row>
    <row r="30" spans="2:16" x14ac:dyDescent="0.15">
      <c r="B30" s="6" t="str">
        <f>IF(ISNUMBER(INDEX(G$2:O$48,MATCH(C27,G:G)-1,2)),INDEX(G$2:O$48,MATCH(C27,G:G)-1,2),"没有上级")</f>
        <v>没有上级</v>
      </c>
      <c r="C30" s="3" t="str">
        <f>IF(ISNUMBER(INT(B30)),IF(AND(C27&lt;10005,C27&gt;10001),INDEX(G$2:O$48,MATCH(B30,L:L,0)-1,1),IF(C27=10002,"没有上级",INDEX(G$2:O$48,MATCH(B30,N:N,0)-1,1))),"没有上级")</f>
        <v>没有上级</v>
      </c>
      <c r="D30" s="6" t="str">
        <f>IF(ISNUMBER(INDEX(G$2:O$48,MATCH(C30,$G:$G)-1,3)),INDEX(G$2:O$48,MATCH(C30,$G:$G)-1,3),"没有上级")</f>
        <v>没有上级</v>
      </c>
      <c r="E30" s="6" t="str">
        <f>IF(ISNUMBER(D30-D27),ROUND((D30-D27)*10,0),"没有上级")</f>
        <v>没有上级</v>
      </c>
      <c r="F30" s="6"/>
      <c r="I30" s="6"/>
      <c r="J30" s="6"/>
      <c r="K30" s="6"/>
      <c r="L30" s="6"/>
      <c r="M30" s="6"/>
      <c r="N30" s="6"/>
      <c r="O30" s="6"/>
    </row>
    <row r="31" spans="2:16" x14ac:dyDescent="0.15">
      <c r="F31" s="6"/>
      <c r="G31" s="6"/>
      <c r="H31" s="6"/>
      <c r="I31" s="6"/>
      <c r="J31" s="6"/>
      <c r="K31" s="6"/>
      <c r="L31" s="6"/>
      <c r="M31" s="6"/>
      <c r="N31" s="6"/>
      <c r="O31" s="6"/>
    </row>
    <row r="32" spans="2:16" x14ac:dyDescent="0.15">
      <c r="B32" s="2" t="s">
        <v>12</v>
      </c>
      <c r="C32" s="2" t="s">
        <v>11</v>
      </c>
      <c r="D32" s="2" t="s">
        <v>47</v>
      </c>
      <c r="E32" s="1" t="s">
        <v>56</v>
      </c>
      <c r="F32" s="6"/>
      <c r="G32" s="6"/>
      <c r="H32" s="6"/>
      <c r="I32" s="6"/>
      <c r="J32" s="6"/>
      <c r="K32" s="6"/>
      <c r="L32" s="6"/>
      <c r="M32" s="6"/>
      <c r="N32" s="6"/>
      <c r="O32" s="6"/>
    </row>
    <row r="33" spans="2:15" x14ac:dyDescent="0.15">
      <c r="B33" s="6" t="str">
        <f>IF(ISNUMBER(INDEX(G$2:O$48,MATCH(C30,G:G)-1,2)),INDEX(G$2:O$48,MATCH(C30,G:G)-1,2),"没有上级")</f>
        <v>没有上级</v>
      </c>
      <c r="C33" s="3" t="str">
        <f>IF(ISNUMBER(INT(B33)),IF(AND(C30&lt;10005,C30&gt;10001),INDEX(G$2:O$48,MATCH(B33,L:L,0)-1,1),IF(C30=10002,"没有上级",INDEX(G$2:O$48,MATCH(B33,N:N,0)-1,1))),"没有上级")</f>
        <v>没有上级</v>
      </c>
      <c r="D33" s="6" t="str">
        <f>IF(ISNUMBER(INDEX(G$2:O$48,MATCH(C33,$G:$G)-1,3)),INDEX(G$2:O$48,MATCH(C33,$G:$G)-1,3),"没有上级")</f>
        <v>没有上级</v>
      </c>
      <c r="E33" s="6" t="str">
        <f>IF(ISNUMBER(D33-D30),ROUND((D33-D30)*10,0),"没有上级")</f>
        <v>没有上级</v>
      </c>
      <c r="F33" s="6"/>
      <c r="G33" s="6"/>
      <c r="H33" s="6"/>
      <c r="I33" s="6"/>
      <c r="J33" s="6"/>
      <c r="K33" s="6"/>
      <c r="L33" s="6"/>
      <c r="M33" s="6"/>
      <c r="N33" s="6"/>
      <c r="O33" s="6"/>
    </row>
    <row r="34" spans="2:15" x14ac:dyDescent="0.15">
      <c r="F34" s="6"/>
      <c r="G34" s="6"/>
      <c r="H34" s="6"/>
      <c r="I34" s="6"/>
      <c r="J34" s="6"/>
      <c r="K34" s="6"/>
      <c r="L34" s="6"/>
      <c r="M34" s="6"/>
      <c r="N34" s="6"/>
      <c r="O34" s="6"/>
    </row>
    <row r="35" spans="2:15" x14ac:dyDescent="0.15">
      <c r="B35" s="7" t="s">
        <v>61</v>
      </c>
      <c r="C35" s="7" t="s">
        <v>60</v>
      </c>
      <c r="D35" s="7" t="s">
        <v>59</v>
      </c>
      <c r="E35" s="6" t="s">
        <v>58</v>
      </c>
      <c r="F35" s="6"/>
      <c r="G35" s="6"/>
      <c r="H35" s="6"/>
      <c r="I35" s="6"/>
      <c r="J35" s="6"/>
      <c r="K35" s="6"/>
      <c r="L35" s="6"/>
      <c r="M35" s="6"/>
      <c r="N35" s="6"/>
      <c r="O35" s="6"/>
    </row>
    <row r="36" spans="2:15" x14ac:dyDescent="0.15">
      <c r="B36" s="6" t="str">
        <f>IF(ISNUMBER(INDEX(G$2:O$48,MATCH(C33,G:G)-1,2)),INDEX(G$2:O$48,MATCH(C33,G:G)-1,2),"没有上级")</f>
        <v>没有上级</v>
      </c>
      <c r="C36" s="3" t="str">
        <f>IF(ISNUMBER(INT(B36)),IF(AND(C33&lt;10005,C33&gt;10001),INDEX(G$2:O$48,MATCH(B36,L:L,0)-1,1),IF(C33=10002,"没有上级",INDEX(G$2:O$48,MATCH(B36,N:N,0)-1,1))),"没有上级")</f>
        <v>没有上级</v>
      </c>
      <c r="D36" s="6" t="str">
        <f>IF(ISNUMBER(INDEX(G$2:O$48,MATCH(C36,$G:$G)-1,3)),INDEX(G$2:O$48,MATCH(C36,$G:$G)-1,3),"没有上级")</f>
        <v>没有上级</v>
      </c>
      <c r="E36" s="6" t="str">
        <f>IF(ISNUMBER(D36-D33),ROUND((D36-D33)*10,0),"没有上级")</f>
        <v>没有上级</v>
      </c>
      <c r="F36" s="6"/>
      <c r="G36" s="6"/>
      <c r="H36" s="6"/>
      <c r="I36" s="6"/>
      <c r="J36" s="6"/>
      <c r="K36" s="6"/>
      <c r="L36" s="6"/>
      <c r="M36" s="6"/>
      <c r="N36" s="6"/>
      <c r="O36" s="6"/>
    </row>
    <row r="37" spans="2:15" x14ac:dyDescent="0.15">
      <c r="F37" s="6"/>
      <c r="G37" s="6"/>
      <c r="H37" s="6"/>
      <c r="I37" s="6"/>
      <c r="J37" s="6"/>
      <c r="K37" s="6"/>
      <c r="L37" s="6"/>
      <c r="M37" s="6"/>
      <c r="N37" s="6"/>
      <c r="O37" s="6"/>
    </row>
    <row r="38" spans="2:15" x14ac:dyDescent="0.15">
      <c r="B38" s="7" t="s">
        <v>62</v>
      </c>
      <c r="C38" s="7" t="s">
        <v>63</v>
      </c>
      <c r="D38" s="7" t="s">
        <v>64</v>
      </c>
      <c r="E38" s="6" t="s">
        <v>65</v>
      </c>
      <c r="F38" s="6"/>
      <c r="G38" s="6"/>
      <c r="H38" s="6"/>
      <c r="I38" s="6"/>
      <c r="J38" s="6"/>
      <c r="K38" s="6"/>
      <c r="L38" s="6"/>
      <c r="M38" s="6"/>
      <c r="N38" s="6"/>
      <c r="O38" s="6"/>
    </row>
    <row r="39" spans="2:15" x14ac:dyDescent="0.15">
      <c r="B39" s="6" t="str">
        <f>IF(ISNUMBER(INDEX(G$2:O$48,MATCH(C36,G:G)-1,2)),INDEX(G$2:O$48,MATCH(C36,G:G)-1,2),"没有上级")</f>
        <v>没有上级</v>
      </c>
      <c r="C39" s="3" t="str">
        <f>IF(ISNUMBER(INT(B39)),IF(AND(C36&lt;10005,C36&gt;10001),INDEX(G$2:O$48,MATCH(B39,L:L,0)-1,1),IF(C36=10002,"没有上级",INDEX(G$2:O$48,MATCH(B39,N:N,0)-1,1))),"没有上级")</f>
        <v>没有上级</v>
      </c>
      <c r="D39" s="6" t="str">
        <f>IF(ISNUMBER(INDEX(G$2:O$48,MATCH(C39,$G:$G)-1,3)),INDEX(G$2:O$48,MATCH(C39,$G:$G)-1,3),"没有上级")</f>
        <v>没有上级</v>
      </c>
      <c r="E39" s="6" t="str">
        <f>IF(ISNUMBER(D39-D36),ROUND((D39-D36)*10,0),"没有上级")</f>
        <v>没有上级</v>
      </c>
      <c r="F39" s="6"/>
      <c r="G39" s="6"/>
      <c r="I39" s="6"/>
      <c r="K39" s="6"/>
      <c r="M39" s="6"/>
    </row>
    <row r="40" spans="2:15" x14ac:dyDescent="0.15">
      <c r="E40" s="6"/>
      <c r="F40" s="6"/>
      <c r="G40" s="6"/>
      <c r="H40" s="6"/>
      <c r="I40" s="6"/>
      <c r="J40" s="6"/>
      <c r="K40" s="6"/>
      <c r="M40" s="6"/>
    </row>
    <row r="41" spans="2:15" x14ac:dyDescent="0.15">
      <c r="B41" s="7" t="s">
        <v>69</v>
      </c>
      <c r="C41" s="7" t="s">
        <v>68</v>
      </c>
      <c r="D41" s="7" t="s">
        <v>67</v>
      </c>
      <c r="E41" s="6" t="s">
        <v>66</v>
      </c>
      <c r="F41" s="6"/>
      <c r="G41" s="6"/>
      <c r="H41" s="6"/>
      <c r="I41" s="6"/>
      <c r="L41" s="6"/>
    </row>
    <row r="42" spans="2:15" x14ac:dyDescent="0.15">
      <c r="B42" s="6" t="str">
        <f>IF(ISNUMBER(INDEX(G$2:O$48,MATCH(C39,G:G)-1,2)),INDEX(G$2:O$48,MATCH(C39,G:G)-1,2),"没有上级")</f>
        <v>没有上级</v>
      </c>
      <c r="C42" s="3" t="str">
        <f>IF(ISNUMBER(INT(B42)),IF(AND(C39&lt;10005,C39&gt;10001),INDEX(G$2:O$48,MATCH(B42,L:L,0)-1,1),IF(C39=10002,"没有上级",INDEX(G$2:O$48,MATCH(B42,N:N,0)-1,1))),"没有上级")</f>
        <v>没有上级</v>
      </c>
      <c r="D42" s="6" t="str">
        <f>IF(ISNUMBER(INDEX(G$2:O$48,MATCH(C42,$G:$G)-1,3)),INDEX(G$2:O$48,MATCH(C42,$G:$G)-1,3),"没有上级")</f>
        <v>没有上级</v>
      </c>
      <c r="E42" s="6" t="str">
        <f>IF(ISNUMBER(D42-D39),ROUND((D42-D39)*10,0),"没有上级")</f>
        <v>没有上级</v>
      </c>
      <c r="F42" s="6"/>
      <c r="G42" s="6"/>
      <c r="H42" s="6"/>
      <c r="I42" s="6"/>
    </row>
    <row r="43" spans="2:15" x14ac:dyDescent="0.15">
      <c r="F43" s="6"/>
      <c r="G43" s="6"/>
      <c r="H43" s="6"/>
      <c r="I43" s="6"/>
    </row>
    <row r="44" spans="2:15" x14ac:dyDescent="0.15">
      <c r="B44" s="7" t="s">
        <v>70</v>
      </c>
      <c r="C44" s="7" t="s">
        <v>72</v>
      </c>
      <c r="D44" s="7" t="s">
        <v>73</v>
      </c>
      <c r="E44" s="6" t="s">
        <v>74</v>
      </c>
      <c r="F44" s="6"/>
      <c r="G44" s="6"/>
      <c r="H44" s="6"/>
      <c r="I44" s="6"/>
    </row>
    <row r="45" spans="2:15" x14ac:dyDescent="0.15">
      <c r="B45" s="6" t="str">
        <f>IF(ISNUMBER(INDEX(G$2:O$48,MATCH(C42,G:G)-1,2)),INDEX(G$2:O$48,MATCH(C42,G:G)-1,2),"没有上级")</f>
        <v>没有上级</v>
      </c>
      <c r="C45" s="3" t="str">
        <f>IF(ISNUMBER(INT(B45)),IF(AND(C42&lt;10005,C42&gt;10001),INDEX(G$2:O$48,MATCH(B45,L:L,0)-1,1),IF(C42=10002,"没有上级",INDEX(G$2:O$48,MATCH(B45,N:N,0)-1,1))),"没有上级")</f>
        <v>没有上级</v>
      </c>
      <c r="D45" s="6" t="str">
        <f>IF(ISNUMBER(INDEX(G$2:O$48,MATCH(C45,$G:$G)-1,3)),INDEX(G$2:O$48,MATCH(C45,$G:$G)-1,3),"没有上级")</f>
        <v>没有上级</v>
      </c>
      <c r="E45" s="6" t="str">
        <f>IF(ISNUMBER(D45-D42),ROUND((D45-D42)*10,0),"没有上级")</f>
        <v>没有上级</v>
      </c>
      <c r="F45" s="6"/>
      <c r="G45" s="6"/>
      <c r="H45" s="6"/>
      <c r="I45" s="6"/>
    </row>
    <row r="46" spans="2:15" x14ac:dyDescent="0.15">
      <c r="F46" s="6"/>
      <c r="G46" s="6"/>
      <c r="H46" s="6"/>
      <c r="I46" s="6"/>
    </row>
    <row r="47" spans="2:15" x14ac:dyDescent="0.15">
      <c r="B47" s="7" t="s">
        <v>71</v>
      </c>
      <c r="C47" s="7" t="s">
        <v>75</v>
      </c>
      <c r="D47" s="7" t="s">
        <v>76</v>
      </c>
      <c r="E47" s="6" t="s">
        <v>77</v>
      </c>
      <c r="F47" s="6"/>
      <c r="G47" s="6"/>
      <c r="H47" s="6"/>
      <c r="I47" s="6"/>
    </row>
    <row r="48" spans="2:15" x14ac:dyDescent="0.15">
      <c r="B48" s="6" t="str">
        <f>IF(ISNUMBER(INDEX(G$2:O$48,MATCH(C45,G:G)-1,2)),INDEX(G$2:O$48,MATCH(C45,G:G)-1,2),"没有上级")</f>
        <v>没有上级</v>
      </c>
      <c r="C48" s="3" t="str">
        <f>IF(ISNUMBER(INT(B48)),IF(AND(C45&lt;10005,C45&gt;10001),INDEX(G$2:O$48,MATCH(B48,L:L,0)-1,1),IF(C45=10002,"没有上级",INDEX(G$2:O$48,MATCH(B48,N:N,0)-1,1))),"没有上级")</f>
        <v>没有上级</v>
      </c>
      <c r="D48" s="6" t="str">
        <f>IF(ISNUMBER(INDEX(G$2:O$48,MATCH(C48,$G:$G)-1,3)),INDEX(G$2:O$48,MATCH(C48,$G:$G)-1,3),"没有上级")</f>
        <v>没有上级</v>
      </c>
      <c r="E48" s="6" t="str">
        <f>IF(ISNUMBER(D48-D45),ROUND((D48-D45)*10,0),"没有上级")</f>
        <v>没有上级</v>
      </c>
      <c r="F48" s="6"/>
      <c r="G48" s="6"/>
      <c r="H48" s="6"/>
      <c r="I48" s="6"/>
    </row>
  </sheetData>
  <mergeCells count="3">
    <mergeCell ref="N1:O1"/>
    <mergeCell ref="J1:K1"/>
    <mergeCell ref="L1:M1"/>
  </mergeCells>
  <phoneticPr fontId="3" type="noConversion"/>
  <pageMargins left="0.75" right="0.75" top="1" bottom="1" header="0.51180555555555596" footer="0.51180555555555596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37"/>
  <sheetViews>
    <sheetView topLeftCell="A13" workbookViewId="0">
      <selection activeCell="C23" sqref="C23"/>
    </sheetView>
  </sheetViews>
  <sheetFormatPr defaultRowHeight="13.5" x14ac:dyDescent="0.15"/>
  <cols>
    <col min="1" max="1" width="14.75" style="8" bestFit="1" customWidth="1"/>
    <col min="2" max="2" width="14.875" style="8" customWidth="1"/>
    <col min="3" max="3" width="66.125" style="8" customWidth="1"/>
    <col min="4" max="4" width="12.5" style="8" customWidth="1"/>
    <col min="5" max="5" width="11.375" style="8" customWidth="1"/>
    <col min="6" max="16384" width="9" style="8"/>
  </cols>
  <sheetData>
    <row r="1" spans="1:5" x14ac:dyDescent="0.15">
      <c r="A1" s="8" t="s">
        <v>80</v>
      </c>
      <c r="B1" s="8" t="s">
        <v>81</v>
      </c>
      <c r="C1" s="8" t="s">
        <v>82</v>
      </c>
      <c r="D1" s="8" t="s">
        <v>83</v>
      </c>
      <c r="E1" s="8" t="s">
        <v>84</v>
      </c>
    </row>
    <row r="2" spans="1:5" ht="27" x14ac:dyDescent="0.15">
      <c r="A2" s="9" t="s">
        <v>282</v>
      </c>
      <c r="B2" s="9" t="s">
        <v>295</v>
      </c>
      <c r="C2" s="31" t="s">
        <v>358</v>
      </c>
      <c r="D2" s="33">
        <v>1</v>
      </c>
      <c r="E2" s="9">
        <v>3</v>
      </c>
    </row>
    <row r="3" spans="1:5" ht="27" x14ac:dyDescent="0.15">
      <c r="A3" s="10" t="s">
        <v>282</v>
      </c>
      <c r="B3" s="10" t="s">
        <v>7</v>
      </c>
      <c r="C3" s="32" t="s">
        <v>340</v>
      </c>
      <c r="D3" s="33">
        <v>1</v>
      </c>
      <c r="E3" s="10">
        <v>4</v>
      </c>
    </row>
    <row r="4" spans="1:5" ht="40.5" x14ac:dyDescent="0.15">
      <c r="A4" s="10" t="s">
        <v>284</v>
      </c>
      <c r="B4" s="10" t="s">
        <v>297</v>
      </c>
      <c r="C4" s="30" t="s">
        <v>296</v>
      </c>
      <c r="D4" s="33">
        <v>1</v>
      </c>
      <c r="E4" s="10">
        <v>3</v>
      </c>
    </row>
    <row r="5" spans="1:5" ht="40.5" x14ac:dyDescent="0.15">
      <c r="A5" s="10" t="s">
        <v>284</v>
      </c>
      <c r="B5" s="10" t="s">
        <v>298</v>
      </c>
      <c r="C5" s="30" t="s">
        <v>296</v>
      </c>
      <c r="D5" s="33">
        <v>1</v>
      </c>
      <c r="E5" s="10">
        <v>2</v>
      </c>
    </row>
    <row r="6" spans="1:5" ht="27" x14ac:dyDescent="0.15">
      <c r="A6" s="10" t="s">
        <v>284</v>
      </c>
      <c r="B6" s="10" t="s">
        <v>299</v>
      </c>
      <c r="C6" s="30" t="s">
        <v>340</v>
      </c>
      <c r="D6" s="33">
        <v>1</v>
      </c>
      <c r="E6" s="10">
        <v>1</v>
      </c>
    </row>
    <row r="7" spans="1:5" ht="40.5" x14ac:dyDescent="0.15">
      <c r="A7" s="10" t="s">
        <v>284</v>
      </c>
      <c r="B7" s="10" t="s">
        <v>300</v>
      </c>
      <c r="C7" s="30" t="s">
        <v>296</v>
      </c>
      <c r="D7" s="33">
        <v>1</v>
      </c>
      <c r="E7" s="10">
        <v>1</v>
      </c>
    </row>
    <row r="8" spans="1:5" ht="27" x14ac:dyDescent="0.15">
      <c r="A8" s="10" t="s">
        <v>284</v>
      </c>
      <c r="B8" s="10" t="s">
        <v>301</v>
      </c>
      <c r="C8" s="30" t="s">
        <v>340</v>
      </c>
      <c r="D8" s="33">
        <v>1</v>
      </c>
      <c r="E8" s="10">
        <v>5</v>
      </c>
    </row>
    <row r="9" spans="1:5" ht="40.5" x14ac:dyDescent="0.15">
      <c r="A9" s="10" t="s">
        <v>284</v>
      </c>
      <c r="B9" s="10" t="s">
        <v>302</v>
      </c>
      <c r="C9" s="30" t="s">
        <v>296</v>
      </c>
      <c r="D9" s="33">
        <v>1</v>
      </c>
      <c r="E9" s="10">
        <v>4</v>
      </c>
    </row>
    <row r="10" spans="1:5" ht="27" x14ac:dyDescent="0.15">
      <c r="A10" s="10" t="s">
        <v>284</v>
      </c>
      <c r="B10" s="10" t="s">
        <v>303</v>
      </c>
      <c r="C10" s="30" t="s">
        <v>340</v>
      </c>
      <c r="D10" s="33">
        <v>1</v>
      </c>
      <c r="E10" s="10">
        <v>2</v>
      </c>
    </row>
    <row r="11" spans="1:5" ht="40.5" x14ac:dyDescent="0.15">
      <c r="A11" s="10" t="s">
        <v>284</v>
      </c>
      <c r="B11" s="10" t="s">
        <v>304</v>
      </c>
      <c r="C11" s="30" t="s">
        <v>296</v>
      </c>
      <c r="D11" s="33">
        <v>1</v>
      </c>
      <c r="E11" s="10">
        <v>3</v>
      </c>
    </row>
    <row r="12" spans="1:5" ht="27" x14ac:dyDescent="0.15">
      <c r="A12" s="10" t="s">
        <v>284</v>
      </c>
      <c r="B12" s="10" t="s">
        <v>305</v>
      </c>
      <c r="C12" s="30" t="s">
        <v>340</v>
      </c>
      <c r="D12" s="33">
        <v>1</v>
      </c>
      <c r="E12" s="10">
        <v>4</v>
      </c>
    </row>
    <row r="13" spans="1:5" ht="40.5" x14ac:dyDescent="0.15">
      <c r="A13" s="10" t="s">
        <v>284</v>
      </c>
      <c r="B13" s="10" t="s">
        <v>306</v>
      </c>
      <c r="C13" s="30" t="s">
        <v>296</v>
      </c>
      <c r="D13" s="33">
        <v>1</v>
      </c>
      <c r="E13" s="10">
        <v>3</v>
      </c>
    </row>
    <row r="14" spans="1:5" ht="27" x14ac:dyDescent="0.15">
      <c r="A14" s="10" t="s">
        <v>284</v>
      </c>
      <c r="B14" s="10" t="s">
        <v>307</v>
      </c>
      <c r="C14" s="30" t="s">
        <v>340</v>
      </c>
      <c r="D14" s="33">
        <v>1</v>
      </c>
      <c r="E14" s="10">
        <v>2</v>
      </c>
    </row>
    <row r="15" spans="1:5" ht="40.5" x14ac:dyDescent="0.15">
      <c r="A15" s="10" t="s">
        <v>284</v>
      </c>
      <c r="B15" s="10" t="s">
        <v>308</v>
      </c>
      <c r="C15" s="30" t="s">
        <v>296</v>
      </c>
      <c r="D15" s="33">
        <v>1</v>
      </c>
      <c r="E15" s="10">
        <v>1</v>
      </c>
    </row>
    <row r="16" spans="1:5" ht="27" x14ac:dyDescent="0.15">
      <c r="A16" s="10" t="s">
        <v>284</v>
      </c>
      <c r="B16" s="10" t="s">
        <v>309</v>
      </c>
      <c r="C16" s="30" t="s">
        <v>340</v>
      </c>
      <c r="D16" s="33">
        <v>1</v>
      </c>
      <c r="E16" s="10">
        <v>4</v>
      </c>
    </row>
    <row r="17" spans="1:5" ht="27" x14ac:dyDescent="0.15">
      <c r="A17" s="10" t="s">
        <v>286</v>
      </c>
      <c r="B17" s="10" t="s">
        <v>310</v>
      </c>
      <c r="C17" s="30" t="s">
        <v>359</v>
      </c>
      <c r="D17" s="33">
        <v>1</v>
      </c>
      <c r="E17" s="10">
        <v>5</v>
      </c>
    </row>
    <row r="18" spans="1:5" ht="27" x14ac:dyDescent="0.15">
      <c r="A18" s="10" t="s">
        <v>286</v>
      </c>
      <c r="B18" s="10" t="s">
        <v>311</v>
      </c>
      <c r="C18" s="30" t="s">
        <v>360</v>
      </c>
      <c r="D18" s="33">
        <v>1</v>
      </c>
      <c r="E18" s="10">
        <v>2</v>
      </c>
    </row>
    <row r="19" spans="1:5" ht="27" x14ac:dyDescent="0.15">
      <c r="A19" s="10" t="s">
        <v>286</v>
      </c>
      <c r="B19" s="10" t="s">
        <v>312</v>
      </c>
      <c r="C19" s="30" t="s">
        <v>361</v>
      </c>
      <c r="D19" s="33">
        <v>1</v>
      </c>
      <c r="E19" s="10">
        <v>3</v>
      </c>
    </row>
    <row r="20" spans="1:5" ht="27" x14ac:dyDescent="0.15">
      <c r="A20" s="10" t="s">
        <v>286</v>
      </c>
      <c r="B20" s="10" t="s">
        <v>313</v>
      </c>
      <c r="C20" s="30" t="s">
        <v>362</v>
      </c>
      <c r="D20" s="33">
        <v>1</v>
      </c>
      <c r="E20" s="10">
        <v>5</v>
      </c>
    </row>
    <row r="21" spans="1:5" ht="27" x14ac:dyDescent="0.15">
      <c r="A21" s="10" t="s">
        <v>286</v>
      </c>
      <c r="B21" s="10" t="s">
        <v>314</v>
      </c>
      <c r="C21" s="30" t="s">
        <v>363</v>
      </c>
      <c r="D21" s="33">
        <v>1</v>
      </c>
      <c r="E21" s="10">
        <v>4</v>
      </c>
    </row>
    <row r="22" spans="1:5" ht="27" x14ac:dyDescent="0.15">
      <c r="A22" s="10" t="s">
        <v>287</v>
      </c>
      <c r="B22" s="10" t="s">
        <v>315</v>
      </c>
      <c r="C22" s="30" t="s">
        <v>316</v>
      </c>
      <c r="D22" s="33">
        <v>1</v>
      </c>
      <c r="E22" s="10">
        <v>3</v>
      </c>
    </row>
    <row r="23" spans="1:5" x14ac:dyDescent="0.15">
      <c r="A23" s="10" t="s">
        <v>288</v>
      </c>
      <c r="B23" s="10" t="s">
        <v>317</v>
      </c>
      <c r="C23" s="30" t="s">
        <v>318</v>
      </c>
      <c r="D23" s="33">
        <v>1</v>
      </c>
      <c r="E23" s="10">
        <v>1</v>
      </c>
    </row>
    <row r="24" spans="1:5" x14ac:dyDescent="0.15">
      <c r="A24" s="10" t="s">
        <v>288</v>
      </c>
      <c r="B24" s="10" t="s">
        <v>319</v>
      </c>
      <c r="C24" s="30" t="s">
        <v>318</v>
      </c>
      <c r="D24" s="33">
        <v>1</v>
      </c>
      <c r="E24" s="10">
        <v>2</v>
      </c>
    </row>
    <row r="25" spans="1:5" x14ac:dyDescent="0.15">
      <c r="A25" s="10" t="s">
        <v>288</v>
      </c>
      <c r="B25" s="10" t="s">
        <v>320</v>
      </c>
      <c r="C25" s="30" t="s">
        <v>318</v>
      </c>
      <c r="D25" s="33">
        <v>1</v>
      </c>
      <c r="E25" s="10">
        <v>5</v>
      </c>
    </row>
    <row r="26" spans="1:5" x14ac:dyDescent="0.15">
      <c r="A26" s="10" t="s">
        <v>288</v>
      </c>
      <c r="B26" s="10" t="s">
        <v>321</v>
      </c>
      <c r="C26" s="30" t="s">
        <v>318</v>
      </c>
      <c r="D26" s="33">
        <v>1</v>
      </c>
      <c r="E26" s="10">
        <v>4</v>
      </c>
    </row>
    <row r="27" spans="1:5" x14ac:dyDescent="0.15">
      <c r="A27" s="10" t="s">
        <v>288</v>
      </c>
      <c r="B27" s="10" t="s">
        <v>322</v>
      </c>
      <c r="C27" s="30" t="s">
        <v>318</v>
      </c>
      <c r="D27" s="33">
        <v>1</v>
      </c>
      <c r="E27" s="10">
        <v>1</v>
      </c>
    </row>
    <row r="28" spans="1:5" x14ac:dyDescent="0.15">
      <c r="A28" s="10" t="s">
        <v>290</v>
      </c>
      <c r="B28" s="10" t="s">
        <v>323</v>
      </c>
      <c r="C28" s="30" t="s">
        <v>324</v>
      </c>
      <c r="D28" s="33">
        <v>1</v>
      </c>
      <c r="E28" s="10">
        <v>1</v>
      </c>
    </row>
    <row r="29" spans="1:5" x14ac:dyDescent="0.15">
      <c r="A29" s="10" t="s">
        <v>290</v>
      </c>
      <c r="B29" s="10" t="s">
        <v>325</v>
      </c>
      <c r="C29" s="30" t="s">
        <v>326</v>
      </c>
      <c r="D29" s="33">
        <v>1</v>
      </c>
      <c r="E29" s="10">
        <v>3</v>
      </c>
    </row>
    <row r="30" spans="1:5" x14ac:dyDescent="0.15">
      <c r="A30" s="10" t="s">
        <v>290</v>
      </c>
      <c r="B30" s="10" t="s">
        <v>327</v>
      </c>
      <c r="C30" s="30" t="s">
        <v>326</v>
      </c>
      <c r="D30" s="33">
        <v>1</v>
      </c>
      <c r="E30" s="10">
        <v>1</v>
      </c>
    </row>
    <row r="31" spans="1:5" x14ac:dyDescent="0.15">
      <c r="A31" s="10" t="s">
        <v>290</v>
      </c>
      <c r="B31" s="10" t="s">
        <v>328</v>
      </c>
      <c r="C31" s="30" t="s">
        <v>326</v>
      </c>
      <c r="D31" s="33">
        <v>1</v>
      </c>
      <c r="E31" s="10">
        <v>2</v>
      </c>
    </row>
    <row r="32" spans="1:5" x14ac:dyDescent="0.15">
      <c r="A32" s="10" t="s">
        <v>292</v>
      </c>
      <c r="B32" s="10" t="s">
        <v>329</v>
      </c>
      <c r="C32" s="30" t="s">
        <v>364</v>
      </c>
      <c r="D32" s="33">
        <v>1</v>
      </c>
      <c r="E32" s="10">
        <v>5</v>
      </c>
    </row>
    <row r="33" spans="1:5" x14ac:dyDescent="0.15">
      <c r="A33" s="10" t="s">
        <v>292</v>
      </c>
      <c r="B33" s="10" t="s">
        <v>330</v>
      </c>
      <c r="C33" s="30" t="s">
        <v>365</v>
      </c>
      <c r="D33" s="33">
        <v>1</v>
      </c>
      <c r="E33" s="10">
        <v>3</v>
      </c>
    </row>
    <row r="34" spans="1:5" x14ac:dyDescent="0.15">
      <c r="A34" s="10" t="s">
        <v>292</v>
      </c>
      <c r="B34" s="10" t="s">
        <v>331</v>
      </c>
      <c r="C34" s="30" t="s">
        <v>366</v>
      </c>
      <c r="D34" s="33">
        <v>1</v>
      </c>
      <c r="E34" s="10">
        <v>1</v>
      </c>
    </row>
    <row r="35" spans="1:5" x14ac:dyDescent="0.15">
      <c r="A35" s="10" t="s">
        <v>292</v>
      </c>
      <c r="B35" s="10" t="s">
        <v>332</v>
      </c>
      <c r="C35" s="30" t="s">
        <v>367</v>
      </c>
      <c r="D35" s="33">
        <v>1</v>
      </c>
      <c r="E35" s="10">
        <v>2</v>
      </c>
    </row>
    <row r="36" spans="1:5" x14ac:dyDescent="0.15">
      <c r="A36" s="10" t="s">
        <v>292</v>
      </c>
      <c r="B36" s="10" t="s">
        <v>333</v>
      </c>
      <c r="C36" s="30" t="s">
        <v>368</v>
      </c>
      <c r="D36" s="33">
        <v>1</v>
      </c>
      <c r="E36" s="10">
        <v>5</v>
      </c>
    </row>
    <row r="37" spans="1:5" x14ac:dyDescent="0.15">
      <c r="A37" s="10" t="s">
        <v>292</v>
      </c>
      <c r="B37" s="10" t="s">
        <v>334</v>
      </c>
      <c r="C37" s="30" t="s">
        <v>369</v>
      </c>
      <c r="D37" s="33">
        <v>1</v>
      </c>
      <c r="E37" s="10">
        <v>4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1</vt:i4>
      </vt:variant>
    </vt:vector>
  </HeadingPairs>
  <TitlesOfParts>
    <vt:vector size="7" baseType="lpstr">
      <vt:lpstr>LHC</vt:lpstr>
      <vt:lpstr>Sheet1</vt:lpstr>
      <vt:lpstr>LHCSource</vt:lpstr>
      <vt:lpstr>odds</vt:lpstr>
      <vt:lpstr>agent</vt:lpstr>
      <vt:lpstr>ExportBetXML</vt:lpstr>
      <vt:lpstr>LHCSource!_FilterDatabase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</cp:lastModifiedBy>
  <dcterms:created xsi:type="dcterms:W3CDTF">2018-02-27T11:14:00Z</dcterms:created>
  <dcterms:modified xsi:type="dcterms:W3CDTF">2018-08-28T11:57:24Z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