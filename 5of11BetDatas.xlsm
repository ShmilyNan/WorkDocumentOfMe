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Sheet1!$A$1:$S$55</definedName>
  </definedNames>
  <calcPr calcId="162913" iterate="1" iterateCount="101"/>
</workbook>
</file>

<file path=xl/calcChain.xml><?xml version="1.0" encoding="utf-8"?>
<calcChain xmlns="http://schemas.openxmlformats.org/spreadsheetml/2006/main">
  <c r="E15" i="2" l="1"/>
  <c r="D15" i="2"/>
  <c r="E13" i="2"/>
  <c r="O8" i="1"/>
  <c r="O7" i="1"/>
  <c r="E10" i="2"/>
  <c r="O6" i="1"/>
  <c r="E8" i="2"/>
  <c r="F5" i="1"/>
  <c r="O4" i="1"/>
  <c r="H32" i="2" l="1"/>
  <c r="H33" i="2"/>
  <c r="H34" i="2"/>
  <c r="H35" i="2"/>
  <c r="H36" i="2"/>
  <c r="H37" i="2"/>
  <c r="H38" i="2"/>
  <c r="H2" i="2"/>
  <c r="H5" i="2" l="1"/>
  <c r="H51" i="2" l="1"/>
  <c r="F38" i="1" s="1"/>
  <c r="H49" i="2"/>
  <c r="F37" i="1" s="1"/>
  <c r="H47" i="2"/>
  <c r="F36" i="1" s="1"/>
  <c r="H45" i="2"/>
  <c r="F35" i="1" s="1"/>
  <c r="H43" i="2"/>
  <c r="F34" i="1" s="1"/>
  <c r="H41" i="2"/>
  <c r="F33" i="1" s="1"/>
  <c r="H39" i="2"/>
  <c r="F32" i="1" s="1"/>
  <c r="H18" i="2"/>
  <c r="F13" i="1" s="1"/>
  <c r="H15" i="2"/>
  <c r="F11" i="1" s="1"/>
  <c r="H10" i="2"/>
  <c r="F7" i="1" s="1"/>
  <c r="H8" i="2"/>
  <c r="F6" i="1" s="1"/>
  <c r="F2" i="1"/>
  <c r="F3" i="1"/>
  <c r="H6" i="2"/>
  <c r="F4" i="1" s="1"/>
  <c r="H7" i="2"/>
  <c r="H12" i="2"/>
  <c r="F8" i="1" s="1"/>
  <c r="H13" i="2"/>
  <c r="F9" i="1" s="1"/>
  <c r="H14" i="2"/>
  <c r="F10" i="1" s="1"/>
  <c r="H17" i="2"/>
  <c r="F12" i="1" s="1"/>
  <c r="H21" i="2"/>
  <c r="F14" i="1" s="1"/>
  <c r="H22" i="2"/>
  <c r="F15" i="1" s="1"/>
  <c r="H23" i="2"/>
  <c r="F16" i="1" s="1"/>
  <c r="H24" i="2"/>
  <c r="F17" i="1" s="1"/>
  <c r="H25" i="2"/>
  <c r="F18" i="1" s="1"/>
  <c r="H26" i="2"/>
  <c r="F19" i="1" s="1"/>
  <c r="H27" i="2"/>
  <c r="F20" i="1" s="1"/>
  <c r="H28" i="2"/>
  <c r="F21" i="1" s="1"/>
  <c r="H29" i="2"/>
  <c r="F22" i="1" s="1"/>
  <c r="H30" i="2"/>
  <c r="F23" i="1" s="1"/>
  <c r="H31" i="2"/>
  <c r="F24" i="1" s="1"/>
  <c r="F25" i="1"/>
  <c r="F26" i="1"/>
  <c r="F27" i="1"/>
  <c r="F28" i="1"/>
  <c r="F29" i="1"/>
  <c r="F30" i="1"/>
  <c r="F31" i="1"/>
  <c r="O15" i="1"/>
  <c r="O9" i="1"/>
  <c r="O36" i="1"/>
  <c r="O28" i="1"/>
  <c r="O20" i="1"/>
  <c r="O11" i="1"/>
  <c r="O35" i="1"/>
  <c r="O27" i="1"/>
  <c r="O19" i="1"/>
  <c r="O34" i="1"/>
  <c r="O26" i="1"/>
  <c r="O17" i="1"/>
  <c r="O33" i="1"/>
  <c r="O25" i="1"/>
  <c r="O13" i="1"/>
  <c r="O12" i="1"/>
  <c r="O16" i="1"/>
  <c r="O32" i="1"/>
  <c r="O24" i="1"/>
  <c r="O14" i="1"/>
  <c r="O22" i="1"/>
  <c r="O21" i="1"/>
  <c r="O18" i="1"/>
  <c r="O38" i="1"/>
  <c r="O10" i="1"/>
  <c r="O31" i="1"/>
  <c r="O23" i="1"/>
  <c r="O30" i="1"/>
  <c r="O37" i="1"/>
  <c r="O29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F27" i="2" l="1"/>
  <c r="F26" i="2"/>
  <c r="J22" i="2"/>
  <c r="K7" i="1" l="1"/>
  <c r="F21" i="2"/>
  <c r="F20" i="2"/>
  <c r="F19" i="2"/>
  <c r="F18" i="2"/>
  <c r="F17" i="2"/>
  <c r="F3" i="2" l="1"/>
  <c r="I3" i="1"/>
  <c r="I4" i="1"/>
  <c r="I2" i="1"/>
  <c r="G20" i="2" l="1"/>
  <c r="K5" i="1" s="1"/>
  <c r="G21" i="2"/>
  <c r="K6" i="1" s="1"/>
  <c r="G19" i="2"/>
  <c r="K4" i="1" s="1"/>
  <c r="F2" i="2"/>
  <c r="F16" i="2"/>
  <c r="F5" i="2"/>
  <c r="F4" i="2"/>
  <c r="G2" i="2" l="1"/>
  <c r="K2" i="1" s="1"/>
  <c r="L2" i="1" s="1"/>
  <c r="G17" i="2"/>
  <c r="K3" i="1" s="1"/>
  <c r="L3" i="1" l="1"/>
  <c r="L4" i="1" s="1"/>
  <c r="L5" i="1" l="1"/>
  <c r="K20" i="1"/>
  <c r="K12" i="1"/>
  <c r="S5" i="1"/>
  <c r="L6" i="1" l="1"/>
  <c r="K33" i="1" l="1"/>
  <c r="K25" i="1" l="1"/>
  <c r="K28" i="1"/>
  <c r="K29" i="1"/>
  <c r="K27" i="1"/>
  <c r="K26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L7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4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4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4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5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<sst xmlns="http://schemas.openxmlformats.org/spreadsheetml/2006/main" count="512" uniqueCount="204">
  <si>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</si>
  <si>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</si>
  <si>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</si>
  <si>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</si>
  <si>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</si>
  <si>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</si>
  <si>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</si>
  <si>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</si>
  <si>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Reward</t>
  </si>
  <si>
    <t>时时彩</t>
  </si>
  <si>
    <t>定位胆</t>
  </si>
  <si>
    <t>直选</t>
  </si>
  <si>
    <t>null</t>
  </si>
  <si>
    <t>直选和值</t>
  </si>
  <si>
    <t>跨度</t>
  </si>
  <si>
    <t>组选</t>
  </si>
  <si>
    <t>组选和值</t>
  </si>
  <si>
    <t>组选包胆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</si>
  <si>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</si>
  <si>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</si>
  <si>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</si>
  <si>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</si>
  <si>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</si>
  <si>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</si>
  <si>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</si>
  <si>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</si>
  <si>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</si>
  <si>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</si>
  <si>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</si>
  <si>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</si>
  <si>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</si>
  <si>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组选6</t>
    <phoneticPr fontId="1" type="noConversion"/>
  </si>
  <si>
    <t>组选4</t>
    <phoneticPr fontId="1" type="noConversion"/>
  </si>
  <si>
    <t>一码不定位</t>
    <phoneticPr fontId="1" type="noConversion"/>
  </si>
  <si>
    <t>二码不定位</t>
    <phoneticPr fontId="1" type="noConversion"/>
  </si>
  <si>
    <t>五星</t>
    <phoneticPr fontId="1" type="noConversion"/>
  </si>
  <si>
    <t>组选5</t>
    <phoneticPr fontId="1" type="noConversion"/>
  </si>
  <si>
    <t>三码不定位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</si>
  <si>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</si>
  <si>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</si>
  <si>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</si>
  <si>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</si>
  <si>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</si>
  <si>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</si>
  <si>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后二</t>
    <phoneticPr fontId="1" type="noConversion"/>
  </si>
  <si>
    <t>前三</t>
    <phoneticPr fontId="1" type="noConversion"/>
  </si>
  <si>
    <t>两面</t>
    <phoneticPr fontId="1" type="noConversion"/>
  </si>
  <si>
    <t>龙虎斗</t>
    <phoneticPr fontId="1" type="noConversion"/>
  </si>
  <si>
    <t>猜豹子</t>
    <phoneticPr fontId="1" type="noConversion"/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</si>
  <si>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</si>
  <si>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</si>
  <si>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</si>
  <si>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</si>
  <si>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</si>
  <si>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</si>
  <si>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</si>
  <si>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</si>
  <si>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</si>
  <si>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</si>
  <si>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</si>
  <si>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</si>
  <si>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</si>
  <si>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</si>
  <si>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</si>
  <si>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</si>
  <si>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</si>
  <si>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</si>
  <si>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</si>
  <si>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</si>
  <si>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</si>
  <si>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</si>
  <si>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</si>
  <si>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</si>
  <si>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</si>
  <si>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</si>
  <si>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</si>
  <si>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</si>
  <si>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</si>
  <si>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</si>
  <si>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</si>
  <si>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</si>
  <si>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</si>
  <si>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</si>
  <si>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</si>
  <si>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</si>
  <si>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</si>
  <si>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</si>
  <si>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</si>
  <si>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</si>
  <si>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</si>
  <si>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</si>
  <si>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</si>
  <si>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</si>
  <si>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</si>
  <si>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</si>
  <si>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</si>
  <si>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</si>
  <si>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</si>
  <si>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</si>
  <si>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</si>
  <si>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</si>
  <si>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</si>
  <si>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</si>
  <si>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</si>
  <si>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</si>
  <si>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</si>
  <si>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</si>
  <si>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</si>
  <si>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</si>
  <si>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</si>
  <si>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</si>
  <si>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</si>
  <si>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</si>
  <si>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</si>
  <si>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</si>
  <si>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</si>
  <si>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</si>
  <si>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</si>
  <si>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</si>
  <si>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</si>
  <si>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</si>
  <si>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</si>
  <si>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</si>
  <si>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</si>
  <si>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</si>
  <si>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</si>
  <si>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</si>
  <si>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</si>
  <si>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</si>
  <si>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</si>
  <si>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</si>
  <si>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</si>
  <si>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</si>
  <si>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</si>
  <si>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</si>
  <si>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</si>
  <si>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</si>
  <si>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</si>
  <si>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</si>
  <si>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</si>
  <si>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</si>
  <si>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</si>
  <si>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</si>
  <si>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</si>
  <si>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</si>
  <si>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</si>
  <si>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</si>
  <si>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</si>
  <si>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</si>
  <si>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</si>
  <si>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</si>
  <si>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</si>
  <si>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</si>
  <si>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</si>
  <si>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</si>
  <si>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t>24245</t>
  </si>
  <si>
    <t>01 02 03 04 05 06 07 08 09 10 11,01 02 03 04 05 06 07 08 09 10 11</t>
  </si>
  <si>
    <t>24245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</si>
  <si>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</si>
  <si>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</si>
  <si>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</si>
  <si>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</si>
  <si>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</si>
  <si>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</si>
  <si>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</si>
  <si>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</si>
  <si>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01 02 03,04 05 06,07 08 09</t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</si>
  <si>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</si>
  <si>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</si>
  <si>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</si>
  <si>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02,03,04,05,06,07,08,09,</t>
    <phoneticPr fontId="1" type="noConversion"/>
  </si>
  <si>
    <t>06,07,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</si>
  <si>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</si>
  <si>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</si>
  <si>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</si>
  <si>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,01,02,03,04,05,05,04,08,09,10,11</t>
    <phoneticPr fontId="1" type="noConversion"/>
  </si>
  <si>
    <t>01 02,02 01,05 06,07 08,09 10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</si>
  <si>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</si>
  <si>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</si>
  <si>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</si>
  <si>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</si>
  <si>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</si>
  <si>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</si>
  <si>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</si>
  <si>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</si>
  <si>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</si>
  <si>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02,03,04,05,06,07,08,09,10,11</t>
    <phoneticPr fontId="1" type="noConversion"/>
  </si>
  <si>
    <t>,01,02</t>
    <phoneticPr fontId="1" type="noConversion"/>
  </si>
  <si>
    <t>03,04,05,06,07,08,09,10,11</t>
    <phoneticPr fontId="1" type="noConversion"/>
  </si>
  <si>
    <t>04,05,06</t>
    <phoneticPr fontId="1" type="noConversion"/>
  </si>
  <si>
    <t>,01,02,03,07,08,09,10,11</t>
    <phoneticPr fontId="1" type="noConversion"/>
  </si>
  <si>
    <t>07,08,09,10</t>
    <phoneticPr fontId="1" type="noConversion"/>
  </si>
  <si>
    <t>,01,02,03,04,05,06,11</t>
    <phoneticPr fontId="1" type="noConversion"/>
  </si>
  <si>
    <t>,01,02,03,10,11</t>
    <phoneticPr fontId="1" type="noConversion"/>
  </si>
  <si>
    <t>04,05,06,07,08,09</t>
    <phoneticPr fontId="1" type="noConversion"/>
  </si>
  <si>
    <t>,01,10,11</t>
    <phoneticPr fontId="1" type="noConversion"/>
  </si>
  <si>
    <t>02,03,04,05,06,07,08,09</t>
    <phoneticPr fontId="1" type="noConversion"/>
  </si>
  <si>
    <t>,01,03,04,06,07,09,10</t>
    <phoneticPr fontId="1" type="noConversion"/>
  </si>
  <si>
    <t>02,05,08,11</t>
    <phoneticPr fontId="1" type="noConversion"/>
  </si>
  <si>
    <t>resultNum</t>
    <phoneticPr fontId="1" type="noConversion"/>
  </si>
  <si>
    <t>betNumber</t>
    <phoneticPr fontId="1" type="noConversion"/>
  </si>
  <si>
    <t>01 02 03 04 05 06 07 08 09 10 11</t>
    <phoneticPr fontId="1" type="noConversion"/>
  </si>
  <si>
    <t>01 02 03,06 07 08,09 10 11</t>
    <phoneticPr fontId="1" type="noConversion"/>
  </si>
  <si>
    <t>01 02,02 01,05 06,07 08,09 10,11 07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</si>
</sst>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3"/>
  <sheetViews>
    <sheetView topLeftCell="E1" zoomScaleNormal="100" workbookViewId="0">
      <pane ySplit="1" topLeftCell="A2" activePane="bottomLeft" state="frozen"/>
      <selection activeCell="D1" sqref="D1"/>
      <selection pane="bottomLeft" activeCell="O9" sqref="O9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37.625" style="22" customWidth="1"/>
    <col min="7" max="7" width="12.125" style="21" customWidth="1"/>
    <col min="8" max="8" width="12.25" style="21" customWidth="1"/>
    <col min="9" max="9" width="12.75" style="21" bestFit="1" customWidth="1"/>
    <col min="10" max="10" width="11.75" style="21" customWidth="1"/>
    <col min="11" max="11" width="16.75" style="21" bestFit="1" customWidth="1"/>
    <col min="12" max="12" width="16.25" style="21" customWidth="1"/>
    <col min="13" max="13" width="7.25" style="21" customWidth="1"/>
    <col min="14" max="14" width="8.5" style="21" bestFit="1" customWidth="1"/>
    <col min="15" max="15" width="10.75" style="21" customWidth="1"/>
    <col min="16" max="16" width="8.875" style="21" hidden="1" customWidth="1"/>
    <col min="17" max="17" width="7.625" style="21" hidden="1" customWidth="1"/>
    <col min="18" max="18" width="10.25" style="21" customWidth="1"/>
    <col min="19" max="19" width="33.875" style="21" bestFit="1" customWidth="1"/>
    <col min="20" max="16384" width="9" style="21"/>
  </cols>
  <sheetData>
    <row r="1" spans="1:19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53</v>
      </c>
      <c r="G1" s="21" t="s">
        <v>7</v>
      </c>
      <c r="H1" s="21" t="s">
        <v>54</v>
      </c>
      <c r="I1" s="21" t="s">
        <v>55</v>
      </c>
      <c r="J1" s="21" t="s">
        <v>57</v>
      </c>
      <c r="K1" s="21" t="s">
        <v>51</v>
      </c>
      <c r="L1" s="21" t="s">
        <v>56</v>
      </c>
      <c r="M1" s="21" t="s">
        <v>6</v>
      </c>
      <c r="N1" s="21" t="s">
        <v>8</v>
      </c>
      <c r="O1" s="21" t="s">
        <v>158</v>
      </c>
      <c r="P1" s="21" t="s">
        <v>50</v>
      </c>
      <c r="Q1" s="21" t="s">
        <v>49</v>
      </c>
      <c r="R1" s="21" t="s">
        <v>52</v>
      </c>
    </row>
    <row r="2" spans="1:19" x14ac:dyDescent="0.15">
      <c r="A2" s="1">
        <v>2</v>
      </c>
      <c r="B2" s="21" t="s">
        <v>9</v>
      </c>
      <c r="C2" s="21">
        <v>20180517001</v>
      </c>
      <c r="D2" s="21" t="s">
        <v>70</v>
      </c>
      <c r="E2" s="21" t="s">
        <v>72</v>
      </c>
      <c r="F2" s="22" t="str">
        <f>Sheet2!$H2</f>
        <v>01 02 03,04 05 06,07 08 09 10 11</v>
      </c>
      <c r="G2" s="21">
        <v>2</v>
      </c>
      <c r="H2" s="21">
        <v>2</v>
      </c>
      <c r="I2" s="21">
        <f t="shared" ref="I2:I38" si="0">O2*G2*2</f>
        <v>180</v>
      </c>
      <c r="J2" s="21">
        <v>25738</v>
      </c>
      <c r="K2" s="21">
        <f>Sheet2!$G2*$H2*$G2*$N2</f>
        <v>38412</v>
      </c>
      <c r="L2" s="21">
        <f>R2-I2+K2</f>
        <v>43232</v>
      </c>
      <c r="M2" s="21" t="s">
        <v>10</v>
      </c>
      <c r="N2" s="21">
        <v>1920.6</v>
      </c>
      <c r="O2" s="21">
        <v>45</v>
      </c>
      <c r="R2" s="21">
        <v>5000</v>
      </c>
    </row>
    <row r="3" spans="1:19" x14ac:dyDescent="0.15">
      <c r="A3" s="21">
        <v>7</v>
      </c>
      <c r="D3" s="21" t="s">
        <v>70</v>
      </c>
      <c r="E3" s="21" t="s">
        <v>79</v>
      </c>
      <c r="F3" s="22" t="str">
        <f>Sheet2!$H5</f>
        <v>01 02 03,04 05 06,07 08 09</v>
      </c>
      <c r="G3" s="21">
        <v>2</v>
      </c>
      <c r="H3" s="21">
        <v>2</v>
      </c>
      <c r="I3" s="21">
        <f t="shared" si="0"/>
        <v>12</v>
      </c>
      <c r="J3" s="27">
        <v>25738</v>
      </c>
      <c r="K3" s="21">
        <f>Sheet2!$G17*$H3*$G3*$N3</f>
        <v>7682.4</v>
      </c>
      <c r="L3" s="21">
        <f t="shared" ref="L3:L38" si="1">$L2-$I3+$K3</f>
        <v>50902.400000000001</v>
      </c>
      <c r="M3" s="21" t="s">
        <v>11</v>
      </c>
      <c r="N3" s="21">
        <v>1920.6</v>
      </c>
      <c r="O3" s="21">
        <v>3</v>
      </c>
    </row>
    <row r="4" spans="1:19" x14ac:dyDescent="0.15">
      <c r="A4" s="21">
        <v>9</v>
      </c>
      <c r="D4" s="21" t="s">
        <v>70</v>
      </c>
      <c r="E4" s="21" t="s">
        <v>82</v>
      </c>
      <c r="F4" s="22" t="str">
        <f>Sheet2!$H6</f>
        <v>02 03 04 05 06 07 08 09</v>
      </c>
      <c r="G4" s="21">
        <v>2</v>
      </c>
      <c r="H4" s="21">
        <v>2</v>
      </c>
      <c r="I4" s="21">
        <f t="shared" si="0"/>
        <v>224</v>
      </c>
      <c r="J4" s="27">
        <v>25738</v>
      </c>
      <c r="K4" s="21">
        <f>Sheet2!$G19*$H4*$G4*$N4</f>
        <v>0</v>
      </c>
      <c r="L4" s="21">
        <f t="shared" si="1"/>
        <v>50678.400000000001</v>
      </c>
      <c r="N4" s="21">
        <v>320.10000000000002</v>
      </c>
      <c r="O4" s="21">
        <f>COMBIN(LEN(SUBSTITUTE(F4," ",))/2,3)</f>
        <v>56</v>
      </c>
    </row>
    <row r="5" spans="1:19" x14ac:dyDescent="0.15">
      <c r="A5" s="21">
        <v>10</v>
      </c>
      <c r="D5" s="21" t="s">
        <v>70</v>
      </c>
      <c r="E5" s="21" t="s">
        <v>83</v>
      </c>
      <c r="F5" s="22" t="str">
        <f>Sheet2!$D7</f>
        <v>01 02 03,06 07 08,09 10 11</v>
      </c>
      <c r="G5" s="21">
        <v>2</v>
      </c>
      <c r="H5" s="21">
        <v>2</v>
      </c>
      <c r="I5" s="21">
        <f t="shared" si="0"/>
        <v>12</v>
      </c>
      <c r="J5" s="27">
        <v>25738</v>
      </c>
      <c r="K5" s="21">
        <f>Sheet2!$G20*$H5*$G5*$N5</f>
        <v>0</v>
      </c>
      <c r="L5" s="21">
        <f t="shared" si="1"/>
        <v>50666.400000000001</v>
      </c>
      <c r="N5" s="21">
        <v>320.10000000000002</v>
      </c>
      <c r="O5" s="21">
        <v>3</v>
      </c>
      <c r="S5" s="21">
        <f>LOOKUP(SUM(LEN(SUBSTITUTE(J2,MID(J2,{1,2,3,4,5},1),))),{8,12,14,16,18,20;5,10,20,30,60,120})</f>
        <v>120</v>
      </c>
    </row>
    <row r="6" spans="1:19" x14ac:dyDescent="0.15">
      <c r="A6" s="21">
        <v>11</v>
      </c>
      <c r="D6" s="21" t="s">
        <v>70</v>
      </c>
      <c r="E6" s="21" t="s">
        <v>85</v>
      </c>
      <c r="F6" s="22" t="str">
        <f>Sheet2!$H8</f>
        <v>06 07,01 02 03 04 05 08 09 10 11</v>
      </c>
      <c r="G6" s="21">
        <v>2</v>
      </c>
      <c r="H6" s="21">
        <v>2</v>
      </c>
      <c r="I6" s="21">
        <f t="shared" si="0"/>
        <v>36</v>
      </c>
      <c r="J6" s="27">
        <v>25738</v>
      </c>
      <c r="K6" s="21">
        <f>Sheet2!$G21*$H6*$G6*$N6</f>
        <v>1280.4000000000001</v>
      </c>
      <c r="L6" s="21">
        <f t="shared" si="1"/>
        <v>51910.8</v>
      </c>
      <c r="N6" s="21">
        <v>320.10000000000002</v>
      </c>
      <c r="O6" s="21">
        <f>Sheet2!E8</f>
        <v>9</v>
      </c>
    </row>
    <row r="7" spans="1:19" x14ac:dyDescent="0.15">
      <c r="A7" s="21">
        <v>12</v>
      </c>
      <c r="D7" s="21" t="s">
        <v>88</v>
      </c>
      <c r="E7" s="21" t="s">
        <v>90</v>
      </c>
      <c r="F7" s="22" t="str">
        <f>Sheet2!$H10</f>
        <v>01 02 03 04 05,06 07 08 09 10 11</v>
      </c>
      <c r="G7" s="21">
        <v>2</v>
      </c>
      <c r="H7" s="21">
        <v>2</v>
      </c>
      <c r="I7" s="21">
        <f t="shared" si="0"/>
        <v>120</v>
      </c>
      <c r="J7" s="27">
        <v>25738</v>
      </c>
      <c r="K7" s="21">
        <f>IF(LEFT(J2,1)&lt;&gt;MID(J2,2,1),IF(IF(ISNUMBER(FIND(LEFT(J2,1),#REF!,1)),1,0)+IF(ISNUMBER(FIND(MID(J2,2,1),#REF!,1)),1,0)=2,G2*N7,0),0)</f>
        <v>0</v>
      </c>
      <c r="L7" s="21">
        <f t="shared" si="1"/>
        <v>51790.8</v>
      </c>
      <c r="M7" s="21" t="s">
        <v>15</v>
      </c>
      <c r="N7" s="21">
        <v>213.4</v>
      </c>
      <c r="O7" s="27">
        <f>Sheet2!E10</f>
        <v>30</v>
      </c>
    </row>
    <row r="8" spans="1:19" x14ac:dyDescent="0.15">
      <c r="A8" s="21">
        <v>13</v>
      </c>
      <c r="D8" s="21" t="s">
        <v>88</v>
      </c>
      <c r="E8" s="21" t="s">
        <v>92</v>
      </c>
      <c r="F8" s="22" t="str">
        <f>Sheet2!$H12</f>
        <v>01 02 02 01 05 06 07 08 09 10</v>
      </c>
      <c r="G8" s="21">
        <v>2</v>
      </c>
      <c r="H8" s="21">
        <v>2</v>
      </c>
      <c r="I8" s="21">
        <f t="shared" si="0"/>
        <v>20</v>
      </c>
      <c r="J8" s="27">
        <v>25738</v>
      </c>
      <c r="K8" s="21">
        <f>IF(EXACT(LEFT(J2,1),MID(J2,2,1)),0,IF(OR(ISNUMBER(FIND(","&amp;LEFT(J2,2)&amp;",",#REF!,1)),ISNUMBER(FIND(","&amp;MID(J2,2,1)&amp;LEFT(J2,1)&amp;",",#REF!,1))),G2*N8,0))</f>
        <v>0</v>
      </c>
      <c r="L8" s="21">
        <f t="shared" si="1"/>
        <v>51770.8</v>
      </c>
      <c r="N8" s="21">
        <v>213.4</v>
      </c>
      <c r="O8" s="27">
        <f>Sheet2!E12</f>
        <v>5</v>
      </c>
    </row>
    <row r="9" spans="1:19" x14ac:dyDescent="0.15">
      <c r="A9" s="21">
        <v>14</v>
      </c>
      <c r="D9" s="21" t="s">
        <v>88</v>
      </c>
      <c r="E9" s="21" t="s">
        <v>94</v>
      </c>
      <c r="F9" s="22" t="str">
        <f>Sheet2!$H13</f>
        <v>01 02 03 04 05 05 04 08 09 10 11</v>
      </c>
      <c r="G9" s="21">
        <v>2</v>
      </c>
      <c r="H9" s="21">
        <v>2</v>
      </c>
      <c r="I9" s="21">
        <f t="shared" si="0"/>
        <v>44</v>
      </c>
      <c r="J9" s="27">
        <v>25738</v>
      </c>
      <c r="K9" s="21">
        <f>IF(LEFT(J2,1)&lt;&gt;MID(J2,2,1),IF(ISNUMBER(FIND(","&amp;SUM(LEFT(J2,1),MID(J2,2,1))&amp;",",#REF!,1)),G2*N9,0),0)</f>
        <v>0</v>
      </c>
      <c r="L9" s="21">
        <f t="shared" si="1"/>
        <v>51726.8</v>
      </c>
      <c r="N9" s="21">
        <v>106.7</v>
      </c>
      <c r="O9" s="21">
        <f>FINDNUMBER(Sheet2!D24,2)</f>
        <v>11</v>
      </c>
    </row>
    <row r="10" spans="1:19" x14ac:dyDescent="0.15">
      <c r="A10" s="21">
        <v>15</v>
      </c>
      <c r="D10" s="21" t="s">
        <v>88</v>
      </c>
      <c r="E10" s="21" t="s">
        <v>98</v>
      </c>
      <c r="F10" s="22" t="str">
        <f>Sheet2!$H14</f>
        <v>01 02 02 01 05 06 07 08 09 10 11 07</v>
      </c>
      <c r="G10" s="21">
        <v>2</v>
      </c>
      <c r="H10" s="21">
        <v>2</v>
      </c>
      <c r="I10" s="21">
        <f t="shared" si="0"/>
        <v>44</v>
      </c>
      <c r="J10" s="27">
        <v>25738</v>
      </c>
      <c r="K10" s="21">
        <f>IF(AND(OR(ISNUMBER(FIND(LEFT(J2,1),#REF!,1)),ISNUMBER(FIND(MID(J2,2,1),#REF!,1))),LEFT(J2,1)&lt;&gt;MID(J2,2,1)),G2*N10,0)</f>
        <v>0</v>
      </c>
      <c r="L10" s="21">
        <f t="shared" si="1"/>
        <v>51682.8</v>
      </c>
      <c r="N10" s="21">
        <v>106.7</v>
      </c>
      <c r="O10" s="21">
        <f>FINDNUMBER(Sheet2!D25,2)</f>
        <v>11</v>
      </c>
    </row>
    <row r="11" spans="1:19" x14ac:dyDescent="0.15">
      <c r="A11" s="21">
        <v>16</v>
      </c>
      <c r="D11" s="21" t="s">
        <v>88</v>
      </c>
      <c r="E11" s="21" t="s">
        <v>96</v>
      </c>
      <c r="F11" s="22" t="str">
        <f>Sheet2!$H15</f>
        <v>07,01 02 03 04 05 06 08 09 10 11</v>
      </c>
      <c r="G11" s="21">
        <v>2</v>
      </c>
      <c r="H11" s="21">
        <v>2</v>
      </c>
      <c r="I11" s="21">
        <f t="shared" si="0"/>
        <v>44</v>
      </c>
      <c r="J11" s="27">
        <v>25738</v>
      </c>
      <c r="K11" s="21">
        <f>IF(IF(ISNUMBER(FIND(RIGHT(J2,1),#REF!,1)),1,0)+IF(ISNUMBER(FIND(MID(J2,4,1),#REF!,1)),1,0)=2,G2*N11*1,0)</f>
        <v>0</v>
      </c>
      <c r="L11" s="21">
        <f t="shared" si="1"/>
        <v>51638.8</v>
      </c>
      <c r="M11" s="21" t="s">
        <v>11</v>
      </c>
      <c r="N11" s="21">
        <v>106.7</v>
      </c>
      <c r="O11" s="21">
        <f>FINDNUMBER(Sheet2!D26,2)</f>
        <v>11</v>
      </c>
    </row>
    <row r="12" spans="1:19" x14ac:dyDescent="0.15">
      <c r="A12" s="21">
        <v>18</v>
      </c>
      <c r="D12" s="21" t="s">
        <v>103</v>
      </c>
      <c r="E12" s="21" t="s">
        <v>105</v>
      </c>
      <c r="F12" s="22" t="str">
        <f>Sheet2!$H17</f>
        <v>01 02 03 04 05 06 07 08 09 10 11</v>
      </c>
      <c r="G12" s="21">
        <v>2</v>
      </c>
      <c r="H12" s="21">
        <v>2</v>
      </c>
      <c r="I12" s="21">
        <f t="shared" si="0"/>
        <v>44</v>
      </c>
      <c r="J12" s="27">
        <v>25738</v>
      </c>
      <c r="K12" s="21">
        <f>IF(ISNUMBER(FIND(","&amp;RIGHT(J2,2),#REF!,1)),G2*N12,0)</f>
        <v>0</v>
      </c>
      <c r="L12" s="21">
        <f t="shared" si="1"/>
        <v>51594.8</v>
      </c>
      <c r="N12" s="21">
        <v>7.11</v>
      </c>
      <c r="O12" s="21">
        <f>FINDNUMBER(Sheet2!D27,2)</f>
        <v>11</v>
      </c>
    </row>
    <row r="13" spans="1:19" ht="40.5" x14ac:dyDescent="0.15">
      <c r="A13" s="21">
        <v>19</v>
      </c>
      <c r="D13" s="21" t="s">
        <v>107</v>
      </c>
      <c r="E13" s="21" t="s">
        <v>108</v>
      </c>
      <c r="F13" s="22" t="str">
        <f>Sheet2!$H18</f>
        <v>01 02 03 04 05 06 07 08 09 10 11,01 02 03 04 05 06 07 08 09 10 11,01 02 03 04 05 06 07 08 09 10 11</v>
      </c>
      <c r="G13" s="21">
        <v>2</v>
      </c>
      <c r="H13" s="21">
        <v>2</v>
      </c>
      <c r="I13" s="21">
        <f t="shared" si="0"/>
        <v>44</v>
      </c>
      <c r="J13" s="27">
        <v>25738</v>
      </c>
      <c r="K13" s="21">
        <f>IF(ISNUMBER(FIND(","&amp;SUM(RIGHT(J2,1),MID(J2,4,1))&amp;",",#REF!,1)),G2*N13,0)</f>
        <v>0</v>
      </c>
      <c r="L13" s="21">
        <f t="shared" si="1"/>
        <v>51550.8</v>
      </c>
      <c r="N13" s="21">
        <v>21.34</v>
      </c>
      <c r="O13" s="21">
        <f>FINDNUMBER(Sheet2!D28,2)</f>
        <v>11</v>
      </c>
    </row>
    <row r="14" spans="1:19" ht="27" x14ac:dyDescent="0.15">
      <c r="A14" s="21">
        <v>20</v>
      </c>
      <c r="D14" s="21" t="s">
        <v>110</v>
      </c>
      <c r="E14" s="21" t="s">
        <v>112</v>
      </c>
      <c r="F14" s="22" t="str">
        <f>Sheet2!$H21</f>
        <v>5单0双 4单1双 3单2双 2单3双 1单4双 0单5双</v>
      </c>
      <c r="G14" s="21">
        <v>2</v>
      </c>
      <c r="H14" s="21">
        <v>2</v>
      </c>
      <c r="I14" s="21">
        <f t="shared" si="0"/>
        <v>44</v>
      </c>
      <c r="J14" s="27">
        <v>25738</v>
      </c>
      <c r="K14" s="21">
        <f>IF(ISNUMBER(FIND(MAX(MID(J2,4,1),RIGHT(J2,1))-MIN(MID(J2,4,1),RIGHT(J2,1)),#REF!,1)),G2*N14*1,0)</f>
        <v>0</v>
      </c>
      <c r="L14" s="21">
        <f t="shared" si="1"/>
        <v>51506.8</v>
      </c>
      <c r="N14" s="21">
        <v>196</v>
      </c>
      <c r="O14" s="21">
        <f>FINDNUMBER(Sheet2!D29,2)</f>
        <v>11</v>
      </c>
    </row>
    <row r="15" spans="1:19" x14ac:dyDescent="0.15">
      <c r="A15" s="21">
        <v>21</v>
      </c>
      <c r="D15" s="21" t="s">
        <v>110</v>
      </c>
      <c r="E15" s="21" t="s">
        <v>115</v>
      </c>
      <c r="F15" s="22" t="str">
        <f>Sheet2!$H22</f>
        <v>03 04 05 06 07 08 09</v>
      </c>
      <c r="G15" s="21">
        <v>2</v>
      </c>
      <c r="H15" s="21">
        <v>2</v>
      </c>
      <c r="I15" s="21">
        <f t="shared" si="0"/>
        <v>44</v>
      </c>
      <c r="J15" s="27">
        <v>25738</v>
      </c>
      <c r="K15" s="21">
        <f>IF(RIGHT(J2,1)&lt;&gt;MID(J2,4,1),IF(IF(ISNUMBER(FIND(RIGHT(J2,1),#REF!,1)),1,0)+IF(ISNUMBER(FIND(MID(J2,4,1),#REF!,1)),1,0)=2,G2*N15,0),0)</f>
        <v>0</v>
      </c>
      <c r="L15" s="21">
        <f t="shared" si="1"/>
        <v>51462.8</v>
      </c>
      <c r="M15" s="21" t="s">
        <v>15</v>
      </c>
      <c r="N15" s="21">
        <v>98</v>
      </c>
      <c r="O15" s="21">
        <f>FINDNUMBER(Sheet2!D30,2)</f>
        <v>11</v>
      </c>
    </row>
    <row r="16" spans="1:19" x14ac:dyDescent="0.15">
      <c r="A16" s="21">
        <v>22</v>
      </c>
      <c r="D16" s="21" t="s">
        <v>117</v>
      </c>
      <c r="E16" s="21" t="s">
        <v>119</v>
      </c>
      <c r="F16" s="22" t="str">
        <f>Sheet2!$H23</f>
        <v>01 02 03 04 05 06 07 08 09 10 11</v>
      </c>
      <c r="G16" s="21">
        <v>2</v>
      </c>
      <c r="H16" s="21">
        <v>2</v>
      </c>
      <c r="I16" s="21">
        <f t="shared" si="0"/>
        <v>44</v>
      </c>
      <c r="J16" s="27">
        <v>25738</v>
      </c>
      <c r="K16" s="21">
        <f>IF(EXACT(RIGHT(J2,1),MID(J2,4,1)),0,IF(OR(ISNUMBER(FIND(","&amp;RIGHT(J2,2)&amp;",",#REF!,1)),ISNUMBER(FIND(","&amp;RIGHT(J2,1)&amp;MID(J2,4,1)&amp;",",#REF!,1))),G2*N8,0))</f>
        <v>0</v>
      </c>
      <c r="L16" s="21">
        <f t="shared" si="1"/>
        <v>51418.8</v>
      </c>
      <c r="N16" s="21">
        <v>98</v>
      </c>
      <c r="O16" s="21">
        <f>FINDNUMBER(Sheet2!D31,2)</f>
        <v>11</v>
      </c>
    </row>
    <row r="17" spans="1:15" x14ac:dyDescent="0.15">
      <c r="A17" s="21">
        <v>23</v>
      </c>
      <c r="D17" s="21" t="s">
        <v>117</v>
      </c>
      <c r="E17" s="21" t="s">
        <v>121</v>
      </c>
      <c r="F17" s="22" t="str">
        <f>Sheet2!$H24</f>
        <v>01 02 03 04 05 06 07 08 09 10 11</v>
      </c>
      <c r="G17" s="21">
        <v>2</v>
      </c>
      <c r="H17" s="21">
        <v>2</v>
      </c>
      <c r="I17" s="21">
        <f t="shared" si="0"/>
        <v>40</v>
      </c>
      <c r="J17" s="27">
        <v>25738</v>
      </c>
      <c r="K17" s="21">
        <f>IF(RIGHT(J2,1)&lt;&gt;MID(J2,4,1),IF(ISNUMBER(FIND(","&amp;SUM(MID(J2,4,1),RIGHT(J2,1))&amp;",",#REF!,1)),G2*N17,0),0)</f>
        <v>0</v>
      </c>
      <c r="L17" s="21">
        <f t="shared" si="1"/>
        <v>51378.8</v>
      </c>
      <c r="N17" s="21">
        <v>98</v>
      </c>
      <c r="O17" s="21">
        <f>FINDNUMBER(Sheet2!D32,2)</f>
        <v>10</v>
      </c>
    </row>
    <row r="18" spans="1:15" x14ac:dyDescent="0.15">
      <c r="A18" s="21">
        <v>24</v>
      </c>
      <c r="D18" s="21" t="s">
        <v>117</v>
      </c>
      <c r="E18" s="21" t="s">
        <v>123</v>
      </c>
      <c r="F18" s="22" t="str">
        <f>Sheet2!$H25</f>
        <v>01 02 03 04 05 06 07 08 09 10 11</v>
      </c>
      <c r="G18" s="21">
        <v>2</v>
      </c>
      <c r="H18" s="21">
        <v>2</v>
      </c>
      <c r="I18" s="21">
        <f t="shared" si="0"/>
        <v>40</v>
      </c>
      <c r="J18" s="27">
        <v>25738</v>
      </c>
      <c r="K18" s="21">
        <f>IF(AND(OR(ISNUMBER(FIND(RIGHT(J2,1),#REF!,1)),ISNUMBER(FIND(MID(J2,4,1),#REF!,1))),RIGHT(J2,1)&lt;&gt;MID(J2,4,1)),G2*N18,0)</f>
        <v>0</v>
      </c>
      <c r="L18" s="21">
        <f t="shared" si="1"/>
        <v>51338.8</v>
      </c>
      <c r="N18" s="21">
        <v>98</v>
      </c>
      <c r="O18" s="21">
        <f>FINDNUMBER(Sheet2!D33,2)</f>
        <v>10</v>
      </c>
    </row>
    <row r="19" spans="1:15" x14ac:dyDescent="0.15">
      <c r="A19" s="21">
        <v>25</v>
      </c>
      <c r="D19" s="21" t="s">
        <v>117</v>
      </c>
      <c r="E19" s="21" t="s">
        <v>125</v>
      </c>
      <c r="F19" s="22" t="str">
        <f>Sheet2!$H26</f>
        <v>01 02 03 04 05 06 07 08 09 10 11</v>
      </c>
      <c r="G19" s="21">
        <v>2</v>
      </c>
      <c r="H19" s="21">
        <v>2</v>
      </c>
      <c r="I19" s="21">
        <f t="shared" si="0"/>
        <v>40</v>
      </c>
      <c r="J19" s="27">
        <v>25738</v>
      </c>
      <c r="K19" s="21">
        <f>IF(AND(ISNUMBER(FIND(LEFT(J2,1),#REF!,1)),ISNUMBER(FIND(MID(J2,2,1),#REF!,1)),ISNUMBER(FIND(MID(J2,3,1),#REF!,1))),G2*N19,0)</f>
        <v>0</v>
      </c>
      <c r="L19" s="21">
        <f t="shared" si="1"/>
        <v>51298.8</v>
      </c>
      <c r="M19" s="21" t="s">
        <v>11</v>
      </c>
      <c r="N19" s="21">
        <v>1960</v>
      </c>
      <c r="O19" s="21">
        <f>FINDNUMBER(Sheet2!D34,2)</f>
        <v>10</v>
      </c>
    </row>
    <row r="20" spans="1:15" x14ac:dyDescent="0.15">
      <c r="A20" s="21">
        <v>28</v>
      </c>
      <c r="D20" s="21" t="s">
        <v>117</v>
      </c>
      <c r="E20" s="21" t="s">
        <v>127</v>
      </c>
      <c r="F20" s="22" t="str">
        <f>Sheet2!$H27</f>
        <v>01 02 03 04 05 06 07 08 09 10 11</v>
      </c>
      <c r="G20" s="21">
        <v>2</v>
      </c>
      <c r="H20" s="21">
        <v>2</v>
      </c>
      <c r="I20" s="21">
        <f t="shared" si="0"/>
        <v>40</v>
      </c>
      <c r="J20" s="27">
        <v>25738</v>
      </c>
      <c r="K20" s="21">
        <f>IF(ISNUMBER(FIND(","&amp;LEFT(J2,3),#REF!,1)),G2*N20,0)</f>
        <v>0</v>
      </c>
      <c r="L20" s="21">
        <f t="shared" si="1"/>
        <v>51258.8</v>
      </c>
      <c r="N20" s="21">
        <v>1960</v>
      </c>
      <c r="O20" s="21">
        <f>FINDNUMBER(Sheet2!D35,2)</f>
        <v>10</v>
      </c>
    </row>
    <row r="21" spans="1:15" x14ac:dyDescent="0.15">
      <c r="A21" s="21">
        <v>29</v>
      </c>
      <c r="D21" s="21" t="s">
        <v>117</v>
      </c>
      <c r="E21" s="21" t="s">
        <v>129</v>
      </c>
      <c r="F21" s="22" t="str">
        <f>Sheet2!$H28</f>
        <v>01 02 03 04 05 06 07 08 09 10 11</v>
      </c>
      <c r="G21" s="21">
        <v>2</v>
      </c>
      <c r="H21" s="21">
        <v>2</v>
      </c>
      <c r="I21" s="21">
        <f t="shared" si="0"/>
        <v>40</v>
      </c>
      <c r="J21" s="27">
        <v>25738</v>
      </c>
      <c r="K21" s="21">
        <f>IF(ISNUMBER(FIND(","&amp;SUM(LEFT(J2,1),MID(J2,2,1),MID(J2,3,1))&amp;",",#REF!,1)),G2*N21,0)</f>
        <v>0</v>
      </c>
      <c r="L21" s="21">
        <f t="shared" si="1"/>
        <v>51218.8</v>
      </c>
      <c r="N21" s="21">
        <v>1960</v>
      </c>
      <c r="O21" s="21">
        <f>FINDNUMBER(Sheet2!D36,2)</f>
        <v>10</v>
      </c>
    </row>
    <row r="22" spans="1:15" x14ac:dyDescent="0.15">
      <c r="A22" s="21">
        <v>30</v>
      </c>
      <c r="D22" s="21" t="s">
        <v>117</v>
      </c>
      <c r="E22" s="21" t="s">
        <v>131</v>
      </c>
      <c r="F22" s="22" t="str">
        <f>Sheet2!$H29</f>
        <v>01 02 03 04 05 06 07 08 09 10 11</v>
      </c>
      <c r="G22" s="21">
        <v>2</v>
      </c>
      <c r="H22" s="21">
        <v>2</v>
      </c>
      <c r="I22" s="21">
        <f t="shared" si="0"/>
        <v>40</v>
      </c>
      <c r="J22" s="27">
        <v>25738</v>
      </c>
      <c r="K22" s="21">
        <f>IF(ISNUMBER(FIND(MAX(MID(J2,2,1),LEFT(J2,1),MID(J2,3,1))-MIN(MID(J2,2,1),LEFT(J2,1),MID(J2,3,1)),#REF!,1)),G2*N22*1,0)</f>
        <v>0</v>
      </c>
      <c r="L22" s="21">
        <f t="shared" si="1"/>
        <v>51178.8</v>
      </c>
      <c r="N22" s="21">
        <v>1960</v>
      </c>
      <c r="O22" s="21">
        <f>FINDNUMBER(Sheet2!D37,2)</f>
        <v>10</v>
      </c>
    </row>
    <row r="23" spans="1:15" x14ac:dyDescent="0.15">
      <c r="A23" s="21">
        <v>31</v>
      </c>
      <c r="D23" s="21" t="s">
        <v>117</v>
      </c>
      <c r="E23" s="21" t="s">
        <v>133</v>
      </c>
      <c r="F23" s="22" t="str">
        <f>Sheet2!$H30</f>
        <v>01 02 03 04 05 06 07 08 09 10 11</v>
      </c>
      <c r="G23" s="21">
        <v>2</v>
      </c>
      <c r="H23" s="21">
        <v>2</v>
      </c>
      <c r="I23" s="21">
        <f t="shared" si="0"/>
        <v>40</v>
      </c>
      <c r="J23" s="27">
        <v>25738</v>
      </c>
      <c r="K23" s="21">
        <f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1">
        <f t="shared" si="1"/>
        <v>51138.8</v>
      </c>
      <c r="M23" s="21" t="s">
        <v>15</v>
      </c>
      <c r="N23" s="21">
        <v>326.66500000000002</v>
      </c>
      <c r="O23" s="21">
        <f>FINDNUMBER(Sheet2!D38,2)</f>
        <v>10</v>
      </c>
    </row>
    <row r="24" spans="1:15" x14ac:dyDescent="0.15">
      <c r="A24" s="21">
        <v>32</v>
      </c>
      <c r="D24" s="21" t="s">
        <v>143</v>
      </c>
      <c r="E24" s="21" t="s">
        <v>119</v>
      </c>
      <c r="F24" s="22" t="str">
        <f>Sheet2!$H31</f>
        <v>01 02 03 04 05 06 07 08 09 10 11</v>
      </c>
      <c r="G24" s="21">
        <v>2</v>
      </c>
      <c r="H24" s="21">
        <v>2</v>
      </c>
      <c r="I24" s="21">
        <f t="shared" si="0"/>
        <v>0</v>
      </c>
      <c r="J24" s="27">
        <v>25738</v>
      </c>
      <c r="K24" s="21">
        <f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1">
        <f t="shared" si="1"/>
        <v>51138.8</v>
      </c>
      <c r="N24" s="21">
        <v>653.33000000000004</v>
      </c>
      <c r="O24" s="21">
        <f>FINDNUMBER(Sheet2!D39,2)</f>
        <v>0</v>
      </c>
    </row>
    <row r="25" spans="1:15" x14ac:dyDescent="0.15">
      <c r="A25" s="21">
        <v>33</v>
      </c>
      <c r="D25" s="21" t="s">
        <v>143</v>
      </c>
      <c r="E25" s="21" t="s">
        <v>121</v>
      </c>
      <c r="F25" s="22" t="str">
        <f>Sheet2!$H32</f>
        <v>01,02,03,04,05,06,07,08,09,10,11</v>
      </c>
      <c r="G25" s="21">
        <v>2</v>
      </c>
      <c r="H25" s="21">
        <v>2</v>
      </c>
      <c r="I25" s="21">
        <f t="shared" si="0"/>
        <v>36</v>
      </c>
      <c r="J25" s="27">
        <v>25738</v>
      </c>
      <c r="K25" s="21">
        <f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1">
        <f t="shared" si="1"/>
        <v>51102.8</v>
      </c>
      <c r="N25" s="21">
        <v>326.66000000000003</v>
      </c>
      <c r="O25" s="21">
        <f>FINDNUMBER(Sheet2!D40,2)</f>
        <v>9</v>
      </c>
    </row>
    <row r="26" spans="1:15" x14ac:dyDescent="0.15">
      <c r="A26" s="21">
        <v>34</v>
      </c>
      <c r="D26" s="21" t="s">
        <v>143</v>
      </c>
      <c r="E26" s="21" t="s">
        <v>123</v>
      </c>
      <c r="F26" s="22" t="str">
        <f>Sheet2!$H33</f>
        <v>01,02,03,04,05,06,07,08,09,10,11</v>
      </c>
      <c r="G26" s="21">
        <v>2</v>
      </c>
      <c r="H26" s="21">
        <v>2</v>
      </c>
      <c r="I26" s="21">
        <f t="shared" si="0"/>
        <v>8</v>
      </c>
      <c r="J26" s="27">
        <v>25738</v>
      </c>
      <c r="K26" s="21">
        <f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21">
        <f t="shared" si="1"/>
        <v>51094.8</v>
      </c>
      <c r="N26" s="21">
        <v>326.66500000000002</v>
      </c>
      <c r="O26" s="21">
        <f>FINDNUMBER(Sheet2!D41,2)</f>
        <v>2</v>
      </c>
    </row>
    <row r="27" spans="1:15" x14ac:dyDescent="0.15">
      <c r="A27" s="21">
        <v>35</v>
      </c>
      <c r="D27" s="21" t="s">
        <v>143</v>
      </c>
      <c r="E27" s="21" t="s">
        <v>125</v>
      </c>
      <c r="F27" s="22" t="str">
        <f>Sheet2!$H34</f>
        <v>01,02,03,04,05,06,07,08,09,10,11</v>
      </c>
      <c r="G27" s="21">
        <v>2</v>
      </c>
      <c r="H27" s="21">
        <v>2</v>
      </c>
      <c r="I27" s="21">
        <f t="shared" si="0"/>
        <v>32</v>
      </c>
      <c r="J27" s="27">
        <v>25738</v>
      </c>
      <c r="K27" s="21">
        <f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1">
        <f t="shared" si="1"/>
        <v>51062.8</v>
      </c>
      <c r="N27" s="21">
        <v>326.66500000000002</v>
      </c>
      <c r="O27" s="21">
        <f>FINDNUMBER(Sheet2!D42,2)</f>
        <v>8</v>
      </c>
    </row>
    <row r="28" spans="1:15" x14ac:dyDescent="0.15">
      <c r="A28" s="21">
        <v>36</v>
      </c>
      <c r="D28" s="21" t="s">
        <v>143</v>
      </c>
      <c r="E28" s="21" t="s">
        <v>127</v>
      </c>
      <c r="F28" s="22" t="str">
        <f>Sheet2!$H35</f>
        <v>01,02,03,04,05,06,07,08,09,10,11</v>
      </c>
      <c r="G28" s="21">
        <v>2</v>
      </c>
      <c r="H28" s="21">
        <v>2</v>
      </c>
      <c r="I28" s="21">
        <f t="shared" si="0"/>
        <v>8</v>
      </c>
      <c r="J28" s="27">
        <v>25738</v>
      </c>
      <c r="K28" s="21">
        <f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1">
        <f t="shared" si="1"/>
        <v>51054.8</v>
      </c>
      <c r="N28" s="21">
        <v>653.33000000000004</v>
      </c>
      <c r="O28" s="21">
        <f>FINDNUMBER(Sheet2!D43,2)</f>
        <v>2</v>
      </c>
    </row>
    <row r="29" spans="1:15" x14ac:dyDescent="0.15">
      <c r="A29" s="21">
        <v>37</v>
      </c>
      <c r="D29" s="21" t="s">
        <v>143</v>
      </c>
      <c r="E29" s="21" t="s">
        <v>129</v>
      </c>
      <c r="F29" s="22" t="str">
        <f>Sheet2!$H36</f>
        <v>01,02,03,04,05,06,07,08,09,10,11</v>
      </c>
      <c r="G29" s="21">
        <v>2</v>
      </c>
      <c r="H29" s="21">
        <v>2</v>
      </c>
      <c r="I29" s="21">
        <f t="shared" si="0"/>
        <v>32</v>
      </c>
      <c r="J29" s="27">
        <v>25738</v>
      </c>
      <c r="K29" s="21">
        <f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1">
        <f t="shared" si="1"/>
        <v>51022.8</v>
      </c>
      <c r="N29" s="21">
        <v>326.66000000000003</v>
      </c>
      <c r="O29" s="21">
        <f>FINDNUMBER(Sheet2!D44,2)</f>
        <v>8</v>
      </c>
    </row>
    <row r="30" spans="1:15" x14ac:dyDescent="0.15">
      <c r="A30" s="21">
        <v>38</v>
      </c>
      <c r="D30" s="21" t="s">
        <v>143</v>
      </c>
      <c r="E30" s="21" t="s">
        <v>131</v>
      </c>
      <c r="F30" s="22" t="str">
        <f>Sheet2!$H37</f>
        <v>01,02,03,04,05,06,07,08,09,10,11</v>
      </c>
      <c r="G30" s="21">
        <v>2</v>
      </c>
      <c r="H30" s="21">
        <v>2</v>
      </c>
      <c r="I30" s="21">
        <f t="shared" si="0"/>
        <v>12</v>
      </c>
      <c r="J30" s="27">
        <v>25738</v>
      </c>
      <c r="K30" s="21">
        <f>IF(OR(ISNUMBER(FIND(LEFT(J2,1),#REF!,1)),ISNUMBER(FIND(MID(J2,2,1),#REF!,1)),ISNUMBER(FIND(MID(J2,3,1),#REF!,1))),G2*N30,0)</f>
        <v>0</v>
      </c>
      <c r="L30" s="21">
        <f t="shared" si="1"/>
        <v>51010.8</v>
      </c>
      <c r="M30" s="21" t="s">
        <v>24</v>
      </c>
      <c r="N30" s="21">
        <v>7.23</v>
      </c>
      <c r="O30" s="21">
        <f>FINDNUMBER(Sheet2!D45,2)</f>
        <v>3</v>
      </c>
    </row>
    <row r="31" spans="1:15" x14ac:dyDescent="0.15">
      <c r="A31" s="21">
        <v>39</v>
      </c>
      <c r="D31" s="21" t="s">
        <v>143</v>
      </c>
      <c r="E31" s="21" t="s">
        <v>133</v>
      </c>
      <c r="F31" s="22" t="str">
        <f>Sheet2!$H38</f>
        <v>01,02,03,04,05,06,07,08,09,10,11</v>
      </c>
      <c r="G31" s="21">
        <v>2</v>
      </c>
      <c r="H31" s="21">
        <v>2</v>
      </c>
      <c r="I31" s="21">
        <f t="shared" si="0"/>
        <v>28</v>
      </c>
      <c r="J31" s="27">
        <v>25738</v>
      </c>
      <c r="K31" s="21">
        <f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1">
        <f t="shared" si="1"/>
        <v>50982.8</v>
      </c>
      <c r="N31" s="21">
        <v>36.29</v>
      </c>
      <c r="O31" s="21">
        <f>FINDNUMBER(Sheet2!D46,2)</f>
        <v>7</v>
      </c>
    </row>
    <row r="32" spans="1:15" x14ac:dyDescent="0.15">
      <c r="A32" s="21">
        <v>40</v>
      </c>
      <c r="D32" s="21" t="s">
        <v>150</v>
      </c>
      <c r="E32" s="21" t="s">
        <v>121</v>
      </c>
      <c r="F32" s="22" t="str">
        <f>Sheet2!$H39</f>
        <v>1,02 03 04 05 06 07 08 09 10 11</v>
      </c>
      <c r="G32" s="21">
        <v>2</v>
      </c>
      <c r="H32" s="21">
        <v>2</v>
      </c>
      <c r="I32" s="21">
        <f t="shared" si="0"/>
        <v>20</v>
      </c>
      <c r="J32" s="27">
        <v>25738</v>
      </c>
      <c r="K32" s="21">
        <f>IF(AND(ISNUMBER(FIND(MID(J2,2,1),#REF!,1)),ISNUMBER(FIND(MID(J2,3,1),#REF!,1)),ISNUMBER(FIND(MID(J2,4,1),#REF!,1))),G2*N32,0)</f>
        <v>0</v>
      </c>
      <c r="L32" s="21">
        <f t="shared" si="1"/>
        <v>50962.8</v>
      </c>
      <c r="M32" s="21" t="s">
        <v>11</v>
      </c>
      <c r="N32" s="21">
        <v>1960</v>
      </c>
      <c r="O32" s="21">
        <f>FINDNUMBER(Sheet2!D47,2)</f>
        <v>5</v>
      </c>
    </row>
    <row r="33" spans="1:16" x14ac:dyDescent="0.15">
      <c r="A33" s="21">
        <v>43</v>
      </c>
      <c r="D33" s="21" t="s">
        <v>150</v>
      </c>
      <c r="E33" s="21" t="s">
        <v>123</v>
      </c>
      <c r="F33" s="22" t="str">
        <f>Sheet2!$H41</f>
        <v>01 02,03 04 05 06 07 08 09 10 11</v>
      </c>
      <c r="G33" s="21">
        <v>2</v>
      </c>
      <c r="H33" s="21">
        <v>2</v>
      </c>
      <c r="I33" s="21">
        <f t="shared" si="0"/>
        <v>20</v>
      </c>
      <c r="J33" s="27">
        <v>25738</v>
      </c>
      <c r="K33" s="21">
        <f>IF(ISNUMBER(FIND(","&amp;MID(J2,2,3)&amp;",",#REF!,1)),G2*N33,0)</f>
        <v>0</v>
      </c>
      <c r="L33" s="21">
        <f t="shared" si="1"/>
        <v>50942.8</v>
      </c>
      <c r="N33" s="21">
        <v>1960</v>
      </c>
      <c r="O33" s="21">
        <f>FINDNUMBER(Sheet2!D48,2)</f>
        <v>5</v>
      </c>
    </row>
    <row r="34" spans="1:16" x14ac:dyDescent="0.15">
      <c r="A34" s="21">
        <v>44</v>
      </c>
      <c r="D34" s="21" t="s">
        <v>150</v>
      </c>
      <c r="E34" s="21" t="s">
        <v>125</v>
      </c>
      <c r="F34" s="22" t="str">
        <f>Sheet2!$H43</f>
        <v>04 05 06,01 02 03 07 08 09 10 11</v>
      </c>
      <c r="G34" s="21">
        <v>2</v>
      </c>
      <c r="H34" s="21">
        <v>2</v>
      </c>
      <c r="I34" s="21">
        <f t="shared" si="0"/>
        <v>12</v>
      </c>
      <c r="J34" s="27">
        <v>25738</v>
      </c>
      <c r="K34" s="21">
        <f>IF(ISNUMBER(FIND(","&amp;SUM(MID(J2,2,1),MID(J2,3,1),MID(J2,4,1))&amp;",",#REF!,1)),G2*N21,0)</f>
        <v>0</v>
      </c>
      <c r="L34" s="21">
        <f t="shared" si="1"/>
        <v>50930.8</v>
      </c>
      <c r="N34" s="21">
        <v>1960</v>
      </c>
      <c r="O34" s="21">
        <f>FINDNUMBER(Sheet2!D49,2)</f>
        <v>3</v>
      </c>
    </row>
    <row r="35" spans="1:16" x14ac:dyDescent="0.15">
      <c r="A35" s="21">
        <v>45</v>
      </c>
      <c r="D35" s="21" t="s">
        <v>150</v>
      </c>
      <c r="E35" s="21" t="s">
        <v>127</v>
      </c>
      <c r="F35" s="22" t="str">
        <f>Sheet2!$H45</f>
        <v>07 08 09 10,01 02 03 04 05 06 11</v>
      </c>
      <c r="G35" s="21">
        <v>2</v>
      </c>
      <c r="H35" s="21">
        <v>2</v>
      </c>
      <c r="I35" s="21">
        <f t="shared" si="0"/>
        <v>28</v>
      </c>
      <c r="J35" s="27">
        <v>25738</v>
      </c>
      <c r="K35" s="21">
        <f>IF(ISNUMBER(FIND(MAX(MID(J2,2,1),MID(J2,3,1),MID(J2,4,1))-MIN(MID(J2,2,1),MID(J2,3,1),MID(J2,4,1)),#REF!,1)),G2*N35*1,0)</f>
        <v>0</v>
      </c>
      <c r="L35" s="21">
        <f t="shared" si="1"/>
        <v>50902.8</v>
      </c>
      <c r="N35" s="21">
        <v>1960</v>
      </c>
      <c r="O35" s="21">
        <f>FINDNUMBER(Sheet2!D50,2)</f>
        <v>7</v>
      </c>
    </row>
    <row r="36" spans="1:16" x14ac:dyDescent="0.15">
      <c r="A36" s="21">
        <v>46</v>
      </c>
      <c r="D36" s="21" t="s">
        <v>150</v>
      </c>
      <c r="E36" s="21" t="s">
        <v>129</v>
      </c>
      <c r="F36" s="22" t="str">
        <f>Sheet2!$H47</f>
        <v>01 02 03 10 11,04 05 06 07 08 09</v>
      </c>
      <c r="G36" s="21">
        <v>2</v>
      </c>
      <c r="H36" s="21">
        <v>2</v>
      </c>
      <c r="I36" s="21">
        <f t="shared" si="0"/>
        <v>28</v>
      </c>
      <c r="J36" s="27">
        <v>25738</v>
      </c>
      <c r="K36" s="21">
        <f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1">
        <f t="shared" si="1"/>
        <v>50874.8</v>
      </c>
      <c r="M36" s="21" t="s">
        <v>15</v>
      </c>
      <c r="N36" s="21">
        <v>326.66500000000002</v>
      </c>
      <c r="O36" s="21">
        <f>FINDNUMBER(Sheet2!D51,2)</f>
        <v>7</v>
      </c>
    </row>
    <row r="37" spans="1:16" x14ac:dyDescent="0.15">
      <c r="A37" s="21">
        <v>47</v>
      </c>
      <c r="D37" s="21" t="s">
        <v>150</v>
      </c>
      <c r="E37" s="21" t="s">
        <v>131</v>
      </c>
      <c r="F37" s="22" t="str">
        <f>Sheet2!$H49</f>
        <v>01 10 11,02 03 04 05 06 07 08 09</v>
      </c>
      <c r="G37" s="21">
        <v>2</v>
      </c>
      <c r="H37" s="21">
        <v>2</v>
      </c>
      <c r="I37" s="21">
        <f t="shared" si="0"/>
        <v>12</v>
      </c>
      <c r="J37" s="27">
        <v>25738</v>
      </c>
      <c r="K37" s="21">
        <f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1">
        <f t="shared" si="1"/>
        <v>50862.8</v>
      </c>
      <c r="N37" s="21">
        <v>653.33000000000004</v>
      </c>
      <c r="O37" s="21">
        <f>FINDNUMBER(Sheet2!D52,2)</f>
        <v>3</v>
      </c>
    </row>
    <row r="38" spans="1:16" x14ac:dyDescent="0.15">
      <c r="A38" s="21">
        <v>48</v>
      </c>
      <c r="D38" s="21" t="s">
        <v>150</v>
      </c>
      <c r="E38" s="21" t="s">
        <v>133</v>
      </c>
      <c r="F38" s="22" t="str">
        <f>Sheet2!$H51</f>
        <v>01 03 04 06 07 09 10,02 05 08 11</v>
      </c>
      <c r="G38" s="21">
        <v>2</v>
      </c>
      <c r="H38" s="21">
        <v>2</v>
      </c>
      <c r="I38" s="21">
        <f t="shared" si="0"/>
        <v>0</v>
      </c>
      <c r="J38" s="27">
        <v>25738</v>
      </c>
      <c r="K38" s="21">
        <f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1">
        <f t="shared" si="1"/>
        <v>50862.8</v>
      </c>
      <c r="N38" s="21">
        <v>326.66000000000003</v>
      </c>
      <c r="O38" s="21">
        <f>FINDNUMBER(Sheet2!D53,2)</f>
        <v>0</v>
      </c>
    </row>
    <row r="42" spans="1:16" x14ac:dyDescent="0.15"/>
    <row r="43" spans="1:16" x14ac:dyDescent="0.15"/>
    <row r="44" spans="1:16" x14ac:dyDescent="0.15"/>
    <row r="54" spans="5:14" x14ac:dyDescent="0.15"/>
    <row r="60" spans="5:14" x14ac:dyDescent="0.15">
      <c r="E60" s="21" t="s">
        <v>17</v>
      </c>
    </row>
    <row r="61" spans="5:14" x14ac:dyDescent="0.15">
      <c r="E61" s="21" t="s">
        <v>22</v>
      </c>
    </row>
    <row r="62" spans="5:14" x14ac:dyDescent="0.15">
      <c r="E62" s="21" t="s">
        <v>23</v>
      </c>
    </row>
    <row r="63" spans="5:14" x14ac:dyDescent="0.15">
      <c r="E63" s="21" t="s">
        <v>25</v>
      </c>
    </row>
    <row r="64" spans="5:14" x14ac:dyDescent="0.15">
      <c r="E64" s="21" t="s">
        <v>26</v>
      </c>
    </row>
    <row r="65" spans="4:5" x14ac:dyDescent="0.15">
      <c r="D65" s="21" t="s">
        <v>27</v>
      </c>
      <c r="E65" s="21" t="s">
        <v>4</v>
      </c>
    </row>
    <row r="68" spans="4:5" x14ac:dyDescent="0.15">
      <c r="E68" s="21" t="s">
        <v>18</v>
      </c>
    </row>
    <row r="69" spans="4:5" x14ac:dyDescent="0.15">
      <c r="E69" s="21" t="s">
        <v>13</v>
      </c>
    </row>
    <row r="70" spans="4:5" x14ac:dyDescent="0.15">
      <c r="E70" s="21" t="s">
        <v>14</v>
      </c>
    </row>
    <row r="71" spans="4:5" x14ac:dyDescent="0.15">
      <c r="E71" s="21" t="s">
        <v>16</v>
      </c>
    </row>
    <row r="72" spans="4:5" x14ac:dyDescent="0.15">
      <c r="E72" s="21" t="s">
        <v>19</v>
      </c>
    </row>
    <row r="73" spans="4:5" x14ac:dyDescent="0.15">
      <c r="E73" s="21" t="s">
        <v>20</v>
      </c>
    </row>
    <row r="74" spans="4:5" x14ac:dyDescent="0.15">
      <c r="E74" s="21" t="s">
        <v>21</v>
      </c>
    </row>
    <row r="75" spans="4:5" x14ac:dyDescent="0.15">
      <c r="E75" s="21" t="s">
        <v>17</v>
      </c>
    </row>
    <row r="76" spans="4:5" x14ac:dyDescent="0.15">
      <c r="E76" s="21" t="s">
        <v>22</v>
      </c>
    </row>
    <row r="77" spans="4:5" x14ac:dyDescent="0.15">
      <c r="E77" s="21" t="s">
        <v>23</v>
      </c>
    </row>
    <row r="78" spans="4:5" x14ac:dyDescent="0.15">
      <c r="E78" s="21" t="s">
        <v>25</v>
      </c>
    </row>
    <row r="79" spans="4:5" x14ac:dyDescent="0.15">
      <c r="E79" s="21" t="s">
        <v>26</v>
      </c>
    </row>
    <row r="80" spans="4:5" x14ac:dyDescent="0.15">
      <c r="D80" s="21" t="s">
        <v>28</v>
      </c>
      <c r="E80" s="21" t="s">
        <v>29</v>
      </c>
    </row>
    <row r="84" spans="4:5" x14ac:dyDescent="0.15">
      <c r="E84" s="21" t="s">
        <v>30</v>
      </c>
    </row>
    <row r="85" spans="4:5" x14ac:dyDescent="0.15">
      <c r="E85" s="21" t="s">
        <v>159</v>
      </c>
    </row>
    <row r="86" spans="4:5" x14ac:dyDescent="0.15">
      <c r="E86" s="21" t="s">
        <v>160</v>
      </c>
    </row>
    <row r="88" spans="4:5" x14ac:dyDescent="0.15">
      <c r="E88" s="21" t="s">
        <v>31</v>
      </c>
    </row>
    <row r="89" spans="4:5" x14ac:dyDescent="0.15">
      <c r="E89" s="21" t="s">
        <v>32</v>
      </c>
    </row>
    <row r="91" spans="4:5" x14ac:dyDescent="0.15">
      <c r="E91" s="21" t="s">
        <v>33</v>
      </c>
    </row>
    <row r="92" spans="4:5" x14ac:dyDescent="0.15">
      <c r="E92" s="21" t="s">
        <v>34</v>
      </c>
    </row>
    <row r="93" spans="4:5" x14ac:dyDescent="0.15">
      <c r="D93" s="21" t="s">
        <v>35</v>
      </c>
      <c r="E93" s="21" t="s">
        <v>29</v>
      </c>
    </row>
    <row r="98" spans="5:5" x14ac:dyDescent="0.15">
      <c r="E98" s="21" t="s">
        <v>30</v>
      </c>
    </row>
    <row r="99" spans="5:5" x14ac:dyDescent="0.15">
      <c r="E99" s="21" t="s">
        <v>161</v>
      </c>
    </row>
    <row r="100" spans="5:5" x14ac:dyDescent="0.15">
      <c r="E100" s="21" t="s">
        <v>162</v>
      </c>
    </row>
    <row r="102" spans="5:5" x14ac:dyDescent="0.15">
      <c r="E102" s="21" t="s">
        <v>163</v>
      </c>
    </row>
    <row r="104" spans="5:5" x14ac:dyDescent="0.15">
      <c r="E104" s="21" t="s">
        <v>164</v>
      </c>
    </row>
    <row r="106" spans="5:5" x14ac:dyDescent="0.15">
      <c r="E106" s="21" t="s">
        <v>165</v>
      </c>
    </row>
    <row r="108" spans="5:5" x14ac:dyDescent="0.15">
      <c r="E108" s="21" t="s">
        <v>36</v>
      </c>
    </row>
    <row r="110" spans="5:5" x14ac:dyDescent="0.15">
      <c r="E110" s="21" t="s">
        <v>33</v>
      </c>
    </row>
    <row r="111" spans="5:5" x14ac:dyDescent="0.15">
      <c r="E111" s="21" t="s">
        <v>34</v>
      </c>
    </row>
    <row r="112" spans="5:5" x14ac:dyDescent="0.15">
      <c r="E112" s="21" t="s">
        <v>37</v>
      </c>
    </row>
    <row r="113" spans="4:5" x14ac:dyDescent="0.15">
      <c r="E113" s="21" t="s">
        <v>38</v>
      </c>
    </row>
    <row r="114" spans="4:5" x14ac:dyDescent="0.15">
      <c r="E114" s="21" t="s">
        <v>39</v>
      </c>
    </row>
    <row r="115" spans="4:5" x14ac:dyDescent="0.15">
      <c r="E115" s="21" t="s">
        <v>40</v>
      </c>
    </row>
    <row r="116" spans="4:5" x14ac:dyDescent="0.15">
      <c r="E116" s="21" t="s">
        <v>41</v>
      </c>
    </row>
    <row r="117" spans="4:5" x14ac:dyDescent="0.15">
      <c r="D117" s="21" t="s">
        <v>42</v>
      </c>
      <c r="E117" s="21" t="s">
        <v>43</v>
      </c>
    </row>
    <row r="119" spans="4:5" x14ac:dyDescent="0.15">
      <c r="E119" s="21" t="s">
        <v>44</v>
      </c>
    </row>
    <row r="121" spans="4:5" x14ac:dyDescent="0.15">
      <c r="E121" s="21" t="s">
        <v>45</v>
      </c>
    </row>
    <row r="124" spans="4:5" x14ac:dyDescent="0.15">
      <c r="E124" s="21" t="s">
        <v>27</v>
      </c>
    </row>
    <row r="127" spans="4:5" x14ac:dyDescent="0.15">
      <c r="D127" s="21" t="s">
        <v>46</v>
      </c>
      <c r="E127" s="21" t="s">
        <v>46</v>
      </c>
    </row>
    <row r="133" spans="4:5" x14ac:dyDescent="0.15">
      <c r="D133" s="21" t="s">
        <v>47</v>
      </c>
      <c r="E133" s="21" t="s">
        <v>47</v>
      </c>
    </row>
    <row r="143" spans="4:5" x14ac:dyDescent="0.15">
      <c r="D143" s="21" t="s">
        <v>48</v>
      </c>
      <c r="E143" s="21" t="s">
        <v>48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59"/>
  <sheetViews>
    <sheetView tabSelected="1" workbookViewId="0">
      <pane ySplit="1" topLeftCell="A2" activePane="bottomLeft" state="frozen"/>
      <selection pane="bottomLeft" activeCell="E17" sqref="E17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15.25" style="3" customWidth="1"/>
    <col min="6" max="6" width="8" style="5" customWidth="1"/>
    <col min="7" max="7" width="5.25" style="2" customWidth="1"/>
    <col min="8" max="8" width="39.125" style="18" customWidth="1"/>
    <col min="9" max="9" width="16.5" style="17" customWidth="1"/>
    <col min="10" max="16384" width="9" style="2"/>
  </cols>
  <sheetData>
    <row r="1" spans="1:10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20" t="s">
        <v>200</v>
      </c>
      <c r="G1" s="15" t="s">
        <v>68</v>
      </c>
      <c r="I1" s="19" t="s">
        <v>199</v>
      </c>
      <c r="J1" s="2" t="s">
        <v>67</v>
      </c>
    </row>
    <row r="2" spans="1:10" ht="26.25" customHeight="1" x14ac:dyDescent="0.15">
      <c r="A2" s="23" t="s">
        <v>70</v>
      </c>
      <c r="B2" s="23" t="s">
        <v>72</v>
      </c>
      <c r="C2" s="19" t="s">
        <v>73</v>
      </c>
      <c r="D2" s="8" t="s">
        <v>167</v>
      </c>
      <c r="E2" s="30"/>
      <c r="F2" s="6">
        <f>IF(AND(ISNUMBER(FIND(LEFT($I$2,1),D2,1)),LEN($I$2)&lt;&gt;0),1,0)</f>
        <v>1</v>
      </c>
      <c r="G2" s="24">
        <f>SUM(F2:F16)</f>
        <v>5</v>
      </c>
      <c r="H2" s="28" t="str">
        <f>TRIM(IF(LEN(D2)=0,"-",SUBSTITUTE(D2,","," ")))&amp;","&amp;TRIM(IF(LEN(D3)=0,"-",SUBSTITUTE(D3,","," ")))&amp;","&amp;TRIM(IF(LEN(D4)=0,"-",SUBSTITUTE(D4,","," ")))</f>
        <v>01 02 03,04 05 06,07 08 09 10 11</v>
      </c>
      <c r="I2" s="17">
        <v>25738</v>
      </c>
    </row>
    <row r="3" spans="1:10" ht="20.100000000000001" customHeight="1" x14ac:dyDescent="0.15">
      <c r="A3" s="23" t="s">
        <v>70</v>
      </c>
      <c r="B3" s="23" t="s">
        <v>72</v>
      </c>
      <c r="C3" s="19" t="s">
        <v>74</v>
      </c>
      <c r="D3" s="20" t="s">
        <v>168</v>
      </c>
      <c r="E3" s="30"/>
      <c r="F3" s="6">
        <f>IF(AND(ISNUMBER(FIND(MID($I$2,2,1),D3,1)),LEN($I$2)&lt;&gt;0),1,0)</f>
        <v>1</v>
      </c>
      <c r="G3" s="24"/>
      <c r="H3" s="28"/>
    </row>
    <row r="4" spans="1:10" ht="20.100000000000001" customHeight="1" x14ac:dyDescent="0.15">
      <c r="A4" s="23" t="s">
        <v>70</v>
      </c>
      <c r="B4" s="23" t="s">
        <v>72</v>
      </c>
      <c r="C4" s="19" t="s">
        <v>75</v>
      </c>
      <c r="D4" s="20" t="s">
        <v>169</v>
      </c>
      <c r="E4" s="30"/>
      <c r="F4" s="6">
        <f>IF(AND(ISNUMBER(FIND(MID($I$2,3,1),D4,1)),LEN($I$2)&lt;&gt;0),1,0)</f>
        <v>1</v>
      </c>
      <c r="G4" s="24"/>
      <c r="H4" s="28"/>
    </row>
    <row r="5" spans="1:10" ht="20.100000000000001" customHeight="1" x14ac:dyDescent="0.15">
      <c r="A5" s="23" t="s">
        <v>70</v>
      </c>
      <c r="B5" s="19" t="s">
        <v>79</v>
      </c>
      <c r="D5" s="20" t="s">
        <v>166</v>
      </c>
      <c r="E5" s="20">
        <v>3</v>
      </c>
      <c r="F5" s="6">
        <f>IF(AND(ISNUMBER(FIND(MID($I$2,4,1),D5,1)),LEN($I$2)&lt;&gt;0),1,0)</f>
        <v>1</v>
      </c>
      <c r="G5" s="24"/>
      <c r="H5" s="18" t="str">
        <f>TRIM(IF(LEN(D5)=0,"-",SUBSTITUTE(D5," "," ")))</f>
        <v>01 02 03,04 05 06,07 08 09</v>
      </c>
    </row>
    <row r="6" spans="1:10" s="17" customFormat="1" ht="20.100000000000001" customHeight="1" x14ac:dyDescent="0.15">
      <c r="A6" s="23" t="s">
        <v>70</v>
      </c>
      <c r="B6" s="19" t="s">
        <v>82</v>
      </c>
      <c r="C6" s="19" t="s">
        <v>86</v>
      </c>
      <c r="D6" s="20" t="s">
        <v>170</v>
      </c>
      <c r="E6" s="20"/>
      <c r="F6" s="19"/>
      <c r="G6" s="24"/>
      <c r="H6" s="18" t="str">
        <f>TRIM(IF(LEN(Sheet2!D6)=0,"-",SUBSTITUTE(Sheet2!D6,","," ")))</f>
        <v>02 03 04 05 06 07 08 09</v>
      </c>
    </row>
    <row r="7" spans="1:10" s="17" customFormat="1" ht="20.100000000000001" customHeight="1" x14ac:dyDescent="0.15">
      <c r="A7" s="23" t="s">
        <v>70</v>
      </c>
      <c r="B7" s="19" t="s">
        <v>83</v>
      </c>
      <c r="D7" s="20" t="s">
        <v>202</v>
      </c>
      <c r="E7" s="20"/>
      <c r="F7" s="19"/>
      <c r="G7" s="24"/>
      <c r="H7" s="18" t="str">
        <f>TRIM(IF(LEN(Sheet2!D7)=0,"-",SUBSTITUTE(Sheet2!D7,","," ")))</f>
        <v>01 02 03 06 07 08 09 10 11</v>
      </c>
    </row>
    <row r="8" spans="1:10" s="17" customFormat="1" ht="20.100000000000001" customHeight="1" x14ac:dyDescent="0.15">
      <c r="A8" s="23" t="s">
        <v>70</v>
      </c>
      <c r="B8" s="23" t="s">
        <v>85</v>
      </c>
      <c r="C8" s="19" t="s">
        <v>77</v>
      </c>
      <c r="D8" s="20" t="s">
        <v>171</v>
      </c>
      <c r="E8" s="30">
        <f>COMBIN(LEN(SUBSTITUTE(D9,",",))/2,3-LEN(SUBSTITUTE(D8,",",))/2)</f>
        <v>9</v>
      </c>
      <c r="F8" s="19"/>
      <c r="G8" s="24"/>
      <c r="H8" s="28" t="str">
        <f>TRIM(IF(LEN(D8)=0,"-",SUBSTITUTE(D8,","," ")))&amp;","&amp;TRIM(IF(LEN(D9)=0,"-",SUBSTITUTE(D9,","," ")))</f>
        <v>06 07,01 02 03 04 05 08 09 10 11</v>
      </c>
    </row>
    <row r="9" spans="1:10" s="17" customFormat="1" ht="20.100000000000001" customHeight="1" x14ac:dyDescent="0.15">
      <c r="A9" s="23" t="s">
        <v>70</v>
      </c>
      <c r="B9" s="23" t="s">
        <v>85</v>
      </c>
      <c r="C9" s="19" t="s">
        <v>78</v>
      </c>
      <c r="D9" s="20" t="s">
        <v>172</v>
      </c>
      <c r="E9" s="30"/>
      <c r="F9" s="19"/>
      <c r="G9" s="24"/>
      <c r="H9" s="28"/>
    </row>
    <row r="10" spans="1:10" s="17" customFormat="1" ht="20.100000000000001" customHeight="1" x14ac:dyDescent="0.15">
      <c r="A10" s="23" t="s">
        <v>88</v>
      </c>
      <c r="B10" s="23" t="s">
        <v>90</v>
      </c>
      <c r="C10" s="19" t="s">
        <v>99</v>
      </c>
      <c r="D10" s="20" t="s">
        <v>173</v>
      </c>
      <c r="E10" s="30">
        <f>(LEN(SUBSTITUTE(D10,",",))/2)*(LEN(SUBSTITUTE(D11,",",))/2)</f>
        <v>30</v>
      </c>
      <c r="F10" s="19"/>
      <c r="G10" s="24"/>
      <c r="H10" s="28" t="str">
        <f>TRIM(IF(LEN(D10)=0,"-",SUBSTITUTE(D10,","," ")))&amp;","&amp;TRIM(IF(LEN(D11)=0,"-",SUBSTITUTE(D11,","," ")))</f>
        <v>01 02 03 04 05,06 07 08 09 10 11</v>
      </c>
    </row>
    <row r="11" spans="1:10" s="17" customFormat="1" ht="20.100000000000001" customHeight="1" x14ac:dyDescent="0.15">
      <c r="A11" s="23" t="s">
        <v>88</v>
      </c>
      <c r="B11" s="23" t="s">
        <v>90</v>
      </c>
      <c r="C11" s="19" t="s">
        <v>74</v>
      </c>
      <c r="D11" s="20" t="s">
        <v>174</v>
      </c>
      <c r="E11" s="30"/>
      <c r="F11" s="19"/>
      <c r="G11" s="24"/>
      <c r="H11" s="28"/>
    </row>
    <row r="12" spans="1:10" s="17" customFormat="1" ht="20.100000000000001" customHeight="1" x14ac:dyDescent="0.15">
      <c r="A12" s="23" t="s">
        <v>88</v>
      </c>
      <c r="B12" s="19" t="s">
        <v>92</v>
      </c>
      <c r="D12" s="20" t="s">
        <v>176</v>
      </c>
      <c r="E12" s="20">
        <v>5</v>
      </c>
      <c r="F12" s="19"/>
      <c r="G12" s="24"/>
      <c r="H12" s="18" t="str">
        <f>TRIM(IF(LEN(Sheet2!D12)=0,"-",SUBSTITUTE(Sheet2!D12,","," ")))</f>
        <v>01 02 02 01 05 06 07 08 09 10</v>
      </c>
    </row>
    <row r="13" spans="1:10" s="17" customFormat="1" ht="20.100000000000001" customHeight="1" x14ac:dyDescent="0.15">
      <c r="A13" s="23" t="s">
        <v>88</v>
      </c>
      <c r="B13" s="19" t="s">
        <v>94</v>
      </c>
      <c r="C13" s="19" t="s">
        <v>100</v>
      </c>
      <c r="D13" s="20" t="s">
        <v>175</v>
      </c>
      <c r="E13" s="20">
        <f>COMBIN(LEN(SUBSTITUTE(D13,",",))/2,2)</f>
        <v>55</v>
      </c>
      <c r="F13" s="19"/>
      <c r="G13" s="24"/>
      <c r="H13" s="18" t="str">
        <f>TRIM(IF(LEN(Sheet2!D13)=0,"-",SUBSTITUTE(Sheet2!D13,","," ")))</f>
        <v>01 02 03 04 05 05 04 08 09 10 11</v>
      </c>
    </row>
    <row r="14" spans="1:10" s="17" customFormat="1" ht="20.100000000000001" customHeight="1" x14ac:dyDescent="0.15">
      <c r="A14" s="23" t="s">
        <v>88</v>
      </c>
      <c r="B14" s="19" t="s">
        <v>98</v>
      </c>
      <c r="D14" s="20" t="s">
        <v>203</v>
      </c>
      <c r="E14" s="20">
        <v>5</v>
      </c>
      <c r="F14" s="19"/>
      <c r="G14" s="24"/>
      <c r="H14" s="18" t="str">
        <f>TRIM(IF(LEN(Sheet2!D14)=0,"-",SUBSTITUTE(Sheet2!D14,","," ")))</f>
        <v>01 02 02 01 05 06 07 08 09 10 11 07</v>
      </c>
    </row>
    <row r="15" spans="1:10" s="17" customFormat="1" ht="20.100000000000001" customHeight="1" x14ac:dyDescent="0.15">
      <c r="A15" s="23" t="s">
        <v>88</v>
      </c>
      <c r="B15" s="23" t="s">
        <v>96</v>
      </c>
      <c r="C15" s="19" t="s">
        <v>101</v>
      </c>
      <c r="D15" s="20" t="str">
        <f>0&amp;7</f>
        <v>07</v>
      </c>
      <c r="E15" s="30">
        <f>LEN(SUBSTITUTE(D16,",",))/2</f>
        <v>10</v>
      </c>
      <c r="F15" s="19"/>
      <c r="G15" s="24"/>
      <c r="H15" s="28" t="str">
        <f>TRIM(IF(LEN(D15)=0,"-",SUBSTITUTE(D15,","," ")))&amp;","&amp;TRIM(IF(LEN(D16)=0,"-",SUBSTITUTE(D16,","," ")))</f>
        <v>07,01 02 03 04 05 06 08 09 10 11</v>
      </c>
    </row>
    <row r="16" spans="1:10" ht="20.100000000000001" customHeight="1" x14ac:dyDescent="0.15">
      <c r="A16" s="23" t="s">
        <v>88</v>
      </c>
      <c r="B16" s="23" t="s">
        <v>96</v>
      </c>
      <c r="C16" s="19" t="s">
        <v>102</v>
      </c>
      <c r="D16" s="20" t="s">
        <v>177</v>
      </c>
      <c r="E16" s="30"/>
      <c r="F16" s="6">
        <f>IF(AND(ISNUMBER(FIND(RIGHT($I$2,1),D16,1)),LEN($I$2)&lt;&gt;0),1,0)</f>
        <v>1</v>
      </c>
      <c r="G16" s="24"/>
      <c r="H16" s="28"/>
    </row>
    <row r="17" spans="1:10" ht="20.100000000000001" customHeight="1" x14ac:dyDescent="0.15">
      <c r="A17" s="19" t="s">
        <v>103</v>
      </c>
      <c r="B17" s="19" t="s">
        <v>105</v>
      </c>
      <c r="C17" s="19" t="s">
        <v>106</v>
      </c>
      <c r="D17" s="20" t="s">
        <v>152</v>
      </c>
      <c r="E17" s="20"/>
      <c r="F17" s="6">
        <f>IF(AND(ISNUMBER(FIND(LEFT($I$2,1),D17,1)),LEN($I$2)&lt;&gt;0),1,0)</f>
        <v>1</v>
      </c>
      <c r="G17" s="24">
        <f>IF(SUM(F17:F18)=2,1,0)</f>
        <v>1</v>
      </c>
      <c r="H17" s="18" t="str">
        <f>TRIM(IF(LEN(Sheet2!D17)=0,"-",SUBSTITUTE(Sheet2!D17,","," ")))</f>
        <v>01 02 03 04 05 06 07 08 09 10 11</v>
      </c>
    </row>
    <row r="18" spans="1:10" ht="20.100000000000001" customHeight="1" x14ac:dyDescent="0.15">
      <c r="A18" s="23" t="s">
        <v>107</v>
      </c>
      <c r="B18" s="23" t="s">
        <v>108</v>
      </c>
      <c r="C18" s="19" t="s">
        <v>73</v>
      </c>
      <c r="D18" s="20" t="s">
        <v>178</v>
      </c>
      <c r="E18" s="20"/>
      <c r="F18" s="5">
        <f>IF(AND(ISNUMBER(FIND(MID($I$2,2,1),D18,1)),LEN($I$2)&lt;&gt;0),1,0)</f>
        <v>1</v>
      </c>
      <c r="G18" s="24"/>
      <c r="H18" s="28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</row>
    <row r="19" spans="1:10" ht="20.100000000000001" customHeight="1" x14ac:dyDescent="0.15">
      <c r="A19" s="23" t="s">
        <v>107</v>
      </c>
      <c r="B19" s="23" t="s">
        <v>108</v>
      </c>
      <c r="C19" s="19" t="s">
        <v>74</v>
      </c>
      <c r="D19" s="20" t="s">
        <v>152</v>
      </c>
      <c r="E19" s="20"/>
      <c r="F19" s="5" t="b">
        <f>ISNUMBER(FIND(","&amp;LEFT(I$2,2),D19))</f>
        <v>0</v>
      </c>
      <c r="G19" s="2">
        <f>N(F19)</f>
        <v>0</v>
      </c>
      <c r="H19" s="28"/>
    </row>
    <row r="20" spans="1:10" ht="20.100000000000001" customHeight="1" x14ac:dyDescent="0.15">
      <c r="A20" s="23" t="s">
        <v>107</v>
      </c>
      <c r="B20" s="23" t="s">
        <v>108</v>
      </c>
      <c r="C20" s="19" t="s">
        <v>75</v>
      </c>
      <c r="D20" s="20" t="s">
        <v>152</v>
      </c>
      <c r="E20" s="20"/>
      <c r="F20" s="5" t="b">
        <f>ISNUMBER(FIND(","&amp;SUM(MID(I$2,1,1),MID(I$2,2,1)),D20,1))</f>
        <v>0</v>
      </c>
      <c r="G20" s="5">
        <f>N(F20)</f>
        <v>0</v>
      </c>
      <c r="H20" s="28"/>
    </row>
    <row r="21" spans="1:10" ht="34.5" customHeight="1" x14ac:dyDescent="0.15">
      <c r="A21" s="23" t="s">
        <v>110</v>
      </c>
      <c r="B21" s="19" t="s">
        <v>112</v>
      </c>
      <c r="C21" s="19" t="s">
        <v>113</v>
      </c>
      <c r="D21" s="20" t="s">
        <v>179</v>
      </c>
      <c r="E21" s="20"/>
      <c r="F21" s="6" t="b">
        <f>ISNUMBER(FIND(MAX(LEFT(I$2,1),MID(I$2,2,1))-MIN(LEFT(I$2,1),MID(I$2,2,1)),D21,1))</f>
        <v>1</v>
      </c>
      <c r="G21" s="5">
        <f>N(F21)</f>
        <v>1</v>
      </c>
      <c r="H21" s="18" t="str">
        <f>TRIM(IF(LEN(Sheet2!D21)=0,"-",SUBSTITUTE(Sheet2!D21,","," ")))</f>
        <v>5单0双 4单1双 3单2双 2单3双 1单4双 0单5双</v>
      </c>
    </row>
    <row r="22" spans="1:10" ht="20.100000000000001" customHeight="1" x14ac:dyDescent="0.15">
      <c r="A22" s="23" t="s">
        <v>110</v>
      </c>
      <c r="B22" s="19" t="s">
        <v>115</v>
      </c>
      <c r="C22" s="19" t="s">
        <v>115</v>
      </c>
      <c r="D22" s="20" t="s">
        <v>180</v>
      </c>
      <c r="E22" s="20"/>
      <c r="H22" s="18" t="str">
        <f>TRIM(IF(LEN(Sheet2!D22)=0,"-",SUBSTITUTE(Sheet2!D22,","," ")))</f>
        <v>03 04 05 06 07 08 09</v>
      </c>
      <c r="J22" s="2">
        <f>COMBIN(LEN(SUBSTITUTE(D22,",",)),2)</f>
        <v>91</v>
      </c>
    </row>
    <row r="23" spans="1:10" ht="20.100000000000001" customHeight="1" x14ac:dyDescent="0.15">
      <c r="A23" s="23" t="s">
        <v>117</v>
      </c>
      <c r="B23" s="19" t="s">
        <v>119</v>
      </c>
      <c r="C23" s="19" t="s">
        <v>134</v>
      </c>
      <c r="D23" s="20" t="s">
        <v>152</v>
      </c>
      <c r="E23" s="20"/>
      <c r="H23" s="18" t="str">
        <f>TRIM(IF(LEN(Sheet2!D23)=0,"-",SUBSTITUTE(Sheet2!D23,","," ")))</f>
        <v>01 02 03 04 05 06 07 08 09 10 11</v>
      </c>
    </row>
    <row r="24" spans="1:10" ht="20.100000000000001" customHeight="1" x14ac:dyDescent="0.15">
      <c r="A24" s="23" t="s">
        <v>117</v>
      </c>
      <c r="B24" s="19" t="s">
        <v>121</v>
      </c>
      <c r="C24" s="19" t="s">
        <v>135</v>
      </c>
      <c r="D24" s="20" t="s">
        <v>152</v>
      </c>
      <c r="E24" s="20"/>
      <c r="H24" s="18" t="str">
        <f>TRIM(IF(LEN(Sheet2!D24)=0,"-",SUBSTITUTE(Sheet2!D24,","," ")))</f>
        <v>01 02 03 04 05 06 07 08 09 10 11</v>
      </c>
    </row>
    <row r="25" spans="1:10" ht="20.100000000000001" customHeight="1" x14ac:dyDescent="0.15">
      <c r="A25" s="23" t="s">
        <v>117</v>
      </c>
      <c r="B25" s="19" t="s">
        <v>123</v>
      </c>
      <c r="C25" s="19" t="s">
        <v>136</v>
      </c>
      <c r="D25" s="20" t="s">
        <v>152</v>
      </c>
      <c r="E25" s="20"/>
      <c r="H25" s="18" t="str">
        <f>TRIM(IF(LEN(Sheet2!D25)=0,"-",SUBSTITUTE(Sheet2!D25,","," ")))</f>
        <v>01 02 03 04 05 06 07 08 09 10 11</v>
      </c>
    </row>
    <row r="26" spans="1:10" ht="20.100000000000001" customHeight="1" x14ac:dyDescent="0.15">
      <c r="A26" s="23" t="s">
        <v>117</v>
      </c>
      <c r="B26" s="19" t="s">
        <v>125</v>
      </c>
      <c r="C26" s="19" t="s">
        <v>137</v>
      </c>
      <c r="D26" s="20" t="s">
        <v>152</v>
      </c>
      <c r="E26" s="20"/>
      <c r="F26" s="5">
        <f>COMBIN(LEN(SUBSTITUTE(D26,",",)),1)</f>
        <v>22</v>
      </c>
      <c r="G26" s="29"/>
      <c r="H26" s="18" t="str">
        <f>TRIM(IF(LEN(Sheet2!D26)=0,"-",SUBSTITUTE(Sheet2!D26,","," ")))</f>
        <v>01 02 03 04 05 06 07 08 09 10 11</v>
      </c>
    </row>
    <row r="27" spans="1:10" ht="20.100000000000001" customHeight="1" x14ac:dyDescent="0.15">
      <c r="A27" s="23" t="s">
        <v>117</v>
      </c>
      <c r="B27" s="19" t="s">
        <v>127</v>
      </c>
      <c r="C27" s="19" t="s">
        <v>138</v>
      </c>
      <c r="D27" s="20" t="s">
        <v>152</v>
      </c>
      <c r="E27" s="20"/>
      <c r="F27" s="5">
        <f>COMBIN(LEN(SUBSTITUTE(D27,",",)),1)</f>
        <v>22</v>
      </c>
      <c r="G27" s="29"/>
      <c r="H27" s="18" t="str">
        <f>TRIM(IF(LEN(Sheet2!D27)=0,"-",SUBSTITUTE(Sheet2!D27,","," ")))</f>
        <v>01 02 03 04 05 06 07 08 09 10 11</v>
      </c>
    </row>
    <row r="28" spans="1:10" ht="20.100000000000001" customHeight="1" x14ac:dyDescent="0.15">
      <c r="A28" s="23" t="s">
        <v>117</v>
      </c>
      <c r="B28" s="19" t="s">
        <v>129</v>
      </c>
      <c r="C28" s="19" t="s">
        <v>139</v>
      </c>
      <c r="D28" s="20" t="s">
        <v>152</v>
      </c>
      <c r="E28" s="20"/>
      <c r="H28" s="18" t="str">
        <f>TRIM(IF(LEN(Sheet2!D28)=0,"-",SUBSTITUTE(Sheet2!D28,","," ")))</f>
        <v>01 02 03 04 05 06 07 08 09 10 11</v>
      </c>
    </row>
    <row r="29" spans="1:10" ht="20.100000000000001" customHeight="1" x14ac:dyDescent="0.15">
      <c r="A29" s="23" t="s">
        <v>117</v>
      </c>
      <c r="B29" s="19" t="s">
        <v>131</v>
      </c>
      <c r="C29" s="19" t="s">
        <v>140</v>
      </c>
      <c r="D29" s="20" t="s">
        <v>152</v>
      </c>
      <c r="E29" s="20"/>
      <c r="H29" s="18" t="str">
        <f>TRIM(IF(LEN(Sheet2!D29)=0,"-",SUBSTITUTE(Sheet2!D29,","," ")))</f>
        <v>01 02 03 04 05 06 07 08 09 10 11</v>
      </c>
    </row>
    <row r="30" spans="1:10" ht="20.100000000000001" customHeight="1" x14ac:dyDescent="0.15">
      <c r="A30" s="23" t="s">
        <v>117</v>
      </c>
      <c r="B30" s="19" t="s">
        <v>133</v>
      </c>
      <c r="C30" s="19" t="s">
        <v>141</v>
      </c>
      <c r="D30" s="20" t="s">
        <v>152</v>
      </c>
      <c r="E30" s="20"/>
      <c r="H30" s="18" t="str">
        <f>TRIM(IF(LEN(Sheet2!D30)=0,"-",SUBSTITUTE(Sheet2!D30,","," ")))</f>
        <v>01 02 03 04 05 06 07 08 09 10 11</v>
      </c>
    </row>
    <row r="31" spans="1:10" ht="20.100000000000001" customHeight="1" x14ac:dyDescent="0.15">
      <c r="A31" s="23" t="s">
        <v>143</v>
      </c>
      <c r="B31" s="19" t="s">
        <v>119</v>
      </c>
      <c r="C31" s="19" t="s">
        <v>144</v>
      </c>
      <c r="D31" s="20" t="s">
        <v>152</v>
      </c>
      <c r="E31" s="20"/>
      <c r="H31" s="18" t="str">
        <f>TRIM(IF(LEN(Sheet2!D31)=0,"-",SUBSTITUTE(Sheet2!D31,","," ")))</f>
        <v>01 02 03 04 05 06 07 08 09 10 11</v>
      </c>
    </row>
    <row r="32" spans="1:10" ht="20.100000000000001" customHeight="1" x14ac:dyDescent="0.15">
      <c r="A32" s="23" t="s">
        <v>143</v>
      </c>
      <c r="B32" s="19" t="s">
        <v>121</v>
      </c>
      <c r="C32" s="17" t="s">
        <v>12</v>
      </c>
      <c r="D32" s="20" t="s">
        <v>181</v>
      </c>
      <c r="E32" s="20"/>
      <c r="H32" s="18" t="str">
        <f>TRIM(IF(LEN(Sheet2!D32)=0,"-",D32))</f>
        <v>01,02,03,04,05,06,07,08,09,10,11</v>
      </c>
    </row>
    <row r="33" spans="1:8" ht="20.100000000000001" customHeight="1" x14ac:dyDescent="0.15">
      <c r="A33" s="23" t="s">
        <v>143</v>
      </c>
      <c r="B33" s="19" t="s">
        <v>123</v>
      </c>
      <c r="C33" s="19" t="s">
        <v>145</v>
      </c>
      <c r="D33" s="20" t="s">
        <v>182</v>
      </c>
      <c r="E33" s="20"/>
      <c r="H33" s="25" t="str">
        <f>TRIM(IF(LEN(Sheet2!D33)=0,"-",D33))</f>
        <v>01,02,03,04,05,06,07,08,09,10,11</v>
      </c>
    </row>
    <row r="34" spans="1:8" ht="20.100000000000001" customHeight="1" x14ac:dyDescent="0.15">
      <c r="A34" s="23" t="s">
        <v>143</v>
      </c>
      <c r="B34" s="19" t="s">
        <v>125</v>
      </c>
      <c r="C34" s="19" t="s">
        <v>146</v>
      </c>
      <c r="D34" s="20" t="s">
        <v>183</v>
      </c>
      <c r="E34" s="20"/>
      <c r="H34" s="25" t="str">
        <f>TRIM(IF(LEN(Sheet2!D34)=0,"-",D34))</f>
        <v>01,02,03,04,05,06,07,08,09,10,11</v>
      </c>
    </row>
    <row r="35" spans="1:8" ht="20.100000000000001" customHeight="1" x14ac:dyDescent="0.15">
      <c r="A35" s="23" t="s">
        <v>143</v>
      </c>
      <c r="B35" s="19" t="s">
        <v>127</v>
      </c>
      <c r="C35" s="19" t="s">
        <v>147</v>
      </c>
      <c r="D35" s="20" t="s">
        <v>181</v>
      </c>
      <c r="E35" s="20"/>
      <c r="H35" s="25" t="str">
        <f>TRIM(IF(LEN(Sheet2!D35)=0,"-",D35))</f>
        <v>01,02,03,04,05,06,07,08,09,10,11</v>
      </c>
    </row>
    <row r="36" spans="1:8" ht="20.100000000000001" customHeight="1" x14ac:dyDescent="0.15">
      <c r="A36" s="23" t="s">
        <v>143</v>
      </c>
      <c r="B36" s="19" t="s">
        <v>129</v>
      </c>
      <c r="C36" s="19" t="s">
        <v>148</v>
      </c>
      <c r="D36" s="20" t="s">
        <v>184</v>
      </c>
      <c r="E36" s="20"/>
      <c r="H36" s="25" t="str">
        <f>TRIM(IF(LEN(Sheet2!D36)=0,"-",D36))</f>
        <v>01,02,03,04,05,06,07,08,09,10,11</v>
      </c>
    </row>
    <row r="37" spans="1:8" ht="20.100000000000001" customHeight="1" x14ac:dyDescent="0.15">
      <c r="A37" s="23" t="s">
        <v>143</v>
      </c>
      <c r="B37" s="19" t="s">
        <v>131</v>
      </c>
      <c r="C37" s="19" t="s">
        <v>145</v>
      </c>
      <c r="D37" s="20" t="s">
        <v>185</v>
      </c>
      <c r="E37" s="20"/>
      <c r="H37" s="25" t="str">
        <f>TRIM(IF(LEN(Sheet2!D37)=0,"-",D37))</f>
        <v>01,02,03,04,05,06,07,08,09,10,11</v>
      </c>
    </row>
    <row r="38" spans="1:8" ht="20.100000000000001" customHeight="1" x14ac:dyDescent="0.15">
      <c r="A38" s="23" t="s">
        <v>143</v>
      </c>
      <c r="B38" s="19" t="s">
        <v>133</v>
      </c>
      <c r="C38" s="17" t="s">
        <v>12</v>
      </c>
      <c r="D38" s="20" t="s">
        <v>182</v>
      </c>
      <c r="E38" s="20"/>
      <c r="H38" s="25" t="str">
        <f>TRIM(IF(LEN(Sheet2!D38)=0,"-",D38))</f>
        <v>01,02,03,04,05,06,07,08,09,10,11</v>
      </c>
    </row>
    <row r="39" spans="1:8" ht="24.75" customHeight="1" x14ac:dyDescent="0.15">
      <c r="A39" s="23" t="s">
        <v>150</v>
      </c>
      <c r="B39" s="23" t="s">
        <v>121</v>
      </c>
      <c r="C39" s="19" t="s">
        <v>77</v>
      </c>
      <c r="D39" s="20">
        <v>1</v>
      </c>
      <c r="E39" s="20"/>
      <c r="H39" s="28" t="str">
        <f>TRIM(IF(LEN(D39)=0,"-",SUBSTITUTE(D39,","," ")))&amp;","&amp;TRIM(IF(LEN(D40)=0,"-",SUBSTITUTE(D40,","," ")))</f>
        <v>1,02 03 04 05 06 07 08 09 10 11</v>
      </c>
    </row>
    <row r="40" spans="1:8" ht="20.100000000000001" customHeight="1" x14ac:dyDescent="0.15">
      <c r="A40" s="23" t="s">
        <v>150</v>
      </c>
      <c r="B40" s="23"/>
      <c r="C40" s="19" t="s">
        <v>151</v>
      </c>
      <c r="D40" s="20" t="s">
        <v>186</v>
      </c>
      <c r="E40" s="20"/>
      <c r="H40" s="28"/>
    </row>
    <row r="41" spans="1:8" ht="20.100000000000001" customHeight="1" x14ac:dyDescent="0.15">
      <c r="A41" s="23" t="s">
        <v>150</v>
      </c>
      <c r="B41" s="23" t="s">
        <v>123</v>
      </c>
      <c r="C41" s="19" t="s">
        <v>77</v>
      </c>
      <c r="D41" s="20" t="s">
        <v>187</v>
      </c>
      <c r="E41" s="20"/>
      <c r="H41" s="28" t="str">
        <f>TRIM(IF(LEN(D41)=0,"-",SUBSTITUTE(D41,","," ")))&amp;","&amp;TRIM(IF(LEN(D42)=0,"-",SUBSTITUTE(D42,","," ")))</f>
        <v>01 02,03 04 05 06 07 08 09 10 11</v>
      </c>
    </row>
    <row r="42" spans="1:8" s="17" customFormat="1" ht="20.100000000000001" customHeight="1" x14ac:dyDescent="0.15">
      <c r="A42" s="23" t="s">
        <v>150</v>
      </c>
      <c r="B42" s="23"/>
      <c r="C42" s="19" t="s">
        <v>151</v>
      </c>
      <c r="D42" s="20" t="s">
        <v>188</v>
      </c>
      <c r="E42" s="20"/>
      <c r="H42" s="28"/>
    </row>
    <row r="43" spans="1:8" ht="20.100000000000001" customHeight="1" x14ac:dyDescent="0.15">
      <c r="A43" s="23" t="s">
        <v>150</v>
      </c>
      <c r="B43" s="23" t="s">
        <v>125</v>
      </c>
      <c r="C43" s="19" t="s">
        <v>77</v>
      </c>
      <c r="D43" s="20" t="s">
        <v>189</v>
      </c>
      <c r="E43" s="20"/>
      <c r="H43" s="28" t="str">
        <f>TRIM(IF(LEN(D43)=0,"-",SUBSTITUTE(D43,","," ")))&amp;","&amp;TRIM(IF(LEN(D44)=0,"-",SUBSTITUTE(D44,","," ")))</f>
        <v>04 05 06,01 02 03 07 08 09 10 11</v>
      </c>
    </row>
    <row r="44" spans="1:8" ht="20.100000000000001" customHeight="1" x14ac:dyDescent="0.15">
      <c r="A44" s="23" t="s">
        <v>150</v>
      </c>
      <c r="B44" s="23"/>
      <c r="C44" s="19" t="s">
        <v>151</v>
      </c>
      <c r="D44" s="20" t="s">
        <v>190</v>
      </c>
      <c r="E44" s="20"/>
      <c r="H44" s="28"/>
    </row>
    <row r="45" spans="1:8" ht="20.100000000000001" customHeight="1" x14ac:dyDescent="0.15">
      <c r="A45" s="23" t="s">
        <v>150</v>
      </c>
      <c r="B45" s="23" t="s">
        <v>127</v>
      </c>
      <c r="C45" s="19" t="s">
        <v>77</v>
      </c>
      <c r="D45" s="20" t="s">
        <v>191</v>
      </c>
      <c r="E45" s="20"/>
      <c r="H45" s="28" t="str">
        <f>TRIM(IF(LEN(D45)=0,"-",SUBSTITUTE(D45,","," ")))&amp;","&amp;TRIM(IF(LEN(D46)=0,"-",SUBSTITUTE(D46,","," ")))</f>
        <v>07 08 09 10,01 02 03 04 05 06 11</v>
      </c>
    </row>
    <row r="46" spans="1:8" ht="20.100000000000001" customHeight="1" x14ac:dyDescent="0.15">
      <c r="A46" s="23" t="s">
        <v>150</v>
      </c>
      <c r="B46" s="23"/>
      <c r="C46" s="19" t="s">
        <v>151</v>
      </c>
      <c r="D46" s="20" t="s">
        <v>192</v>
      </c>
      <c r="E46" s="20"/>
      <c r="H46" s="28"/>
    </row>
    <row r="47" spans="1:8" ht="20.100000000000001" customHeight="1" x14ac:dyDescent="0.15">
      <c r="A47" s="23" t="s">
        <v>150</v>
      </c>
      <c r="B47" s="23" t="s">
        <v>129</v>
      </c>
      <c r="C47" s="19" t="s">
        <v>77</v>
      </c>
      <c r="D47" s="20" t="s">
        <v>193</v>
      </c>
      <c r="E47" s="20"/>
      <c r="H47" s="28" t="str">
        <f>TRIM(IF(LEN(D47)=0,"-",SUBSTITUTE(D47,","," ")))&amp;","&amp;TRIM(IF(LEN(D48)=0,"-",SUBSTITUTE(D48,","," ")))</f>
        <v>01 02 03 10 11,04 05 06 07 08 09</v>
      </c>
    </row>
    <row r="48" spans="1:8" ht="20.100000000000001" customHeight="1" x14ac:dyDescent="0.15">
      <c r="A48" s="23" t="s">
        <v>150</v>
      </c>
      <c r="B48" s="23"/>
      <c r="C48" s="19" t="s">
        <v>151</v>
      </c>
      <c r="D48" s="20" t="s">
        <v>194</v>
      </c>
      <c r="E48" s="20"/>
      <c r="H48" s="28"/>
    </row>
    <row r="49" spans="1:8" ht="20.100000000000001" customHeight="1" x14ac:dyDescent="0.15">
      <c r="A49" s="23" t="s">
        <v>150</v>
      </c>
      <c r="B49" s="23" t="s">
        <v>131</v>
      </c>
      <c r="C49" s="19" t="s">
        <v>77</v>
      </c>
      <c r="D49" s="20" t="s">
        <v>195</v>
      </c>
      <c r="E49" s="20"/>
      <c r="H49" s="28" t="str">
        <f>TRIM(IF(LEN(D49)=0,"-",SUBSTITUTE(D49,","," ")))&amp;","&amp;TRIM(IF(LEN(D50)=0,"-",SUBSTITUTE(D50,","," ")))</f>
        <v>01 10 11,02 03 04 05 06 07 08 09</v>
      </c>
    </row>
    <row r="50" spans="1:8" ht="20.100000000000001" customHeight="1" x14ac:dyDescent="0.15">
      <c r="A50" s="23" t="s">
        <v>150</v>
      </c>
      <c r="B50" s="23"/>
      <c r="C50" s="19" t="s">
        <v>151</v>
      </c>
      <c r="D50" s="20" t="s">
        <v>196</v>
      </c>
      <c r="E50" s="20"/>
      <c r="H50" s="28"/>
    </row>
    <row r="51" spans="1:8" ht="20.100000000000001" customHeight="1" x14ac:dyDescent="0.15">
      <c r="A51" s="23" t="s">
        <v>150</v>
      </c>
      <c r="B51" s="23" t="s">
        <v>133</v>
      </c>
      <c r="C51" s="19" t="s">
        <v>77</v>
      </c>
      <c r="D51" s="20" t="s">
        <v>197</v>
      </c>
      <c r="E51" s="20"/>
      <c r="H51" s="28" t="str">
        <f>TRIM(IF(LEN(D51)=0,"-",SUBSTITUTE(D51,","," ")))&amp;","&amp;TRIM(IF(LEN(D52)=0,"-",SUBSTITUTE(D52,","," ")))</f>
        <v>01 03 04 06 07 09 10,02 05 08 11</v>
      </c>
    </row>
    <row r="52" spans="1:8" ht="20.100000000000001" customHeight="1" x14ac:dyDescent="0.15">
      <c r="A52" s="23" t="s">
        <v>150</v>
      </c>
      <c r="B52" s="23"/>
      <c r="C52" s="19" t="s">
        <v>151</v>
      </c>
      <c r="D52" s="20" t="s">
        <v>198</v>
      </c>
      <c r="E52" s="20"/>
      <c r="H52" s="28"/>
    </row>
    <row r="53" spans="1:8" ht="20.100000000000001" customHeight="1" x14ac:dyDescent="0.15">
      <c r="D53" s="16"/>
      <c r="E53" s="20"/>
    </row>
    <row r="54" spans="1:8" ht="20.100000000000001" customHeight="1" x14ac:dyDescent="0.15">
      <c r="D54" s="12"/>
      <c r="E54" s="20"/>
    </row>
    <row r="55" spans="1:8" ht="20.100000000000001" customHeight="1" x14ac:dyDescent="0.15">
      <c r="D55" s="7"/>
      <c r="E55" s="26"/>
    </row>
    <row r="56" spans="1:8" ht="20.100000000000001" customHeight="1" x14ac:dyDescent="0.15">
      <c r="D56" s="12"/>
      <c r="E56" s="20"/>
    </row>
    <row r="57" spans="1:8" ht="20.100000000000001" customHeight="1" x14ac:dyDescent="0.15">
      <c r="D57" s="7"/>
      <c r="E57" s="26"/>
    </row>
    <row r="58" spans="1:8" ht="20.100000000000001" customHeight="1" x14ac:dyDescent="0.15">
      <c r="D58" s="7"/>
      <c r="E58" s="26"/>
    </row>
    <row r="59" spans="1:8" ht="20.100000000000001" customHeight="1" x14ac:dyDescent="0.15">
      <c r="D59" s="7"/>
      <c r="E59" s="26"/>
    </row>
  </sheetData>
  <mergeCells count="17">
    <mergeCell ref="E2:E4"/>
    <mergeCell ref="E8:E9"/>
    <mergeCell ref="E10:E11"/>
    <mergeCell ref="E15:E16"/>
    <mergeCell ref="H49:H50"/>
    <mergeCell ref="H51:H52"/>
    <mergeCell ref="G26:G27"/>
    <mergeCell ref="H39:H40"/>
    <mergeCell ref="H41:H42"/>
    <mergeCell ref="H43:H44"/>
    <mergeCell ref="H45:H46"/>
    <mergeCell ref="H47:H48"/>
    <mergeCell ref="H2:H4"/>
    <mergeCell ref="H8:H9"/>
    <mergeCell ref="H10:H11"/>
    <mergeCell ref="H15:H16"/>
    <mergeCell ref="H18:H2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C6" sqref="C6"/>
    </sheetView>
  </sheetViews>
  <sheetFormatPr defaultRowHeight="13.5" x14ac:dyDescent="0.15"/>
  <cols>
    <col min="1" max="2" width="14.75" style="4" customWidth="1"/>
    <col min="3" max="3" width="21.7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58</v>
      </c>
      <c r="B1" s="4" t="s">
        <v>59</v>
      </c>
      <c r="C1" s="4" t="s">
        <v>60</v>
      </c>
      <c r="D1" s="4" t="s">
        <v>61</v>
      </c>
      <c r="E1" s="4" t="s">
        <v>62</v>
      </c>
      <c r="F1" s="4" t="s">
        <v>63</v>
      </c>
      <c r="G1" s="4" t="s">
        <v>64</v>
      </c>
      <c r="H1" s="4" t="s">
        <v>65</v>
      </c>
      <c r="I1" s="4" t="s">
        <v>66</v>
      </c>
    </row>
    <row r="2" spans="1:12" x14ac:dyDescent="0.15">
      <c r="A2" s="10" t="s">
        <v>69</v>
      </c>
      <c r="B2" s="10" t="s">
        <v>71</v>
      </c>
      <c r="C2" s="9" t="s">
        <v>154</v>
      </c>
      <c r="D2" s="10">
        <v>2</v>
      </c>
      <c r="E2" s="10">
        <v>2</v>
      </c>
      <c r="F2" s="10">
        <v>440</v>
      </c>
      <c r="G2" s="9" t="s">
        <v>157</v>
      </c>
      <c r="H2" s="10">
        <v>392</v>
      </c>
      <c r="I2" s="10">
        <v>4952</v>
      </c>
      <c r="K2" s="15"/>
      <c r="L2" s="15"/>
    </row>
    <row r="3" spans="1:12" x14ac:dyDescent="0.15">
      <c r="A3" s="10" t="s">
        <v>69</v>
      </c>
      <c r="B3" s="10" t="s">
        <v>76</v>
      </c>
      <c r="C3" s="9" t="s">
        <v>153</v>
      </c>
      <c r="D3" s="10">
        <v>2</v>
      </c>
      <c r="E3" s="10">
        <v>2</v>
      </c>
      <c r="F3" s="10">
        <v>1936</v>
      </c>
      <c r="G3" s="10" t="s">
        <v>155</v>
      </c>
      <c r="H3" s="10">
        <v>784</v>
      </c>
      <c r="I3" s="10">
        <v>3800</v>
      </c>
      <c r="K3" s="15"/>
      <c r="L3" s="15"/>
    </row>
    <row r="4" spans="1:12" x14ac:dyDescent="0.15">
      <c r="A4" s="10" t="s">
        <v>69</v>
      </c>
      <c r="B4" s="10" t="s">
        <v>81</v>
      </c>
      <c r="C4" s="9" t="s">
        <v>153</v>
      </c>
      <c r="D4" s="10">
        <v>2</v>
      </c>
      <c r="E4" s="10">
        <v>2</v>
      </c>
      <c r="F4" s="10">
        <v>44</v>
      </c>
      <c r="G4" s="10" t="s">
        <v>155</v>
      </c>
      <c r="H4" s="10">
        <v>0</v>
      </c>
      <c r="I4" s="10">
        <v>3756</v>
      </c>
      <c r="K4" s="15"/>
      <c r="L4" s="15"/>
    </row>
    <row r="5" spans="1:12" x14ac:dyDescent="0.15">
      <c r="A5" s="10" t="s">
        <v>69</v>
      </c>
      <c r="B5" s="10" t="s">
        <v>80</v>
      </c>
      <c r="C5" s="9" t="s">
        <v>201</v>
      </c>
      <c r="D5" s="10">
        <v>2</v>
      </c>
      <c r="E5" s="10">
        <v>2</v>
      </c>
      <c r="F5" s="10">
        <v>44</v>
      </c>
      <c r="G5" s="10" t="s">
        <v>155</v>
      </c>
      <c r="H5" s="10">
        <v>0</v>
      </c>
      <c r="I5" s="10">
        <v>3712</v>
      </c>
      <c r="K5" s="15"/>
      <c r="L5" s="14"/>
    </row>
    <row r="6" spans="1:12" x14ac:dyDescent="0.15">
      <c r="A6" s="10" t="s">
        <v>69</v>
      </c>
      <c r="B6" s="10" t="s">
        <v>84</v>
      </c>
      <c r="C6" s="9" t="s">
        <v>156</v>
      </c>
      <c r="D6" s="10">
        <v>2</v>
      </c>
      <c r="E6" s="10">
        <v>2</v>
      </c>
      <c r="F6" s="10">
        <v>44</v>
      </c>
      <c r="G6" s="10" t="s">
        <v>155</v>
      </c>
      <c r="H6" s="10">
        <v>784</v>
      </c>
      <c r="I6" s="10">
        <v>4452</v>
      </c>
      <c r="K6" s="15"/>
      <c r="L6" s="14"/>
    </row>
    <row r="7" spans="1:12" x14ac:dyDescent="0.15">
      <c r="A7" s="9" t="s">
        <v>87</v>
      </c>
      <c r="B7" s="9" t="s">
        <v>89</v>
      </c>
      <c r="C7" s="9" t="s">
        <v>156</v>
      </c>
      <c r="D7" s="10">
        <v>2</v>
      </c>
      <c r="E7" s="10">
        <v>2</v>
      </c>
      <c r="F7" s="10">
        <v>44</v>
      </c>
      <c r="G7" s="10" t="s">
        <v>155</v>
      </c>
      <c r="H7" s="10">
        <v>0</v>
      </c>
      <c r="I7" s="13">
        <v>4408</v>
      </c>
      <c r="K7" s="15"/>
      <c r="L7" s="14"/>
    </row>
    <row r="8" spans="1:12" x14ac:dyDescent="0.15">
      <c r="A8" s="9" t="s">
        <v>87</v>
      </c>
      <c r="B8" s="9" t="s">
        <v>91</v>
      </c>
      <c r="C8" s="9" t="s">
        <v>153</v>
      </c>
      <c r="D8" s="14">
        <v>2</v>
      </c>
      <c r="E8" s="14">
        <v>2</v>
      </c>
      <c r="F8" s="14">
        <v>44</v>
      </c>
      <c r="G8" s="14" t="s">
        <v>155</v>
      </c>
      <c r="H8" s="14">
        <v>0</v>
      </c>
      <c r="I8" s="13">
        <v>4364</v>
      </c>
      <c r="K8" s="15"/>
      <c r="L8" s="14"/>
    </row>
    <row r="9" spans="1:12" x14ac:dyDescent="0.15">
      <c r="A9" s="9" t="s">
        <v>87</v>
      </c>
      <c r="B9" s="9" t="s">
        <v>93</v>
      </c>
      <c r="C9" s="9" t="s">
        <v>153</v>
      </c>
      <c r="D9" s="14">
        <v>2</v>
      </c>
      <c r="E9" s="14">
        <v>2</v>
      </c>
      <c r="F9" s="14">
        <v>44</v>
      </c>
      <c r="G9" s="14" t="s">
        <v>155</v>
      </c>
      <c r="H9" s="14">
        <v>0</v>
      </c>
      <c r="I9" s="13">
        <v>4320</v>
      </c>
      <c r="K9" s="15"/>
      <c r="L9" s="14"/>
    </row>
    <row r="10" spans="1:12" x14ac:dyDescent="0.15">
      <c r="A10" s="9" t="s">
        <v>87</v>
      </c>
      <c r="B10" s="9" t="s">
        <v>97</v>
      </c>
      <c r="C10" s="9" t="s">
        <v>153</v>
      </c>
      <c r="D10" s="14">
        <v>2</v>
      </c>
      <c r="E10" s="14">
        <v>2</v>
      </c>
      <c r="F10" s="14">
        <v>44</v>
      </c>
      <c r="G10" s="14" t="s">
        <v>155</v>
      </c>
      <c r="H10" s="14">
        <v>0</v>
      </c>
      <c r="I10" s="13">
        <v>4276</v>
      </c>
      <c r="K10" s="15"/>
      <c r="L10" s="14"/>
    </row>
    <row r="11" spans="1:12" x14ac:dyDescent="0.15">
      <c r="A11" s="9" t="s">
        <v>87</v>
      </c>
      <c r="B11" s="9" t="s">
        <v>95</v>
      </c>
      <c r="C11" s="9" t="s">
        <v>156</v>
      </c>
      <c r="D11" s="10">
        <v>2</v>
      </c>
      <c r="E11" s="10">
        <v>2</v>
      </c>
      <c r="F11" s="10">
        <v>44</v>
      </c>
      <c r="G11" s="10" t="s">
        <v>155</v>
      </c>
      <c r="H11" s="10">
        <v>0</v>
      </c>
      <c r="I11" s="13">
        <v>4232</v>
      </c>
      <c r="K11" s="15"/>
      <c r="L11" s="14"/>
    </row>
    <row r="12" spans="1:12" x14ac:dyDescent="0.15">
      <c r="A12" s="9" t="s">
        <v>24</v>
      </c>
      <c r="B12" s="9" t="s">
        <v>104</v>
      </c>
      <c r="C12" s="9" t="s">
        <v>153</v>
      </c>
      <c r="D12" s="10">
        <v>2</v>
      </c>
      <c r="E12" s="10">
        <v>2</v>
      </c>
      <c r="F12" s="10">
        <v>44</v>
      </c>
      <c r="G12" s="10" t="s">
        <v>155</v>
      </c>
      <c r="H12" s="10">
        <v>0</v>
      </c>
      <c r="I12" s="13">
        <v>4188</v>
      </c>
      <c r="K12" s="15"/>
      <c r="L12" s="14"/>
    </row>
    <row r="13" spans="1:12" x14ac:dyDescent="0.15">
      <c r="A13" s="9" t="s">
        <v>10</v>
      </c>
      <c r="B13" s="9" t="s">
        <v>4</v>
      </c>
      <c r="C13" s="9" t="s">
        <v>154</v>
      </c>
      <c r="D13" s="10">
        <v>2</v>
      </c>
      <c r="E13" s="10">
        <v>2</v>
      </c>
      <c r="F13" s="10">
        <v>44</v>
      </c>
      <c r="G13" s="10" t="s">
        <v>155</v>
      </c>
      <c r="H13" s="10">
        <v>0</v>
      </c>
      <c r="I13" s="13">
        <v>4144</v>
      </c>
      <c r="K13" s="15"/>
      <c r="L13" s="14"/>
    </row>
    <row r="14" spans="1:12" x14ac:dyDescent="0.15">
      <c r="A14" s="9" t="s">
        <v>109</v>
      </c>
      <c r="B14" s="9" t="s">
        <v>111</v>
      </c>
      <c r="C14" s="9" t="s">
        <v>153</v>
      </c>
      <c r="D14" s="10">
        <v>2</v>
      </c>
      <c r="E14" s="10">
        <v>2</v>
      </c>
      <c r="F14" s="10">
        <v>44</v>
      </c>
      <c r="G14" s="10" t="s">
        <v>155</v>
      </c>
      <c r="H14" s="10">
        <v>0</v>
      </c>
      <c r="I14" s="13">
        <v>4100</v>
      </c>
      <c r="K14" s="15"/>
      <c r="L14" s="14"/>
    </row>
    <row r="15" spans="1:12" x14ac:dyDescent="0.15">
      <c r="A15" s="9" t="s">
        <v>109</v>
      </c>
      <c r="B15" s="9" t="s">
        <v>114</v>
      </c>
      <c r="C15" s="9" t="s">
        <v>153</v>
      </c>
      <c r="D15" s="10">
        <v>2</v>
      </c>
      <c r="E15" s="10">
        <v>2</v>
      </c>
      <c r="F15" s="10">
        <v>44</v>
      </c>
      <c r="G15" s="10" t="s">
        <v>155</v>
      </c>
      <c r="H15" s="10">
        <v>0</v>
      </c>
      <c r="I15" s="13">
        <v>4056</v>
      </c>
      <c r="K15" s="15"/>
      <c r="L15" s="14"/>
    </row>
    <row r="16" spans="1:12" x14ac:dyDescent="0.15">
      <c r="A16" s="9" t="s">
        <v>116</v>
      </c>
      <c r="B16" s="9" t="s">
        <v>118</v>
      </c>
      <c r="C16" s="9" t="s">
        <v>153</v>
      </c>
      <c r="D16" s="10">
        <v>2</v>
      </c>
      <c r="E16" s="10">
        <v>2</v>
      </c>
      <c r="F16" s="10">
        <v>44</v>
      </c>
      <c r="G16" s="10" t="s">
        <v>155</v>
      </c>
      <c r="H16" s="10">
        <v>0</v>
      </c>
      <c r="I16" s="13">
        <v>4012</v>
      </c>
      <c r="K16" s="15"/>
      <c r="L16" s="14"/>
    </row>
    <row r="17" spans="1:12" x14ac:dyDescent="0.15">
      <c r="A17" s="9" t="s">
        <v>116</v>
      </c>
      <c r="B17" s="9" t="s">
        <v>120</v>
      </c>
      <c r="C17" s="9" t="s">
        <v>153</v>
      </c>
      <c r="D17" s="10">
        <v>2</v>
      </c>
      <c r="E17" s="10">
        <v>2</v>
      </c>
      <c r="F17" s="10">
        <v>44</v>
      </c>
      <c r="G17" s="10" t="s">
        <v>155</v>
      </c>
      <c r="H17" s="10">
        <v>0</v>
      </c>
      <c r="I17" s="13">
        <v>3968</v>
      </c>
      <c r="K17" s="15"/>
      <c r="L17" s="14"/>
    </row>
    <row r="18" spans="1:12" x14ac:dyDescent="0.15">
      <c r="A18" s="9" t="s">
        <v>116</v>
      </c>
      <c r="B18" s="9" t="s">
        <v>122</v>
      </c>
      <c r="C18" s="9" t="s">
        <v>153</v>
      </c>
      <c r="D18" s="10">
        <v>2</v>
      </c>
      <c r="E18" s="10">
        <v>2</v>
      </c>
      <c r="F18" s="10">
        <v>44</v>
      </c>
      <c r="G18" s="10" t="s">
        <v>155</v>
      </c>
      <c r="H18" s="10">
        <v>0</v>
      </c>
      <c r="I18" s="13">
        <v>3924</v>
      </c>
      <c r="K18" s="15"/>
      <c r="L18" s="14"/>
    </row>
    <row r="19" spans="1:12" x14ac:dyDescent="0.15">
      <c r="A19" s="9" t="s">
        <v>116</v>
      </c>
      <c r="B19" s="9" t="s">
        <v>124</v>
      </c>
      <c r="C19" s="9" t="s">
        <v>153</v>
      </c>
      <c r="D19" s="10">
        <v>2</v>
      </c>
      <c r="E19" s="10">
        <v>2</v>
      </c>
      <c r="F19" s="10">
        <v>44</v>
      </c>
      <c r="G19" s="10" t="s">
        <v>155</v>
      </c>
      <c r="H19" s="10">
        <v>0</v>
      </c>
      <c r="I19" s="13">
        <v>3880</v>
      </c>
      <c r="K19" s="15"/>
      <c r="L19" s="15"/>
    </row>
    <row r="20" spans="1:12" x14ac:dyDescent="0.15">
      <c r="A20" s="9" t="s">
        <v>116</v>
      </c>
      <c r="B20" s="9" t="s">
        <v>126</v>
      </c>
      <c r="C20" s="9" t="s">
        <v>153</v>
      </c>
      <c r="D20" s="10">
        <v>2</v>
      </c>
      <c r="E20" s="10">
        <v>2</v>
      </c>
      <c r="F20" s="10">
        <v>44</v>
      </c>
      <c r="G20" s="10" t="s">
        <v>155</v>
      </c>
      <c r="H20" s="10">
        <v>0</v>
      </c>
      <c r="I20" s="13">
        <v>3836</v>
      </c>
      <c r="K20" s="15"/>
      <c r="L20" s="14"/>
    </row>
    <row r="21" spans="1:12" x14ac:dyDescent="0.15">
      <c r="A21" s="9" t="s">
        <v>116</v>
      </c>
      <c r="B21" s="9" t="s">
        <v>128</v>
      </c>
      <c r="C21" s="9" t="s">
        <v>153</v>
      </c>
      <c r="D21" s="10">
        <v>2</v>
      </c>
      <c r="E21" s="10">
        <v>2</v>
      </c>
      <c r="F21" s="10">
        <v>44</v>
      </c>
      <c r="G21" s="10" t="s">
        <v>155</v>
      </c>
      <c r="H21" s="10">
        <v>0</v>
      </c>
      <c r="I21" s="13">
        <v>3792</v>
      </c>
      <c r="K21" s="15"/>
      <c r="L21" s="14"/>
    </row>
    <row r="22" spans="1:12" x14ac:dyDescent="0.15">
      <c r="A22" s="9" t="s">
        <v>116</v>
      </c>
      <c r="B22" s="9" t="s">
        <v>130</v>
      </c>
      <c r="C22" s="9" t="s">
        <v>153</v>
      </c>
      <c r="D22" s="10">
        <v>2</v>
      </c>
      <c r="E22" s="10">
        <v>2</v>
      </c>
      <c r="F22" s="10">
        <v>44</v>
      </c>
      <c r="G22" s="10" t="s">
        <v>155</v>
      </c>
      <c r="H22" s="10">
        <v>0</v>
      </c>
      <c r="I22" s="13">
        <v>3748</v>
      </c>
      <c r="K22" s="15"/>
      <c r="L22" s="14"/>
    </row>
    <row r="23" spans="1:12" x14ac:dyDescent="0.15">
      <c r="A23" s="9" t="s">
        <v>116</v>
      </c>
      <c r="B23" s="9" t="s">
        <v>132</v>
      </c>
      <c r="C23" s="9" t="s">
        <v>153</v>
      </c>
      <c r="D23" s="10">
        <v>2</v>
      </c>
      <c r="E23" s="10">
        <v>2</v>
      </c>
      <c r="F23" s="10">
        <v>44</v>
      </c>
      <c r="G23" s="10" t="s">
        <v>155</v>
      </c>
      <c r="H23" s="10">
        <v>0</v>
      </c>
      <c r="I23" s="13">
        <v>3704</v>
      </c>
      <c r="K23" s="15"/>
      <c r="L23" s="14"/>
    </row>
    <row r="24" spans="1:12" x14ac:dyDescent="0.15">
      <c r="A24" s="9" t="s">
        <v>142</v>
      </c>
      <c r="B24" s="9" t="s">
        <v>118</v>
      </c>
      <c r="C24" s="9" t="s">
        <v>153</v>
      </c>
      <c r="D24" s="10">
        <v>2</v>
      </c>
      <c r="E24" s="10">
        <v>2</v>
      </c>
      <c r="F24" s="10">
        <v>44</v>
      </c>
      <c r="G24" s="10" t="s">
        <v>155</v>
      </c>
      <c r="H24" s="10">
        <v>0</v>
      </c>
      <c r="I24" s="13">
        <v>3660</v>
      </c>
      <c r="K24" s="15"/>
      <c r="L24" s="14"/>
    </row>
    <row r="25" spans="1:12" x14ac:dyDescent="0.15">
      <c r="A25" s="9" t="s">
        <v>142</v>
      </c>
      <c r="B25" s="9" t="s">
        <v>120</v>
      </c>
      <c r="C25" s="9" t="s">
        <v>153</v>
      </c>
      <c r="D25" s="10">
        <v>2</v>
      </c>
      <c r="E25" s="10">
        <v>2</v>
      </c>
      <c r="F25" s="10">
        <v>44</v>
      </c>
      <c r="G25" s="10" t="s">
        <v>155</v>
      </c>
      <c r="H25" s="10">
        <v>0</v>
      </c>
      <c r="I25" s="13">
        <v>3616</v>
      </c>
      <c r="K25" s="15"/>
      <c r="L25" s="14"/>
    </row>
    <row r="26" spans="1:12" x14ac:dyDescent="0.15">
      <c r="A26" s="9" t="s">
        <v>142</v>
      </c>
      <c r="B26" s="9" t="s">
        <v>122</v>
      </c>
      <c r="C26" s="9" t="s">
        <v>153</v>
      </c>
      <c r="D26" s="10">
        <v>2</v>
      </c>
      <c r="E26" s="10">
        <v>2</v>
      </c>
      <c r="F26" s="10">
        <v>44</v>
      </c>
      <c r="G26" s="10" t="s">
        <v>155</v>
      </c>
      <c r="H26" s="10">
        <v>0</v>
      </c>
      <c r="I26" s="13">
        <v>3572</v>
      </c>
      <c r="K26" s="15"/>
      <c r="L26" s="14"/>
    </row>
    <row r="27" spans="1:12" x14ac:dyDescent="0.15">
      <c r="A27" s="9" t="s">
        <v>142</v>
      </c>
      <c r="B27" s="9" t="s">
        <v>124</v>
      </c>
      <c r="C27" s="9" t="s">
        <v>153</v>
      </c>
      <c r="D27" s="10">
        <v>2</v>
      </c>
      <c r="E27" s="10">
        <v>2</v>
      </c>
      <c r="F27" s="10">
        <v>44</v>
      </c>
      <c r="G27" s="10" t="s">
        <v>155</v>
      </c>
      <c r="H27" s="10">
        <v>0</v>
      </c>
      <c r="I27" s="13">
        <v>3528</v>
      </c>
      <c r="K27" s="15"/>
      <c r="L27" s="14"/>
    </row>
    <row r="28" spans="1:12" x14ac:dyDescent="0.15">
      <c r="A28" s="9" t="s">
        <v>142</v>
      </c>
      <c r="B28" s="9" t="s">
        <v>126</v>
      </c>
      <c r="C28" s="9" t="s">
        <v>153</v>
      </c>
      <c r="D28" s="10">
        <v>2</v>
      </c>
      <c r="E28" s="10">
        <v>2</v>
      </c>
      <c r="F28" s="10">
        <v>44</v>
      </c>
      <c r="G28" s="10" t="s">
        <v>155</v>
      </c>
      <c r="H28" s="10">
        <v>0</v>
      </c>
      <c r="I28" s="13">
        <v>3484</v>
      </c>
      <c r="K28" s="15"/>
      <c r="L28" s="14"/>
    </row>
    <row r="29" spans="1:12" x14ac:dyDescent="0.15">
      <c r="A29" s="9" t="s">
        <v>142</v>
      </c>
      <c r="B29" s="9" t="s">
        <v>128</v>
      </c>
      <c r="C29" s="9" t="s">
        <v>153</v>
      </c>
      <c r="D29" s="10">
        <v>2</v>
      </c>
      <c r="E29" s="10">
        <v>2</v>
      </c>
      <c r="F29" s="10">
        <v>44</v>
      </c>
      <c r="G29" s="10" t="s">
        <v>155</v>
      </c>
      <c r="H29" s="10">
        <v>0</v>
      </c>
      <c r="I29" s="13">
        <v>3440</v>
      </c>
      <c r="K29" s="15"/>
      <c r="L29" s="14"/>
    </row>
    <row r="30" spans="1:12" x14ac:dyDescent="0.15">
      <c r="A30" s="9" t="s">
        <v>142</v>
      </c>
      <c r="B30" s="9" t="s">
        <v>130</v>
      </c>
      <c r="C30" s="9" t="s">
        <v>153</v>
      </c>
      <c r="D30" s="10">
        <v>2</v>
      </c>
      <c r="E30" s="10">
        <v>2</v>
      </c>
      <c r="F30" s="10">
        <v>44</v>
      </c>
      <c r="G30" s="10" t="s">
        <v>155</v>
      </c>
      <c r="H30" s="10">
        <v>0</v>
      </c>
      <c r="I30" s="13">
        <v>3396</v>
      </c>
      <c r="K30" s="15"/>
      <c r="L30" s="14"/>
    </row>
    <row r="31" spans="1:12" x14ac:dyDescent="0.15">
      <c r="A31" s="9" t="s">
        <v>142</v>
      </c>
      <c r="B31" s="9" t="s">
        <v>132</v>
      </c>
      <c r="C31" s="9" t="s">
        <v>153</v>
      </c>
      <c r="D31" s="14">
        <v>2</v>
      </c>
      <c r="E31" s="14">
        <v>2</v>
      </c>
      <c r="F31" s="14">
        <v>44</v>
      </c>
      <c r="G31" s="14" t="s">
        <v>155</v>
      </c>
      <c r="H31" s="14">
        <v>0</v>
      </c>
      <c r="I31" s="14">
        <v>3352</v>
      </c>
      <c r="K31" s="15"/>
      <c r="L31" s="14"/>
    </row>
    <row r="32" spans="1:12" x14ac:dyDescent="0.15">
      <c r="A32" s="9" t="s">
        <v>149</v>
      </c>
      <c r="B32" s="9" t="s">
        <v>120</v>
      </c>
      <c r="C32" s="9" t="s">
        <v>156</v>
      </c>
      <c r="D32" s="14">
        <v>2</v>
      </c>
      <c r="E32" s="14">
        <v>2</v>
      </c>
      <c r="F32" s="14">
        <v>44</v>
      </c>
      <c r="G32" s="14" t="s">
        <v>155</v>
      </c>
      <c r="H32" s="14">
        <v>0</v>
      </c>
      <c r="I32" s="14">
        <v>3308</v>
      </c>
      <c r="K32" s="15"/>
      <c r="L32" s="15"/>
    </row>
    <row r="33" spans="1:12" x14ac:dyDescent="0.15">
      <c r="A33" s="9" t="s">
        <v>149</v>
      </c>
      <c r="B33" s="9" t="s">
        <v>122</v>
      </c>
      <c r="C33" s="9" t="s">
        <v>156</v>
      </c>
      <c r="D33" s="14">
        <v>2</v>
      </c>
      <c r="E33" s="14">
        <v>2</v>
      </c>
      <c r="F33" s="14">
        <v>44</v>
      </c>
      <c r="G33" s="14" t="s">
        <v>155</v>
      </c>
      <c r="H33" s="14">
        <v>0</v>
      </c>
      <c r="I33" s="14">
        <v>3264</v>
      </c>
      <c r="K33" s="15"/>
      <c r="L33" s="14"/>
    </row>
    <row r="34" spans="1:12" x14ac:dyDescent="0.15">
      <c r="A34" s="9" t="s">
        <v>149</v>
      </c>
      <c r="B34" s="9" t="s">
        <v>124</v>
      </c>
      <c r="C34" s="9" t="s">
        <v>156</v>
      </c>
      <c r="D34" s="14">
        <v>2</v>
      </c>
      <c r="E34" s="14">
        <v>2</v>
      </c>
      <c r="F34" s="14">
        <v>44</v>
      </c>
      <c r="G34" s="14" t="s">
        <v>155</v>
      </c>
      <c r="H34" s="14">
        <v>0</v>
      </c>
      <c r="I34" s="14">
        <v>3220</v>
      </c>
      <c r="K34" s="15"/>
      <c r="L34" s="14"/>
    </row>
    <row r="35" spans="1:12" x14ac:dyDescent="0.15">
      <c r="A35" s="9" t="s">
        <v>149</v>
      </c>
      <c r="B35" s="9" t="s">
        <v>126</v>
      </c>
      <c r="C35" s="9" t="s">
        <v>156</v>
      </c>
      <c r="D35" s="14">
        <v>2</v>
      </c>
      <c r="E35" s="14">
        <v>2</v>
      </c>
      <c r="F35" s="14">
        <v>44</v>
      </c>
      <c r="G35" s="14" t="s">
        <v>155</v>
      </c>
      <c r="H35" s="14">
        <v>0</v>
      </c>
      <c r="I35" s="14">
        <v>3176</v>
      </c>
      <c r="K35" s="15"/>
      <c r="L35" s="14"/>
    </row>
    <row r="36" spans="1:12" x14ac:dyDescent="0.15">
      <c r="A36" s="9" t="s">
        <v>149</v>
      </c>
      <c r="B36" s="9" t="s">
        <v>128</v>
      </c>
      <c r="C36" s="9" t="s">
        <v>156</v>
      </c>
      <c r="D36" s="14">
        <v>2</v>
      </c>
      <c r="E36" s="14">
        <v>2</v>
      </c>
      <c r="F36" s="14">
        <v>44</v>
      </c>
      <c r="G36" s="14" t="s">
        <v>155</v>
      </c>
      <c r="H36" s="14">
        <v>0</v>
      </c>
      <c r="I36" s="14">
        <v>3132</v>
      </c>
      <c r="K36" s="15"/>
      <c r="L36" s="14"/>
    </row>
    <row r="37" spans="1:12" x14ac:dyDescent="0.15">
      <c r="A37" s="9" t="s">
        <v>149</v>
      </c>
      <c r="B37" s="9" t="s">
        <v>130</v>
      </c>
      <c r="C37" s="9" t="s">
        <v>156</v>
      </c>
      <c r="D37" s="14">
        <v>2</v>
      </c>
      <c r="E37" s="14">
        <v>2</v>
      </c>
      <c r="F37" s="14">
        <v>44</v>
      </c>
      <c r="G37" s="14" t="s">
        <v>155</v>
      </c>
      <c r="H37" s="14">
        <v>0</v>
      </c>
      <c r="I37" s="14">
        <v>3088</v>
      </c>
      <c r="K37" s="15"/>
      <c r="L37" s="14"/>
    </row>
    <row r="38" spans="1:12" x14ac:dyDescent="0.15">
      <c r="A38" s="9" t="s">
        <v>149</v>
      </c>
      <c r="B38" s="9" t="s">
        <v>132</v>
      </c>
      <c r="C38" s="9" t="s">
        <v>156</v>
      </c>
      <c r="D38" s="14">
        <v>2</v>
      </c>
      <c r="E38" s="14">
        <v>2</v>
      </c>
      <c r="F38" s="14">
        <v>0</v>
      </c>
      <c r="G38" s="14" t="s">
        <v>155</v>
      </c>
      <c r="H38" s="14">
        <v>0</v>
      </c>
      <c r="I38" s="14">
        <v>3088</v>
      </c>
      <c r="K38" s="15"/>
      <c r="L38" s="14"/>
    </row>
    <row r="39" spans="1:12" x14ac:dyDescent="0.15">
      <c r="A39" s="9"/>
      <c r="B39" s="9"/>
      <c r="C39" s="11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2018-06-11T07:16:49Z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