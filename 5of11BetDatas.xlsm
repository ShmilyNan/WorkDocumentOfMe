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/>
  </bookViews>
  <sheets>
    <sheet name="辅助" sheetId="7" r:id="rId1"/>
    <sheet name="5Of11" sheetId="1" r:id="rId2"/>
    <sheet name="5Of11Source" sheetId="2" r:id="rId3"/>
    <sheet name="ExportBetXML" sheetId="4" r:id="rId4"/>
    <sheet name="Sheet2" sheetId="8" r:id="rId5"/>
    <sheet name="agent" sheetId="6" r:id="rId6"/>
  </sheets>
  <definedNames>
    <definedName name="_xlnm._FilterDatabase" localSheetId="1" hidden="1">'5Of11'!$A$1:$AF$38</definedName>
    <definedName name="_xlnm._FilterDatabase" localSheetId="5" hidden="1">agent!$O$1:$P$30</definedName>
    <definedName name="_xlnm._FilterDatabase" localSheetId="0" hidden="1">辅助!$A$1:$I$463</definedName>
  </definedNames>
  <calcPr calcId="162913"/>
</workbook>
</file>

<file path=xl/calcChain.xml><?xml version="1.0" encoding="utf-8"?>
<calcChain xmlns="http://schemas.openxmlformats.org/spreadsheetml/2006/main">
  <c r="P2" i="2" l="1"/>
  <c r="M19" i="2"/>
  <c r="M2" i="2"/>
  <c r="F3" i="7"/>
  <c r="M3" i="2" s="1"/>
  <c r="F4" i="7"/>
  <c r="M4" i="2" s="1"/>
  <c r="F5" i="7"/>
  <c r="M5" i="2" s="1"/>
  <c r="F6" i="7"/>
  <c r="M6" i="2" s="1"/>
  <c r="F7" i="7"/>
  <c r="M7" i="2" s="1"/>
  <c r="F8" i="7"/>
  <c r="M8" i="2" s="1"/>
  <c r="F9" i="7"/>
  <c r="M9" i="2" s="1"/>
  <c r="F10" i="7"/>
  <c r="M10" i="2" s="1"/>
  <c r="F11" i="7"/>
  <c r="M11" i="2" s="1"/>
  <c r="F12" i="7"/>
  <c r="M12" i="2" s="1"/>
  <c r="F13" i="7"/>
  <c r="M13" i="2" s="1"/>
  <c r="F14" i="7"/>
  <c r="M14" i="2" s="1"/>
  <c r="F15" i="7"/>
  <c r="M15" i="2" s="1"/>
  <c r="F16" i="7"/>
  <c r="M16" i="2" s="1"/>
  <c r="F17" i="7"/>
  <c r="M17" i="2" s="1"/>
  <c r="F18" i="7"/>
  <c r="M18" i="2" s="1"/>
  <c r="F19" i="7"/>
  <c r="F20" i="7"/>
  <c r="M20" i="2" s="1"/>
  <c r="F21" i="7"/>
  <c r="M21" i="2" s="1"/>
  <c r="F22" i="7"/>
  <c r="M22" i="2" s="1"/>
  <c r="F23" i="7"/>
  <c r="M23" i="2" s="1"/>
  <c r="F24" i="7"/>
  <c r="M24" i="2" s="1"/>
  <c r="F25" i="7"/>
  <c r="M25" i="2" s="1"/>
  <c r="F26" i="7"/>
  <c r="M26" i="2" s="1"/>
  <c r="F27" i="7"/>
  <c r="M27" i="2" s="1"/>
  <c r="F28" i="7"/>
  <c r="M28" i="2" s="1"/>
  <c r="F29" i="7"/>
  <c r="M29" i="2" s="1"/>
  <c r="F30" i="7"/>
  <c r="M30" i="2" s="1"/>
  <c r="F31" i="7"/>
  <c r="M31" i="2" s="1"/>
  <c r="F32" i="7"/>
  <c r="M32" i="2" s="1"/>
  <c r="F33" i="7"/>
  <c r="M33" i="2" s="1"/>
  <c r="F34" i="7"/>
  <c r="M34" i="2" s="1"/>
  <c r="F35" i="7"/>
  <c r="M35" i="2" s="1"/>
  <c r="F36" i="7"/>
  <c r="M36" i="2" s="1"/>
  <c r="F37" i="7"/>
  <c r="M37" i="2" s="1"/>
  <c r="F38" i="7"/>
  <c r="M38" i="2" s="1"/>
  <c r="F39" i="7"/>
  <c r="M39" i="2" s="1"/>
  <c r="F40" i="7"/>
  <c r="M40" i="2" s="1"/>
  <c r="F41" i="7"/>
  <c r="M41" i="2" s="1"/>
  <c r="F42" i="7"/>
  <c r="M42" i="2" s="1"/>
  <c r="F43" i="7"/>
  <c r="M43" i="2" s="1"/>
  <c r="F44" i="7"/>
  <c r="M44" i="2" s="1"/>
  <c r="F45" i="7"/>
  <c r="M45" i="2" s="1"/>
  <c r="F46" i="7"/>
  <c r="M46" i="2" s="1"/>
  <c r="F47" i="7"/>
  <c r="M47" i="2" s="1"/>
  <c r="F48" i="7"/>
  <c r="M48" i="2" s="1"/>
  <c r="F49" i="7"/>
  <c r="M49" i="2" s="1"/>
  <c r="F50" i="7"/>
  <c r="M50" i="2" s="1"/>
  <c r="F51" i="7"/>
  <c r="M51" i="2" s="1"/>
  <c r="F52" i="7"/>
  <c r="M52" i="2" s="1"/>
  <c r="F53" i="7"/>
  <c r="M53" i="2" s="1"/>
  <c r="F54" i="7"/>
  <c r="M54" i="2" s="1"/>
  <c r="F55" i="7"/>
  <c r="M55" i="2" s="1"/>
  <c r="F56" i="7"/>
  <c r="M56" i="2" s="1"/>
  <c r="F57" i="7"/>
  <c r="M57" i="2" s="1"/>
  <c r="F58" i="7"/>
  <c r="M58" i="2" s="1"/>
  <c r="F59" i="7"/>
  <c r="M59" i="2" s="1"/>
  <c r="F60" i="7"/>
  <c r="M60" i="2" s="1"/>
  <c r="F61" i="7"/>
  <c r="M61" i="2" s="1"/>
  <c r="F62" i="7"/>
  <c r="M62" i="2" s="1"/>
  <c r="F63" i="7"/>
  <c r="M63" i="2" s="1"/>
  <c r="F64" i="7"/>
  <c r="M64" i="2" s="1"/>
  <c r="F65" i="7"/>
  <c r="M65" i="2" s="1"/>
  <c r="F66" i="7"/>
  <c r="M66" i="2" s="1"/>
  <c r="F67" i="7"/>
  <c r="M67" i="2" s="1"/>
  <c r="F68" i="7"/>
  <c r="M68" i="2" s="1"/>
  <c r="F69" i="7"/>
  <c r="M69" i="2" s="1"/>
  <c r="F70" i="7"/>
  <c r="M70" i="2" s="1"/>
  <c r="F71" i="7"/>
  <c r="M71" i="2" s="1"/>
  <c r="F72" i="7"/>
  <c r="M72" i="2" s="1"/>
  <c r="F73" i="7"/>
  <c r="M73" i="2" s="1"/>
  <c r="F74" i="7"/>
  <c r="M74" i="2" s="1"/>
  <c r="F75" i="7"/>
  <c r="M75" i="2" s="1"/>
  <c r="F76" i="7"/>
  <c r="M76" i="2" s="1"/>
  <c r="F77" i="7"/>
  <c r="M77" i="2" s="1"/>
  <c r="F78" i="7"/>
  <c r="M78" i="2" s="1"/>
  <c r="F79" i="7"/>
  <c r="M79" i="2" s="1"/>
  <c r="F80" i="7"/>
  <c r="M80" i="2" s="1"/>
  <c r="F81" i="7"/>
  <c r="M81" i="2" s="1"/>
  <c r="F82" i="7"/>
  <c r="M82" i="2" s="1"/>
  <c r="F83" i="7"/>
  <c r="M83" i="2" s="1"/>
  <c r="F84" i="7"/>
  <c r="M84" i="2" s="1"/>
  <c r="F85" i="7"/>
  <c r="M85" i="2" s="1"/>
  <c r="F86" i="7"/>
  <c r="M86" i="2" s="1"/>
  <c r="F87" i="7"/>
  <c r="M87" i="2" s="1"/>
  <c r="F88" i="7"/>
  <c r="M88" i="2" s="1"/>
  <c r="F89" i="7"/>
  <c r="M89" i="2" s="1"/>
  <c r="F90" i="7"/>
  <c r="M90" i="2" s="1"/>
  <c r="F91" i="7"/>
  <c r="M91" i="2" s="1"/>
  <c r="F92" i="7"/>
  <c r="M92" i="2" s="1"/>
  <c r="F93" i="7"/>
  <c r="M93" i="2" s="1"/>
  <c r="F94" i="7"/>
  <c r="M94" i="2" s="1"/>
  <c r="F95" i="7"/>
  <c r="M95" i="2" s="1"/>
  <c r="F96" i="7"/>
  <c r="M96" i="2" s="1"/>
  <c r="F97" i="7"/>
  <c r="M97" i="2" s="1"/>
  <c r="F98" i="7"/>
  <c r="M98" i="2" s="1"/>
  <c r="F99" i="7"/>
  <c r="M99" i="2" s="1"/>
  <c r="F100" i="7"/>
  <c r="M100" i="2" s="1"/>
  <c r="F101" i="7"/>
  <c r="M101" i="2" s="1"/>
  <c r="F102" i="7"/>
  <c r="M102" i="2" s="1"/>
  <c r="F103" i="7"/>
  <c r="M103" i="2" s="1"/>
  <c r="F104" i="7"/>
  <c r="M104" i="2" s="1"/>
  <c r="F105" i="7"/>
  <c r="M105" i="2" s="1"/>
  <c r="F106" i="7"/>
  <c r="M106" i="2" s="1"/>
  <c r="F107" i="7"/>
  <c r="M107" i="2" s="1"/>
  <c r="F108" i="7"/>
  <c r="M108" i="2" s="1"/>
  <c r="F109" i="7"/>
  <c r="M109" i="2" s="1"/>
  <c r="F110" i="7"/>
  <c r="M110" i="2" s="1"/>
  <c r="F111" i="7"/>
  <c r="M111" i="2" s="1"/>
  <c r="F112" i="7"/>
  <c r="M112" i="2" s="1"/>
  <c r="F113" i="7"/>
  <c r="M113" i="2" s="1"/>
  <c r="F114" i="7"/>
  <c r="M114" i="2" s="1"/>
  <c r="F115" i="7"/>
  <c r="M115" i="2" s="1"/>
  <c r="F116" i="7"/>
  <c r="M116" i="2" s="1"/>
  <c r="F117" i="7"/>
  <c r="M117" i="2" s="1"/>
  <c r="F118" i="7"/>
  <c r="M118" i="2" s="1"/>
  <c r="F119" i="7"/>
  <c r="M119" i="2" s="1"/>
  <c r="F120" i="7"/>
  <c r="M120" i="2" s="1"/>
  <c r="F121" i="7"/>
  <c r="M121" i="2" s="1"/>
  <c r="F122" i="7"/>
  <c r="M122" i="2" s="1"/>
  <c r="F123" i="7"/>
  <c r="M123" i="2" s="1"/>
  <c r="F124" i="7"/>
  <c r="M124" i="2" s="1"/>
  <c r="F125" i="7"/>
  <c r="M125" i="2" s="1"/>
  <c r="F126" i="7"/>
  <c r="M126" i="2" s="1"/>
  <c r="F127" i="7"/>
  <c r="M127" i="2" s="1"/>
  <c r="F128" i="7"/>
  <c r="M128" i="2" s="1"/>
  <c r="F129" i="7"/>
  <c r="M129" i="2" s="1"/>
  <c r="F130" i="7"/>
  <c r="M130" i="2" s="1"/>
  <c r="F131" i="7"/>
  <c r="M131" i="2" s="1"/>
  <c r="F132" i="7"/>
  <c r="M132" i="2" s="1"/>
  <c r="F133" i="7"/>
  <c r="M133" i="2" s="1"/>
  <c r="F134" i="7"/>
  <c r="M134" i="2" s="1"/>
  <c r="F135" i="7"/>
  <c r="M135" i="2" s="1"/>
  <c r="F136" i="7"/>
  <c r="M136" i="2" s="1"/>
  <c r="F137" i="7"/>
  <c r="M137" i="2" s="1"/>
  <c r="F138" i="7"/>
  <c r="M138" i="2" s="1"/>
  <c r="F139" i="7"/>
  <c r="M139" i="2" s="1"/>
  <c r="F140" i="7"/>
  <c r="M140" i="2" s="1"/>
  <c r="F141" i="7"/>
  <c r="M141" i="2" s="1"/>
  <c r="F142" i="7"/>
  <c r="M142" i="2" s="1"/>
  <c r="F143" i="7"/>
  <c r="M143" i="2" s="1"/>
  <c r="F144" i="7"/>
  <c r="M144" i="2" s="1"/>
  <c r="F145" i="7"/>
  <c r="M145" i="2" s="1"/>
  <c r="F146" i="7"/>
  <c r="M146" i="2" s="1"/>
  <c r="F147" i="7"/>
  <c r="M147" i="2" s="1"/>
  <c r="F148" i="7"/>
  <c r="M148" i="2" s="1"/>
  <c r="F149" i="7"/>
  <c r="M149" i="2" s="1"/>
  <c r="F150" i="7"/>
  <c r="M150" i="2" s="1"/>
  <c r="F151" i="7"/>
  <c r="M151" i="2" s="1"/>
  <c r="F152" i="7"/>
  <c r="M152" i="2" s="1"/>
  <c r="F153" i="7"/>
  <c r="M153" i="2" s="1"/>
  <c r="F154" i="7"/>
  <c r="M154" i="2" s="1"/>
  <c r="F155" i="7"/>
  <c r="M155" i="2" s="1"/>
  <c r="F156" i="7"/>
  <c r="M156" i="2" s="1"/>
  <c r="F157" i="7"/>
  <c r="M157" i="2" s="1"/>
  <c r="F158" i="7"/>
  <c r="M158" i="2" s="1"/>
  <c r="F159" i="7"/>
  <c r="M159" i="2" s="1"/>
  <c r="F160" i="7"/>
  <c r="M160" i="2" s="1"/>
  <c r="F161" i="7"/>
  <c r="M161" i="2" s="1"/>
  <c r="F162" i="7"/>
  <c r="M162" i="2" s="1"/>
  <c r="F163" i="7"/>
  <c r="M163" i="2" s="1"/>
  <c r="F164" i="7"/>
  <c r="M164" i="2" s="1"/>
  <c r="F165" i="7"/>
  <c r="M165" i="2" s="1"/>
  <c r="F166" i="7"/>
  <c r="M166" i="2" s="1"/>
  <c r="F167" i="7"/>
  <c r="M167" i="2" s="1"/>
  <c r="F168" i="7"/>
  <c r="M168" i="2" s="1"/>
  <c r="F169" i="7"/>
  <c r="M169" i="2" s="1"/>
  <c r="F170" i="7"/>
  <c r="M170" i="2" s="1"/>
  <c r="F171" i="7"/>
  <c r="M171" i="2" s="1"/>
  <c r="F172" i="7"/>
  <c r="M172" i="2" s="1"/>
  <c r="F173" i="7"/>
  <c r="M173" i="2" s="1"/>
  <c r="F174" i="7"/>
  <c r="M174" i="2" s="1"/>
  <c r="F175" i="7"/>
  <c r="M175" i="2" s="1"/>
  <c r="F176" i="7"/>
  <c r="M176" i="2" s="1"/>
  <c r="F177" i="7"/>
  <c r="M177" i="2" s="1"/>
  <c r="F178" i="7"/>
  <c r="M178" i="2" s="1"/>
  <c r="F179" i="7"/>
  <c r="M179" i="2" s="1"/>
  <c r="F180" i="7"/>
  <c r="M180" i="2" s="1"/>
  <c r="F181" i="7"/>
  <c r="M181" i="2" s="1"/>
  <c r="F182" i="7"/>
  <c r="M182" i="2" s="1"/>
  <c r="F183" i="7"/>
  <c r="M183" i="2" s="1"/>
  <c r="F184" i="7"/>
  <c r="M184" i="2" s="1"/>
  <c r="F185" i="7"/>
  <c r="M185" i="2" s="1"/>
  <c r="F186" i="7"/>
  <c r="M186" i="2" s="1"/>
  <c r="F187" i="7"/>
  <c r="M187" i="2" s="1"/>
  <c r="F188" i="7"/>
  <c r="M188" i="2" s="1"/>
  <c r="F189" i="7"/>
  <c r="M189" i="2" s="1"/>
  <c r="F190" i="7"/>
  <c r="M190" i="2" s="1"/>
  <c r="F191" i="7"/>
  <c r="M191" i="2" s="1"/>
  <c r="F192" i="7"/>
  <c r="M192" i="2" s="1"/>
  <c r="F193" i="7"/>
  <c r="M193" i="2" s="1"/>
  <c r="F194" i="7"/>
  <c r="M194" i="2" s="1"/>
  <c r="F195" i="7"/>
  <c r="M195" i="2" s="1"/>
  <c r="F196" i="7"/>
  <c r="M196" i="2" s="1"/>
  <c r="F197" i="7"/>
  <c r="M197" i="2" s="1"/>
  <c r="F198" i="7"/>
  <c r="M198" i="2" s="1"/>
  <c r="F199" i="7"/>
  <c r="M199" i="2" s="1"/>
  <c r="F200" i="7"/>
  <c r="M200" i="2" s="1"/>
  <c r="F201" i="7"/>
  <c r="M201" i="2" s="1"/>
  <c r="F202" i="7"/>
  <c r="M202" i="2" s="1"/>
  <c r="F203" i="7"/>
  <c r="M203" i="2" s="1"/>
  <c r="F204" i="7"/>
  <c r="M204" i="2" s="1"/>
  <c r="F205" i="7"/>
  <c r="M205" i="2" s="1"/>
  <c r="F206" i="7"/>
  <c r="M206" i="2" s="1"/>
  <c r="F207" i="7"/>
  <c r="M207" i="2" s="1"/>
  <c r="F208" i="7"/>
  <c r="M208" i="2" s="1"/>
  <c r="F209" i="7"/>
  <c r="M209" i="2" s="1"/>
  <c r="F210" i="7"/>
  <c r="M210" i="2" s="1"/>
  <c r="F211" i="7"/>
  <c r="M211" i="2" s="1"/>
  <c r="F212" i="7"/>
  <c r="M212" i="2" s="1"/>
  <c r="F213" i="7"/>
  <c r="M213" i="2" s="1"/>
  <c r="F214" i="7"/>
  <c r="M214" i="2" s="1"/>
  <c r="F215" i="7"/>
  <c r="M215" i="2" s="1"/>
  <c r="F216" i="7"/>
  <c r="M216" i="2" s="1"/>
  <c r="F217" i="7"/>
  <c r="M217" i="2" s="1"/>
  <c r="F218" i="7"/>
  <c r="M218" i="2" s="1"/>
  <c r="F219" i="7"/>
  <c r="M219" i="2" s="1"/>
  <c r="F220" i="7"/>
  <c r="M220" i="2" s="1"/>
  <c r="F221" i="7"/>
  <c r="M221" i="2" s="1"/>
  <c r="F222" i="7"/>
  <c r="M222" i="2" s="1"/>
  <c r="F223" i="7"/>
  <c r="M223" i="2" s="1"/>
  <c r="F224" i="7"/>
  <c r="M224" i="2" s="1"/>
  <c r="F225" i="7"/>
  <c r="M225" i="2" s="1"/>
  <c r="F226" i="7"/>
  <c r="M226" i="2" s="1"/>
  <c r="F227" i="7"/>
  <c r="M227" i="2" s="1"/>
  <c r="F228" i="7"/>
  <c r="M228" i="2" s="1"/>
  <c r="F229" i="7"/>
  <c r="M229" i="2" s="1"/>
  <c r="F230" i="7"/>
  <c r="M230" i="2" s="1"/>
  <c r="F231" i="7"/>
  <c r="M231" i="2" s="1"/>
  <c r="F232" i="7"/>
  <c r="M232" i="2" s="1"/>
  <c r="F233" i="7"/>
  <c r="M233" i="2" s="1"/>
  <c r="F234" i="7"/>
  <c r="M234" i="2" s="1"/>
  <c r="F235" i="7"/>
  <c r="M235" i="2" s="1"/>
  <c r="F236" i="7"/>
  <c r="M236" i="2" s="1"/>
  <c r="F237" i="7"/>
  <c r="M237" i="2" s="1"/>
  <c r="F238" i="7"/>
  <c r="M238" i="2" s="1"/>
  <c r="F239" i="7"/>
  <c r="M239" i="2" s="1"/>
  <c r="F240" i="7"/>
  <c r="M240" i="2" s="1"/>
  <c r="F241" i="7"/>
  <c r="M241" i="2" s="1"/>
  <c r="F242" i="7"/>
  <c r="M242" i="2" s="1"/>
  <c r="F243" i="7"/>
  <c r="M243" i="2" s="1"/>
  <c r="F244" i="7"/>
  <c r="M244" i="2" s="1"/>
  <c r="F245" i="7"/>
  <c r="M245" i="2" s="1"/>
  <c r="F246" i="7"/>
  <c r="M246" i="2" s="1"/>
  <c r="F247" i="7"/>
  <c r="M247" i="2" s="1"/>
  <c r="F248" i="7"/>
  <c r="M248" i="2" s="1"/>
  <c r="F249" i="7"/>
  <c r="M249" i="2" s="1"/>
  <c r="F250" i="7"/>
  <c r="M250" i="2" s="1"/>
  <c r="F251" i="7"/>
  <c r="M251" i="2" s="1"/>
  <c r="F252" i="7"/>
  <c r="M252" i="2" s="1"/>
  <c r="F253" i="7"/>
  <c r="M253" i="2" s="1"/>
  <c r="F254" i="7"/>
  <c r="M254" i="2" s="1"/>
  <c r="F255" i="7"/>
  <c r="M255" i="2" s="1"/>
  <c r="F256" i="7"/>
  <c r="M256" i="2" s="1"/>
  <c r="F257" i="7"/>
  <c r="M257" i="2" s="1"/>
  <c r="F258" i="7"/>
  <c r="M258" i="2" s="1"/>
  <c r="F259" i="7"/>
  <c r="M259" i="2" s="1"/>
  <c r="F260" i="7"/>
  <c r="M260" i="2" s="1"/>
  <c r="F261" i="7"/>
  <c r="M261" i="2" s="1"/>
  <c r="F262" i="7"/>
  <c r="M262" i="2" s="1"/>
  <c r="F263" i="7"/>
  <c r="M263" i="2" s="1"/>
  <c r="F264" i="7"/>
  <c r="M264" i="2" s="1"/>
  <c r="F265" i="7"/>
  <c r="M265" i="2" s="1"/>
  <c r="F266" i="7"/>
  <c r="M266" i="2" s="1"/>
  <c r="F267" i="7"/>
  <c r="M267" i="2" s="1"/>
  <c r="F268" i="7"/>
  <c r="M268" i="2" s="1"/>
  <c r="F269" i="7"/>
  <c r="M269" i="2" s="1"/>
  <c r="F270" i="7"/>
  <c r="M270" i="2" s="1"/>
  <c r="F271" i="7"/>
  <c r="M271" i="2" s="1"/>
  <c r="F272" i="7"/>
  <c r="M272" i="2" s="1"/>
  <c r="F273" i="7"/>
  <c r="M273" i="2" s="1"/>
  <c r="F274" i="7"/>
  <c r="M274" i="2" s="1"/>
  <c r="F275" i="7"/>
  <c r="M275" i="2" s="1"/>
  <c r="F276" i="7"/>
  <c r="M276" i="2" s="1"/>
  <c r="F277" i="7"/>
  <c r="M277" i="2" s="1"/>
  <c r="F278" i="7"/>
  <c r="M278" i="2" s="1"/>
  <c r="F279" i="7"/>
  <c r="M279" i="2" s="1"/>
  <c r="F280" i="7"/>
  <c r="M280" i="2" s="1"/>
  <c r="F281" i="7"/>
  <c r="M281" i="2" s="1"/>
  <c r="F282" i="7"/>
  <c r="M282" i="2" s="1"/>
  <c r="F283" i="7"/>
  <c r="M283" i="2" s="1"/>
  <c r="F284" i="7"/>
  <c r="M284" i="2" s="1"/>
  <c r="F285" i="7"/>
  <c r="M285" i="2" s="1"/>
  <c r="F286" i="7"/>
  <c r="M286" i="2" s="1"/>
  <c r="F287" i="7"/>
  <c r="M287" i="2" s="1"/>
  <c r="F288" i="7"/>
  <c r="M288" i="2" s="1"/>
  <c r="F289" i="7"/>
  <c r="M289" i="2" s="1"/>
  <c r="F290" i="7"/>
  <c r="M290" i="2" s="1"/>
  <c r="F291" i="7"/>
  <c r="M291" i="2" s="1"/>
  <c r="F292" i="7"/>
  <c r="M292" i="2" s="1"/>
  <c r="F293" i="7"/>
  <c r="M293" i="2" s="1"/>
  <c r="F294" i="7"/>
  <c r="M294" i="2" s="1"/>
  <c r="F295" i="7"/>
  <c r="M295" i="2" s="1"/>
  <c r="F296" i="7"/>
  <c r="M296" i="2" s="1"/>
  <c r="F297" i="7"/>
  <c r="M297" i="2" s="1"/>
  <c r="F298" i="7"/>
  <c r="M298" i="2" s="1"/>
  <c r="F299" i="7"/>
  <c r="M299" i="2" s="1"/>
  <c r="F300" i="7"/>
  <c r="M300" i="2" s="1"/>
  <c r="F301" i="7"/>
  <c r="M301" i="2" s="1"/>
  <c r="F302" i="7"/>
  <c r="M302" i="2" s="1"/>
  <c r="F303" i="7"/>
  <c r="M303" i="2" s="1"/>
  <c r="F304" i="7"/>
  <c r="M304" i="2" s="1"/>
  <c r="F305" i="7"/>
  <c r="M305" i="2" s="1"/>
  <c r="F306" i="7"/>
  <c r="M306" i="2" s="1"/>
  <c r="F307" i="7"/>
  <c r="M307" i="2" s="1"/>
  <c r="F308" i="7"/>
  <c r="M308" i="2" s="1"/>
  <c r="F309" i="7"/>
  <c r="M309" i="2" s="1"/>
  <c r="F310" i="7"/>
  <c r="M310" i="2" s="1"/>
  <c r="F311" i="7"/>
  <c r="M311" i="2" s="1"/>
  <c r="F312" i="7"/>
  <c r="M312" i="2" s="1"/>
  <c r="F313" i="7"/>
  <c r="M313" i="2" s="1"/>
  <c r="F314" i="7"/>
  <c r="M314" i="2" s="1"/>
  <c r="F315" i="7"/>
  <c r="M315" i="2" s="1"/>
  <c r="F316" i="7"/>
  <c r="M316" i="2" s="1"/>
  <c r="F317" i="7"/>
  <c r="M317" i="2" s="1"/>
  <c r="F318" i="7"/>
  <c r="M318" i="2" s="1"/>
  <c r="F319" i="7"/>
  <c r="M319" i="2" s="1"/>
  <c r="F320" i="7"/>
  <c r="M320" i="2" s="1"/>
  <c r="F321" i="7"/>
  <c r="M321" i="2" s="1"/>
  <c r="F322" i="7"/>
  <c r="M322" i="2" s="1"/>
  <c r="F323" i="7"/>
  <c r="M323" i="2" s="1"/>
  <c r="F324" i="7"/>
  <c r="M324" i="2" s="1"/>
  <c r="F325" i="7"/>
  <c r="M325" i="2" s="1"/>
  <c r="F326" i="7"/>
  <c r="M326" i="2" s="1"/>
  <c r="F327" i="7"/>
  <c r="M327" i="2" s="1"/>
  <c r="F328" i="7"/>
  <c r="M328" i="2" s="1"/>
  <c r="F329" i="7"/>
  <c r="M329" i="2" s="1"/>
  <c r="F330" i="7"/>
  <c r="M330" i="2" s="1"/>
  <c r="F331" i="7"/>
  <c r="M331" i="2" s="1"/>
  <c r="F332" i="7"/>
  <c r="M332" i="2" s="1"/>
  <c r="F333" i="7"/>
  <c r="M333" i="2" s="1"/>
  <c r="F334" i="7"/>
  <c r="M334" i="2" s="1"/>
  <c r="F335" i="7"/>
  <c r="M335" i="2" s="1"/>
  <c r="F336" i="7"/>
  <c r="M336" i="2" s="1"/>
  <c r="F337" i="7"/>
  <c r="M337" i="2" s="1"/>
  <c r="F338" i="7"/>
  <c r="M338" i="2" s="1"/>
  <c r="F339" i="7"/>
  <c r="M339" i="2" s="1"/>
  <c r="F340" i="7"/>
  <c r="M340" i="2" s="1"/>
  <c r="F341" i="7"/>
  <c r="M341" i="2" s="1"/>
  <c r="F342" i="7"/>
  <c r="M342" i="2" s="1"/>
  <c r="F343" i="7"/>
  <c r="M343" i="2" s="1"/>
  <c r="F344" i="7"/>
  <c r="M344" i="2" s="1"/>
  <c r="F345" i="7"/>
  <c r="M345" i="2" s="1"/>
  <c r="F346" i="7"/>
  <c r="M346" i="2" s="1"/>
  <c r="F347" i="7"/>
  <c r="M347" i="2" s="1"/>
  <c r="F348" i="7"/>
  <c r="M348" i="2" s="1"/>
  <c r="F349" i="7"/>
  <c r="M349" i="2" s="1"/>
  <c r="F350" i="7"/>
  <c r="M350" i="2" s="1"/>
  <c r="F351" i="7"/>
  <c r="M351" i="2" s="1"/>
  <c r="F352" i="7"/>
  <c r="M352" i="2" s="1"/>
  <c r="F353" i="7"/>
  <c r="M353" i="2" s="1"/>
  <c r="F354" i="7"/>
  <c r="M354" i="2" s="1"/>
  <c r="F355" i="7"/>
  <c r="M355" i="2" s="1"/>
  <c r="F356" i="7"/>
  <c r="M356" i="2" s="1"/>
  <c r="F357" i="7"/>
  <c r="M357" i="2" s="1"/>
  <c r="F358" i="7"/>
  <c r="M358" i="2" s="1"/>
  <c r="F359" i="7"/>
  <c r="M359" i="2" s="1"/>
  <c r="F360" i="7"/>
  <c r="M360" i="2" s="1"/>
  <c r="F361" i="7"/>
  <c r="M361" i="2" s="1"/>
  <c r="F362" i="7"/>
  <c r="M362" i="2" s="1"/>
  <c r="F363" i="7"/>
  <c r="M363" i="2" s="1"/>
  <c r="F364" i="7"/>
  <c r="M364" i="2" s="1"/>
  <c r="F365" i="7"/>
  <c r="M365" i="2" s="1"/>
  <c r="F366" i="7"/>
  <c r="M366" i="2" s="1"/>
  <c r="F367" i="7"/>
  <c r="M367" i="2" s="1"/>
  <c r="F368" i="7"/>
  <c r="M368" i="2" s="1"/>
  <c r="F369" i="7"/>
  <c r="M369" i="2" s="1"/>
  <c r="F370" i="7"/>
  <c r="M370" i="2" s="1"/>
  <c r="F371" i="7"/>
  <c r="M371" i="2" s="1"/>
  <c r="F372" i="7"/>
  <c r="M372" i="2" s="1"/>
  <c r="F373" i="7"/>
  <c r="M373" i="2" s="1"/>
  <c r="F374" i="7"/>
  <c r="M374" i="2" s="1"/>
  <c r="F375" i="7"/>
  <c r="M375" i="2" s="1"/>
  <c r="F376" i="7"/>
  <c r="M376" i="2" s="1"/>
  <c r="F377" i="7"/>
  <c r="M377" i="2" s="1"/>
  <c r="F378" i="7"/>
  <c r="M378" i="2" s="1"/>
  <c r="F379" i="7"/>
  <c r="M379" i="2" s="1"/>
  <c r="F380" i="7"/>
  <c r="M380" i="2" s="1"/>
  <c r="F381" i="7"/>
  <c r="M381" i="2" s="1"/>
  <c r="F382" i="7"/>
  <c r="M382" i="2" s="1"/>
  <c r="F383" i="7"/>
  <c r="M383" i="2" s="1"/>
  <c r="F384" i="7"/>
  <c r="M384" i="2" s="1"/>
  <c r="F385" i="7"/>
  <c r="M385" i="2" s="1"/>
  <c r="F386" i="7"/>
  <c r="M386" i="2" s="1"/>
  <c r="F387" i="7"/>
  <c r="M387" i="2" s="1"/>
  <c r="F388" i="7"/>
  <c r="M388" i="2" s="1"/>
  <c r="F389" i="7"/>
  <c r="M389" i="2" s="1"/>
  <c r="F390" i="7"/>
  <c r="M390" i="2" s="1"/>
  <c r="F391" i="7"/>
  <c r="M391" i="2" s="1"/>
  <c r="F392" i="7"/>
  <c r="M392" i="2" s="1"/>
  <c r="F393" i="7"/>
  <c r="M393" i="2" s="1"/>
  <c r="F394" i="7"/>
  <c r="M394" i="2" s="1"/>
  <c r="F395" i="7"/>
  <c r="M395" i="2" s="1"/>
  <c r="F396" i="7"/>
  <c r="M396" i="2" s="1"/>
  <c r="F397" i="7"/>
  <c r="M397" i="2" s="1"/>
  <c r="F398" i="7"/>
  <c r="M398" i="2" s="1"/>
  <c r="F399" i="7"/>
  <c r="M399" i="2" s="1"/>
  <c r="F400" i="7"/>
  <c r="M400" i="2" s="1"/>
  <c r="F401" i="7"/>
  <c r="M401" i="2" s="1"/>
  <c r="F402" i="7"/>
  <c r="M402" i="2" s="1"/>
  <c r="F403" i="7"/>
  <c r="M403" i="2" s="1"/>
  <c r="F404" i="7"/>
  <c r="M404" i="2" s="1"/>
  <c r="F405" i="7"/>
  <c r="M405" i="2" s="1"/>
  <c r="F406" i="7"/>
  <c r="M406" i="2" s="1"/>
  <c r="F407" i="7"/>
  <c r="M407" i="2" s="1"/>
  <c r="F408" i="7"/>
  <c r="M408" i="2" s="1"/>
  <c r="F409" i="7"/>
  <c r="M409" i="2" s="1"/>
  <c r="F410" i="7"/>
  <c r="M410" i="2" s="1"/>
  <c r="F411" i="7"/>
  <c r="M411" i="2" s="1"/>
  <c r="F412" i="7"/>
  <c r="M412" i="2" s="1"/>
  <c r="F413" i="7"/>
  <c r="M413" i="2" s="1"/>
  <c r="F414" i="7"/>
  <c r="M414" i="2" s="1"/>
  <c r="F415" i="7"/>
  <c r="M415" i="2" s="1"/>
  <c r="F416" i="7"/>
  <c r="M416" i="2" s="1"/>
  <c r="F417" i="7"/>
  <c r="M417" i="2" s="1"/>
  <c r="F418" i="7"/>
  <c r="M418" i="2" s="1"/>
  <c r="F419" i="7"/>
  <c r="M419" i="2" s="1"/>
  <c r="F420" i="7"/>
  <c r="M420" i="2" s="1"/>
  <c r="F421" i="7"/>
  <c r="M421" i="2" s="1"/>
  <c r="F422" i="7"/>
  <c r="M422" i="2" s="1"/>
  <c r="F423" i="7"/>
  <c r="M423" i="2" s="1"/>
  <c r="F424" i="7"/>
  <c r="M424" i="2" s="1"/>
  <c r="F425" i="7"/>
  <c r="M425" i="2" s="1"/>
  <c r="F426" i="7"/>
  <c r="M426" i="2" s="1"/>
  <c r="F427" i="7"/>
  <c r="M427" i="2" s="1"/>
  <c r="F428" i="7"/>
  <c r="M428" i="2" s="1"/>
  <c r="F429" i="7"/>
  <c r="M429" i="2" s="1"/>
  <c r="F430" i="7"/>
  <c r="M430" i="2" s="1"/>
  <c r="F431" i="7"/>
  <c r="M431" i="2" s="1"/>
  <c r="F432" i="7"/>
  <c r="M432" i="2" s="1"/>
  <c r="F433" i="7"/>
  <c r="M433" i="2" s="1"/>
  <c r="F434" i="7"/>
  <c r="M434" i="2" s="1"/>
  <c r="F435" i="7"/>
  <c r="M435" i="2" s="1"/>
  <c r="F436" i="7"/>
  <c r="M436" i="2" s="1"/>
  <c r="F437" i="7"/>
  <c r="M437" i="2" s="1"/>
  <c r="F438" i="7"/>
  <c r="M438" i="2" s="1"/>
  <c r="F439" i="7"/>
  <c r="M439" i="2" s="1"/>
  <c r="F440" i="7"/>
  <c r="M440" i="2" s="1"/>
  <c r="F441" i="7"/>
  <c r="M441" i="2" s="1"/>
  <c r="F442" i="7"/>
  <c r="M442" i="2" s="1"/>
  <c r="F443" i="7"/>
  <c r="M443" i="2" s="1"/>
  <c r="F444" i="7"/>
  <c r="M444" i="2" s="1"/>
  <c r="F445" i="7"/>
  <c r="M445" i="2" s="1"/>
  <c r="F446" i="7"/>
  <c r="M446" i="2" s="1"/>
  <c r="F447" i="7"/>
  <c r="M447" i="2" s="1"/>
  <c r="F448" i="7"/>
  <c r="M448" i="2" s="1"/>
  <c r="F449" i="7"/>
  <c r="M449" i="2" s="1"/>
  <c r="F450" i="7"/>
  <c r="M450" i="2" s="1"/>
  <c r="F451" i="7"/>
  <c r="M451" i="2" s="1"/>
  <c r="F452" i="7"/>
  <c r="M452" i="2" s="1"/>
  <c r="F453" i="7"/>
  <c r="M453" i="2" s="1"/>
  <c r="F454" i="7"/>
  <c r="M454" i="2" s="1"/>
  <c r="F455" i="7"/>
  <c r="M455" i="2" s="1"/>
  <c r="F456" i="7"/>
  <c r="M456" i="2" s="1"/>
  <c r="F457" i="7"/>
  <c r="M457" i="2" s="1"/>
  <c r="F458" i="7"/>
  <c r="M458" i="2" s="1"/>
  <c r="F459" i="7"/>
  <c r="M459" i="2" s="1"/>
  <c r="F460" i="7"/>
  <c r="M460" i="2" s="1"/>
  <c r="F461" i="7"/>
  <c r="M461" i="2" s="1"/>
  <c r="F462" i="7"/>
  <c r="M462" i="2" s="1"/>
  <c r="F463" i="7"/>
  <c r="M463" i="2" s="1"/>
  <c r="F2" i="7"/>
  <c r="G13" i="1" l="1"/>
  <c r="D15" i="2" l="1"/>
  <c r="D270" i="2" l="1"/>
  <c r="D219" i="2"/>
  <c r="D168" i="2"/>
  <c r="D117" i="2"/>
  <c r="D66" i="2"/>
  <c r="E10" i="2"/>
  <c r="E8" i="2"/>
  <c r="F5" i="1"/>
  <c r="G17" i="1" l="1"/>
  <c r="AC199" i="1"/>
  <c r="AC187" i="1"/>
  <c r="AC162" i="1"/>
  <c r="AC150" i="1"/>
  <c r="AC125" i="1"/>
  <c r="AC113" i="1"/>
  <c r="AC88" i="1"/>
  <c r="E273" i="2"/>
  <c r="AC198" i="1" s="1"/>
  <c r="E222" i="2"/>
  <c r="AC161" i="1" s="1"/>
  <c r="E171" i="2"/>
  <c r="AC124" i="1" s="1"/>
  <c r="E120" i="2"/>
  <c r="AC87" i="1" s="1"/>
  <c r="E18" i="2"/>
  <c r="AC13" i="1" s="1"/>
  <c r="E69" i="2"/>
  <c r="AC50" i="1" s="1"/>
  <c r="AC76" i="1"/>
  <c r="AC39" i="1"/>
  <c r="AC51" i="1"/>
  <c r="E306" i="2"/>
  <c r="E307" i="2" s="1"/>
  <c r="AC223" i="1" s="1"/>
  <c r="E304" i="2"/>
  <c r="E305" i="2" s="1"/>
  <c r="AC222" i="1" s="1"/>
  <c r="E302" i="2"/>
  <c r="E303" i="2" s="1"/>
  <c r="AC221" i="1" s="1"/>
  <c r="E300" i="2"/>
  <c r="E301" i="2" s="1"/>
  <c r="AC220" i="1" s="1"/>
  <c r="E298" i="2"/>
  <c r="E299" i="2" s="1"/>
  <c r="AC219" i="1" s="1"/>
  <c r="E296" i="2"/>
  <c r="E297" i="2" s="1"/>
  <c r="AC218" i="1" s="1"/>
  <c r="E294" i="2"/>
  <c r="E295" i="2" s="1"/>
  <c r="AC217" i="1" s="1"/>
  <c r="E293" i="2"/>
  <c r="AC216" i="1" s="1"/>
  <c r="E292" i="2"/>
  <c r="AC215" i="1" s="1"/>
  <c r="E291" i="2"/>
  <c r="AC214" i="1" s="1"/>
  <c r="E290" i="2"/>
  <c r="AC213" i="1" s="1"/>
  <c r="E289" i="2"/>
  <c r="AC212" i="1" s="1"/>
  <c r="E288" i="2"/>
  <c r="AC211" i="1" s="1"/>
  <c r="E287" i="2"/>
  <c r="AC210" i="1" s="1"/>
  <c r="E286" i="2"/>
  <c r="AC209" i="1" s="1"/>
  <c r="E285" i="2"/>
  <c r="AC208" i="1" s="1"/>
  <c r="E284" i="2"/>
  <c r="AC207" i="1" s="1"/>
  <c r="E283" i="2"/>
  <c r="AC206" i="1" s="1"/>
  <c r="E282" i="2"/>
  <c r="AC205" i="1" s="1"/>
  <c r="E281" i="2"/>
  <c r="AC204" i="1" s="1"/>
  <c r="E280" i="2"/>
  <c r="AC203" i="1" s="1"/>
  <c r="E279" i="2"/>
  <c r="AC202" i="1" s="1"/>
  <c r="E278" i="2"/>
  <c r="AC201" i="1" s="1"/>
  <c r="E277" i="2"/>
  <c r="AC200" i="1" s="1"/>
  <c r="E272" i="2"/>
  <c r="AC197" i="1" s="1"/>
  <c r="E270" i="2"/>
  <c r="AC196" i="1" s="1"/>
  <c r="E269" i="2"/>
  <c r="AC195" i="1" s="1"/>
  <c r="E268" i="2"/>
  <c r="AC194" i="1" s="1"/>
  <c r="E267" i="2"/>
  <c r="AC193" i="1" s="1"/>
  <c r="E265" i="2"/>
  <c r="AC192" i="1" s="1"/>
  <c r="E263" i="2"/>
  <c r="AC191" i="1" s="1"/>
  <c r="E262" i="2"/>
  <c r="AC190" i="1" s="1"/>
  <c r="E261" i="2"/>
  <c r="AC189" i="1" s="1"/>
  <c r="E260" i="2"/>
  <c r="AC188" i="1" s="1"/>
  <c r="E255" i="2"/>
  <c r="E256" i="2" s="1"/>
  <c r="AC186" i="1" s="1"/>
  <c r="E253" i="2"/>
  <c r="E254" i="2" s="1"/>
  <c r="AC185" i="1" s="1"/>
  <c r="E251" i="2"/>
  <c r="E252" i="2" s="1"/>
  <c r="AC184" i="1" s="1"/>
  <c r="E249" i="2"/>
  <c r="E250" i="2" s="1"/>
  <c r="AC183" i="1" s="1"/>
  <c r="E247" i="2"/>
  <c r="E248" i="2" s="1"/>
  <c r="AC182" i="1" s="1"/>
  <c r="E245" i="2"/>
  <c r="E246" i="2" s="1"/>
  <c r="AC181" i="1" s="1"/>
  <c r="E243" i="2"/>
  <c r="E244" i="2" s="1"/>
  <c r="AC180" i="1" s="1"/>
  <c r="E242" i="2"/>
  <c r="AC179" i="1" s="1"/>
  <c r="E241" i="2"/>
  <c r="AC178" i="1" s="1"/>
  <c r="E240" i="2"/>
  <c r="AC177" i="1" s="1"/>
  <c r="E239" i="2"/>
  <c r="AC176" i="1" s="1"/>
  <c r="E238" i="2"/>
  <c r="AC175" i="1" s="1"/>
  <c r="E237" i="2"/>
  <c r="AC174" i="1" s="1"/>
  <c r="E236" i="2"/>
  <c r="AC173" i="1" s="1"/>
  <c r="E235" i="2"/>
  <c r="AC172" i="1" s="1"/>
  <c r="E234" i="2"/>
  <c r="AC171" i="1" s="1"/>
  <c r="E233" i="2"/>
  <c r="AC170" i="1" s="1"/>
  <c r="E232" i="2"/>
  <c r="AC169" i="1" s="1"/>
  <c r="E231" i="2"/>
  <c r="AC168" i="1" s="1"/>
  <c r="E230" i="2"/>
  <c r="AC167" i="1" s="1"/>
  <c r="E229" i="2"/>
  <c r="AC166" i="1" s="1"/>
  <c r="E228" i="2"/>
  <c r="AC165" i="1" s="1"/>
  <c r="E227" i="2"/>
  <c r="AC164" i="1" s="1"/>
  <c r="E226" i="2"/>
  <c r="AC163" i="1" s="1"/>
  <c r="E221" i="2"/>
  <c r="AC160" i="1" s="1"/>
  <c r="E219" i="2"/>
  <c r="AC159" i="1" s="1"/>
  <c r="E218" i="2"/>
  <c r="AC158" i="1" s="1"/>
  <c r="E217" i="2"/>
  <c r="AC157" i="1" s="1"/>
  <c r="E216" i="2"/>
  <c r="AC156" i="1" s="1"/>
  <c r="E214" i="2"/>
  <c r="AC155" i="1" s="1"/>
  <c r="E212" i="2"/>
  <c r="AC154" i="1" s="1"/>
  <c r="E211" i="2"/>
  <c r="AC153" i="1" s="1"/>
  <c r="E210" i="2"/>
  <c r="AC152" i="1" s="1"/>
  <c r="E209" i="2"/>
  <c r="AC151" i="1" s="1"/>
  <c r="E204" i="2"/>
  <c r="E205" i="2" s="1"/>
  <c r="AC149" i="1" s="1"/>
  <c r="E202" i="2"/>
  <c r="E203" i="2" s="1"/>
  <c r="AC148" i="1" s="1"/>
  <c r="E200" i="2"/>
  <c r="E201" i="2" s="1"/>
  <c r="AC147" i="1" s="1"/>
  <c r="E198" i="2"/>
  <c r="E199" i="2" s="1"/>
  <c r="AC146" i="1" s="1"/>
  <c r="E196" i="2"/>
  <c r="E197" i="2" s="1"/>
  <c r="AC145" i="1" s="1"/>
  <c r="E194" i="2"/>
  <c r="E195" i="2" s="1"/>
  <c r="AC144" i="1" s="1"/>
  <c r="E192" i="2"/>
  <c r="E193" i="2" s="1"/>
  <c r="AC143" i="1" s="1"/>
  <c r="E191" i="2"/>
  <c r="AC142" i="1" s="1"/>
  <c r="E190" i="2"/>
  <c r="AC141" i="1" s="1"/>
  <c r="E189" i="2"/>
  <c r="AC140" i="1" s="1"/>
  <c r="E188" i="2"/>
  <c r="AC139" i="1" s="1"/>
  <c r="E187" i="2"/>
  <c r="AC138" i="1" s="1"/>
  <c r="E186" i="2"/>
  <c r="AC137" i="1" s="1"/>
  <c r="E185" i="2"/>
  <c r="AC136" i="1" s="1"/>
  <c r="E184" i="2"/>
  <c r="AC135" i="1" s="1"/>
  <c r="E183" i="2"/>
  <c r="AC134" i="1" s="1"/>
  <c r="E182" i="2"/>
  <c r="AC133" i="1" s="1"/>
  <c r="E181" i="2"/>
  <c r="AC132" i="1" s="1"/>
  <c r="E180" i="2"/>
  <c r="AC131" i="1" s="1"/>
  <c r="E179" i="2"/>
  <c r="AC130" i="1" s="1"/>
  <c r="E178" i="2"/>
  <c r="AC129" i="1" s="1"/>
  <c r="E177" i="2"/>
  <c r="AC128" i="1" s="1"/>
  <c r="E176" i="2"/>
  <c r="AC127" i="1" s="1"/>
  <c r="E175" i="2"/>
  <c r="AC126" i="1" s="1"/>
  <c r="E170" i="2"/>
  <c r="AC123" i="1" s="1"/>
  <c r="E168" i="2"/>
  <c r="AC122" i="1" s="1"/>
  <c r="E167" i="2"/>
  <c r="AC121" i="1" s="1"/>
  <c r="E166" i="2"/>
  <c r="AC120" i="1" s="1"/>
  <c r="E165" i="2"/>
  <c r="AC119" i="1" s="1"/>
  <c r="E163" i="2"/>
  <c r="AC118" i="1" s="1"/>
  <c r="E161" i="2"/>
  <c r="AC117" i="1" s="1"/>
  <c r="E160" i="2"/>
  <c r="AC116" i="1" s="1"/>
  <c r="E159" i="2"/>
  <c r="AC115" i="1" s="1"/>
  <c r="E158" i="2"/>
  <c r="AC114" i="1" s="1"/>
  <c r="E153" i="2"/>
  <c r="E154" i="2" s="1"/>
  <c r="AC112" i="1" s="1"/>
  <c r="E151" i="2"/>
  <c r="E152" i="2" s="1"/>
  <c r="AC111" i="1" s="1"/>
  <c r="E149" i="2"/>
  <c r="E150" i="2" s="1"/>
  <c r="AC110" i="1" s="1"/>
  <c r="E147" i="2"/>
  <c r="E148" i="2" s="1"/>
  <c r="AC109" i="1" s="1"/>
  <c r="E145" i="2"/>
  <c r="E146" i="2" s="1"/>
  <c r="AC108" i="1" s="1"/>
  <c r="E143" i="2"/>
  <c r="E144" i="2" s="1"/>
  <c r="AC107" i="1" s="1"/>
  <c r="E141" i="2"/>
  <c r="E142" i="2" s="1"/>
  <c r="AC106" i="1" s="1"/>
  <c r="E140" i="2"/>
  <c r="AC105" i="1" s="1"/>
  <c r="E139" i="2"/>
  <c r="AC104" i="1" s="1"/>
  <c r="E138" i="2"/>
  <c r="AC103" i="1" s="1"/>
  <c r="E137" i="2"/>
  <c r="AC102" i="1" s="1"/>
  <c r="E136" i="2"/>
  <c r="AC101" i="1" s="1"/>
  <c r="E135" i="2"/>
  <c r="AC100" i="1" s="1"/>
  <c r="E134" i="2"/>
  <c r="AC99" i="1" s="1"/>
  <c r="E133" i="2"/>
  <c r="AC98" i="1" s="1"/>
  <c r="E132" i="2"/>
  <c r="AC97" i="1" s="1"/>
  <c r="E131" i="2"/>
  <c r="AC96" i="1" s="1"/>
  <c r="E130" i="2"/>
  <c r="AC95" i="1" s="1"/>
  <c r="E129" i="2"/>
  <c r="AC94" i="1" s="1"/>
  <c r="E128" i="2"/>
  <c r="AC93" i="1" s="1"/>
  <c r="E127" i="2"/>
  <c r="AC92" i="1" s="1"/>
  <c r="E126" i="2"/>
  <c r="AC91" i="1" s="1"/>
  <c r="E125" i="2"/>
  <c r="AC90" i="1" s="1"/>
  <c r="E124" i="2"/>
  <c r="AC89" i="1" s="1"/>
  <c r="E119" i="2"/>
  <c r="AC86" i="1" s="1"/>
  <c r="E117" i="2"/>
  <c r="AC85" i="1" s="1"/>
  <c r="E116" i="2"/>
  <c r="AC84" i="1" s="1"/>
  <c r="E115" i="2"/>
  <c r="AC83" i="1" s="1"/>
  <c r="E114" i="2"/>
  <c r="AC82" i="1" s="1"/>
  <c r="E112" i="2"/>
  <c r="AC81" i="1" s="1"/>
  <c r="E110" i="2"/>
  <c r="AC80" i="1" s="1"/>
  <c r="E109" i="2"/>
  <c r="AC79" i="1" s="1"/>
  <c r="E108" i="2"/>
  <c r="AC78" i="1" s="1"/>
  <c r="E107" i="2"/>
  <c r="AC77" i="1" s="1"/>
  <c r="E102" i="2"/>
  <c r="E103" i="2" s="1"/>
  <c r="AC75" i="1" s="1"/>
  <c r="E100" i="2"/>
  <c r="E101" i="2" s="1"/>
  <c r="AC74" i="1" s="1"/>
  <c r="E98" i="2"/>
  <c r="E99" i="2" s="1"/>
  <c r="AC73" i="1" s="1"/>
  <c r="E96" i="2"/>
  <c r="E97" i="2" s="1"/>
  <c r="AC72" i="1" s="1"/>
  <c r="E94" i="2"/>
  <c r="E95" i="2" s="1"/>
  <c r="AC71" i="1" s="1"/>
  <c r="E92" i="2"/>
  <c r="E93" i="2" s="1"/>
  <c r="AC70" i="1" s="1"/>
  <c r="E90" i="2"/>
  <c r="E91" i="2" s="1"/>
  <c r="AC69" i="1" s="1"/>
  <c r="E89" i="2"/>
  <c r="AC68" i="1" s="1"/>
  <c r="E88" i="2"/>
  <c r="AC67" i="1" s="1"/>
  <c r="E87" i="2"/>
  <c r="AC66" i="1" s="1"/>
  <c r="E86" i="2"/>
  <c r="AC65" i="1" s="1"/>
  <c r="E85" i="2"/>
  <c r="AC64" i="1" s="1"/>
  <c r="E84" i="2"/>
  <c r="AC63" i="1" s="1"/>
  <c r="E83" i="2"/>
  <c r="AC62" i="1" s="1"/>
  <c r="E82" i="2"/>
  <c r="AC61" i="1" s="1"/>
  <c r="E81" i="2"/>
  <c r="AC60" i="1" s="1"/>
  <c r="E80" i="2"/>
  <c r="AC59" i="1" s="1"/>
  <c r="E79" i="2"/>
  <c r="AC58" i="1" s="1"/>
  <c r="E78" i="2"/>
  <c r="AC57" i="1" s="1"/>
  <c r="E77" i="2"/>
  <c r="AC56" i="1" s="1"/>
  <c r="E76" i="2"/>
  <c r="AC55" i="1" s="1"/>
  <c r="E75" i="2"/>
  <c r="AC54" i="1" s="1"/>
  <c r="E74" i="2"/>
  <c r="AC53" i="1" s="1"/>
  <c r="E73" i="2"/>
  <c r="AC52" i="1" s="1"/>
  <c r="E68" i="2"/>
  <c r="AC49" i="1" s="1"/>
  <c r="E66" i="2"/>
  <c r="AC48" i="1" s="1"/>
  <c r="E65" i="2"/>
  <c r="AC47" i="1" s="1"/>
  <c r="E64" i="2"/>
  <c r="AC46" i="1" s="1"/>
  <c r="E63" i="2"/>
  <c r="AC45" i="1" s="1"/>
  <c r="E61" i="2"/>
  <c r="AC44" i="1" s="1"/>
  <c r="E59" i="2"/>
  <c r="AC43" i="1" s="1"/>
  <c r="E58" i="2"/>
  <c r="AC42" i="1" s="1"/>
  <c r="E57" i="2"/>
  <c r="AC41" i="1" s="1"/>
  <c r="E56" i="2"/>
  <c r="AC40" i="1" s="1"/>
  <c r="E51" i="2"/>
  <c r="E52" i="2" s="1"/>
  <c r="AC38" i="1" s="1"/>
  <c r="E49" i="2"/>
  <c r="E50" i="2" s="1"/>
  <c r="AC37" i="1" s="1"/>
  <c r="E47" i="2"/>
  <c r="E48" i="2" s="1"/>
  <c r="AC36" i="1" s="1"/>
  <c r="E45" i="2"/>
  <c r="E46" i="2" s="1"/>
  <c r="AC35" i="1" s="1"/>
  <c r="E43" i="2"/>
  <c r="E44" i="2" s="1"/>
  <c r="AC34" i="1" s="1"/>
  <c r="E41" i="2"/>
  <c r="E42" i="2" s="1"/>
  <c r="AC33" i="1" s="1"/>
  <c r="E39" i="2"/>
  <c r="E40" i="2" s="1"/>
  <c r="AC32" i="1" s="1"/>
  <c r="AC14" i="1"/>
  <c r="E38" i="2"/>
  <c r="AC31" i="1" s="1"/>
  <c r="E37" i="2"/>
  <c r="AC30" i="1" s="1"/>
  <c r="E36" i="2"/>
  <c r="AC29" i="1" s="1"/>
  <c r="E35" i="2"/>
  <c r="AC28" i="1" s="1"/>
  <c r="E34" i="2"/>
  <c r="AC27" i="1" s="1"/>
  <c r="E33" i="2"/>
  <c r="AC26" i="1" s="1"/>
  <c r="E32" i="2"/>
  <c r="AC25" i="1" s="1"/>
  <c r="E31" i="2"/>
  <c r="AC24" i="1" s="1"/>
  <c r="E30" i="2"/>
  <c r="AC23" i="1" s="1"/>
  <c r="E29" i="2"/>
  <c r="AC22" i="1" s="1"/>
  <c r="E28" i="2"/>
  <c r="AC21" i="1" s="1"/>
  <c r="E27" i="2"/>
  <c r="AC20" i="1" s="1"/>
  <c r="E26" i="2"/>
  <c r="AC19" i="1" s="1"/>
  <c r="E25" i="2"/>
  <c r="AC18" i="1" s="1"/>
  <c r="E24" i="2"/>
  <c r="AC17" i="1" s="1"/>
  <c r="E23" i="2"/>
  <c r="AC16" i="1" s="1"/>
  <c r="E22" i="2"/>
  <c r="AC15" i="1" s="1"/>
  <c r="E17" i="2"/>
  <c r="AC12" i="1" s="1"/>
  <c r="AC2" i="1" l="1"/>
  <c r="E14" i="2"/>
  <c r="AC10" i="1" s="1"/>
  <c r="E12" i="2"/>
  <c r="E7" i="2"/>
  <c r="AC5" i="1" s="1"/>
  <c r="E6" i="2"/>
  <c r="AC4" i="1" s="1"/>
  <c r="E5" i="2"/>
  <c r="AC3" i="1" s="1"/>
  <c r="P257" i="2" l="1"/>
  <c r="P206" i="2"/>
  <c r="P155" i="2"/>
  <c r="G165" i="2" s="1"/>
  <c r="H165" i="2" s="1"/>
  <c r="P104" i="2"/>
  <c r="P111" i="2" s="1"/>
  <c r="Q111" i="2" s="1"/>
  <c r="P53" i="2"/>
  <c r="P57" i="2" s="1"/>
  <c r="Q57" i="2" s="1"/>
  <c r="K293" i="2"/>
  <c r="K292" i="2"/>
  <c r="K291" i="2"/>
  <c r="K290" i="2"/>
  <c r="I290" i="2" s="1"/>
  <c r="L283" i="2" s="1"/>
  <c r="K213" i="1" s="1"/>
  <c r="K289" i="2"/>
  <c r="AA223" i="1"/>
  <c r="Y223" i="1"/>
  <c r="AB223" i="1" s="1"/>
  <c r="G223" i="1"/>
  <c r="AA222" i="1"/>
  <c r="Y222" i="1"/>
  <c r="AB222" i="1" s="1"/>
  <c r="G222" i="1"/>
  <c r="AA221" i="1"/>
  <c r="Y221" i="1"/>
  <c r="AB221" i="1" s="1"/>
  <c r="G221" i="1"/>
  <c r="AA220" i="1"/>
  <c r="Y220" i="1"/>
  <c r="AB220" i="1" s="1"/>
  <c r="G220" i="1"/>
  <c r="AA219" i="1"/>
  <c r="Y219" i="1"/>
  <c r="AB219" i="1" s="1"/>
  <c r="G219" i="1"/>
  <c r="AA218" i="1"/>
  <c r="Y218" i="1"/>
  <c r="AB218" i="1" s="1"/>
  <c r="G218" i="1"/>
  <c r="AA217" i="1"/>
  <c r="Y217" i="1"/>
  <c r="AB217" i="1" s="1"/>
  <c r="G217" i="1"/>
  <c r="AA216" i="1"/>
  <c r="Y216" i="1"/>
  <c r="AB216" i="1" s="1"/>
  <c r="G216" i="1"/>
  <c r="AA215" i="1"/>
  <c r="Y215" i="1"/>
  <c r="AB215" i="1" s="1"/>
  <c r="G215" i="1"/>
  <c r="AA214" i="1"/>
  <c r="Y214" i="1"/>
  <c r="AB214" i="1" s="1"/>
  <c r="G214" i="1"/>
  <c r="AA213" i="1"/>
  <c r="Y213" i="1"/>
  <c r="AB213" i="1" s="1"/>
  <c r="G213" i="1"/>
  <c r="AA212" i="1"/>
  <c r="Y212" i="1"/>
  <c r="AB212" i="1" s="1"/>
  <c r="G212" i="1"/>
  <c r="AA211" i="1"/>
  <c r="Y211" i="1"/>
  <c r="AB211" i="1" s="1"/>
  <c r="G211" i="1"/>
  <c r="AA210" i="1"/>
  <c r="Y210" i="1"/>
  <c r="AB210" i="1" s="1"/>
  <c r="G210" i="1"/>
  <c r="AA209" i="1"/>
  <c r="Y209" i="1"/>
  <c r="AB209" i="1" s="1"/>
  <c r="G209" i="1"/>
  <c r="AA208" i="1"/>
  <c r="Y208" i="1"/>
  <c r="AB208" i="1" s="1"/>
  <c r="G208" i="1"/>
  <c r="AA207" i="1"/>
  <c r="Y207" i="1"/>
  <c r="AB207" i="1" s="1"/>
  <c r="G207" i="1"/>
  <c r="AA206" i="1"/>
  <c r="Y206" i="1"/>
  <c r="AB206" i="1" s="1"/>
  <c r="G206" i="1"/>
  <c r="AA205" i="1"/>
  <c r="Y205" i="1"/>
  <c r="AB205" i="1" s="1"/>
  <c r="G205" i="1"/>
  <c r="AA204" i="1"/>
  <c r="Y204" i="1"/>
  <c r="AB204" i="1" s="1"/>
  <c r="G204" i="1"/>
  <c r="AA203" i="1"/>
  <c r="Y203" i="1"/>
  <c r="AB203" i="1" s="1"/>
  <c r="G203" i="1"/>
  <c r="AA202" i="1"/>
  <c r="Y202" i="1"/>
  <c r="AB202" i="1" s="1"/>
  <c r="G202" i="1"/>
  <c r="AA201" i="1"/>
  <c r="Y201" i="1"/>
  <c r="AB201" i="1" s="1"/>
  <c r="G201" i="1"/>
  <c r="AG200" i="1"/>
  <c r="AI200" i="1" s="1"/>
  <c r="AA200" i="1"/>
  <c r="G200" i="1"/>
  <c r="AG199" i="1"/>
  <c r="AI199" i="1" s="1"/>
  <c r="AF199" i="1"/>
  <c r="AA199" i="1"/>
  <c r="G199" i="1"/>
  <c r="AG198" i="1"/>
  <c r="AI198" i="1" s="1"/>
  <c r="AF198" i="1"/>
  <c r="AA198" i="1"/>
  <c r="Y198" i="1"/>
  <c r="AB198" i="1" s="1"/>
  <c r="G198" i="1"/>
  <c r="AG197" i="1"/>
  <c r="AI197" i="1" s="1"/>
  <c r="AF197" i="1"/>
  <c r="AA197" i="1"/>
  <c r="Y197" i="1"/>
  <c r="AB197" i="1" s="1"/>
  <c r="G197" i="1"/>
  <c r="AA196" i="1"/>
  <c r="Y196" i="1"/>
  <c r="AB196" i="1" s="1"/>
  <c r="G196" i="1"/>
  <c r="AG195" i="1"/>
  <c r="AI195" i="1" s="1"/>
  <c r="AA195" i="1"/>
  <c r="Y195" i="1"/>
  <c r="AB195" i="1" s="1"/>
  <c r="G195" i="1"/>
  <c r="AG194" i="1"/>
  <c r="AI194" i="1" s="1"/>
  <c r="AA194" i="1"/>
  <c r="Y194" i="1"/>
  <c r="AB194" i="1" s="1"/>
  <c r="G194" i="1"/>
  <c r="AG193" i="1"/>
  <c r="AI193" i="1" s="1"/>
  <c r="AA193" i="1"/>
  <c r="Y193" i="1"/>
  <c r="AB193" i="1" s="1"/>
  <c r="G193" i="1"/>
  <c r="AG192" i="1"/>
  <c r="AI192" i="1" s="1"/>
  <c r="AA192" i="1"/>
  <c r="Y192" i="1"/>
  <c r="AB192" i="1" s="1"/>
  <c r="G192" i="1"/>
  <c r="AG191" i="1"/>
  <c r="AI191" i="1" s="1"/>
  <c r="AA191" i="1"/>
  <c r="Y191" i="1"/>
  <c r="AB191" i="1" s="1"/>
  <c r="G191" i="1"/>
  <c r="AG190" i="1"/>
  <c r="AI190" i="1" s="1"/>
  <c r="AA190" i="1"/>
  <c r="Y190" i="1"/>
  <c r="AB190" i="1" s="1"/>
  <c r="G190" i="1"/>
  <c r="F190" i="1"/>
  <c r="AA189" i="1"/>
  <c r="Y189" i="1"/>
  <c r="AB189" i="1" s="1"/>
  <c r="G189" i="1"/>
  <c r="AA188" i="1"/>
  <c r="Y188" i="1"/>
  <c r="AB188" i="1" s="1"/>
  <c r="G188" i="1"/>
  <c r="AA187" i="1"/>
  <c r="Y187" i="1"/>
  <c r="AB187" i="1" s="1"/>
  <c r="G187" i="1"/>
  <c r="AA186" i="1"/>
  <c r="Y186" i="1"/>
  <c r="AB186" i="1" s="1"/>
  <c r="G186" i="1"/>
  <c r="AA185" i="1"/>
  <c r="Y185" i="1"/>
  <c r="AB185" i="1" s="1"/>
  <c r="G185" i="1"/>
  <c r="AA184" i="1"/>
  <c r="Y184" i="1"/>
  <c r="AB184" i="1" s="1"/>
  <c r="G184" i="1"/>
  <c r="AA183" i="1"/>
  <c r="Y183" i="1"/>
  <c r="AB183" i="1" s="1"/>
  <c r="G183" i="1"/>
  <c r="AA182" i="1"/>
  <c r="Y182" i="1"/>
  <c r="AB182" i="1" s="1"/>
  <c r="G182" i="1"/>
  <c r="AA181" i="1"/>
  <c r="Y181" i="1"/>
  <c r="AB181" i="1" s="1"/>
  <c r="G181" i="1"/>
  <c r="AA180" i="1"/>
  <c r="Y180" i="1"/>
  <c r="AB180" i="1" s="1"/>
  <c r="G180" i="1"/>
  <c r="AA179" i="1"/>
  <c r="Y179" i="1"/>
  <c r="AB179" i="1" s="1"/>
  <c r="G179" i="1"/>
  <c r="AA178" i="1"/>
  <c r="Y178" i="1"/>
  <c r="AB178" i="1" s="1"/>
  <c r="G178" i="1"/>
  <c r="AA177" i="1"/>
  <c r="Y177" i="1"/>
  <c r="AB177" i="1" s="1"/>
  <c r="G177" i="1"/>
  <c r="AA176" i="1"/>
  <c r="Y176" i="1"/>
  <c r="AB176" i="1" s="1"/>
  <c r="G176" i="1"/>
  <c r="AA175" i="1"/>
  <c r="Y175" i="1"/>
  <c r="AB175" i="1" s="1"/>
  <c r="G175" i="1"/>
  <c r="AA174" i="1"/>
  <c r="Y174" i="1"/>
  <c r="AB174" i="1" s="1"/>
  <c r="G174" i="1"/>
  <c r="AA173" i="1"/>
  <c r="Y173" i="1"/>
  <c r="AB173" i="1" s="1"/>
  <c r="G173" i="1"/>
  <c r="AA172" i="1"/>
  <c r="Y172" i="1"/>
  <c r="AB172" i="1" s="1"/>
  <c r="G172" i="1"/>
  <c r="AA171" i="1"/>
  <c r="Y171" i="1"/>
  <c r="AB171" i="1" s="1"/>
  <c r="G171" i="1"/>
  <c r="AA170" i="1"/>
  <c r="Y170" i="1"/>
  <c r="AB170" i="1" s="1"/>
  <c r="G170" i="1"/>
  <c r="AA169" i="1"/>
  <c r="Y169" i="1"/>
  <c r="AB169" i="1" s="1"/>
  <c r="G169" i="1"/>
  <c r="AA168" i="1"/>
  <c r="Y168" i="1"/>
  <c r="AB168" i="1" s="1"/>
  <c r="G168" i="1"/>
  <c r="AA167" i="1"/>
  <c r="Y167" i="1"/>
  <c r="AB167" i="1" s="1"/>
  <c r="G167" i="1"/>
  <c r="AA166" i="1"/>
  <c r="Y166" i="1"/>
  <c r="AB166" i="1" s="1"/>
  <c r="G166" i="1"/>
  <c r="AA165" i="1"/>
  <c r="Y165" i="1"/>
  <c r="AB165" i="1" s="1"/>
  <c r="G165" i="1"/>
  <c r="AA164" i="1"/>
  <c r="Y164" i="1"/>
  <c r="AB164" i="1" s="1"/>
  <c r="G164" i="1"/>
  <c r="AG163" i="1"/>
  <c r="AI163" i="1" s="1"/>
  <c r="AA163" i="1"/>
  <c r="G163" i="1"/>
  <c r="AG162" i="1"/>
  <c r="AI162" i="1" s="1"/>
  <c r="AF162" i="1"/>
  <c r="AA162" i="1"/>
  <c r="G162" i="1"/>
  <c r="AG161" i="1"/>
  <c r="AI161" i="1" s="1"/>
  <c r="AF161" i="1"/>
  <c r="AA161" i="1"/>
  <c r="Y161" i="1"/>
  <c r="AB161" i="1" s="1"/>
  <c r="G161" i="1"/>
  <c r="AG160" i="1"/>
  <c r="AI160" i="1" s="1"/>
  <c r="AF160" i="1"/>
  <c r="AA160" i="1"/>
  <c r="Y160" i="1"/>
  <c r="AB160" i="1" s="1"/>
  <c r="G160" i="1"/>
  <c r="AA159" i="1"/>
  <c r="Y159" i="1"/>
  <c r="AB159" i="1" s="1"/>
  <c r="G159" i="1"/>
  <c r="AG158" i="1"/>
  <c r="AI158" i="1" s="1"/>
  <c r="AA158" i="1"/>
  <c r="Y158" i="1"/>
  <c r="AB158" i="1" s="1"/>
  <c r="G158" i="1"/>
  <c r="AG157" i="1"/>
  <c r="AI157" i="1" s="1"/>
  <c r="AA157" i="1"/>
  <c r="Y157" i="1"/>
  <c r="AB157" i="1" s="1"/>
  <c r="G157" i="1"/>
  <c r="AG156" i="1"/>
  <c r="AI156" i="1" s="1"/>
  <c r="AA156" i="1"/>
  <c r="Y156" i="1"/>
  <c r="AB156" i="1" s="1"/>
  <c r="G156" i="1"/>
  <c r="AG155" i="1"/>
  <c r="AI155" i="1" s="1"/>
  <c r="AA155" i="1"/>
  <c r="Y155" i="1"/>
  <c r="AB155" i="1" s="1"/>
  <c r="G155" i="1"/>
  <c r="AG154" i="1"/>
  <c r="AI154" i="1" s="1"/>
  <c r="AA154" i="1"/>
  <c r="Y154" i="1"/>
  <c r="AB154" i="1" s="1"/>
  <c r="G154" i="1"/>
  <c r="AG153" i="1"/>
  <c r="AI153" i="1" s="1"/>
  <c r="AA153" i="1"/>
  <c r="Y153" i="1"/>
  <c r="AB153" i="1" s="1"/>
  <c r="G153" i="1"/>
  <c r="F153" i="1"/>
  <c r="AA152" i="1"/>
  <c r="Y152" i="1"/>
  <c r="AB152" i="1" s="1"/>
  <c r="G152" i="1"/>
  <c r="AA151" i="1"/>
  <c r="Y151" i="1"/>
  <c r="AB151" i="1" s="1"/>
  <c r="G151" i="1"/>
  <c r="AA150" i="1"/>
  <c r="Y150" i="1"/>
  <c r="AB150" i="1" s="1"/>
  <c r="G150" i="1"/>
  <c r="AA149" i="1"/>
  <c r="Y149" i="1"/>
  <c r="AB149" i="1" s="1"/>
  <c r="G149" i="1"/>
  <c r="AA148" i="1"/>
  <c r="Y148" i="1"/>
  <c r="AB148" i="1" s="1"/>
  <c r="G148" i="1"/>
  <c r="AA147" i="1"/>
  <c r="Y147" i="1"/>
  <c r="AB147" i="1" s="1"/>
  <c r="G147" i="1"/>
  <c r="AA146" i="1"/>
  <c r="Y146" i="1"/>
  <c r="AB146" i="1" s="1"/>
  <c r="G146" i="1"/>
  <c r="AA145" i="1"/>
  <c r="Y145" i="1"/>
  <c r="AB145" i="1" s="1"/>
  <c r="G145" i="1"/>
  <c r="AA144" i="1"/>
  <c r="Y144" i="1"/>
  <c r="AB144" i="1" s="1"/>
  <c r="G144" i="1"/>
  <c r="AA143" i="1"/>
  <c r="Y143" i="1"/>
  <c r="AB143" i="1" s="1"/>
  <c r="G143" i="1"/>
  <c r="AA142" i="1"/>
  <c r="Y142" i="1"/>
  <c r="AB142" i="1" s="1"/>
  <c r="G142" i="1"/>
  <c r="AA141" i="1"/>
  <c r="Y141" i="1"/>
  <c r="AB141" i="1" s="1"/>
  <c r="G141" i="1"/>
  <c r="AA140" i="1"/>
  <c r="Y140" i="1"/>
  <c r="AB140" i="1" s="1"/>
  <c r="G140" i="1"/>
  <c r="AA139" i="1"/>
  <c r="Y139" i="1"/>
  <c r="AB139" i="1" s="1"/>
  <c r="G139" i="1"/>
  <c r="AA138" i="1"/>
  <c r="Y138" i="1"/>
  <c r="AB138" i="1" s="1"/>
  <c r="G138" i="1"/>
  <c r="AA137" i="1"/>
  <c r="Y137" i="1"/>
  <c r="AB137" i="1" s="1"/>
  <c r="G137" i="1"/>
  <c r="AA136" i="1"/>
  <c r="Y136" i="1"/>
  <c r="AB136" i="1" s="1"/>
  <c r="G136" i="1"/>
  <c r="AA135" i="1"/>
  <c r="Y135" i="1"/>
  <c r="AB135" i="1" s="1"/>
  <c r="G135" i="1"/>
  <c r="AA134" i="1"/>
  <c r="Y134" i="1"/>
  <c r="AB134" i="1" s="1"/>
  <c r="G134" i="1"/>
  <c r="AA133" i="1"/>
  <c r="Y133" i="1"/>
  <c r="AB133" i="1" s="1"/>
  <c r="G133" i="1"/>
  <c r="AA132" i="1"/>
  <c r="Y132" i="1"/>
  <c r="AB132" i="1" s="1"/>
  <c r="G132" i="1"/>
  <c r="AA131" i="1"/>
  <c r="Y131" i="1"/>
  <c r="AB131" i="1" s="1"/>
  <c r="G131" i="1"/>
  <c r="AA130" i="1"/>
  <c r="Y130" i="1"/>
  <c r="AB130" i="1" s="1"/>
  <c r="G130" i="1"/>
  <c r="AA129" i="1"/>
  <c r="Y129" i="1"/>
  <c r="AB129" i="1" s="1"/>
  <c r="G129" i="1"/>
  <c r="AA128" i="1"/>
  <c r="Y128" i="1"/>
  <c r="AB128" i="1" s="1"/>
  <c r="G128" i="1"/>
  <c r="AA127" i="1"/>
  <c r="Y127" i="1"/>
  <c r="AB127" i="1" s="1"/>
  <c r="G127" i="1"/>
  <c r="AG126" i="1"/>
  <c r="AI126" i="1" s="1"/>
  <c r="AA126" i="1"/>
  <c r="G126" i="1"/>
  <c r="AG125" i="1"/>
  <c r="AI125" i="1" s="1"/>
  <c r="AF125" i="1"/>
  <c r="AA125" i="1"/>
  <c r="G125" i="1"/>
  <c r="AG124" i="1"/>
  <c r="AI124" i="1" s="1"/>
  <c r="AF124" i="1"/>
  <c r="AA124" i="1"/>
  <c r="Y124" i="1"/>
  <c r="AB124" i="1" s="1"/>
  <c r="G124" i="1"/>
  <c r="AG123" i="1"/>
  <c r="AI123" i="1" s="1"/>
  <c r="AF123" i="1"/>
  <c r="AA123" i="1"/>
  <c r="Y123" i="1"/>
  <c r="AB123" i="1" s="1"/>
  <c r="G123" i="1"/>
  <c r="AA122" i="1"/>
  <c r="Y122" i="1"/>
  <c r="AB122" i="1" s="1"/>
  <c r="G122" i="1"/>
  <c r="AG121" i="1"/>
  <c r="AI121" i="1" s="1"/>
  <c r="AA121" i="1"/>
  <c r="Y121" i="1"/>
  <c r="AB121" i="1" s="1"/>
  <c r="G121" i="1"/>
  <c r="AG120" i="1"/>
  <c r="AI120" i="1" s="1"/>
  <c r="AA120" i="1"/>
  <c r="Y120" i="1"/>
  <c r="AB120" i="1" s="1"/>
  <c r="G120" i="1"/>
  <c r="AG119" i="1"/>
  <c r="AI119" i="1" s="1"/>
  <c r="AA119" i="1"/>
  <c r="Y119" i="1"/>
  <c r="AB119" i="1" s="1"/>
  <c r="G119" i="1"/>
  <c r="AG118" i="1"/>
  <c r="AI118" i="1" s="1"/>
  <c r="AA118" i="1"/>
  <c r="Y118" i="1"/>
  <c r="AB118" i="1" s="1"/>
  <c r="G118" i="1"/>
  <c r="AG117" i="1"/>
  <c r="AI117" i="1" s="1"/>
  <c r="AA117" i="1"/>
  <c r="Y117" i="1"/>
  <c r="AB117" i="1" s="1"/>
  <c r="G117" i="1"/>
  <c r="AG116" i="1"/>
  <c r="AI116" i="1" s="1"/>
  <c r="AA116" i="1"/>
  <c r="Y116" i="1"/>
  <c r="AB116" i="1" s="1"/>
  <c r="G116" i="1"/>
  <c r="F116" i="1"/>
  <c r="AA115" i="1"/>
  <c r="Y115" i="1"/>
  <c r="AB115" i="1" s="1"/>
  <c r="G115" i="1"/>
  <c r="AA114" i="1"/>
  <c r="Y114" i="1"/>
  <c r="AB114" i="1" s="1"/>
  <c r="G114" i="1"/>
  <c r="AA113" i="1"/>
  <c r="Y113" i="1"/>
  <c r="AB113" i="1" s="1"/>
  <c r="G113" i="1"/>
  <c r="J306" i="2"/>
  <c r="J304" i="2"/>
  <c r="J302" i="2"/>
  <c r="J300" i="2"/>
  <c r="J298" i="2"/>
  <c r="J296" i="2"/>
  <c r="J294" i="2"/>
  <c r="J293" i="2"/>
  <c r="J292" i="2"/>
  <c r="J291" i="2"/>
  <c r="J290" i="2"/>
  <c r="J289" i="2"/>
  <c r="J288" i="2"/>
  <c r="J287" i="2"/>
  <c r="J286" i="2"/>
  <c r="J285" i="2"/>
  <c r="J284" i="2"/>
  <c r="J283" i="2"/>
  <c r="J282" i="2"/>
  <c r="J281" i="2"/>
  <c r="Q280" i="2"/>
  <c r="S280" i="2" s="1"/>
  <c r="P280" i="2"/>
  <c r="J280" i="2"/>
  <c r="Q279" i="2"/>
  <c r="S279" i="2" s="1"/>
  <c r="P279" i="2"/>
  <c r="J279" i="2"/>
  <c r="Q278" i="2"/>
  <c r="S278" i="2" s="1"/>
  <c r="P278" i="2"/>
  <c r="J278" i="2"/>
  <c r="Q277" i="2"/>
  <c r="S277" i="2" s="1"/>
  <c r="P277" i="2"/>
  <c r="J277" i="2"/>
  <c r="J276" i="2"/>
  <c r="Q275" i="2"/>
  <c r="S275" i="2" s="1"/>
  <c r="Q274" i="2"/>
  <c r="S274" i="2" s="1"/>
  <c r="Q273" i="2"/>
  <c r="S273" i="2" s="1"/>
  <c r="J273" i="2"/>
  <c r="Q272" i="2"/>
  <c r="S272" i="2" s="1"/>
  <c r="J272" i="2"/>
  <c r="Q271" i="2"/>
  <c r="S271" i="2" s="1"/>
  <c r="Q270" i="2"/>
  <c r="S270" i="2" s="1"/>
  <c r="J269" i="2"/>
  <c r="J268" i="2"/>
  <c r="J267" i="2"/>
  <c r="G267" i="2"/>
  <c r="H267" i="2" s="1"/>
  <c r="J265" i="2"/>
  <c r="P264" i="2"/>
  <c r="Q264" i="2" s="1"/>
  <c r="P263" i="2"/>
  <c r="Q263" i="2" s="1"/>
  <c r="J263" i="2"/>
  <c r="P262" i="2"/>
  <c r="Q262" i="2" s="1"/>
  <c r="J262" i="2"/>
  <c r="P261" i="2"/>
  <c r="G258" i="2" s="1"/>
  <c r="J261" i="2"/>
  <c r="P260" i="2"/>
  <c r="J260" i="2"/>
  <c r="G260" i="2"/>
  <c r="H260" i="2" s="1"/>
  <c r="P258" i="2"/>
  <c r="G263" i="2" s="1"/>
  <c r="J257" i="2"/>
  <c r="J255" i="2"/>
  <c r="J253" i="2"/>
  <c r="J251" i="2"/>
  <c r="J249" i="2"/>
  <c r="J247" i="2"/>
  <c r="J245" i="2"/>
  <c r="J243" i="2"/>
  <c r="J242" i="2"/>
  <c r="J241" i="2"/>
  <c r="J240" i="2"/>
  <c r="J239" i="2"/>
  <c r="J238" i="2"/>
  <c r="J237" i="2"/>
  <c r="J236" i="2"/>
  <c r="J235" i="2"/>
  <c r="J234" i="2"/>
  <c r="J233" i="2"/>
  <c r="J232" i="2"/>
  <c r="J231" i="2"/>
  <c r="J230" i="2"/>
  <c r="Q229" i="2"/>
  <c r="S229" i="2" s="1"/>
  <c r="P229" i="2"/>
  <c r="J229" i="2"/>
  <c r="Q228" i="2"/>
  <c r="S228" i="2" s="1"/>
  <c r="P228" i="2"/>
  <c r="J228" i="2"/>
  <c r="Q227" i="2"/>
  <c r="S227" i="2" s="1"/>
  <c r="P227" i="2"/>
  <c r="J227" i="2"/>
  <c r="Q226" i="2"/>
  <c r="S226" i="2" s="1"/>
  <c r="P226" i="2"/>
  <c r="J226" i="2"/>
  <c r="J225" i="2"/>
  <c r="Q224" i="2"/>
  <c r="S224" i="2" s="1"/>
  <c r="Q223" i="2"/>
  <c r="S223" i="2" s="1"/>
  <c r="Q222" i="2"/>
  <c r="S222" i="2" s="1"/>
  <c r="J222" i="2"/>
  <c r="Q221" i="2"/>
  <c r="S221" i="2" s="1"/>
  <c r="J221" i="2"/>
  <c r="Q220" i="2"/>
  <c r="S220" i="2" s="1"/>
  <c r="Q219" i="2"/>
  <c r="S219" i="2" s="1"/>
  <c r="J219" i="2"/>
  <c r="J218" i="2"/>
  <c r="J217" i="2"/>
  <c r="J216" i="2"/>
  <c r="G216" i="2"/>
  <c r="H216" i="2" s="1"/>
  <c r="J214" i="2"/>
  <c r="P213" i="2"/>
  <c r="Q213" i="2" s="1"/>
  <c r="P212" i="2"/>
  <c r="Q212" i="2" s="1"/>
  <c r="J212" i="2"/>
  <c r="P211" i="2"/>
  <c r="Q211" i="2" s="1"/>
  <c r="J211" i="2"/>
  <c r="P210" i="2"/>
  <c r="G207" i="2" s="1"/>
  <c r="J210" i="2"/>
  <c r="P209" i="2"/>
  <c r="J209" i="2"/>
  <c r="G209" i="2"/>
  <c r="H209" i="2" s="1"/>
  <c r="P207" i="2"/>
  <c r="J206" i="2"/>
  <c r="J204" i="2"/>
  <c r="J202" i="2"/>
  <c r="J200" i="2"/>
  <c r="J198" i="2"/>
  <c r="J196" i="2"/>
  <c r="J194" i="2"/>
  <c r="J192" i="2"/>
  <c r="J191" i="2"/>
  <c r="J190" i="2"/>
  <c r="J189" i="2"/>
  <c r="J188" i="2"/>
  <c r="J187" i="2"/>
  <c r="J186" i="2"/>
  <c r="J185" i="2"/>
  <c r="J184" i="2"/>
  <c r="J183" i="2"/>
  <c r="J182" i="2"/>
  <c r="J181" i="2"/>
  <c r="J180" i="2"/>
  <c r="J179" i="2"/>
  <c r="Q178" i="2"/>
  <c r="S178" i="2" s="1"/>
  <c r="P178" i="2"/>
  <c r="J178" i="2"/>
  <c r="Q177" i="2"/>
  <c r="S177" i="2" s="1"/>
  <c r="P177" i="2"/>
  <c r="J177" i="2"/>
  <c r="Q176" i="2"/>
  <c r="S176" i="2" s="1"/>
  <c r="P176" i="2"/>
  <c r="J176" i="2"/>
  <c r="Q175" i="2"/>
  <c r="S175" i="2" s="1"/>
  <c r="P175" i="2"/>
  <c r="J175" i="2"/>
  <c r="J174" i="2"/>
  <c r="Q173" i="2"/>
  <c r="S173" i="2" s="1"/>
  <c r="Q172" i="2"/>
  <c r="S172" i="2" s="1"/>
  <c r="Q171" i="2"/>
  <c r="S171" i="2" s="1"/>
  <c r="J171" i="2"/>
  <c r="Q170" i="2"/>
  <c r="S170" i="2" s="1"/>
  <c r="J170" i="2"/>
  <c r="Q169" i="2"/>
  <c r="S169" i="2" s="1"/>
  <c r="Q168" i="2"/>
  <c r="S168" i="2" s="1"/>
  <c r="J168" i="2"/>
  <c r="J167" i="2"/>
  <c r="J166" i="2"/>
  <c r="J165" i="2"/>
  <c r="J163" i="2"/>
  <c r="P162" i="2"/>
  <c r="Q162" i="2" s="1"/>
  <c r="J161" i="2"/>
  <c r="P160" i="2"/>
  <c r="G157" i="2" s="1"/>
  <c r="J160" i="2"/>
  <c r="J159" i="2"/>
  <c r="J158" i="2"/>
  <c r="J155" i="2"/>
  <c r="AA112" i="1"/>
  <c r="Y112" i="1"/>
  <c r="AB112" i="1" s="1"/>
  <c r="G112" i="1"/>
  <c r="AA111" i="1"/>
  <c r="Y111" i="1"/>
  <c r="AB111" i="1" s="1"/>
  <c r="G111" i="1"/>
  <c r="AA110" i="1"/>
  <c r="Y110" i="1"/>
  <c r="AB110" i="1" s="1"/>
  <c r="G110" i="1"/>
  <c r="AA109" i="1"/>
  <c r="Y109" i="1"/>
  <c r="AB109" i="1" s="1"/>
  <c r="G109" i="1"/>
  <c r="AA108" i="1"/>
  <c r="Y108" i="1"/>
  <c r="AB108" i="1" s="1"/>
  <c r="G108" i="1"/>
  <c r="AA107" i="1"/>
  <c r="Y107" i="1"/>
  <c r="AB107" i="1" s="1"/>
  <c r="G107" i="1"/>
  <c r="AA106" i="1"/>
  <c r="Y106" i="1"/>
  <c r="AB106" i="1" s="1"/>
  <c r="G106" i="1"/>
  <c r="AA105" i="1"/>
  <c r="Y105" i="1"/>
  <c r="AB105" i="1" s="1"/>
  <c r="G105" i="1"/>
  <c r="AA104" i="1"/>
  <c r="Y104" i="1"/>
  <c r="AB104" i="1" s="1"/>
  <c r="G104" i="1"/>
  <c r="AA103" i="1"/>
  <c r="Y103" i="1"/>
  <c r="AB103" i="1" s="1"/>
  <c r="G103" i="1"/>
  <c r="AA102" i="1"/>
  <c r="Y102" i="1"/>
  <c r="AB102" i="1" s="1"/>
  <c r="G102" i="1"/>
  <c r="AA101" i="1"/>
  <c r="Y101" i="1"/>
  <c r="AB101" i="1" s="1"/>
  <c r="G101" i="1"/>
  <c r="AA100" i="1"/>
  <c r="Y100" i="1"/>
  <c r="AB100" i="1" s="1"/>
  <c r="G100" i="1"/>
  <c r="AA99" i="1"/>
  <c r="Y99" i="1"/>
  <c r="AB99" i="1" s="1"/>
  <c r="G99" i="1"/>
  <c r="AA98" i="1"/>
  <c r="Y98" i="1"/>
  <c r="AB98" i="1" s="1"/>
  <c r="G98" i="1"/>
  <c r="AA97" i="1"/>
  <c r="Y97" i="1"/>
  <c r="AB97" i="1" s="1"/>
  <c r="G97" i="1"/>
  <c r="AA96" i="1"/>
  <c r="Y96" i="1"/>
  <c r="AB96" i="1" s="1"/>
  <c r="G96" i="1"/>
  <c r="AA95" i="1"/>
  <c r="Y95" i="1"/>
  <c r="AB95" i="1" s="1"/>
  <c r="G95" i="1"/>
  <c r="AA94" i="1"/>
  <c r="Y94" i="1"/>
  <c r="AB94" i="1" s="1"/>
  <c r="G94" i="1"/>
  <c r="AA93" i="1"/>
  <c r="Y93" i="1"/>
  <c r="AB93" i="1" s="1"/>
  <c r="G93" i="1"/>
  <c r="AA92" i="1"/>
  <c r="Y92" i="1"/>
  <c r="AB92" i="1" s="1"/>
  <c r="G92" i="1"/>
  <c r="AA91" i="1"/>
  <c r="Y91" i="1"/>
  <c r="AB91" i="1" s="1"/>
  <c r="G91" i="1"/>
  <c r="AA90" i="1"/>
  <c r="Y90" i="1"/>
  <c r="AB90" i="1" s="1"/>
  <c r="G90" i="1"/>
  <c r="AG89" i="1"/>
  <c r="AI89" i="1" s="1"/>
  <c r="AA89" i="1"/>
  <c r="G89" i="1"/>
  <c r="AG88" i="1"/>
  <c r="AI88" i="1" s="1"/>
  <c r="AF88" i="1"/>
  <c r="AA88" i="1"/>
  <c r="G88" i="1"/>
  <c r="AG87" i="1"/>
  <c r="AI87" i="1" s="1"/>
  <c r="AF87" i="1"/>
  <c r="AA87" i="1"/>
  <c r="Y87" i="1"/>
  <c r="AB87" i="1" s="1"/>
  <c r="G87" i="1"/>
  <c r="AG86" i="1"/>
  <c r="AI86" i="1" s="1"/>
  <c r="AF86" i="1"/>
  <c r="AA86" i="1"/>
  <c r="Y86" i="1"/>
  <c r="AB86" i="1" s="1"/>
  <c r="G86" i="1"/>
  <c r="AA85" i="1"/>
  <c r="Y85" i="1"/>
  <c r="AB85" i="1" s="1"/>
  <c r="G85" i="1"/>
  <c r="AG84" i="1"/>
  <c r="AI84" i="1" s="1"/>
  <c r="AA84" i="1"/>
  <c r="Y84" i="1"/>
  <c r="AB84" i="1" s="1"/>
  <c r="G84" i="1"/>
  <c r="AG83" i="1"/>
  <c r="AI83" i="1" s="1"/>
  <c r="AA83" i="1"/>
  <c r="Y83" i="1"/>
  <c r="AB83" i="1" s="1"/>
  <c r="G83" i="1"/>
  <c r="AG82" i="1"/>
  <c r="AI82" i="1" s="1"/>
  <c r="AA82" i="1"/>
  <c r="Y82" i="1"/>
  <c r="AB82" i="1" s="1"/>
  <c r="G82" i="1"/>
  <c r="AG81" i="1"/>
  <c r="AI81" i="1" s="1"/>
  <c r="AA81" i="1"/>
  <c r="Y81" i="1"/>
  <c r="AB81" i="1" s="1"/>
  <c r="G81" i="1"/>
  <c r="AG80" i="1"/>
  <c r="AI80" i="1" s="1"/>
  <c r="AA80" i="1"/>
  <c r="Y80" i="1"/>
  <c r="AB80" i="1" s="1"/>
  <c r="G80" i="1"/>
  <c r="AG79" i="1"/>
  <c r="AI79" i="1" s="1"/>
  <c r="AA79" i="1"/>
  <c r="Y79" i="1"/>
  <c r="AB79" i="1" s="1"/>
  <c r="G79" i="1"/>
  <c r="F79" i="1"/>
  <c r="AA78" i="1"/>
  <c r="Y78" i="1"/>
  <c r="AB78" i="1" s="1"/>
  <c r="G78" i="1"/>
  <c r="AA77" i="1"/>
  <c r="Y77" i="1"/>
  <c r="AB77" i="1" s="1"/>
  <c r="G77" i="1"/>
  <c r="AA76" i="1"/>
  <c r="Y76" i="1"/>
  <c r="AB76" i="1" s="1"/>
  <c r="G76" i="1"/>
  <c r="J153" i="2"/>
  <c r="J151" i="2"/>
  <c r="J149" i="2"/>
  <c r="J147" i="2"/>
  <c r="J145" i="2"/>
  <c r="J143" i="2"/>
  <c r="J141" i="2"/>
  <c r="J140" i="2"/>
  <c r="J139" i="2"/>
  <c r="J138" i="2"/>
  <c r="J137" i="2"/>
  <c r="J136" i="2"/>
  <c r="J135" i="2"/>
  <c r="J134" i="2"/>
  <c r="J133" i="2"/>
  <c r="J132" i="2"/>
  <c r="J131" i="2"/>
  <c r="J130" i="2"/>
  <c r="J129" i="2"/>
  <c r="J128" i="2"/>
  <c r="Q127" i="2"/>
  <c r="S127" i="2" s="1"/>
  <c r="P127" i="2"/>
  <c r="J127" i="2"/>
  <c r="Q126" i="2"/>
  <c r="S126" i="2" s="1"/>
  <c r="P126" i="2"/>
  <c r="J126" i="2"/>
  <c r="Q125" i="2"/>
  <c r="S125" i="2" s="1"/>
  <c r="P125" i="2"/>
  <c r="J125" i="2"/>
  <c r="Q124" i="2"/>
  <c r="S124" i="2" s="1"/>
  <c r="P124" i="2"/>
  <c r="J124" i="2"/>
  <c r="J123" i="2"/>
  <c r="Q122" i="2"/>
  <c r="S122" i="2" s="1"/>
  <c r="Q121" i="2"/>
  <c r="S121" i="2" s="1"/>
  <c r="Q120" i="2"/>
  <c r="S120" i="2" s="1"/>
  <c r="J120" i="2"/>
  <c r="Q119" i="2"/>
  <c r="S119" i="2" s="1"/>
  <c r="J119" i="2"/>
  <c r="Q118" i="2"/>
  <c r="S118" i="2" s="1"/>
  <c r="Q117" i="2"/>
  <c r="S117" i="2" s="1"/>
  <c r="J116" i="2"/>
  <c r="J115" i="2"/>
  <c r="J114" i="2"/>
  <c r="G114" i="2"/>
  <c r="H114" i="2" s="1"/>
  <c r="J112" i="2"/>
  <c r="P110" i="2"/>
  <c r="Q110" i="2" s="1"/>
  <c r="J110" i="2"/>
  <c r="P109" i="2"/>
  <c r="J109" i="2"/>
  <c r="J108" i="2"/>
  <c r="P107" i="2"/>
  <c r="Q107" i="2" s="1"/>
  <c r="J107" i="2"/>
  <c r="G107" i="2"/>
  <c r="H107" i="2" s="1"/>
  <c r="J104" i="2"/>
  <c r="Q76" i="2"/>
  <c r="S76" i="2" s="1"/>
  <c r="P76" i="2"/>
  <c r="Q75" i="2"/>
  <c r="S75" i="2" s="1"/>
  <c r="P75" i="2"/>
  <c r="Q74" i="2"/>
  <c r="S74" i="2" s="1"/>
  <c r="P74" i="2"/>
  <c r="Q73" i="2"/>
  <c r="S73" i="2" s="1"/>
  <c r="P73" i="2"/>
  <c r="Q71" i="2"/>
  <c r="S71" i="2" s="1"/>
  <c r="Q70" i="2"/>
  <c r="S70" i="2" s="1"/>
  <c r="Q69" i="2"/>
  <c r="S69" i="2" s="1"/>
  <c r="Q68" i="2"/>
  <c r="S68" i="2" s="1"/>
  <c r="Q67" i="2"/>
  <c r="S67" i="2" s="1"/>
  <c r="Q66" i="2"/>
  <c r="S66" i="2" s="1"/>
  <c r="P58" i="2"/>
  <c r="Q58" i="2" s="1"/>
  <c r="G56" i="2"/>
  <c r="H56" i="2" s="1"/>
  <c r="J94" i="2"/>
  <c r="AA75" i="1"/>
  <c r="Y75" i="1"/>
  <c r="AB75" i="1" s="1"/>
  <c r="G75" i="1"/>
  <c r="AA74" i="1"/>
  <c r="Y74" i="1"/>
  <c r="AB74" i="1" s="1"/>
  <c r="G74" i="1"/>
  <c r="AA73" i="1"/>
  <c r="Y73" i="1"/>
  <c r="AB73" i="1" s="1"/>
  <c r="G73" i="1"/>
  <c r="AA72" i="1"/>
  <c r="Y72" i="1"/>
  <c r="AB72" i="1" s="1"/>
  <c r="G72" i="1"/>
  <c r="AA71" i="1"/>
  <c r="Y71" i="1"/>
  <c r="AB71" i="1" s="1"/>
  <c r="G71" i="1"/>
  <c r="AA70" i="1"/>
  <c r="Y70" i="1"/>
  <c r="AB70" i="1" s="1"/>
  <c r="G70" i="1"/>
  <c r="AA69" i="1"/>
  <c r="Y69" i="1"/>
  <c r="AB69" i="1" s="1"/>
  <c r="G69" i="1"/>
  <c r="AA68" i="1"/>
  <c r="Y68" i="1"/>
  <c r="AB68" i="1" s="1"/>
  <c r="G68" i="1"/>
  <c r="AA67" i="1"/>
  <c r="Y67" i="1"/>
  <c r="AB67" i="1" s="1"/>
  <c r="G67" i="1"/>
  <c r="AA66" i="1"/>
  <c r="Y66" i="1"/>
  <c r="AB66" i="1" s="1"/>
  <c r="G66" i="1"/>
  <c r="AA65" i="1"/>
  <c r="Y65" i="1"/>
  <c r="AB65" i="1" s="1"/>
  <c r="G65" i="1"/>
  <c r="AA64" i="1"/>
  <c r="Y64" i="1"/>
  <c r="AB64" i="1" s="1"/>
  <c r="G64" i="1"/>
  <c r="AA63" i="1"/>
  <c r="Y63" i="1"/>
  <c r="AB63" i="1" s="1"/>
  <c r="G63" i="1"/>
  <c r="AA62" i="1"/>
  <c r="Y62" i="1"/>
  <c r="AB62" i="1" s="1"/>
  <c r="G62" i="1"/>
  <c r="AA61" i="1"/>
  <c r="Y61" i="1"/>
  <c r="AB61" i="1" s="1"/>
  <c r="G61" i="1"/>
  <c r="AA60" i="1"/>
  <c r="Y60" i="1"/>
  <c r="AB60" i="1" s="1"/>
  <c r="G60" i="1"/>
  <c r="AA59" i="1"/>
  <c r="Y59" i="1"/>
  <c r="AB59" i="1" s="1"/>
  <c r="G59" i="1"/>
  <c r="AA58" i="1"/>
  <c r="Y58" i="1"/>
  <c r="AB58" i="1" s="1"/>
  <c r="G58" i="1"/>
  <c r="AA57" i="1"/>
  <c r="Y57" i="1"/>
  <c r="AB57" i="1" s="1"/>
  <c r="G57" i="1"/>
  <c r="AA56" i="1"/>
  <c r="Y56" i="1"/>
  <c r="AB56" i="1" s="1"/>
  <c r="G56" i="1"/>
  <c r="AA55" i="1"/>
  <c r="Y55" i="1"/>
  <c r="AB55" i="1" s="1"/>
  <c r="G55" i="1"/>
  <c r="AA54" i="1"/>
  <c r="Y54" i="1"/>
  <c r="AB54" i="1" s="1"/>
  <c r="G54" i="1"/>
  <c r="AA53" i="1"/>
  <c r="Y53" i="1"/>
  <c r="AB53" i="1" s="1"/>
  <c r="G53" i="1"/>
  <c r="AG52" i="1"/>
  <c r="AI52" i="1" s="1"/>
  <c r="AA52" i="1"/>
  <c r="G52" i="1"/>
  <c r="AG51" i="1"/>
  <c r="AI51" i="1" s="1"/>
  <c r="AF51" i="1"/>
  <c r="AA51" i="1"/>
  <c r="G51" i="1"/>
  <c r="AG50" i="1"/>
  <c r="AI50" i="1" s="1"/>
  <c r="AF50" i="1"/>
  <c r="AA50" i="1"/>
  <c r="Y50" i="1"/>
  <c r="AB50" i="1" s="1"/>
  <c r="G50" i="1"/>
  <c r="AG49" i="1"/>
  <c r="AI49" i="1" s="1"/>
  <c r="AF49" i="1"/>
  <c r="AA49" i="1"/>
  <c r="Y49" i="1"/>
  <c r="AB49" i="1" s="1"/>
  <c r="G49" i="1"/>
  <c r="AA48" i="1"/>
  <c r="Y48" i="1"/>
  <c r="AB48" i="1" s="1"/>
  <c r="G48" i="1"/>
  <c r="AG47" i="1"/>
  <c r="AI47" i="1" s="1"/>
  <c r="AA47" i="1"/>
  <c r="Y47" i="1"/>
  <c r="AB47" i="1" s="1"/>
  <c r="G47" i="1"/>
  <c r="AG46" i="1"/>
  <c r="AI46" i="1" s="1"/>
  <c r="AA46" i="1"/>
  <c r="Y46" i="1"/>
  <c r="AB46" i="1" s="1"/>
  <c r="G46" i="1"/>
  <c r="AG45" i="1"/>
  <c r="AI45" i="1" s="1"/>
  <c r="AA45" i="1"/>
  <c r="Y45" i="1"/>
  <c r="AB45" i="1" s="1"/>
  <c r="G45" i="1"/>
  <c r="AG44" i="1"/>
  <c r="AI44" i="1" s="1"/>
  <c r="AA44" i="1"/>
  <c r="Y44" i="1"/>
  <c r="AB44" i="1" s="1"/>
  <c r="G44" i="1"/>
  <c r="AG43" i="1"/>
  <c r="AI43" i="1" s="1"/>
  <c r="AA43" i="1"/>
  <c r="Y43" i="1"/>
  <c r="AB43" i="1" s="1"/>
  <c r="G43" i="1"/>
  <c r="AG42" i="1"/>
  <c r="AI42" i="1" s="1"/>
  <c r="AA42" i="1"/>
  <c r="Y42" i="1"/>
  <c r="AB42" i="1" s="1"/>
  <c r="G42" i="1"/>
  <c r="F42" i="1"/>
  <c r="AA41" i="1"/>
  <c r="Y41" i="1"/>
  <c r="AB41" i="1" s="1"/>
  <c r="G41" i="1"/>
  <c r="AA40" i="1"/>
  <c r="Y40" i="1"/>
  <c r="AB40" i="1" s="1"/>
  <c r="G40" i="1"/>
  <c r="AA39" i="1"/>
  <c r="Y39" i="1"/>
  <c r="AB39" i="1" s="1"/>
  <c r="G39" i="1"/>
  <c r="J102" i="2"/>
  <c r="J100" i="2"/>
  <c r="J98" i="2"/>
  <c r="J96" i="2"/>
  <c r="J92" i="2"/>
  <c r="J90" i="2"/>
  <c r="J89" i="2"/>
  <c r="J88" i="2"/>
  <c r="J87" i="2"/>
  <c r="J86" i="2"/>
  <c r="J85" i="2"/>
  <c r="J84" i="2"/>
  <c r="J83" i="2"/>
  <c r="J82" i="2"/>
  <c r="J81" i="2"/>
  <c r="J80" i="2"/>
  <c r="J79" i="2"/>
  <c r="J78" i="2"/>
  <c r="J77" i="2"/>
  <c r="J76" i="2"/>
  <c r="J75" i="2"/>
  <c r="J74" i="2"/>
  <c r="J73" i="2"/>
  <c r="J72" i="2"/>
  <c r="J69" i="2"/>
  <c r="J68" i="2"/>
  <c r="J65" i="2"/>
  <c r="J64" i="2"/>
  <c r="J63" i="2"/>
  <c r="J61" i="2"/>
  <c r="J59" i="2"/>
  <c r="J58" i="2"/>
  <c r="J57" i="2"/>
  <c r="J56" i="2"/>
  <c r="J53" i="2"/>
  <c r="P59" i="2" l="1"/>
  <c r="Q59" i="2" s="1"/>
  <c r="P60" i="2"/>
  <c r="Q60" i="2" s="1"/>
  <c r="G63" i="2"/>
  <c r="H63" i="2" s="1"/>
  <c r="P54" i="2"/>
  <c r="P55" i="2" s="1"/>
  <c r="G66" i="2" s="1"/>
  <c r="H66" i="2" s="1"/>
  <c r="G67" i="2" s="1"/>
  <c r="P56" i="2"/>
  <c r="G61" i="2" s="1"/>
  <c r="I291" i="2"/>
  <c r="L284" i="2" s="1"/>
  <c r="K214" i="1" s="1"/>
  <c r="I289" i="2"/>
  <c r="L282" i="2" s="1"/>
  <c r="K212" i="1" s="1"/>
  <c r="I292" i="2"/>
  <c r="L285" i="2" s="1"/>
  <c r="K215" i="1" s="1"/>
  <c r="I293" i="2"/>
  <c r="L286" i="2" s="1"/>
  <c r="K216" i="1" s="1"/>
  <c r="G259" i="2"/>
  <c r="G54" i="2"/>
  <c r="P159" i="2"/>
  <c r="P156" i="2"/>
  <c r="G161" i="2" s="1"/>
  <c r="Q258" i="2"/>
  <c r="Q257" i="2" s="1"/>
  <c r="G158" i="2"/>
  <c r="H158" i="2" s="1"/>
  <c r="P161" i="2"/>
  <c r="Q161" i="2" s="1"/>
  <c r="G257" i="2"/>
  <c r="H257" i="2" s="1"/>
  <c r="P158" i="2"/>
  <c r="I269" i="2"/>
  <c r="L265" i="2" s="1"/>
  <c r="K195" i="1" s="1"/>
  <c r="P294" i="2"/>
  <c r="Q294" i="2" s="1"/>
  <c r="P295" i="2" s="1"/>
  <c r="P306" i="2"/>
  <c r="P298" i="2"/>
  <c r="P302" i="2"/>
  <c r="P304" i="2"/>
  <c r="Q304" i="2" s="1"/>
  <c r="R304" i="2" s="1"/>
  <c r="S304" i="2" s="1"/>
  <c r="P305" i="2" s="1"/>
  <c r="P296" i="2"/>
  <c r="Q296" i="2" s="1"/>
  <c r="R296" i="2" s="1"/>
  <c r="P297" i="2" s="1"/>
  <c r="P300" i="2"/>
  <c r="Q300" i="2" s="1"/>
  <c r="R300" i="2" s="1"/>
  <c r="S300" i="2" s="1"/>
  <c r="P301" i="2" s="1"/>
  <c r="I218" i="2"/>
  <c r="L214" i="2" s="1"/>
  <c r="K158" i="1" s="1"/>
  <c r="Q207" i="2"/>
  <c r="Q206" i="2" s="1"/>
  <c r="P253" i="2"/>
  <c r="Q253" i="2" s="1"/>
  <c r="R253" i="2" s="1"/>
  <c r="S253" i="2" s="1"/>
  <c r="P254" i="2" s="1"/>
  <c r="I253" i="2" s="1"/>
  <c r="P249" i="2"/>
  <c r="Q249" i="2" s="1"/>
  <c r="R249" i="2" s="1"/>
  <c r="S249" i="2" s="1"/>
  <c r="P250" i="2" s="1"/>
  <c r="I249" i="2" s="1"/>
  <c r="P247" i="2"/>
  <c r="P245" i="2"/>
  <c r="P243" i="2"/>
  <c r="Q243" i="2" s="1"/>
  <c r="P244" i="2" s="1"/>
  <c r="P255" i="2"/>
  <c r="P251" i="2"/>
  <c r="P202" i="2"/>
  <c r="Q202" i="2" s="1"/>
  <c r="R202" i="2" s="1"/>
  <c r="S202" i="2" s="1"/>
  <c r="P203" i="2" s="1"/>
  <c r="I202" i="2" s="1"/>
  <c r="P200" i="2"/>
  <c r="P204" i="2"/>
  <c r="P198" i="2"/>
  <c r="Q198" i="2" s="1"/>
  <c r="R198" i="2" s="1"/>
  <c r="S198" i="2" s="1"/>
  <c r="P199" i="2" s="1"/>
  <c r="I198" i="2" s="1"/>
  <c r="P196" i="2"/>
  <c r="P194" i="2"/>
  <c r="Q194" i="2" s="1"/>
  <c r="R194" i="2" s="1"/>
  <c r="P195" i="2" s="1"/>
  <c r="I194" i="2" s="1"/>
  <c r="P192" i="2"/>
  <c r="Q192" i="2" s="1"/>
  <c r="P193" i="2" s="1"/>
  <c r="P145" i="2"/>
  <c r="P143" i="2"/>
  <c r="P141" i="2"/>
  <c r="Q141" i="2" s="1"/>
  <c r="P142" i="2" s="1"/>
  <c r="P147" i="2"/>
  <c r="Q147" i="2" s="1"/>
  <c r="R147" i="2" s="1"/>
  <c r="S147" i="2" s="1"/>
  <c r="P148" i="2" s="1"/>
  <c r="I147" i="2" s="1"/>
  <c r="L137" i="2" s="1"/>
  <c r="K109" i="1" s="1"/>
  <c r="P153" i="2"/>
  <c r="P151" i="2"/>
  <c r="P149" i="2"/>
  <c r="P105" i="2"/>
  <c r="P108" i="2"/>
  <c r="P92" i="2"/>
  <c r="Q92" i="2" s="1"/>
  <c r="R92" i="2" s="1"/>
  <c r="P93" i="2" s="1"/>
  <c r="P90" i="2"/>
  <c r="Q90" i="2" s="1"/>
  <c r="P91" i="2" s="1"/>
  <c r="P100" i="2"/>
  <c r="Q100" i="2" s="1"/>
  <c r="R100" i="2" s="1"/>
  <c r="S100" i="2" s="1"/>
  <c r="P101" i="2" s="1"/>
  <c r="P102" i="2"/>
  <c r="P96" i="2"/>
  <c r="Q96" i="2" s="1"/>
  <c r="R96" i="2" s="1"/>
  <c r="S96" i="2" s="1"/>
  <c r="P97" i="2" s="1"/>
  <c r="P98" i="2"/>
  <c r="P94" i="2"/>
  <c r="G59" i="2"/>
  <c r="H59" i="2" s="1"/>
  <c r="G60" i="2" s="1"/>
  <c r="P41" i="2"/>
  <c r="P39" i="2"/>
  <c r="Q39" i="2" s="1"/>
  <c r="P40" i="2" s="1"/>
  <c r="P51" i="2"/>
  <c r="P43" i="2"/>
  <c r="P49" i="2"/>
  <c r="P47" i="2"/>
  <c r="P45" i="2"/>
  <c r="M39" i="1"/>
  <c r="M40" i="1" s="1"/>
  <c r="M41" i="1" s="1"/>
  <c r="M42" i="1" s="1"/>
  <c r="M43" i="1" s="1"/>
  <c r="M44" i="1" s="1"/>
  <c r="M45" i="1" s="1"/>
  <c r="M46" i="1" s="1"/>
  <c r="M47" i="1" s="1"/>
  <c r="M48" i="1" s="1"/>
  <c r="M49" i="1" s="1"/>
  <c r="M50" i="1" s="1"/>
  <c r="M51" i="1" s="1"/>
  <c r="M52" i="1" s="1"/>
  <c r="M53" i="1" s="1"/>
  <c r="M54" i="1" s="1"/>
  <c r="M55" i="1" s="1"/>
  <c r="M56" i="1" s="1"/>
  <c r="M57" i="1" s="1"/>
  <c r="M58" i="1" s="1"/>
  <c r="M59" i="1" s="1"/>
  <c r="M60" i="1" s="1"/>
  <c r="M61" i="1" s="1"/>
  <c r="M62" i="1" s="1"/>
  <c r="M63" i="1" s="1"/>
  <c r="M64" i="1" s="1"/>
  <c r="M65" i="1" s="1"/>
  <c r="M66" i="1" s="1"/>
  <c r="M67" i="1" s="1"/>
  <c r="M68" i="1" s="1"/>
  <c r="M69" i="1" s="1"/>
  <c r="M70" i="1" s="1"/>
  <c r="M71" i="1" s="1"/>
  <c r="M72" i="1" s="1"/>
  <c r="M73" i="1" s="1"/>
  <c r="M74" i="1" s="1"/>
  <c r="M75" i="1" s="1"/>
  <c r="M113" i="1"/>
  <c r="M114" i="1" s="1"/>
  <c r="M115" i="1" s="1"/>
  <c r="M116" i="1" s="1"/>
  <c r="M117" i="1" s="1"/>
  <c r="M118" i="1" s="1"/>
  <c r="M119" i="1" s="1"/>
  <c r="M120" i="1" s="1"/>
  <c r="M121" i="1" s="1"/>
  <c r="M122" i="1" s="1"/>
  <c r="M123" i="1" s="1"/>
  <c r="M124" i="1" s="1"/>
  <c r="M125" i="1" s="1"/>
  <c r="M126" i="1" s="1"/>
  <c r="M127" i="1" s="1"/>
  <c r="M128" i="1" s="1"/>
  <c r="M129" i="1" s="1"/>
  <c r="M130" i="1" s="1"/>
  <c r="M131" i="1" s="1"/>
  <c r="M132" i="1" s="1"/>
  <c r="M133" i="1" s="1"/>
  <c r="M134" i="1" s="1"/>
  <c r="M135" i="1" s="1"/>
  <c r="M136" i="1" s="1"/>
  <c r="M137" i="1" s="1"/>
  <c r="M138" i="1" s="1"/>
  <c r="M139" i="1" s="1"/>
  <c r="M140" i="1" s="1"/>
  <c r="M141" i="1" s="1"/>
  <c r="M142" i="1" s="1"/>
  <c r="M143" i="1" s="1"/>
  <c r="M144" i="1" s="1"/>
  <c r="M145" i="1" s="1"/>
  <c r="M146" i="1" s="1"/>
  <c r="M147" i="1" s="1"/>
  <c r="M148" i="1" s="1"/>
  <c r="M149" i="1" s="1"/>
  <c r="M150" i="1"/>
  <c r="M151" i="1" s="1"/>
  <c r="M152" i="1" s="1"/>
  <c r="M153" i="1" s="1"/>
  <c r="M154" i="1" s="1"/>
  <c r="M155" i="1" s="1"/>
  <c r="M156" i="1" s="1"/>
  <c r="M157" i="1" s="1"/>
  <c r="M158" i="1" s="1"/>
  <c r="M159" i="1" s="1"/>
  <c r="M160" i="1" s="1"/>
  <c r="M161" i="1" s="1"/>
  <c r="M162" i="1" s="1"/>
  <c r="M163" i="1" s="1"/>
  <c r="M164" i="1" s="1"/>
  <c r="M165" i="1" s="1"/>
  <c r="M166" i="1" s="1"/>
  <c r="M167" i="1" s="1"/>
  <c r="M168" i="1" s="1"/>
  <c r="M169" i="1" s="1"/>
  <c r="M170" i="1" s="1"/>
  <c r="M171" i="1" s="1"/>
  <c r="M172" i="1" s="1"/>
  <c r="M173" i="1" s="1"/>
  <c r="M174" i="1" s="1"/>
  <c r="M175" i="1" s="1"/>
  <c r="M176" i="1" s="1"/>
  <c r="M177" i="1" s="1"/>
  <c r="M178" i="1" s="1"/>
  <c r="M179" i="1" s="1"/>
  <c r="M180" i="1" s="1"/>
  <c r="M181" i="1" s="1"/>
  <c r="M182" i="1" s="1"/>
  <c r="M183" i="1" s="1"/>
  <c r="M184" i="1" s="1"/>
  <c r="M185" i="1" s="1"/>
  <c r="M186" i="1" s="1"/>
  <c r="G5" i="2"/>
  <c r="H5" i="2" s="1"/>
  <c r="G12" i="2"/>
  <c r="M187" i="1"/>
  <c r="M188" i="1" s="1"/>
  <c r="M189" i="1" s="1"/>
  <c r="M190" i="1" s="1"/>
  <c r="M191" i="1" s="1"/>
  <c r="M192" i="1" s="1"/>
  <c r="M193" i="1" s="1"/>
  <c r="M194" i="1" s="1"/>
  <c r="M195" i="1" s="1"/>
  <c r="M196" i="1" s="1"/>
  <c r="M197" i="1" s="1"/>
  <c r="M198" i="1" s="1"/>
  <c r="M199" i="1" s="1"/>
  <c r="M200" i="1" s="1"/>
  <c r="M201" i="1" s="1"/>
  <c r="M202" i="1" s="1"/>
  <c r="M203" i="1" s="1"/>
  <c r="M204" i="1" s="1"/>
  <c r="M205" i="1" s="1"/>
  <c r="M206" i="1" s="1"/>
  <c r="M207" i="1" s="1"/>
  <c r="M208" i="1" s="1"/>
  <c r="M209" i="1" s="1"/>
  <c r="M210" i="1" s="1"/>
  <c r="M211" i="1" s="1"/>
  <c r="M212" i="1" s="1"/>
  <c r="M213" i="1" s="1"/>
  <c r="M214" i="1" s="1"/>
  <c r="M215" i="1" s="1"/>
  <c r="M216" i="1" s="1"/>
  <c r="M217" i="1" s="1"/>
  <c r="M218" i="1" s="1"/>
  <c r="M219" i="1" s="1"/>
  <c r="M220" i="1" s="1"/>
  <c r="M221" i="1" s="1"/>
  <c r="M222" i="1" s="1"/>
  <c r="M223" i="1" s="1"/>
  <c r="M76" i="1"/>
  <c r="M77" i="1" s="1"/>
  <c r="M78" i="1" s="1"/>
  <c r="M79" i="1" s="1"/>
  <c r="M80" i="1" s="1"/>
  <c r="M81" i="1" s="1"/>
  <c r="M82" i="1" s="1"/>
  <c r="M83" i="1" s="1"/>
  <c r="M84" i="1" s="1"/>
  <c r="M85" i="1" s="1"/>
  <c r="M86" i="1" s="1"/>
  <c r="M87" i="1" s="1"/>
  <c r="M88" i="1" s="1"/>
  <c r="M89" i="1" s="1"/>
  <c r="M90" i="1" s="1"/>
  <c r="M91" i="1" s="1"/>
  <c r="M92" i="1" s="1"/>
  <c r="M93" i="1" s="1"/>
  <c r="M94" i="1" s="1"/>
  <c r="M95" i="1" s="1"/>
  <c r="M96" i="1" s="1"/>
  <c r="M97" i="1" s="1"/>
  <c r="M98" i="1" s="1"/>
  <c r="M99" i="1" s="1"/>
  <c r="M100" i="1" s="1"/>
  <c r="M101" i="1" s="1"/>
  <c r="M102" i="1" s="1"/>
  <c r="M103" i="1" s="1"/>
  <c r="M104" i="1" s="1"/>
  <c r="M105" i="1" s="1"/>
  <c r="M106" i="1" s="1"/>
  <c r="M107" i="1" s="1"/>
  <c r="M108" i="1" s="1"/>
  <c r="M109" i="1" s="1"/>
  <c r="M110" i="1" s="1"/>
  <c r="M111" i="1" s="1"/>
  <c r="M112" i="1" s="1"/>
  <c r="G208" i="2"/>
  <c r="G164" i="2"/>
  <c r="H161" i="2"/>
  <c r="G162" i="2" s="1"/>
  <c r="P157" i="2"/>
  <c r="Q160" i="2"/>
  <c r="G55" i="2"/>
  <c r="G62" i="2"/>
  <c r="H61" i="2" s="1"/>
  <c r="J270" i="2"/>
  <c r="P259" i="2"/>
  <c r="G270" i="2" s="1"/>
  <c r="Q260" i="2"/>
  <c r="Q261" i="2"/>
  <c r="G266" i="2"/>
  <c r="I262" i="2"/>
  <c r="L260" i="2" s="1"/>
  <c r="K190" i="1" s="1"/>
  <c r="H263" i="2"/>
  <c r="G264" i="2" s="1"/>
  <c r="G265" i="2"/>
  <c r="P208" i="2"/>
  <c r="Q209" i="2"/>
  <c r="Q210" i="2"/>
  <c r="G215" i="2"/>
  <c r="G206" i="2"/>
  <c r="G214" i="2"/>
  <c r="I211" i="2"/>
  <c r="G212" i="2"/>
  <c r="H212" i="2" s="1"/>
  <c r="G213" i="2" s="1"/>
  <c r="G155" i="2"/>
  <c r="G163" i="2"/>
  <c r="G104" i="2"/>
  <c r="Q109" i="2"/>
  <c r="G112" i="2"/>
  <c r="J117" i="2"/>
  <c r="G106" i="2"/>
  <c r="G53" i="2"/>
  <c r="Q56" i="2"/>
  <c r="P61" i="2" s="1"/>
  <c r="J66" i="2"/>
  <c r="M2" i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35" i="1" s="1"/>
  <c r="M36" i="1" s="1"/>
  <c r="M37" i="1" s="1"/>
  <c r="M38" i="1" s="1"/>
  <c r="Q54" i="2" l="1"/>
  <c r="Q53" i="2" s="1"/>
  <c r="R58" i="2" s="1"/>
  <c r="H163" i="2"/>
  <c r="I167" i="2"/>
  <c r="L163" i="2" s="1"/>
  <c r="K121" i="1" s="1"/>
  <c r="Q158" i="2"/>
  <c r="R302" i="2"/>
  <c r="P303" i="2" s="1"/>
  <c r="I302" i="2" s="1"/>
  <c r="Q302" i="2"/>
  <c r="Q156" i="2"/>
  <c r="Q155" i="2" s="1"/>
  <c r="R161" i="2" s="1"/>
  <c r="R298" i="2"/>
  <c r="P299" i="2" s="1"/>
  <c r="I298" i="2" s="1"/>
  <c r="Q298" i="2"/>
  <c r="H206" i="2"/>
  <c r="I160" i="2"/>
  <c r="L158" i="2" s="1"/>
  <c r="K116" i="1" s="1"/>
  <c r="Q306" i="2"/>
  <c r="R306" i="2"/>
  <c r="P307" i="2" s="1"/>
  <c r="I306" i="2" s="1"/>
  <c r="Q159" i="2"/>
  <c r="G156" i="2"/>
  <c r="H155" i="2" s="1"/>
  <c r="R255" i="2"/>
  <c r="P256" i="2" s="1"/>
  <c r="I255" i="2" s="1"/>
  <c r="Q255" i="2"/>
  <c r="Q247" i="2"/>
  <c r="R247" i="2" s="1"/>
  <c r="P248" i="2" s="1"/>
  <c r="R245" i="2"/>
  <c r="P246" i="2" s="1"/>
  <c r="I245" i="2" s="1"/>
  <c r="L237" i="2" s="1"/>
  <c r="K181" i="1" s="1"/>
  <c r="Q245" i="2"/>
  <c r="Q251" i="2"/>
  <c r="R251" i="2" s="1"/>
  <c r="P252" i="2" s="1"/>
  <c r="R59" i="2"/>
  <c r="Q196" i="2"/>
  <c r="R196" i="2" s="1"/>
  <c r="P197" i="2" s="1"/>
  <c r="R204" i="2"/>
  <c r="P205" i="2" s="1"/>
  <c r="I204" i="2" s="1"/>
  <c r="Q204" i="2"/>
  <c r="R200" i="2"/>
  <c r="P201" i="2" s="1"/>
  <c r="I200" i="2" s="1"/>
  <c r="Q200" i="2"/>
  <c r="G105" i="2"/>
  <c r="H104" i="2" s="1"/>
  <c r="Q108" i="2"/>
  <c r="P112" i="2" s="1"/>
  <c r="G113" i="2"/>
  <c r="H112" i="2" s="1"/>
  <c r="I116" i="2"/>
  <c r="L112" i="2" s="1"/>
  <c r="K84" i="1" s="1"/>
  <c r="G110" i="2"/>
  <c r="H110" i="2" s="1"/>
  <c r="G111" i="2" s="1"/>
  <c r="P106" i="2"/>
  <c r="G117" i="2" s="1"/>
  <c r="H117" i="2" s="1"/>
  <c r="G118" i="2" s="1"/>
  <c r="Q145" i="2"/>
  <c r="R145" i="2" s="1"/>
  <c r="P146" i="2" s="1"/>
  <c r="I145" i="2" s="1"/>
  <c r="I109" i="2"/>
  <c r="L107" i="2" s="1"/>
  <c r="K79" i="1" s="1"/>
  <c r="Q105" i="2"/>
  <c r="Q104" i="2" s="1"/>
  <c r="Q149" i="2"/>
  <c r="R149" i="2" s="1"/>
  <c r="P150" i="2" s="1"/>
  <c r="Q151" i="2"/>
  <c r="R151" i="2" s="1"/>
  <c r="S151" i="2" s="1"/>
  <c r="P152" i="2" s="1"/>
  <c r="R153" i="2"/>
  <c r="P154" i="2" s="1"/>
  <c r="I153" i="2" s="1"/>
  <c r="Q153" i="2"/>
  <c r="Q143" i="2"/>
  <c r="R143" i="2"/>
  <c r="P144" i="2" s="1"/>
  <c r="I143" i="2" s="1"/>
  <c r="L135" i="2" s="1"/>
  <c r="K107" i="1" s="1"/>
  <c r="Q98" i="2"/>
  <c r="R98" i="2" s="1"/>
  <c r="P99" i="2" s="1"/>
  <c r="I98" i="2" s="1"/>
  <c r="R102" i="2"/>
  <c r="P103" i="2" s="1"/>
  <c r="I102" i="2" s="1"/>
  <c r="Q102" i="2"/>
  <c r="T68" i="2"/>
  <c r="T67" i="2"/>
  <c r="T66" i="2"/>
  <c r="T70" i="2"/>
  <c r="Q94" i="2"/>
  <c r="R94" i="2" s="1"/>
  <c r="P95" i="2" s="1"/>
  <c r="Q45" i="2"/>
  <c r="R45" i="2" s="1"/>
  <c r="S45" i="2" s="1"/>
  <c r="Q47" i="2"/>
  <c r="R47" i="2" s="1"/>
  <c r="P48" i="2" s="1"/>
  <c r="Q49" i="2"/>
  <c r="R49" i="2" s="1"/>
  <c r="Q43" i="2"/>
  <c r="R43" i="2" s="1"/>
  <c r="P44" i="2" s="1"/>
  <c r="Q51" i="2"/>
  <c r="R51" i="2" s="1"/>
  <c r="P52" i="2" s="1"/>
  <c r="Q41" i="2"/>
  <c r="R41" i="2" s="1"/>
  <c r="P42" i="2" s="1"/>
  <c r="H265" i="2"/>
  <c r="H53" i="2"/>
  <c r="G168" i="2"/>
  <c r="H168" i="2" s="1"/>
  <c r="G169" i="2" s="1"/>
  <c r="P4" i="2"/>
  <c r="G8" i="2"/>
  <c r="H8" i="2" s="1"/>
  <c r="G9" i="2" s="1"/>
  <c r="L209" i="2"/>
  <c r="K153" i="1" s="1"/>
  <c r="L241" i="2"/>
  <c r="K185" i="1" s="1"/>
  <c r="L239" i="2"/>
  <c r="K183" i="1" s="1"/>
  <c r="L188" i="2"/>
  <c r="K146" i="1" s="1"/>
  <c r="L186" i="2"/>
  <c r="K144" i="1" s="1"/>
  <c r="L190" i="2"/>
  <c r="K148" i="1" s="1"/>
  <c r="P265" i="2"/>
  <c r="H270" i="2"/>
  <c r="G271" i="2" s="1"/>
  <c r="R263" i="2"/>
  <c r="R262" i="2"/>
  <c r="R261" i="2"/>
  <c r="R260" i="2"/>
  <c r="R212" i="2"/>
  <c r="R211" i="2"/>
  <c r="R210" i="2"/>
  <c r="R209" i="2"/>
  <c r="P214" i="2"/>
  <c r="H214" i="2"/>
  <c r="G219" i="2"/>
  <c r="H219" i="2" s="1"/>
  <c r="G220" i="2" s="1"/>
  <c r="R158" i="2" l="1"/>
  <c r="R57" i="2"/>
  <c r="R56" i="2"/>
  <c r="P163" i="2"/>
  <c r="T171" i="2" s="1"/>
  <c r="R159" i="2"/>
  <c r="T275" i="2"/>
  <c r="T273" i="2"/>
  <c r="T272" i="2"/>
  <c r="T270" i="2"/>
  <c r="T271" i="2"/>
  <c r="R160" i="2"/>
  <c r="R156" i="2" s="1"/>
  <c r="R155" i="2" s="1"/>
  <c r="S160" i="2" s="1"/>
  <c r="T222" i="2"/>
  <c r="T220" i="2"/>
  <c r="T224" i="2"/>
  <c r="T223" i="2"/>
  <c r="T219" i="2"/>
  <c r="T119" i="2"/>
  <c r="T118" i="2"/>
  <c r="T117" i="2"/>
  <c r="T122" i="2"/>
  <c r="T121" i="2"/>
  <c r="R109" i="2"/>
  <c r="R108" i="2"/>
  <c r="R107" i="2"/>
  <c r="R110" i="2"/>
  <c r="G15" i="2"/>
  <c r="H15" i="2" s="1"/>
  <c r="G16" i="2" s="1"/>
  <c r="I15" i="2" s="1"/>
  <c r="R207" i="2"/>
  <c r="R206" i="2" s="1"/>
  <c r="S211" i="2" s="1"/>
  <c r="R258" i="2"/>
  <c r="R257" i="2" s="1"/>
  <c r="S261" i="2" s="1"/>
  <c r="P46" i="2"/>
  <c r="S49" i="2"/>
  <c r="P50" i="2" s="1"/>
  <c r="I49" i="2" s="1"/>
  <c r="G38" i="1"/>
  <c r="G37" i="1"/>
  <c r="G36" i="1"/>
  <c r="G35" i="1"/>
  <c r="G34" i="1"/>
  <c r="G33" i="1"/>
  <c r="G32" i="1"/>
  <c r="G15" i="1"/>
  <c r="G16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14" i="1"/>
  <c r="G12" i="1"/>
  <c r="G11" i="1"/>
  <c r="G10" i="1"/>
  <c r="G9" i="1"/>
  <c r="G8" i="1"/>
  <c r="G7" i="1"/>
  <c r="G6" i="1"/>
  <c r="G4" i="1"/>
  <c r="G5" i="1"/>
  <c r="G3" i="1"/>
  <c r="G2" i="1"/>
  <c r="H12" i="2"/>
  <c r="P25" i="2"/>
  <c r="P24" i="2"/>
  <c r="P23" i="2"/>
  <c r="P22" i="2"/>
  <c r="Q25" i="2"/>
  <c r="S25" i="2" s="1"/>
  <c r="Q24" i="2"/>
  <c r="S24" i="2" s="1"/>
  <c r="Q23" i="2"/>
  <c r="S23" i="2" s="1"/>
  <c r="Q22" i="2"/>
  <c r="S22" i="2" s="1"/>
  <c r="Q20" i="2"/>
  <c r="S20" i="2" s="1"/>
  <c r="Q19" i="2"/>
  <c r="S19" i="2" s="1"/>
  <c r="Q18" i="2"/>
  <c r="S18" i="2" s="1"/>
  <c r="Q17" i="2"/>
  <c r="S17" i="2" s="1"/>
  <c r="Q16" i="2"/>
  <c r="S16" i="2" s="1"/>
  <c r="Q15" i="2"/>
  <c r="S15" i="2" s="1"/>
  <c r="P9" i="2"/>
  <c r="Q9" i="2" s="1"/>
  <c r="J39" i="2"/>
  <c r="J31" i="2"/>
  <c r="J14" i="2"/>
  <c r="J12" i="2"/>
  <c r="P8" i="2"/>
  <c r="Q8" i="2" s="1"/>
  <c r="P7" i="2"/>
  <c r="G4" i="2" s="1"/>
  <c r="P6" i="2"/>
  <c r="P5" i="2"/>
  <c r="AG15" i="1"/>
  <c r="AI15" i="1" s="1"/>
  <c r="AG14" i="1"/>
  <c r="AI14" i="1" s="1"/>
  <c r="AG13" i="1"/>
  <c r="AI13" i="1" s="1"/>
  <c r="AG12" i="1"/>
  <c r="AI12" i="1" s="1"/>
  <c r="AG10" i="1"/>
  <c r="AI10" i="1" s="1"/>
  <c r="AG9" i="1"/>
  <c r="AI9" i="1" s="1"/>
  <c r="AG8" i="1"/>
  <c r="AI8" i="1" s="1"/>
  <c r="AG7" i="1"/>
  <c r="AI7" i="1" s="1"/>
  <c r="AG6" i="1"/>
  <c r="AI6" i="1" s="1"/>
  <c r="AG5" i="1"/>
  <c r="AI5" i="1" s="1"/>
  <c r="Y38" i="1"/>
  <c r="AB38" i="1" s="1"/>
  <c r="Y37" i="1"/>
  <c r="AB37" i="1" s="1"/>
  <c r="Y36" i="1"/>
  <c r="AB36" i="1" s="1"/>
  <c r="Y35" i="1"/>
  <c r="AB35" i="1" s="1"/>
  <c r="Y34" i="1"/>
  <c r="AB34" i="1" s="1"/>
  <c r="Y33" i="1"/>
  <c r="AB33" i="1" s="1"/>
  <c r="Y32" i="1"/>
  <c r="AB32" i="1" s="1"/>
  <c r="Y31" i="1"/>
  <c r="AB31" i="1" s="1"/>
  <c r="Y30" i="1"/>
  <c r="AB30" i="1" s="1"/>
  <c r="Y29" i="1"/>
  <c r="AB29" i="1" s="1"/>
  <c r="Y28" i="1"/>
  <c r="AB28" i="1" s="1"/>
  <c r="Y27" i="1"/>
  <c r="AB27" i="1" s="1"/>
  <c r="Y26" i="1"/>
  <c r="AB26" i="1" s="1"/>
  <c r="Y25" i="1"/>
  <c r="AB25" i="1" s="1"/>
  <c r="Y24" i="1"/>
  <c r="AB24" i="1" s="1"/>
  <c r="Y23" i="1"/>
  <c r="AB23" i="1" s="1"/>
  <c r="Y22" i="1"/>
  <c r="AB22" i="1" s="1"/>
  <c r="Y21" i="1"/>
  <c r="AB21" i="1" s="1"/>
  <c r="Y20" i="1"/>
  <c r="AB20" i="1" s="1"/>
  <c r="Y19" i="1"/>
  <c r="AB19" i="1" s="1"/>
  <c r="Y18" i="1"/>
  <c r="AB18" i="1" s="1"/>
  <c r="Y17" i="1"/>
  <c r="AB17" i="1" s="1"/>
  <c r="Y16" i="1"/>
  <c r="AB16" i="1" s="1"/>
  <c r="Y13" i="1"/>
  <c r="AB13" i="1" s="1"/>
  <c r="Y12" i="1"/>
  <c r="AB12" i="1" s="1"/>
  <c r="Y11" i="1"/>
  <c r="AB11" i="1" s="1"/>
  <c r="Y10" i="1"/>
  <c r="AB10" i="1" s="1"/>
  <c r="Y9" i="1"/>
  <c r="AB9" i="1" s="1"/>
  <c r="Y8" i="1"/>
  <c r="AB8" i="1" s="1"/>
  <c r="Y7" i="1"/>
  <c r="AB7" i="1" s="1"/>
  <c r="Y6" i="1"/>
  <c r="AB6" i="1" s="1"/>
  <c r="Y5" i="1"/>
  <c r="AB5" i="1" s="1"/>
  <c r="Y4" i="1"/>
  <c r="AB4" i="1" s="1"/>
  <c r="Y3" i="1"/>
  <c r="AB3" i="1" s="1"/>
  <c r="Y2" i="1"/>
  <c r="AB2" i="1" s="1"/>
  <c r="T173" i="2" l="1"/>
  <c r="R54" i="2"/>
  <c r="R53" i="2" s="1"/>
  <c r="S58" i="2" s="1"/>
  <c r="T168" i="2"/>
  <c r="T169" i="2"/>
  <c r="T172" i="2"/>
  <c r="F217" i="1"/>
  <c r="F143" i="1"/>
  <c r="F180" i="1"/>
  <c r="F106" i="1"/>
  <c r="F69" i="1"/>
  <c r="F32" i="1"/>
  <c r="F195" i="1"/>
  <c r="F121" i="1"/>
  <c r="F84" i="1"/>
  <c r="F47" i="1"/>
  <c r="F10" i="1"/>
  <c r="F158" i="1"/>
  <c r="S209" i="2"/>
  <c r="S159" i="2"/>
  <c r="S158" i="2"/>
  <c r="Q3" i="2"/>
  <c r="Q2" i="2" s="1"/>
  <c r="R105" i="2"/>
  <c r="R104" i="2" s="1"/>
  <c r="S210" i="2"/>
  <c r="S260" i="2"/>
  <c r="S262" i="2"/>
  <c r="F45" i="1"/>
  <c r="F82" i="1"/>
  <c r="F193" i="1"/>
  <c r="F156" i="1"/>
  <c r="F119" i="1"/>
  <c r="F8" i="1"/>
  <c r="G10" i="2"/>
  <c r="G2" i="2"/>
  <c r="G11" i="2"/>
  <c r="G3" i="2"/>
  <c r="F209" i="1"/>
  <c r="F98" i="1"/>
  <c r="F135" i="1"/>
  <c r="F172" i="1"/>
  <c r="F24" i="1"/>
  <c r="F61" i="1"/>
  <c r="Q5" i="2"/>
  <c r="Q7" i="2"/>
  <c r="Q6" i="2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R48" i="6"/>
  <c r="B48" i="6"/>
  <c r="R47" i="6"/>
  <c r="B47" i="6"/>
  <c r="R46" i="6"/>
  <c r="B46" i="6"/>
  <c r="R45" i="6"/>
  <c r="B45" i="6"/>
  <c r="R44" i="6"/>
  <c r="B44" i="6"/>
  <c r="R43" i="6"/>
  <c r="B43" i="6"/>
  <c r="R42" i="6"/>
  <c r="B42" i="6"/>
  <c r="R41" i="6"/>
  <c r="B41" i="6"/>
  <c r="R40" i="6"/>
  <c r="B40" i="6"/>
  <c r="R39" i="6"/>
  <c r="B39" i="6"/>
  <c r="R38" i="6"/>
  <c r="B38" i="6"/>
  <c r="R37" i="6"/>
  <c r="B37" i="6"/>
  <c r="R36" i="6"/>
  <c r="B36" i="6"/>
  <c r="R35" i="6"/>
  <c r="B35" i="6"/>
  <c r="R34" i="6"/>
  <c r="B34" i="6"/>
  <c r="R33" i="6"/>
  <c r="B33" i="6"/>
  <c r="R32" i="6"/>
  <c r="B32" i="6"/>
  <c r="R31" i="6"/>
  <c r="B31" i="6"/>
  <c r="R30" i="6"/>
  <c r="B30" i="6"/>
  <c r="U29" i="6"/>
  <c r="AC29" i="6" s="1"/>
  <c r="S39" i="6" s="1"/>
  <c r="B29" i="6"/>
  <c r="B28" i="6"/>
  <c r="R27" i="6"/>
  <c r="B27" i="6"/>
  <c r="R26" i="6"/>
  <c r="B26" i="6"/>
  <c r="R25" i="6"/>
  <c r="B25" i="6"/>
  <c r="R24" i="6"/>
  <c r="B24" i="6"/>
  <c r="R23" i="6"/>
  <c r="B23" i="6"/>
  <c r="R22" i="6"/>
  <c r="B22" i="6"/>
  <c r="R21" i="6"/>
  <c r="B21" i="6"/>
  <c r="R20" i="6"/>
  <c r="B20" i="6"/>
  <c r="R19" i="6"/>
  <c r="B19" i="6"/>
  <c r="R18" i="6"/>
  <c r="B18" i="6"/>
  <c r="B17" i="6"/>
  <c r="B16" i="6"/>
  <c r="B15" i="6"/>
  <c r="R14" i="6"/>
  <c r="B14" i="6"/>
  <c r="R13" i="6"/>
  <c r="B13" i="6"/>
  <c r="R12" i="6"/>
  <c r="B12" i="6"/>
  <c r="R11" i="6"/>
  <c r="B11" i="6"/>
  <c r="R10" i="6"/>
  <c r="B10" i="6"/>
  <c r="R9" i="6"/>
  <c r="B9" i="6"/>
  <c r="R8" i="6"/>
  <c r="B8" i="6"/>
  <c r="R7" i="6"/>
  <c r="B7" i="6"/>
  <c r="R6" i="6"/>
  <c r="L6" i="6"/>
  <c r="M6" i="6" s="1"/>
  <c r="B6" i="6"/>
  <c r="R5" i="6"/>
  <c r="B5" i="6"/>
  <c r="R4" i="6"/>
  <c r="B4" i="6"/>
  <c r="R3" i="6"/>
  <c r="B3" i="6"/>
  <c r="U2" i="6"/>
  <c r="E2" i="6"/>
  <c r="I2" i="6" s="1"/>
  <c r="C4" i="6" s="1"/>
  <c r="E4" i="6" s="1"/>
  <c r="S57" i="2" l="1"/>
  <c r="S56" i="2"/>
  <c r="S53" i="2" s="1"/>
  <c r="T75" i="2" s="1"/>
  <c r="S206" i="2"/>
  <c r="T226" i="2" s="1"/>
  <c r="S155" i="2"/>
  <c r="T177" i="2" s="1"/>
  <c r="S257" i="2"/>
  <c r="T277" i="2" s="1"/>
  <c r="S108" i="2"/>
  <c r="S107" i="2"/>
  <c r="S109" i="2"/>
  <c r="G2" i="6"/>
  <c r="C3" i="6" s="1"/>
  <c r="E3" i="6" s="1"/>
  <c r="AC2" i="6"/>
  <c r="S15" i="6" s="1"/>
  <c r="Y2" i="6"/>
  <c r="S3" i="6" s="1"/>
  <c r="U3" i="6" s="1"/>
  <c r="H10" i="2"/>
  <c r="H2" i="2"/>
  <c r="R8" i="2"/>
  <c r="R7" i="2"/>
  <c r="R6" i="2"/>
  <c r="R5" i="2"/>
  <c r="P10" i="2"/>
  <c r="L9" i="6"/>
  <c r="M9" i="6" s="1"/>
  <c r="I3" i="6"/>
  <c r="C6" i="6" s="1"/>
  <c r="E6" i="6" s="1"/>
  <c r="G3" i="6"/>
  <c r="C5" i="6" s="1"/>
  <c r="E5" i="6" s="1"/>
  <c r="I4" i="6"/>
  <c r="G4" i="6"/>
  <c r="C7" i="6" s="1"/>
  <c r="E7" i="6" s="1"/>
  <c r="Y29" i="6"/>
  <c r="S30" i="6" s="1"/>
  <c r="U30" i="6" s="1"/>
  <c r="T74" i="2" l="1"/>
  <c r="T229" i="2"/>
  <c r="T227" i="2"/>
  <c r="R3" i="2"/>
  <c r="R2" i="2" s="1"/>
  <c r="S7" i="2" s="1"/>
  <c r="T279" i="2"/>
  <c r="T280" i="2"/>
  <c r="T178" i="2"/>
  <c r="T175" i="2"/>
  <c r="S104" i="2"/>
  <c r="T125" i="2" s="1"/>
  <c r="T20" i="2"/>
  <c r="U20" i="2" s="1"/>
  <c r="T19" i="2"/>
  <c r="U19" i="2" s="1"/>
  <c r="T18" i="2"/>
  <c r="T16" i="2"/>
  <c r="T15" i="2"/>
  <c r="U15" i="2" s="1"/>
  <c r="Y3" i="6"/>
  <c r="S4" i="6" s="1"/>
  <c r="U4" i="6" s="1"/>
  <c r="AC3" i="6"/>
  <c r="S16" i="6" s="1"/>
  <c r="U122" i="2"/>
  <c r="U119" i="2"/>
  <c r="U173" i="2"/>
  <c r="U272" i="2"/>
  <c r="U224" i="2"/>
  <c r="U68" i="2"/>
  <c r="U275" i="2"/>
  <c r="U172" i="2"/>
  <c r="U121" i="2"/>
  <c r="U223" i="2"/>
  <c r="U70" i="2"/>
  <c r="AC30" i="6"/>
  <c r="S40" i="6" s="1"/>
  <c r="Y30" i="6"/>
  <c r="S31" i="6" s="1"/>
  <c r="U31" i="6" s="1"/>
  <c r="C11" i="6"/>
  <c r="E11" i="6" s="1"/>
  <c r="I7" i="6"/>
  <c r="C13" i="6" s="1"/>
  <c r="E13" i="6" s="1"/>
  <c r="G7" i="6"/>
  <c r="C12" i="6" s="1"/>
  <c r="E12" i="6" s="1"/>
  <c r="I5" i="6"/>
  <c r="C9" i="6" s="1"/>
  <c r="E9" i="6" s="1"/>
  <c r="G5" i="6"/>
  <c r="C8" i="6" s="1"/>
  <c r="E8" i="6" s="1"/>
  <c r="I6" i="6"/>
  <c r="G6" i="6"/>
  <c r="C10" i="6" s="1"/>
  <c r="E10" i="6" s="1"/>
  <c r="L12" i="6"/>
  <c r="M12" i="6" s="1"/>
  <c r="T126" i="2" l="1"/>
  <c r="T124" i="2"/>
  <c r="AC4" i="6"/>
  <c r="S17" i="6" s="1"/>
  <c r="Y4" i="6"/>
  <c r="S5" i="6" s="1"/>
  <c r="U5" i="6" s="1"/>
  <c r="U117" i="2"/>
  <c r="U270" i="2"/>
  <c r="U168" i="2"/>
  <c r="U219" i="2"/>
  <c r="U66" i="2"/>
  <c r="S5" i="2"/>
  <c r="S6" i="2"/>
  <c r="I9" i="6"/>
  <c r="G9" i="6"/>
  <c r="C16" i="6" s="1"/>
  <c r="E16" i="6" s="1"/>
  <c r="G8" i="6"/>
  <c r="C14" i="6" s="1"/>
  <c r="E14" i="6" s="1"/>
  <c r="I8" i="6"/>
  <c r="C15" i="6" s="1"/>
  <c r="E15" i="6" s="1"/>
  <c r="I13" i="6"/>
  <c r="C24" i="6" s="1"/>
  <c r="E24" i="6" s="1"/>
  <c r="G13" i="6"/>
  <c r="C23" i="6" s="1"/>
  <c r="E23" i="6" s="1"/>
  <c r="I11" i="6"/>
  <c r="C21" i="6" s="1"/>
  <c r="E21" i="6" s="1"/>
  <c r="G11" i="6"/>
  <c r="C20" i="6" s="1"/>
  <c r="E20" i="6" s="1"/>
  <c r="I12" i="6"/>
  <c r="C22" i="6" s="1"/>
  <c r="E22" i="6" s="1"/>
  <c r="G12" i="6"/>
  <c r="L15" i="6"/>
  <c r="M15" i="6" s="1"/>
  <c r="AC31" i="6"/>
  <c r="S41" i="6" s="1"/>
  <c r="Y31" i="6"/>
  <c r="S32" i="6" s="1"/>
  <c r="U32" i="6" s="1"/>
  <c r="C17" i="6"/>
  <c r="E17" i="6" s="1"/>
  <c r="I10" i="6"/>
  <c r="C19" i="6" s="1"/>
  <c r="E19" i="6" s="1"/>
  <c r="G10" i="6"/>
  <c r="C18" i="6" s="1"/>
  <c r="E18" i="6" s="1"/>
  <c r="S2" i="2" l="1"/>
  <c r="AC5" i="6"/>
  <c r="S18" i="6" s="1"/>
  <c r="Y5" i="6"/>
  <c r="S6" i="6" s="1"/>
  <c r="U6" i="6" s="1"/>
  <c r="I15" i="6"/>
  <c r="C28" i="6" s="1"/>
  <c r="E28" i="6" s="1"/>
  <c r="G15" i="6"/>
  <c r="C27" i="6" s="1"/>
  <c r="E27" i="6" s="1"/>
  <c r="C36" i="6"/>
  <c r="E36" i="6" s="1"/>
  <c r="I20" i="6"/>
  <c r="C37" i="6" s="1"/>
  <c r="E37" i="6" s="1"/>
  <c r="G20" i="6"/>
  <c r="G21" i="6"/>
  <c r="I21" i="6"/>
  <c r="I24" i="6"/>
  <c r="G24" i="6"/>
  <c r="L18" i="6"/>
  <c r="M18" i="6" s="1"/>
  <c r="I14" i="6"/>
  <c r="C26" i="6" s="1"/>
  <c r="E26" i="6" s="1"/>
  <c r="G14" i="6"/>
  <c r="C25" i="6" s="1"/>
  <c r="E25" i="6" s="1"/>
  <c r="I16" i="6"/>
  <c r="C29" i="6" s="1"/>
  <c r="E29" i="6" s="1"/>
  <c r="G16" i="6"/>
  <c r="C30" i="6" s="1"/>
  <c r="E30" i="6" s="1"/>
  <c r="I19" i="6"/>
  <c r="C35" i="6" s="1"/>
  <c r="E35" i="6" s="1"/>
  <c r="G19" i="6"/>
  <c r="C34" i="6" s="1"/>
  <c r="E34" i="6" s="1"/>
  <c r="G17" i="6"/>
  <c r="C31" i="6"/>
  <c r="E31" i="6" s="1"/>
  <c r="I17" i="6"/>
  <c r="AC32" i="6"/>
  <c r="S42" i="6" s="1"/>
  <c r="Y32" i="6"/>
  <c r="S33" i="6" s="1"/>
  <c r="U33" i="6" s="1"/>
  <c r="I23" i="6"/>
  <c r="G23" i="6"/>
  <c r="C40" i="6" s="1"/>
  <c r="E40" i="6" s="1"/>
  <c r="I18" i="6"/>
  <c r="C33" i="6" s="1"/>
  <c r="E33" i="6" s="1"/>
  <c r="G18" i="6"/>
  <c r="C32" i="6" s="1"/>
  <c r="E32" i="6" s="1"/>
  <c r="G22" i="6"/>
  <c r="C38" i="6" s="1"/>
  <c r="E38" i="6" s="1"/>
  <c r="I22" i="6"/>
  <c r="C39" i="6" s="1"/>
  <c r="E39" i="6" s="1"/>
  <c r="T25" i="2" l="1"/>
  <c r="T23" i="2"/>
  <c r="U23" i="2" s="1"/>
  <c r="AC6" i="6"/>
  <c r="S19" i="6" s="1"/>
  <c r="Y6" i="6"/>
  <c r="S7" i="6" s="1"/>
  <c r="U7" i="6" s="1"/>
  <c r="U74" i="2"/>
  <c r="U227" i="2"/>
  <c r="U125" i="2"/>
  <c r="I40" i="6"/>
  <c r="C59" i="6" s="1"/>
  <c r="E59" i="6" s="1"/>
  <c r="G40" i="6"/>
  <c r="I30" i="6"/>
  <c r="G30" i="6"/>
  <c r="C49" i="6" s="1"/>
  <c r="E49" i="6" s="1"/>
  <c r="AC33" i="6"/>
  <c r="S43" i="6" s="1"/>
  <c r="Y33" i="6"/>
  <c r="S34" i="6" s="1"/>
  <c r="U34" i="6" s="1"/>
  <c r="I29" i="6"/>
  <c r="C47" i="6" s="1"/>
  <c r="E47" i="6" s="1"/>
  <c r="G29" i="6"/>
  <c r="C48" i="6" s="1"/>
  <c r="E48" i="6" s="1"/>
  <c r="I25" i="6"/>
  <c r="C42" i="6" s="1"/>
  <c r="E42" i="6" s="1"/>
  <c r="G25" i="6"/>
  <c r="C41" i="6" s="1"/>
  <c r="E41" i="6" s="1"/>
  <c r="G39" i="6"/>
  <c r="I39" i="6"/>
  <c r="C58" i="6" s="1"/>
  <c r="E58" i="6" s="1"/>
  <c r="I26" i="6"/>
  <c r="C43" i="6" s="1"/>
  <c r="E43" i="6" s="1"/>
  <c r="G26" i="6"/>
  <c r="C44" i="6" s="1"/>
  <c r="E44" i="6" s="1"/>
  <c r="I37" i="6"/>
  <c r="G37" i="6"/>
  <c r="L21" i="6"/>
  <c r="M21" i="6" s="1"/>
  <c r="I36" i="6"/>
  <c r="G36" i="6"/>
  <c r="I38" i="6"/>
  <c r="G38" i="6"/>
  <c r="G31" i="6"/>
  <c r="I31" i="6"/>
  <c r="C50" i="6" s="1"/>
  <c r="E50" i="6" s="1"/>
  <c r="I32" i="6"/>
  <c r="C51" i="6" s="1"/>
  <c r="E51" i="6" s="1"/>
  <c r="G32" i="6"/>
  <c r="C52" i="6" s="1"/>
  <c r="E52" i="6" s="1"/>
  <c r="C45" i="6"/>
  <c r="E45" i="6" s="1"/>
  <c r="I27" i="6"/>
  <c r="G27" i="6"/>
  <c r="I35" i="6"/>
  <c r="C57" i="6" s="1"/>
  <c r="E57" i="6" s="1"/>
  <c r="G35" i="6"/>
  <c r="G33" i="6"/>
  <c r="C53" i="6" s="1"/>
  <c r="E53" i="6" s="1"/>
  <c r="I33" i="6"/>
  <c r="C54" i="6" s="1"/>
  <c r="E54" i="6" s="1"/>
  <c r="I34" i="6"/>
  <c r="C56" i="6" s="1"/>
  <c r="E56" i="6" s="1"/>
  <c r="G34" i="6"/>
  <c r="C55" i="6" s="1"/>
  <c r="E55" i="6" s="1"/>
  <c r="I28" i="6"/>
  <c r="C46" i="6" s="1"/>
  <c r="E46" i="6" s="1"/>
  <c r="G28" i="6"/>
  <c r="AC7" i="6" l="1"/>
  <c r="S20" i="6" s="1"/>
  <c r="Y7" i="6"/>
  <c r="S8" i="6" s="1"/>
  <c r="U8" i="6" s="1"/>
  <c r="U277" i="2"/>
  <c r="U124" i="2"/>
  <c r="U175" i="2"/>
  <c r="U226" i="2"/>
  <c r="N21" i="6"/>
  <c r="L24" i="6"/>
  <c r="M24" i="6" s="1"/>
  <c r="C83" i="6"/>
  <c r="E83" i="6" s="1"/>
  <c r="G57" i="6"/>
  <c r="I57" i="6"/>
  <c r="I44" i="6"/>
  <c r="C66" i="6" s="1"/>
  <c r="E66" i="6" s="1"/>
  <c r="G44" i="6"/>
  <c r="C67" i="6" s="1"/>
  <c r="E67" i="6" s="1"/>
  <c r="AC34" i="6"/>
  <c r="S44" i="6" s="1"/>
  <c r="Y34" i="6"/>
  <c r="S35" i="6" s="1"/>
  <c r="I56" i="6"/>
  <c r="C82" i="6" s="1"/>
  <c r="E82" i="6" s="1"/>
  <c r="G56" i="6"/>
  <c r="C81" i="6" s="1"/>
  <c r="E81" i="6" s="1"/>
  <c r="I53" i="6"/>
  <c r="C80" i="6" s="1"/>
  <c r="E80" i="6" s="1"/>
  <c r="G53" i="6"/>
  <c r="C79" i="6" s="1"/>
  <c r="E79" i="6" s="1"/>
  <c r="I47" i="6"/>
  <c r="C72" i="6" s="1"/>
  <c r="E72" i="6" s="1"/>
  <c r="G47" i="6"/>
  <c r="I43" i="6"/>
  <c r="C65" i="6" s="1"/>
  <c r="E65" i="6" s="1"/>
  <c r="G43" i="6"/>
  <c r="C64" i="6" s="1"/>
  <c r="E64" i="6" s="1"/>
  <c r="I52" i="6"/>
  <c r="G52" i="6"/>
  <c r="I50" i="6"/>
  <c r="C75" i="6" s="1"/>
  <c r="E75" i="6" s="1"/>
  <c r="G50" i="6"/>
  <c r="C76" i="6" s="1"/>
  <c r="E76" i="6" s="1"/>
  <c r="I48" i="6"/>
  <c r="C111" i="6" s="1"/>
  <c r="E111" i="6" s="1"/>
  <c r="G48" i="6"/>
  <c r="I46" i="6"/>
  <c r="C71" i="6" s="1"/>
  <c r="E71" i="6" s="1"/>
  <c r="G46" i="6"/>
  <c r="C70" i="6" s="1"/>
  <c r="E70" i="6" s="1"/>
  <c r="I58" i="6"/>
  <c r="C86" i="6" s="1"/>
  <c r="E86" i="6" s="1"/>
  <c r="C84" i="6"/>
  <c r="E84" i="6" s="1"/>
  <c r="G58" i="6"/>
  <c r="C85" i="6" s="1"/>
  <c r="E85" i="6" s="1"/>
  <c r="G49" i="6"/>
  <c r="C73" i="6" s="1"/>
  <c r="E73" i="6" s="1"/>
  <c r="I49" i="6"/>
  <c r="C74" i="6" s="1"/>
  <c r="E74" i="6" s="1"/>
  <c r="I41" i="6"/>
  <c r="C61" i="6" s="1"/>
  <c r="E61" i="6" s="1"/>
  <c r="G41" i="6"/>
  <c r="C60" i="6" s="1"/>
  <c r="E60" i="6" s="1"/>
  <c r="I55" i="6"/>
  <c r="G55" i="6"/>
  <c r="I45" i="6"/>
  <c r="C69" i="6" s="1"/>
  <c r="E69" i="6" s="1"/>
  <c r="G45" i="6"/>
  <c r="C68" i="6" s="1"/>
  <c r="E68" i="6" s="1"/>
  <c r="G54" i="6"/>
  <c r="I54" i="6"/>
  <c r="I51" i="6"/>
  <c r="C77" i="6" s="1"/>
  <c r="E77" i="6" s="1"/>
  <c r="G51" i="6"/>
  <c r="C78" i="6" s="1"/>
  <c r="E78" i="6" s="1"/>
  <c r="N18" i="6"/>
  <c r="I42" i="6"/>
  <c r="C62" i="6" s="1"/>
  <c r="E62" i="6" s="1"/>
  <c r="G42" i="6"/>
  <c r="C63" i="6" s="1"/>
  <c r="E63" i="6" s="1"/>
  <c r="G59" i="6"/>
  <c r="C87" i="6" s="1"/>
  <c r="E87" i="6" s="1"/>
  <c r="I59" i="6"/>
  <c r="C88" i="6" s="1"/>
  <c r="E88" i="6" s="1"/>
  <c r="AC8" i="6" l="1"/>
  <c r="S21" i="6" s="1"/>
  <c r="Y8" i="6"/>
  <c r="S9" i="6" s="1"/>
  <c r="U9" i="6" s="1"/>
  <c r="O21" i="6"/>
  <c r="G67" i="6"/>
  <c r="I67" i="6"/>
  <c r="I60" i="6"/>
  <c r="C89" i="6" s="1"/>
  <c r="E89" i="6" s="1"/>
  <c r="G60" i="6"/>
  <c r="C90" i="6" s="1"/>
  <c r="E90" i="6" s="1"/>
  <c r="I61" i="6"/>
  <c r="C92" i="6" s="1"/>
  <c r="E92" i="6" s="1"/>
  <c r="G61" i="6"/>
  <c r="C91" i="6" s="1"/>
  <c r="E91" i="6" s="1"/>
  <c r="I74" i="6"/>
  <c r="C115" i="6" s="1"/>
  <c r="E115" i="6" s="1"/>
  <c r="G74" i="6"/>
  <c r="C114" i="6" s="1"/>
  <c r="E114" i="6" s="1"/>
  <c r="C112" i="6"/>
  <c r="E112" i="6" s="1"/>
  <c r="G73" i="6"/>
  <c r="I73" i="6"/>
  <c r="C113" i="6" s="1"/>
  <c r="E113" i="6" s="1"/>
  <c r="I79" i="6"/>
  <c r="G79" i="6"/>
  <c r="I71" i="6"/>
  <c r="C107" i="6" s="1"/>
  <c r="E107" i="6" s="1"/>
  <c r="G71" i="6"/>
  <c r="C108" i="6" s="1"/>
  <c r="E108" i="6" s="1"/>
  <c r="I111" i="6"/>
  <c r="G111" i="6"/>
  <c r="I88" i="6"/>
  <c r="G88" i="6"/>
  <c r="I76" i="6"/>
  <c r="C119" i="6" s="1"/>
  <c r="E119" i="6" s="1"/>
  <c r="G76" i="6"/>
  <c r="C118" i="6" s="1"/>
  <c r="E118" i="6" s="1"/>
  <c r="I87" i="6"/>
  <c r="C123" i="6" s="1"/>
  <c r="E123" i="6" s="1"/>
  <c r="G87" i="6"/>
  <c r="I68" i="6"/>
  <c r="C102" i="6" s="1"/>
  <c r="E102" i="6" s="1"/>
  <c r="G68" i="6"/>
  <c r="C101" i="6" s="1"/>
  <c r="E101" i="6" s="1"/>
  <c r="I85" i="6"/>
  <c r="G85" i="6"/>
  <c r="G75" i="6"/>
  <c r="C117" i="6" s="1"/>
  <c r="E117" i="6" s="1"/>
  <c r="I75" i="6"/>
  <c r="C116" i="6" s="1"/>
  <c r="E116" i="6" s="1"/>
  <c r="I80" i="6"/>
  <c r="C203" i="6" s="1"/>
  <c r="E203" i="6" s="1"/>
  <c r="G80" i="6"/>
  <c r="C202" i="6" s="1"/>
  <c r="E202" i="6" s="1"/>
  <c r="I72" i="6"/>
  <c r="C110" i="6" s="1"/>
  <c r="E110" i="6" s="1"/>
  <c r="G72" i="6"/>
  <c r="C109" i="6" s="1"/>
  <c r="E109" i="6" s="1"/>
  <c r="I63" i="6"/>
  <c r="C95" i="6" s="1"/>
  <c r="E95" i="6" s="1"/>
  <c r="G63" i="6"/>
  <c r="C96" i="6" s="1"/>
  <c r="E96" i="6" s="1"/>
  <c r="I69" i="6"/>
  <c r="C104" i="6" s="1"/>
  <c r="E104" i="6" s="1"/>
  <c r="G69" i="6"/>
  <c r="C103" i="6" s="1"/>
  <c r="E103" i="6" s="1"/>
  <c r="I84" i="6"/>
  <c r="G84" i="6"/>
  <c r="G81" i="6"/>
  <c r="C120" i="6" s="1"/>
  <c r="E120" i="6" s="1"/>
  <c r="I81" i="6"/>
  <c r="G83" i="6"/>
  <c r="C122" i="6" s="1"/>
  <c r="E122" i="6" s="1"/>
  <c r="I83" i="6"/>
  <c r="C121" i="6" s="1"/>
  <c r="E121" i="6" s="1"/>
  <c r="L27" i="6"/>
  <c r="M27" i="6" s="1"/>
  <c r="N24" i="6"/>
  <c r="O24" i="6" s="1"/>
  <c r="I78" i="6"/>
  <c r="G78" i="6"/>
  <c r="G65" i="6"/>
  <c r="C100" i="6" s="1"/>
  <c r="E100" i="6" s="1"/>
  <c r="I65" i="6"/>
  <c r="C99" i="6" s="1"/>
  <c r="E99" i="6" s="1"/>
  <c r="I77" i="6"/>
  <c r="G77" i="6"/>
  <c r="I66" i="6"/>
  <c r="G66" i="6"/>
  <c r="I62" i="6"/>
  <c r="C94" i="6" s="1"/>
  <c r="E94" i="6" s="1"/>
  <c r="G62" i="6"/>
  <c r="C93" i="6" s="1"/>
  <c r="E93" i="6" s="1"/>
  <c r="I86" i="6"/>
  <c r="G86" i="6"/>
  <c r="I82" i="6"/>
  <c r="G82" i="6"/>
  <c r="I70" i="6"/>
  <c r="C106" i="6" s="1"/>
  <c r="E106" i="6" s="1"/>
  <c r="C105" i="6"/>
  <c r="E105" i="6" s="1"/>
  <c r="G70" i="6"/>
  <c r="I64" i="6"/>
  <c r="C98" i="6" s="1"/>
  <c r="E98" i="6" s="1"/>
  <c r="G64" i="6"/>
  <c r="C97" i="6" s="1"/>
  <c r="E97" i="6" s="1"/>
  <c r="U35" i="6"/>
  <c r="N15" i="6"/>
  <c r="AC9" i="6" l="1"/>
  <c r="S22" i="6" s="1"/>
  <c r="Y9" i="6"/>
  <c r="S10" i="6" s="1"/>
  <c r="U10" i="6" s="1"/>
  <c r="O18" i="6"/>
  <c r="I120" i="6"/>
  <c r="C160" i="6" s="1"/>
  <c r="E160" i="6" s="1"/>
  <c r="G120" i="6"/>
  <c r="C161" i="6" s="1"/>
  <c r="E161" i="6" s="1"/>
  <c r="C128" i="6"/>
  <c r="E128" i="6" s="1"/>
  <c r="I93" i="6"/>
  <c r="G93" i="6"/>
  <c r="C129" i="6" s="1"/>
  <c r="E129" i="6" s="1"/>
  <c r="I202" i="6"/>
  <c r="G202" i="6"/>
  <c r="I108" i="6"/>
  <c r="G108" i="6"/>
  <c r="G115" i="6"/>
  <c r="I115" i="6"/>
  <c r="I100" i="6"/>
  <c r="C138" i="6" s="1"/>
  <c r="E138" i="6" s="1"/>
  <c r="G100" i="6"/>
  <c r="C139" i="6" s="1"/>
  <c r="E139" i="6" s="1"/>
  <c r="I102" i="6"/>
  <c r="G102" i="6"/>
  <c r="I116" i="6"/>
  <c r="C157" i="6" s="1"/>
  <c r="E157" i="6" s="1"/>
  <c r="G116" i="6"/>
  <c r="C156" i="6" s="1"/>
  <c r="E156" i="6" s="1"/>
  <c r="I118" i="6"/>
  <c r="C159" i="6" s="1"/>
  <c r="E159" i="6" s="1"/>
  <c r="G118" i="6"/>
  <c r="C158" i="6" s="1"/>
  <c r="E158" i="6" s="1"/>
  <c r="I104" i="6"/>
  <c r="C143" i="6" s="1"/>
  <c r="E143" i="6" s="1"/>
  <c r="G104" i="6"/>
  <c r="C142" i="6" s="1"/>
  <c r="E142" i="6" s="1"/>
  <c r="I119" i="6"/>
  <c r="G119" i="6"/>
  <c r="I90" i="6"/>
  <c r="G90" i="6"/>
  <c r="I98" i="6"/>
  <c r="G98" i="6"/>
  <c r="I110" i="6"/>
  <c r="G110" i="6"/>
  <c r="I114" i="6"/>
  <c r="C154" i="6" s="1"/>
  <c r="E154" i="6" s="1"/>
  <c r="G114" i="6"/>
  <c r="C155" i="6" s="1"/>
  <c r="E155" i="6" s="1"/>
  <c r="I105" i="6"/>
  <c r="G105" i="6"/>
  <c r="G203" i="6"/>
  <c r="I203" i="6"/>
  <c r="G91" i="6"/>
  <c r="I91" i="6"/>
  <c r="I121" i="6"/>
  <c r="G121" i="6"/>
  <c r="I96" i="6"/>
  <c r="G96" i="6"/>
  <c r="I113" i="6"/>
  <c r="G113" i="6"/>
  <c r="I89" i="6"/>
  <c r="C124" i="6" s="1"/>
  <c r="E124" i="6" s="1"/>
  <c r="G89" i="6"/>
  <c r="C125" i="6" s="1"/>
  <c r="E125" i="6" s="1"/>
  <c r="N27" i="6"/>
  <c r="O27" i="6" s="1"/>
  <c r="L30" i="6"/>
  <c r="M30" i="6" s="1"/>
  <c r="I117" i="6"/>
  <c r="G117" i="6"/>
  <c r="AC35" i="6"/>
  <c r="S45" i="6" s="1"/>
  <c r="Y35" i="6"/>
  <c r="S36" i="6" s="1"/>
  <c r="I122" i="6"/>
  <c r="G122" i="6"/>
  <c r="I95" i="6"/>
  <c r="C132" i="6" s="1"/>
  <c r="E132" i="6" s="1"/>
  <c r="G95" i="6"/>
  <c r="C133" i="6" s="1"/>
  <c r="E133" i="6" s="1"/>
  <c r="I94" i="6"/>
  <c r="G94" i="6"/>
  <c r="G123" i="6"/>
  <c r="C163" i="6" s="1"/>
  <c r="E163" i="6" s="1"/>
  <c r="I123" i="6"/>
  <c r="C162" i="6" s="1"/>
  <c r="E162" i="6" s="1"/>
  <c r="G107" i="6"/>
  <c r="C148" i="6" s="1"/>
  <c r="E148" i="6" s="1"/>
  <c r="I107" i="6"/>
  <c r="C149" i="6" s="1"/>
  <c r="E149" i="6" s="1"/>
  <c r="I106" i="6"/>
  <c r="G106" i="6"/>
  <c r="I103" i="6"/>
  <c r="G103" i="6"/>
  <c r="I92" i="6"/>
  <c r="C127" i="6" s="1"/>
  <c r="E127" i="6" s="1"/>
  <c r="G92" i="6"/>
  <c r="C126" i="6" s="1"/>
  <c r="E126" i="6" s="1"/>
  <c r="I97" i="6"/>
  <c r="C135" i="6" s="1"/>
  <c r="E135" i="6" s="1"/>
  <c r="G97" i="6"/>
  <c r="C134" i="6" s="1"/>
  <c r="E134" i="6" s="1"/>
  <c r="G99" i="6"/>
  <c r="C136" i="6" s="1"/>
  <c r="E136" i="6" s="1"/>
  <c r="I99" i="6"/>
  <c r="C137" i="6" s="1"/>
  <c r="E137" i="6" s="1"/>
  <c r="I109" i="6"/>
  <c r="C150" i="6" s="1"/>
  <c r="E150" i="6" s="1"/>
  <c r="G109" i="6"/>
  <c r="C151" i="6" s="1"/>
  <c r="E151" i="6" s="1"/>
  <c r="I101" i="6"/>
  <c r="C141" i="6" s="1"/>
  <c r="E141" i="6" s="1"/>
  <c r="G101" i="6"/>
  <c r="C140" i="6" s="1"/>
  <c r="E140" i="6" s="1"/>
  <c r="I112" i="6"/>
  <c r="C153" i="6" s="1"/>
  <c r="E153" i="6" s="1"/>
  <c r="G112" i="6"/>
  <c r="C152" i="6" s="1"/>
  <c r="E152" i="6" s="1"/>
  <c r="AC10" i="6" l="1"/>
  <c r="S23" i="6" s="1"/>
  <c r="Y10" i="6"/>
  <c r="S11" i="6" s="1"/>
  <c r="G155" i="6"/>
  <c r="C199" i="6" s="1"/>
  <c r="E199" i="6" s="1"/>
  <c r="I155" i="6"/>
  <c r="C198" i="6" s="1"/>
  <c r="E198" i="6" s="1"/>
  <c r="I157" i="6"/>
  <c r="G157" i="6"/>
  <c r="I152" i="6"/>
  <c r="G152" i="6"/>
  <c r="G139" i="6"/>
  <c r="I139" i="6"/>
  <c r="I129" i="6"/>
  <c r="C172" i="6" s="1"/>
  <c r="E172" i="6" s="1"/>
  <c r="G129" i="6"/>
  <c r="C173" i="6" s="1"/>
  <c r="E173" i="6" s="1"/>
  <c r="I137" i="6"/>
  <c r="G137" i="6"/>
  <c r="I134" i="6"/>
  <c r="G134" i="6"/>
  <c r="I124" i="6"/>
  <c r="C166" i="6" s="1"/>
  <c r="E166" i="6" s="1"/>
  <c r="G124" i="6"/>
  <c r="C165" i="6" s="1"/>
  <c r="E165" i="6" s="1"/>
  <c r="C164" i="6"/>
  <c r="E164" i="6" s="1"/>
  <c r="U36" i="6"/>
  <c r="N12" i="6"/>
  <c r="I143" i="6"/>
  <c r="G143" i="6"/>
  <c r="C131" i="6"/>
  <c r="E131" i="6" s="1"/>
  <c r="C130" i="6"/>
  <c r="E130" i="6" s="1"/>
  <c r="I133" i="6"/>
  <c r="C177" i="6" s="1"/>
  <c r="E177" i="6" s="1"/>
  <c r="G133" i="6"/>
  <c r="C178" i="6" s="1"/>
  <c r="E178" i="6" s="1"/>
  <c r="C144" i="6"/>
  <c r="E144" i="6" s="1"/>
  <c r="C147" i="6"/>
  <c r="E147" i="6" s="1"/>
  <c r="I132" i="6"/>
  <c r="G132" i="6"/>
  <c r="I125" i="6"/>
  <c r="C168" i="6" s="1"/>
  <c r="E168" i="6" s="1"/>
  <c r="G125" i="6"/>
  <c r="C167" i="6" s="1"/>
  <c r="E167" i="6" s="1"/>
  <c r="I135" i="6"/>
  <c r="C180" i="6" s="1"/>
  <c r="E180" i="6" s="1"/>
  <c r="G135" i="6"/>
  <c r="C179" i="6" s="1"/>
  <c r="E179" i="6" s="1"/>
  <c r="I142" i="6"/>
  <c r="G142" i="6"/>
  <c r="I140" i="6"/>
  <c r="C185" i="6" s="1"/>
  <c r="E185" i="6" s="1"/>
  <c r="G140" i="6"/>
  <c r="C184" i="6" s="1"/>
  <c r="E184" i="6" s="1"/>
  <c r="C183" i="6"/>
  <c r="E183" i="6" s="1"/>
  <c r="I162" i="6"/>
  <c r="G162" i="6"/>
  <c r="I138" i="6"/>
  <c r="G138" i="6"/>
  <c r="I141" i="6"/>
  <c r="C186" i="6" s="1"/>
  <c r="E186" i="6" s="1"/>
  <c r="G141" i="6"/>
  <c r="C187" i="6" s="1"/>
  <c r="E187" i="6" s="1"/>
  <c r="I127" i="6"/>
  <c r="G127" i="6"/>
  <c r="G163" i="6"/>
  <c r="I163" i="6"/>
  <c r="I158" i="6"/>
  <c r="G158" i="6"/>
  <c r="C169" i="6"/>
  <c r="E169" i="6" s="1"/>
  <c r="I128" i="6"/>
  <c r="C171" i="6" s="1"/>
  <c r="E171" i="6" s="1"/>
  <c r="G128" i="6"/>
  <c r="C170" i="6" s="1"/>
  <c r="E170" i="6" s="1"/>
  <c r="L33" i="6"/>
  <c r="M33" i="6" s="1"/>
  <c r="N30" i="6"/>
  <c r="O30" i="6" s="1"/>
  <c r="I148" i="6"/>
  <c r="G148" i="6"/>
  <c r="I126" i="6"/>
  <c r="G126" i="6"/>
  <c r="I151" i="6"/>
  <c r="G151" i="6"/>
  <c r="I159" i="6"/>
  <c r="C200" i="6" s="1"/>
  <c r="E200" i="6" s="1"/>
  <c r="G159" i="6"/>
  <c r="C201" i="6" s="1"/>
  <c r="E201" i="6" s="1"/>
  <c r="I161" i="6"/>
  <c r="G161" i="6"/>
  <c r="I136" i="6"/>
  <c r="C182" i="6" s="1"/>
  <c r="E182" i="6" s="1"/>
  <c r="G136" i="6"/>
  <c r="C181" i="6" s="1"/>
  <c r="E181" i="6" s="1"/>
  <c r="I149" i="6"/>
  <c r="C196" i="6" s="1"/>
  <c r="E196" i="6" s="1"/>
  <c r="G149" i="6"/>
  <c r="C197" i="6" s="1"/>
  <c r="E197" i="6" s="1"/>
  <c r="I154" i="6"/>
  <c r="G154" i="6"/>
  <c r="I153" i="6"/>
  <c r="G153" i="6"/>
  <c r="I150" i="6"/>
  <c r="G150" i="6"/>
  <c r="C145" i="6"/>
  <c r="E145" i="6" s="1"/>
  <c r="C146" i="6"/>
  <c r="E146" i="6" s="1"/>
  <c r="I156" i="6"/>
  <c r="G156" i="6"/>
  <c r="I160" i="6"/>
  <c r="G160" i="6"/>
  <c r="U11" i="6" l="1"/>
  <c r="L3" i="6"/>
  <c r="O15" i="6"/>
  <c r="I167" i="6"/>
  <c r="G167" i="6"/>
  <c r="C174" i="6"/>
  <c r="E174" i="6" s="1"/>
  <c r="I130" i="6"/>
  <c r="C176" i="6" s="1"/>
  <c r="E176" i="6" s="1"/>
  <c r="G130" i="6"/>
  <c r="C175" i="6" s="1"/>
  <c r="E175" i="6" s="1"/>
  <c r="I166" i="6"/>
  <c r="G166" i="6"/>
  <c r="I177" i="6"/>
  <c r="G177" i="6"/>
  <c r="I201" i="6"/>
  <c r="G201" i="6"/>
  <c r="I200" i="6"/>
  <c r="G200" i="6"/>
  <c r="I183" i="6"/>
  <c r="G183" i="6"/>
  <c r="I168" i="6"/>
  <c r="G168" i="6"/>
  <c r="G131" i="6"/>
  <c r="I131" i="6"/>
  <c r="C193" i="6"/>
  <c r="E193" i="6" s="1"/>
  <c r="I146" i="6"/>
  <c r="C195" i="6" s="1"/>
  <c r="E195" i="6" s="1"/>
  <c r="G146" i="6"/>
  <c r="C194" i="6" s="1"/>
  <c r="E194" i="6" s="1"/>
  <c r="I197" i="6"/>
  <c r="G197" i="6"/>
  <c r="I170" i="6"/>
  <c r="G170" i="6"/>
  <c r="I184" i="6"/>
  <c r="G184" i="6"/>
  <c r="L36" i="6"/>
  <c r="M36" i="6" s="1"/>
  <c r="N33" i="6"/>
  <c r="O33" i="6" s="1"/>
  <c r="I145" i="6"/>
  <c r="C191" i="6" s="1"/>
  <c r="E191" i="6" s="1"/>
  <c r="G145" i="6"/>
  <c r="C192" i="6" s="1"/>
  <c r="E192" i="6" s="1"/>
  <c r="I196" i="6"/>
  <c r="G196" i="6"/>
  <c r="G171" i="6"/>
  <c r="I171" i="6"/>
  <c r="G187" i="6"/>
  <c r="I187" i="6"/>
  <c r="I185" i="6"/>
  <c r="G185" i="6"/>
  <c r="I165" i="6"/>
  <c r="G165" i="6"/>
  <c r="I181" i="6"/>
  <c r="G181" i="6"/>
  <c r="I180" i="6"/>
  <c r="G180" i="6"/>
  <c r="I169" i="6"/>
  <c r="G169" i="6"/>
  <c r="I186" i="6"/>
  <c r="G186" i="6"/>
  <c r="G147" i="6"/>
  <c r="I147" i="6"/>
  <c r="I182" i="6"/>
  <c r="G182" i="6"/>
  <c r="C188" i="6"/>
  <c r="E188" i="6" s="1"/>
  <c r="I144" i="6"/>
  <c r="C190" i="6" s="1"/>
  <c r="E190" i="6" s="1"/>
  <c r="G144" i="6"/>
  <c r="C189" i="6" s="1"/>
  <c r="E189" i="6" s="1"/>
  <c r="AC36" i="6"/>
  <c r="S46" i="6" s="1"/>
  <c r="Y36" i="6"/>
  <c r="S37" i="6" s="1"/>
  <c r="I173" i="6"/>
  <c r="G173" i="6"/>
  <c r="I198" i="6"/>
  <c r="G198" i="6"/>
  <c r="G179" i="6"/>
  <c r="I179" i="6"/>
  <c r="I178" i="6"/>
  <c r="G178" i="6"/>
  <c r="I164" i="6"/>
  <c r="G164" i="6"/>
  <c r="I172" i="6"/>
  <c r="G172" i="6"/>
  <c r="I199" i="6"/>
  <c r="G199" i="6"/>
  <c r="Z179" i="1" l="1"/>
  <c r="R73" i="2"/>
  <c r="T73" i="2" s="1"/>
  <c r="U73" i="2" s="1"/>
  <c r="Z178" i="1"/>
  <c r="AH163" i="1"/>
  <c r="AH45" i="1"/>
  <c r="Z177" i="1"/>
  <c r="Z96" i="1"/>
  <c r="K131" i="2" s="1"/>
  <c r="I131" i="2" s="1"/>
  <c r="L124" i="2" s="1"/>
  <c r="K96" i="1" s="1"/>
  <c r="W96" i="1" s="1"/>
  <c r="R75" i="2"/>
  <c r="U75" i="2" s="1"/>
  <c r="Z56" i="1"/>
  <c r="K77" i="2" s="1"/>
  <c r="I77" i="2" s="1"/>
  <c r="K56" i="1" s="1"/>
  <c r="AH121" i="1"/>
  <c r="R74" i="2"/>
  <c r="Z138" i="1"/>
  <c r="AH119" i="1"/>
  <c r="R118" i="2"/>
  <c r="Z210" i="1"/>
  <c r="K287" i="2" s="1"/>
  <c r="I287" i="2" s="1"/>
  <c r="L280" i="2" s="1"/>
  <c r="K210" i="1" s="1"/>
  <c r="Q210" i="1" s="1"/>
  <c r="Z124" i="1"/>
  <c r="K171" i="2" s="1"/>
  <c r="I171" i="2" s="1"/>
  <c r="L166" i="2" s="1"/>
  <c r="K124" i="1" s="1"/>
  <c r="W124" i="1" s="1"/>
  <c r="R120" i="2"/>
  <c r="AH191" i="1"/>
  <c r="R229" i="2"/>
  <c r="Z187" i="1"/>
  <c r="K257" i="2" s="1"/>
  <c r="I257" i="2" s="1"/>
  <c r="L257" i="2" s="1"/>
  <c r="K187" i="1" s="1"/>
  <c r="W187" i="1" s="1"/>
  <c r="Z69" i="1"/>
  <c r="K90" i="2" s="1"/>
  <c r="R222" i="2"/>
  <c r="U222" i="2" s="1"/>
  <c r="Z108" i="1"/>
  <c r="Z203" i="1"/>
  <c r="K280" i="2" s="1"/>
  <c r="I280" i="2" s="1"/>
  <c r="L273" i="2" s="1"/>
  <c r="K203" i="1" s="1"/>
  <c r="Q203" i="1" s="1"/>
  <c r="AH192" i="1"/>
  <c r="Z80" i="1"/>
  <c r="K110" i="2" s="1"/>
  <c r="I110" i="2" s="1"/>
  <c r="L108" i="2" s="1"/>
  <c r="K80" i="1" s="1"/>
  <c r="Q80" i="1" s="1"/>
  <c r="AH199" i="1"/>
  <c r="Z165" i="1"/>
  <c r="K228" i="2" s="1"/>
  <c r="I228" i="2" s="1"/>
  <c r="L221" i="2" s="1"/>
  <c r="K165" i="1" s="1"/>
  <c r="W165" i="1" s="1"/>
  <c r="AH52" i="1"/>
  <c r="Z67" i="1"/>
  <c r="Z212" i="1"/>
  <c r="W212" i="1" s="1"/>
  <c r="Z172" i="1"/>
  <c r="K235" i="2" s="1"/>
  <c r="I235" i="2" s="1"/>
  <c r="L228" i="2" s="1"/>
  <c r="K172" i="1" s="1"/>
  <c r="W172" i="1" s="1"/>
  <c r="AH83" i="1"/>
  <c r="Z68" i="1"/>
  <c r="Z137" i="1"/>
  <c r="K186" i="2" s="1"/>
  <c r="I186" i="2" s="1"/>
  <c r="L179" i="2" s="1"/>
  <c r="K137" i="1" s="1"/>
  <c r="W137" i="1" s="1"/>
  <c r="Z70" i="1"/>
  <c r="AH51" i="1"/>
  <c r="Z76" i="1"/>
  <c r="K104" i="2" s="1"/>
  <c r="I104" i="2" s="1"/>
  <c r="L104" i="2" s="1"/>
  <c r="K76" i="1" s="1"/>
  <c r="W76" i="1" s="1"/>
  <c r="Z98" i="1"/>
  <c r="K133" i="2" s="1"/>
  <c r="I133" i="2" s="1"/>
  <c r="L126" i="2" s="1"/>
  <c r="K98" i="1" s="1"/>
  <c r="Q98" i="1" s="1"/>
  <c r="Z148" i="1"/>
  <c r="Q148" i="1" s="1"/>
  <c r="Z161" i="1"/>
  <c r="K222" i="2" s="1"/>
  <c r="I222" i="2" s="1"/>
  <c r="L217" i="2" s="1"/>
  <c r="K161" i="1" s="1"/>
  <c r="Z145" i="1"/>
  <c r="R226" i="2"/>
  <c r="Z112" i="1"/>
  <c r="K153" i="2" s="1"/>
  <c r="L140" i="2" s="1"/>
  <c r="K112" i="1" s="1"/>
  <c r="Q112" i="1" s="1"/>
  <c r="AH49" i="1"/>
  <c r="Z201" i="1"/>
  <c r="K278" i="2" s="1"/>
  <c r="I278" i="2" s="1"/>
  <c r="L271" i="2" s="1"/>
  <c r="K201" i="1" s="1"/>
  <c r="Q201" i="1" s="1"/>
  <c r="AH87" i="1"/>
  <c r="Z215" i="1"/>
  <c r="W215" i="1" s="1"/>
  <c r="AH125" i="1"/>
  <c r="Z134" i="1"/>
  <c r="K183" i="2" s="1"/>
  <c r="I183" i="2" s="1"/>
  <c r="L176" i="2" s="1"/>
  <c r="K134" i="1" s="1"/>
  <c r="W134" i="1" s="1"/>
  <c r="AH50" i="1"/>
  <c r="Z185" i="1"/>
  <c r="W185" i="1" s="1"/>
  <c r="Z104" i="1"/>
  <c r="R124" i="2"/>
  <c r="AH161" i="1"/>
  <c r="Z103" i="1"/>
  <c r="Z42" i="1"/>
  <c r="Z206" i="1"/>
  <c r="K283" i="2" s="1"/>
  <c r="I283" i="2" s="1"/>
  <c r="L276" i="2" s="1"/>
  <c r="K206" i="1" s="1"/>
  <c r="W206" i="1" s="1"/>
  <c r="Z109" i="1"/>
  <c r="Z60" i="1"/>
  <c r="K81" i="2" s="1"/>
  <c r="I81" i="2" s="1"/>
  <c r="K60" i="1" s="1"/>
  <c r="Q60" i="1" s="1"/>
  <c r="AH157" i="1"/>
  <c r="AH79" i="1"/>
  <c r="Z49" i="1"/>
  <c r="K68" i="2" s="1"/>
  <c r="I68" i="2" s="1"/>
  <c r="K49" i="1" s="1"/>
  <c r="Q49" i="1" s="1"/>
  <c r="Z150" i="1"/>
  <c r="K206" i="2" s="1"/>
  <c r="I206" i="2" s="1"/>
  <c r="L206" i="2" s="1"/>
  <c r="K150" i="1" s="1"/>
  <c r="AH117" i="1"/>
  <c r="Z40" i="1"/>
  <c r="K56" i="2" s="1"/>
  <c r="I56" i="2" s="1"/>
  <c r="K40" i="1" s="1"/>
  <c r="Q40" i="1" s="1"/>
  <c r="R275" i="2"/>
  <c r="R280" i="2"/>
  <c r="Z110" i="1"/>
  <c r="Z216" i="1"/>
  <c r="Q216" i="1" s="1"/>
  <c r="Z190" i="1"/>
  <c r="W190" i="1" s="1"/>
  <c r="Z113" i="1"/>
  <c r="K155" i="2" s="1"/>
  <c r="I155" i="2" s="1"/>
  <c r="L155" i="2" s="1"/>
  <c r="K113" i="1" s="1"/>
  <c r="Z157" i="1"/>
  <c r="K217" i="2" s="1"/>
  <c r="I217" i="2" s="1"/>
  <c r="L213" i="2" s="1"/>
  <c r="K157" i="1" s="1"/>
  <c r="AH46" i="1"/>
  <c r="Z222" i="1"/>
  <c r="R122" i="2"/>
  <c r="Z117" i="1"/>
  <c r="R274" i="2"/>
  <c r="T274" i="2" s="1"/>
  <c r="U274" i="2" s="1"/>
  <c r="Z155" i="1"/>
  <c r="K214" i="2" s="1"/>
  <c r="I214" i="2" s="1"/>
  <c r="L211" i="2" s="1"/>
  <c r="K155" i="1" s="1"/>
  <c r="Q155" i="1" s="1"/>
  <c r="Z62" i="1"/>
  <c r="K83" i="2" s="1"/>
  <c r="I83" i="2" s="1"/>
  <c r="K62" i="1" s="1"/>
  <c r="AH42" i="1"/>
  <c r="Z197" i="1"/>
  <c r="K272" i="2" s="1"/>
  <c r="I272" i="2" s="1"/>
  <c r="L267" i="2" s="1"/>
  <c r="K197" i="1" s="1"/>
  <c r="Q197" i="1" s="1"/>
  <c r="R68" i="2"/>
  <c r="AH120" i="1"/>
  <c r="Z143" i="1"/>
  <c r="K192" i="2" s="1"/>
  <c r="R173" i="2"/>
  <c r="Z141" i="1"/>
  <c r="Z50" i="1"/>
  <c r="K69" i="2" s="1"/>
  <c r="I69" i="2" s="1"/>
  <c r="K50" i="1" s="1"/>
  <c r="Z167" i="1"/>
  <c r="AH124" i="1"/>
  <c r="Z79" i="1"/>
  <c r="Z180" i="1"/>
  <c r="K243" i="2" s="1"/>
  <c r="Z171" i="1"/>
  <c r="K234" i="2" s="1"/>
  <c r="I234" i="2" s="1"/>
  <c r="L227" i="2" s="1"/>
  <c r="K171" i="1" s="1"/>
  <c r="W171" i="1" s="1"/>
  <c r="Z100" i="1"/>
  <c r="K135" i="2" s="1"/>
  <c r="I135" i="2" s="1"/>
  <c r="L128" i="2" s="1"/>
  <c r="K100" i="1" s="1"/>
  <c r="Q100" i="1" s="1"/>
  <c r="Z219" i="1"/>
  <c r="Z128" i="1"/>
  <c r="K177" i="2" s="1"/>
  <c r="I177" i="2" s="1"/>
  <c r="L170" i="2" s="1"/>
  <c r="K128" i="1" s="1"/>
  <c r="Q128" i="1" s="1"/>
  <c r="Z142" i="1"/>
  <c r="Z75" i="1"/>
  <c r="K102" i="2" s="1"/>
  <c r="K75" i="1" s="1"/>
  <c r="Q75" i="1" s="1"/>
  <c r="Z127" i="1"/>
  <c r="K176" i="2" s="1"/>
  <c r="I176" i="2" s="1"/>
  <c r="L169" i="2" s="1"/>
  <c r="K127" i="1" s="1"/>
  <c r="W127" i="1" s="1"/>
  <c r="R119" i="2"/>
  <c r="Z164" i="1"/>
  <c r="K227" i="2" s="1"/>
  <c r="I227" i="2" s="1"/>
  <c r="L220" i="2" s="1"/>
  <c r="K164" i="1" s="1"/>
  <c r="W164" i="1" s="1"/>
  <c r="Z121" i="1"/>
  <c r="Q121" i="1" s="1"/>
  <c r="R121" i="2"/>
  <c r="Z213" i="1"/>
  <c r="Q213" i="1" s="1"/>
  <c r="Z131" i="1"/>
  <c r="K180" i="2" s="1"/>
  <c r="I180" i="2" s="1"/>
  <c r="L173" i="2" s="1"/>
  <c r="K131" i="1" s="1"/>
  <c r="W131" i="1" s="1"/>
  <c r="Z78" i="1"/>
  <c r="Z207" i="1"/>
  <c r="K284" i="2" s="1"/>
  <c r="I284" i="2" s="1"/>
  <c r="L277" i="2" s="1"/>
  <c r="K207" i="1" s="1"/>
  <c r="Q207" i="1" s="1"/>
  <c r="AH162" i="1"/>
  <c r="Z87" i="1"/>
  <c r="K120" i="2" s="1"/>
  <c r="I120" i="2" s="1"/>
  <c r="L115" i="2" s="1"/>
  <c r="K87" i="1" s="1"/>
  <c r="Q87" i="1" s="1"/>
  <c r="Z55" i="1"/>
  <c r="K76" i="2" s="1"/>
  <c r="I76" i="2" s="1"/>
  <c r="K55" i="1" s="1"/>
  <c r="W55" i="1" s="1"/>
  <c r="AH158" i="1"/>
  <c r="Z133" i="1"/>
  <c r="K182" i="2" s="1"/>
  <c r="I182" i="2" s="1"/>
  <c r="L175" i="2" s="1"/>
  <c r="K133" i="1" s="1"/>
  <c r="Z45" i="1"/>
  <c r="K63" i="2" s="1"/>
  <c r="I63" i="2" s="1"/>
  <c r="K45" i="1" s="1"/>
  <c r="Z154" i="1"/>
  <c r="K212" i="2" s="1"/>
  <c r="I212" i="2" s="1"/>
  <c r="L210" i="2" s="1"/>
  <c r="K154" i="1" s="1"/>
  <c r="Q154" i="1" s="1"/>
  <c r="Z63" i="1"/>
  <c r="K84" i="2" s="1"/>
  <c r="I84" i="2" s="1"/>
  <c r="K63" i="1" s="1"/>
  <c r="Q63" i="1" s="1"/>
  <c r="AH44" i="1"/>
  <c r="Z218" i="1"/>
  <c r="AH195" i="1"/>
  <c r="AH126" i="1"/>
  <c r="Z90" i="1"/>
  <c r="K125" i="2" s="1"/>
  <c r="I125" i="2" s="1"/>
  <c r="L118" i="2" s="1"/>
  <c r="K90" i="1" s="1"/>
  <c r="W90" i="1" s="1"/>
  <c r="Z129" i="1"/>
  <c r="K178" i="2" s="1"/>
  <c r="I178" i="2" s="1"/>
  <c r="L171" i="2" s="1"/>
  <c r="K129" i="1" s="1"/>
  <c r="Z106" i="1"/>
  <c r="K141" i="2" s="1"/>
  <c r="Z53" i="1"/>
  <c r="K74" i="2" s="1"/>
  <c r="I74" i="2" s="1"/>
  <c r="K53" i="1" s="1"/>
  <c r="Q53" i="1" s="1"/>
  <c r="Z107" i="1"/>
  <c r="Q107" i="1" s="1"/>
  <c r="Z217" i="1"/>
  <c r="AH116" i="1"/>
  <c r="R171" i="2"/>
  <c r="U171" i="2" s="1"/>
  <c r="Z175" i="1"/>
  <c r="R221" i="2"/>
  <c r="T221" i="2" s="1"/>
  <c r="U221" i="2" s="1"/>
  <c r="R67" i="2"/>
  <c r="Z174" i="1"/>
  <c r="K237" i="2" s="1"/>
  <c r="I237" i="2" s="1"/>
  <c r="L230" i="2" s="1"/>
  <c r="K174" i="1" s="1"/>
  <c r="Q174" i="1" s="1"/>
  <c r="R170" i="2"/>
  <c r="T170" i="2" s="1"/>
  <c r="U170" i="2" s="1"/>
  <c r="Z71" i="1"/>
  <c r="Z209" i="1"/>
  <c r="K286" i="2" s="1"/>
  <c r="I286" i="2" s="1"/>
  <c r="L279" i="2" s="1"/>
  <c r="K209" i="1" s="1"/>
  <c r="Q209" i="1" s="1"/>
  <c r="Z132" i="1"/>
  <c r="K181" i="2" s="1"/>
  <c r="I181" i="2" s="1"/>
  <c r="L174" i="2" s="1"/>
  <c r="K132" i="1" s="1"/>
  <c r="W132" i="1" s="1"/>
  <c r="AH80" i="1"/>
  <c r="Z182" i="1"/>
  <c r="Z173" i="1"/>
  <c r="K236" i="2" s="1"/>
  <c r="I236" i="2" s="1"/>
  <c r="L229" i="2" s="1"/>
  <c r="K173" i="1" s="1"/>
  <c r="Q173" i="1" s="1"/>
  <c r="Z58" i="1"/>
  <c r="K79" i="2" s="1"/>
  <c r="I79" i="2" s="1"/>
  <c r="K58" i="1" s="1"/>
  <c r="Q58" i="1" s="1"/>
  <c r="AH190" i="1"/>
  <c r="R227" i="2"/>
  <c r="Z81" i="1"/>
  <c r="K112" i="2" s="1"/>
  <c r="I112" i="2" s="1"/>
  <c r="L109" i="2" s="1"/>
  <c r="K81" i="1" s="1"/>
  <c r="W81" i="1" s="1"/>
  <c r="Z166" i="1"/>
  <c r="R219" i="2"/>
  <c r="AH43" i="1"/>
  <c r="Z211" i="1"/>
  <c r="K288" i="2" s="1"/>
  <c r="I288" i="2" s="1"/>
  <c r="L281" i="2" s="1"/>
  <c r="K211" i="1" s="1"/>
  <c r="Q211" i="1" s="1"/>
  <c r="Z111" i="1"/>
  <c r="Z39" i="1"/>
  <c r="K53" i="2" s="1"/>
  <c r="I53" i="2" s="1"/>
  <c r="K39" i="1" s="1"/>
  <c r="Z64" i="1"/>
  <c r="AH153" i="1"/>
  <c r="Z86" i="1"/>
  <c r="K119" i="2" s="1"/>
  <c r="I119" i="2" s="1"/>
  <c r="L114" i="2" s="1"/>
  <c r="K86" i="1" s="1"/>
  <c r="W86" i="1" s="1"/>
  <c r="Z73" i="1"/>
  <c r="Z170" i="1"/>
  <c r="Z99" i="1"/>
  <c r="K134" i="2" s="1"/>
  <c r="I134" i="2" s="1"/>
  <c r="L127" i="2" s="1"/>
  <c r="K99" i="1" s="1"/>
  <c r="Q99" i="1" s="1"/>
  <c r="R278" i="2"/>
  <c r="T278" i="2" s="1"/>
  <c r="U278" i="2" s="1"/>
  <c r="Z159" i="1"/>
  <c r="K219" i="2" s="1"/>
  <c r="I219" i="2" s="1"/>
  <c r="L215" i="2" s="1"/>
  <c r="K159" i="1" s="1"/>
  <c r="W159" i="1" s="1"/>
  <c r="Z139" i="1"/>
  <c r="Z191" i="1"/>
  <c r="K263" i="2" s="1"/>
  <c r="I263" i="2" s="1"/>
  <c r="L261" i="2" s="1"/>
  <c r="K191" i="1" s="1"/>
  <c r="Q191" i="1" s="1"/>
  <c r="R177" i="2"/>
  <c r="U177" i="2" s="1"/>
  <c r="R273" i="2"/>
  <c r="U273" i="2" s="1"/>
  <c r="R23" i="2"/>
  <c r="Z94" i="1"/>
  <c r="K129" i="2" s="1"/>
  <c r="I129" i="2" s="1"/>
  <c r="L122" i="2" s="1"/>
  <c r="K94" i="1" s="1"/>
  <c r="Q94" i="1" s="1"/>
  <c r="AH89" i="1"/>
  <c r="Z118" i="1"/>
  <c r="R126" i="2"/>
  <c r="U126" i="2" s="1"/>
  <c r="Z158" i="1"/>
  <c r="W158" i="1" s="1"/>
  <c r="Z196" i="1"/>
  <c r="K270" i="2" s="1"/>
  <c r="I270" i="2" s="1"/>
  <c r="L266" i="2" s="1"/>
  <c r="K196" i="1" s="1"/>
  <c r="Q196" i="1" s="1"/>
  <c r="R66" i="2"/>
  <c r="Z114" i="1"/>
  <c r="K158" i="2" s="1"/>
  <c r="I158" i="2" s="1"/>
  <c r="L156" i="2" s="1"/>
  <c r="K114" i="1" s="1"/>
  <c r="W114" i="1" s="1"/>
  <c r="Z186" i="1"/>
  <c r="K255" i="2" s="1"/>
  <c r="L242" i="2" s="1"/>
  <c r="K186" i="1" s="1"/>
  <c r="Q186" i="1" s="1"/>
  <c r="Z97" i="1"/>
  <c r="K132" i="2" s="1"/>
  <c r="I132" i="2" s="1"/>
  <c r="L125" i="2" s="1"/>
  <c r="K97" i="1" s="1"/>
  <c r="W97" i="1" s="1"/>
  <c r="Z130" i="1"/>
  <c r="K179" i="2" s="1"/>
  <c r="I179" i="2" s="1"/>
  <c r="L172" i="2" s="1"/>
  <c r="K130" i="1" s="1"/>
  <c r="Q130" i="1" s="1"/>
  <c r="Z149" i="1"/>
  <c r="K204" i="2" s="1"/>
  <c r="L191" i="2" s="1"/>
  <c r="K149" i="1" s="1"/>
  <c r="W149" i="1" s="1"/>
  <c r="Z57" i="1"/>
  <c r="K78" i="2" s="1"/>
  <c r="I78" i="2" s="1"/>
  <c r="K57" i="1" s="1"/>
  <c r="Q57" i="1" s="1"/>
  <c r="Z205" i="1"/>
  <c r="K282" i="2" s="1"/>
  <c r="I282" i="2" s="1"/>
  <c r="L275" i="2" s="1"/>
  <c r="K205" i="1" s="1"/>
  <c r="Q205" i="1" s="1"/>
  <c r="Z181" i="1"/>
  <c r="W181" i="1" s="1"/>
  <c r="R220" i="2"/>
  <c r="Z83" i="1"/>
  <c r="K115" i="2" s="1"/>
  <c r="I115" i="2" s="1"/>
  <c r="L111" i="2" s="1"/>
  <c r="K83" i="1" s="1"/>
  <c r="W83" i="1" s="1"/>
  <c r="Z214" i="1"/>
  <c r="W214" i="1" s="1"/>
  <c r="R169" i="2"/>
  <c r="Z221" i="1"/>
  <c r="Z136" i="1"/>
  <c r="K185" i="2" s="1"/>
  <c r="I185" i="2" s="1"/>
  <c r="L178" i="2" s="1"/>
  <c r="K136" i="1" s="1"/>
  <c r="Q136" i="1" s="1"/>
  <c r="Z144" i="1"/>
  <c r="W144" i="1" s="1"/>
  <c r="AH81" i="1"/>
  <c r="Z135" i="1"/>
  <c r="K184" i="2" s="1"/>
  <c r="I184" i="2" s="1"/>
  <c r="L177" i="2" s="1"/>
  <c r="K135" i="1" s="1"/>
  <c r="Q135" i="1" s="1"/>
  <c r="Z77" i="1"/>
  <c r="K107" i="2" s="1"/>
  <c r="I107" i="2" s="1"/>
  <c r="L105" i="2" s="1"/>
  <c r="K77" i="1" s="1"/>
  <c r="Q77" i="1" s="1"/>
  <c r="Z189" i="1"/>
  <c r="Z123" i="1"/>
  <c r="K170" i="2" s="1"/>
  <c r="I170" i="2" s="1"/>
  <c r="L165" i="2" s="1"/>
  <c r="K123" i="1" s="1"/>
  <c r="Q123" i="1" s="1"/>
  <c r="R125" i="2"/>
  <c r="Z48" i="1"/>
  <c r="K66" i="2" s="1"/>
  <c r="I66" i="2" s="1"/>
  <c r="K48" i="1" s="1"/>
  <c r="Q48" i="1" s="1"/>
  <c r="Z220" i="1"/>
  <c r="R175" i="2"/>
  <c r="AH47" i="1"/>
  <c r="AH86" i="1"/>
  <c r="Z168" i="1"/>
  <c r="AH197" i="1"/>
  <c r="Z82" i="1"/>
  <c r="K114" i="2" s="1"/>
  <c r="I114" i="2" s="1"/>
  <c r="L110" i="2" s="1"/>
  <c r="K82" i="1" s="1"/>
  <c r="W82" i="1" s="1"/>
  <c r="Z160" i="1"/>
  <c r="K221" i="2" s="1"/>
  <c r="I221" i="2" s="1"/>
  <c r="L216" i="2" s="1"/>
  <c r="K160" i="1" s="1"/>
  <c r="W160" i="1" s="1"/>
  <c r="R168" i="2"/>
  <c r="AH82" i="1"/>
  <c r="R127" i="2"/>
  <c r="T127" i="2" s="1"/>
  <c r="Z188" i="1"/>
  <c r="K260" i="2" s="1"/>
  <c r="I260" i="2" s="1"/>
  <c r="L258" i="2" s="1"/>
  <c r="K188" i="1" s="1"/>
  <c r="Q188" i="1" s="1"/>
  <c r="Z169" i="1"/>
  <c r="Z156" i="1"/>
  <c r="K216" i="2" s="1"/>
  <c r="I216" i="2" s="1"/>
  <c r="L212" i="2" s="1"/>
  <c r="K156" i="1" s="1"/>
  <c r="Q156" i="1" s="1"/>
  <c r="Z204" i="1"/>
  <c r="K281" i="2" s="1"/>
  <c r="I281" i="2" s="1"/>
  <c r="L274" i="2" s="1"/>
  <c r="K204" i="1" s="1"/>
  <c r="Q204" i="1" s="1"/>
  <c r="Z101" i="1"/>
  <c r="AH160" i="1"/>
  <c r="R223" i="2"/>
  <c r="R70" i="2"/>
  <c r="Z54" i="1"/>
  <c r="K75" i="2" s="1"/>
  <c r="I75" i="2" s="1"/>
  <c r="K54" i="1" s="1"/>
  <c r="Q54" i="1" s="1"/>
  <c r="R69" i="2"/>
  <c r="R228" i="2"/>
  <c r="Z61" i="1"/>
  <c r="K82" i="2" s="1"/>
  <c r="I82" i="2" s="1"/>
  <c r="K61" i="1" s="1"/>
  <c r="Q61" i="1" s="1"/>
  <c r="Z192" i="1"/>
  <c r="K265" i="2" s="1"/>
  <c r="I265" i="2" s="1"/>
  <c r="L262" i="2" s="1"/>
  <c r="K192" i="1" s="1"/>
  <c r="W192" i="1" s="1"/>
  <c r="R272" i="2"/>
  <c r="R71" i="2"/>
  <c r="T71" i="2" s="1"/>
  <c r="U71" i="2" s="1"/>
  <c r="Z198" i="1"/>
  <c r="K273" i="2" s="1"/>
  <c r="I273" i="2" s="1"/>
  <c r="L268" i="2" s="1"/>
  <c r="K198" i="1" s="1"/>
  <c r="W198" i="1" s="1"/>
  <c r="Z153" i="1"/>
  <c r="Q153" i="1" s="1"/>
  <c r="Z65" i="1"/>
  <c r="Z44" i="1"/>
  <c r="K61" i="2" s="1"/>
  <c r="I61" i="2" s="1"/>
  <c r="K44" i="1" s="1"/>
  <c r="Z140" i="1"/>
  <c r="Z93" i="1"/>
  <c r="K128" i="2" s="1"/>
  <c r="I128" i="2" s="1"/>
  <c r="L121" i="2" s="1"/>
  <c r="K93" i="1" s="1"/>
  <c r="W93" i="1" s="1"/>
  <c r="Z195" i="1"/>
  <c r="W195" i="1" s="1"/>
  <c r="Z176" i="1"/>
  <c r="Z66" i="1"/>
  <c r="Z193" i="1"/>
  <c r="K267" i="2" s="1"/>
  <c r="I267" i="2" s="1"/>
  <c r="L263" i="2" s="1"/>
  <c r="K193" i="1" s="1"/>
  <c r="W193" i="1" s="1"/>
  <c r="R279" i="2"/>
  <c r="U279" i="2" s="1"/>
  <c r="Z85" i="1"/>
  <c r="K117" i="2" s="1"/>
  <c r="I117" i="2" s="1"/>
  <c r="L113" i="2" s="1"/>
  <c r="K85" i="1" s="1"/>
  <c r="Q85" i="1" s="1"/>
  <c r="AH84" i="1"/>
  <c r="Z102" i="1"/>
  <c r="R178" i="2"/>
  <c r="Z91" i="1"/>
  <c r="K126" i="2" s="1"/>
  <c r="I126" i="2" s="1"/>
  <c r="L119" i="2" s="1"/>
  <c r="K91" i="1" s="1"/>
  <c r="Z74" i="1"/>
  <c r="Z152" i="1"/>
  <c r="Z92" i="1"/>
  <c r="K127" i="2" s="1"/>
  <c r="I127" i="2" s="1"/>
  <c r="L120" i="2" s="1"/>
  <c r="K92" i="1" s="1"/>
  <c r="W92" i="1" s="1"/>
  <c r="Z147" i="1"/>
  <c r="AH193" i="1"/>
  <c r="Z105" i="1"/>
  <c r="R76" i="2"/>
  <c r="T76" i="2" s="1"/>
  <c r="Z208" i="1"/>
  <c r="K285" i="2" s="1"/>
  <c r="I285" i="2" s="1"/>
  <c r="L278" i="2" s="1"/>
  <c r="K208" i="1" s="1"/>
  <c r="Z115" i="1"/>
  <c r="R117" i="2"/>
  <c r="Z183" i="1"/>
  <c r="Q183" i="1" s="1"/>
  <c r="R224" i="2"/>
  <c r="R270" i="2"/>
  <c r="Z46" i="1"/>
  <c r="K64" i="2" s="1"/>
  <c r="I64" i="2" s="1"/>
  <c r="K46" i="1" s="1"/>
  <c r="Q46" i="1" s="1"/>
  <c r="R172" i="2"/>
  <c r="Z223" i="1"/>
  <c r="K306" i="2" s="1"/>
  <c r="L293" i="2" s="1"/>
  <c r="K223" i="1" s="1"/>
  <c r="Z151" i="1"/>
  <c r="K209" i="2" s="1"/>
  <c r="I209" i="2" s="1"/>
  <c r="L207" i="2" s="1"/>
  <c r="K151" i="1" s="1"/>
  <c r="Z146" i="1"/>
  <c r="Q146" i="1" s="1"/>
  <c r="AH123" i="1"/>
  <c r="AH155" i="1"/>
  <c r="Z119" i="1"/>
  <c r="R277" i="2"/>
  <c r="Z194" i="1"/>
  <c r="K268" i="2" s="1"/>
  <c r="I268" i="2" s="1"/>
  <c r="L264" i="2" s="1"/>
  <c r="K194" i="1" s="1"/>
  <c r="Q194" i="1" s="1"/>
  <c r="Z116" i="1"/>
  <c r="AH88" i="1"/>
  <c r="AH200" i="1"/>
  <c r="AH118" i="1"/>
  <c r="Z84" i="1"/>
  <c r="Q84" i="1" s="1"/>
  <c r="Z41" i="1"/>
  <c r="K57" i="2" s="1"/>
  <c r="I57" i="2" s="1"/>
  <c r="K41" i="1" s="1"/>
  <c r="Z43" i="1"/>
  <c r="K59" i="2" s="1"/>
  <c r="I59" i="2" s="1"/>
  <c r="K43" i="1" s="1"/>
  <c r="Z202" i="1"/>
  <c r="K279" i="2" s="1"/>
  <c r="I279" i="2" s="1"/>
  <c r="L272" i="2" s="1"/>
  <c r="K202" i="1" s="1"/>
  <c r="W202" i="1" s="1"/>
  <c r="Z72" i="1"/>
  <c r="R176" i="2"/>
  <c r="T176" i="2" s="1"/>
  <c r="U176" i="2" s="1"/>
  <c r="Z122" i="1"/>
  <c r="K168" i="2" s="1"/>
  <c r="I168" i="2" s="1"/>
  <c r="L164" i="2" s="1"/>
  <c r="K122" i="1" s="1"/>
  <c r="Q122" i="1" s="1"/>
  <c r="Z120" i="1"/>
  <c r="K166" i="2" s="1"/>
  <c r="I166" i="2" s="1"/>
  <c r="L162" i="2" s="1"/>
  <c r="K120" i="1" s="1"/>
  <c r="Q120" i="1" s="1"/>
  <c r="AH156" i="1"/>
  <c r="Z95" i="1"/>
  <c r="K130" i="2" s="1"/>
  <c r="I130" i="2" s="1"/>
  <c r="L123" i="2" s="1"/>
  <c r="K95" i="1" s="1"/>
  <c r="Q95" i="1" s="1"/>
  <c r="Z59" i="1"/>
  <c r="K80" i="2" s="1"/>
  <c r="I80" i="2" s="1"/>
  <c r="K59" i="1" s="1"/>
  <c r="W59" i="1" s="1"/>
  <c r="AH198" i="1"/>
  <c r="AH154" i="1"/>
  <c r="Z47" i="1"/>
  <c r="Z184" i="1"/>
  <c r="AH194" i="1"/>
  <c r="R271" i="2"/>
  <c r="R17" i="2"/>
  <c r="T17" i="2" s="1"/>
  <c r="R15" i="2"/>
  <c r="R25" i="2"/>
  <c r="U25" i="2" s="1"/>
  <c r="R19" i="2"/>
  <c r="R20" i="2"/>
  <c r="R22" i="2"/>
  <c r="T22" i="2" s="1"/>
  <c r="R24" i="2"/>
  <c r="T24" i="2" s="1"/>
  <c r="R16" i="2"/>
  <c r="U16" i="2" s="1"/>
  <c r="R18" i="2"/>
  <c r="Y11" i="6"/>
  <c r="S12" i="6" s="1"/>
  <c r="U12" i="6" s="1"/>
  <c r="AC11" i="6"/>
  <c r="S24" i="6" s="1"/>
  <c r="Q79" i="1"/>
  <c r="Q109" i="1"/>
  <c r="Q185" i="1"/>
  <c r="Q157" i="1"/>
  <c r="Q151" i="1"/>
  <c r="Q165" i="1"/>
  <c r="Q161" i="1"/>
  <c r="Q129" i="1"/>
  <c r="Q56" i="1"/>
  <c r="W56" i="1"/>
  <c r="W107" i="1"/>
  <c r="W79" i="1"/>
  <c r="W40" i="1"/>
  <c r="W109" i="1"/>
  <c r="W157" i="1"/>
  <c r="W161" i="1"/>
  <c r="W154" i="1"/>
  <c r="W129" i="1"/>
  <c r="W151" i="1"/>
  <c r="W75" i="1"/>
  <c r="W84" i="1"/>
  <c r="L39" i="6"/>
  <c r="M39" i="6" s="1"/>
  <c r="N36" i="6"/>
  <c r="O36" i="6" s="1"/>
  <c r="G195" i="6"/>
  <c r="I195" i="6"/>
  <c r="I175" i="6"/>
  <c r="G175" i="6"/>
  <c r="I194" i="6"/>
  <c r="G194" i="6"/>
  <c r="I193" i="6"/>
  <c r="G193" i="6"/>
  <c r="I176" i="6"/>
  <c r="G176" i="6"/>
  <c r="I189" i="6"/>
  <c r="G189" i="6"/>
  <c r="I174" i="6"/>
  <c r="G174" i="6"/>
  <c r="I192" i="6"/>
  <c r="G192" i="6"/>
  <c r="U37" i="6"/>
  <c r="N9" i="6"/>
  <c r="I190" i="6"/>
  <c r="G190" i="6"/>
  <c r="I191" i="6"/>
  <c r="G191" i="6"/>
  <c r="I188" i="6"/>
  <c r="G188" i="6"/>
  <c r="W197" i="1" l="1"/>
  <c r="Q187" i="1"/>
  <c r="W156" i="1"/>
  <c r="Q131" i="1"/>
  <c r="W112" i="1"/>
  <c r="Q206" i="1"/>
  <c r="Q198" i="1"/>
  <c r="Q159" i="1"/>
  <c r="W135" i="1"/>
  <c r="W130" i="1"/>
  <c r="W123" i="1"/>
  <c r="T69" i="2"/>
  <c r="U69" i="2" s="1"/>
  <c r="I90" i="2"/>
  <c r="K69" i="1" s="1"/>
  <c r="W60" i="1"/>
  <c r="W85" i="1"/>
  <c r="W174" i="1"/>
  <c r="I192" i="2"/>
  <c r="L185" i="2" s="1"/>
  <c r="K143" i="1" s="1"/>
  <c r="T228" i="2"/>
  <c r="U228" i="2" s="1"/>
  <c r="I243" i="2"/>
  <c r="L236" i="2" s="1"/>
  <c r="K180" i="1" s="1"/>
  <c r="I141" i="2"/>
  <c r="L134" i="2" s="1"/>
  <c r="K106" i="1" s="1"/>
  <c r="T120" i="2"/>
  <c r="U120" i="2" s="1"/>
  <c r="W80" i="1"/>
  <c r="W63" i="1"/>
  <c r="W58" i="1"/>
  <c r="W53" i="1"/>
  <c r="Q127" i="1"/>
  <c r="Q114" i="1"/>
  <c r="Q137" i="1"/>
  <c r="Q134" i="1"/>
  <c r="W94" i="1"/>
  <c r="W99" i="1"/>
  <c r="W211" i="1"/>
  <c r="W207" i="1"/>
  <c r="W122" i="1"/>
  <c r="W48" i="1"/>
  <c r="W201" i="1"/>
  <c r="Q81" i="1"/>
  <c r="W209" i="1"/>
  <c r="W87" i="1"/>
  <c r="W173" i="1"/>
  <c r="W95" i="1"/>
  <c r="W136" i="1"/>
  <c r="W204" i="1"/>
  <c r="W186" i="1"/>
  <c r="Q158" i="1"/>
  <c r="W183" i="1"/>
  <c r="Q76" i="1"/>
  <c r="Q164" i="1"/>
  <c r="Q149" i="1"/>
  <c r="Q171" i="1"/>
  <c r="Q55" i="1"/>
  <c r="W191" i="1"/>
  <c r="W100" i="1"/>
  <c r="W61" i="1"/>
  <c r="W46" i="1"/>
  <c r="Q82" i="1"/>
  <c r="W57" i="1"/>
  <c r="W77" i="1"/>
  <c r="W120" i="1"/>
  <c r="W146" i="1"/>
  <c r="W153" i="1"/>
  <c r="W54" i="1"/>
  <c r="Q214" i="1"/>
  <c r="W49" i="1"/>
  <c r="W121" i="1"/>
  <c r="W188" i="1"/>
  <c r="W216" i="1"/>
  <c r="W205" i="1"/>
  <c r="Q96" i="1"/>
  <c r="Q195" i="1"/>
  <c r="Q86" i="1"/>
  <c r="Q190" i="1"/>
  <c r="Q132" i="1"/>
  <c r="W196" i="1"/>
  <c r="W194" i="1"/>
  <c r="W203" i="1"/>
  <c r="Q144" i="1"/>
  <c r="Q212" i="1"/>
  <c r="W210" i="1"/>
  <c r="W98" i="1"/>
  <c r="Q172" i="1"/>
  <c r="W155" i="1"/>
  <c r="K137" i="2"/>
  <c r="I137" i="2" s="1"/>
  <c r="L130" i="2" s="1"/>
  <c r="K102" i="1" s="1"/>
  <c r="K160" i="2"/>
  <c r="T116" i="1"/>
  <c r="S116" i="1"/>
  <c r="U116" i="1"/>
  <c r="R116" i="1"/>
  <c r="V116" i="1"/>
  <c r="S133" i="1"/>
  <c r="T133" i="1"/>
  <c r="U133" i="1"/>
  <c r="R133" i="1"/>
  <c r="V133" i="1"/>
  <c r="S113" i="1"/>
  <c r="T113" i="1"/>
  <c r="U113" i="1"/>
  <c r="R113" i="1"/>
  <c r="V113" i="1"/>
  <c r="K202" i="2"/>
  <c r="T148" i="1"/>
  <c r="S148" i="1"/>
  <c r="U148" i="1"/>
  <c r="R148" i="1"/>
  <c r="V148" i="1"/>
  <c r="W148" i="1"/>
  <c r="S202" i="1"/>
  <c r="T202" i="1"/>
  <c r="U202" i="1"/>
  <c r="R202" i="1"/>
  <c r="V202" i="1"/>
  <c r="T194" i="1"/>
  <c r="S194" i="1"/>
  <c r="U194" i="1"/>
  <c r="R194" i="1"/>
  <c r="V194" i="1"/>
  <c r="U76" i="2"/>
  <c r="Y52" i="1" s="1"/>
  <c r="K73" i="2"/>
  <c r="U178" i="2"/>
  <c r="Y126" i="1" s="1"/>
  <c r="K175" i="2"/>
  <c r="K269" i="2"/>
  <c r="T195" i="1"/>
  <c r="S195" i="1"/>
  <c r="U195" i="1"/>
  <c r="R195" i="1"/>
  <c r="V195" i="1"/>
  <c r="K241" i="2"/>
  <c r="I241" i="2" s="1"/>
  <c r="L234" i="2" s="1"/>
  <c r="K178" i="1" s="1"/>
  <c r="K300" i="2"/>
  <c r="I300" i="2" s="1"/>
  <c r="L290" i="2" s="1"/>
  <c r="K220" i="1" s="1"/>
  <c r="W220" i="1" s="1"/>
  <c r="K194" i="2"/>
  <c r="T144" i="1"/>
  <c r="S144" i="1"/>
  <c r="U144" i="1"/>
  <c r="R144" i="1"/>
  <c r="V144" i="1"/>
  <c r="T205" i="1"/>
  <c r="S205" i="1"/>
  <c r="U205" i="1"/>
  <c r="R205" i="1"/>
  <c r="V205" i="1"/>
  <c r="S196" i="1"/>
  <c r="T196" i="1"/>
  <c r="R196" i="1"/>
  <c r="U196" i="1"/>
  <c r="V196" i="1"/>
  <c r="T86" i="1"/>
  <c r="S86" i="1"/>
  <c r="R86" i="1"/>
  <c r="U86" i="1"/>
  <c r="V86" i="1"/>
  <c r="K187" i="2"/>
  <c r="I187" i="2" s="1"/>
  <c r="L180" i="2" s="1"/>
  <c r="K138" i="1" s="1"/>
  <c r="K229" i="2"/>
  <c r="I229" i="2" s="1"/>
  <c r="L222" i="2" s="1"/>
  <c r="K166" i="1" s="1"/>
  <c r="T132" i="1"/>
  <c r="S132" i="1"/>
  <c r="U132" i="1"/>
  <c r="R132" i="1"/>
  <c r="V132" i="1"/>
  <c r="K240" i="2"/>
  <c r="I240" i="2" s="1"/>
  <c r="L233" i="2" s="1"/>
  <c r="K177" i="1" s="1"/>
  <c r="K298" i="2"/>
  <c r="L289" i="2" s="1"/>
  <c r="K219" i="1" s="1"/>
  <c r="W219" i="1" s="1"/>
  <c r="S155" i="1"/>
  <c r="T155" i="1"/>
  <c r="R155" i="1"/>
  <c r="U155" i="1"/>
  <c r="V155" i="1"/>
  <c r="K262" i="2"/>
  <c r="T190" i="1"/>
  <c r="S190" i="1"/>
  <c r="R190" i="1"/>
  <c r="U190" i="1"/>
  <c r="V190" i="1"/>
  <c r="T49" i="1"/>
  <c r="S49" i="1"/>
  <c r="R49" i="1"/>
  <c r="U49" i="1"/>
  <c r="V49" i="1"/>
  <c r="T98" i="1"/>
  <c r="S98" i="1"/>
  <c r="U98" i="1"/>
  <c r="R98" i="1"/>
  <c r="V98" i="1"/>
  <c r="T212" i="1"/>
  <c r="S212" i="1"/>
  <c r="R212" i="1"/>
  <c r="U212" i="1"/>
  <c r="V212" i="1"/>
  <c r="K145" i="2"/>
  <c r="L136" i="2" s="1"/>
  <c r="K108" i="1" s="1"/>
  <c r="W108" i="1" s="1"/>
  <c r="S210" i="1"/>
  <c r="T210" i="1"/>
  <c r="R210" i="1"/>
  <c r="U210" i="1"/>
  <c r="V210" i="1"/>
  <c r="S96" i="1"/>
  <c r="T96" i="1"/>
  <c r="R96" i="1"/>
  <c r="U96" i="1"/>
  <c r="V96" i="1"/>
  <c r="T223" i="1"/>
  <c r="S223" i="1"/>
  <c r="U223" i="1"/>
  <c r="R223" i="1"/>
  <c r="V223" i="1"/>
  <c r="S50" i="1"/>
  <c r="T50" i="1"/>
  <c r="U50" i="1"/>
  <c r="R50" i="1"/>
  <c r="V50" i="1"/>
  <c r="S150" i="1"/>
  <c r="T150" i="1"/>
  <c r="U150" i="1"/>
  <c r="R150" i="1"/>
  <c r="V150" i="1"/>
  <c r="W150" i="1"/>
  <c r="W223" i="1"/>
  <c r="Q133" i="1"/>
  <c r="Q113" i="1"/>
  <c r="Q90" i="1"/>
  <c r="AC12" i="6"/>
  <c r="S25" i="6" s="1"/>
  <c r="Y12" i="6"/>
  <c r="S13" i="6" s="1"/>
  <c r="U13" i="6" s="1"/>
  <c r="T59" i="1"/>
  <c r="S59" i="1"/>
  <c r="R59" i="1"/>
  <c r="U59" i="1"/>
  <c r="V59" i="1"/>
  <c r="T46" i="1"/>
  <c r="S46" i="1"/>
  <c r="U46" i="1"/>
  <c r="R46" i="1"/>
  <c r="V46" i="1"/>
  <c r="S93" i="1"/>
  <c r="T93" i="1"/>
  <c r="R93" i="1"/>
  <c r="U93" i="1"/>
  <c r="V93" i="1"/>
  <c r="S192" i="1"/>
  <c r="T192" i="1"/>
  <c r="R192" i="1"/>
  <c r="U192" i="1"/>
  <c r="V192" i="1"/>
  <c r="T160" i="1"/>
  <c r="S160" i="1"/>
  <c r="R160" i="1"/>
  <c r="U160" i="1"/>
  <c r="V160" i="1"/>
  <c r="T48" i="1"/>
  <c r="S48" i="1"/>
  <c r="U48" i="1"/>
  <c r="R48" i="1"/>
  <c r="V48" i="1"/>
  <c r="S136" i="1"/>
  <c r="T136" i="1"/>
  <c r="U136" i="1"/>
  <c r="R136" i="1"/>
  <c r="V136" i="1"/>
  <c r="T57" i="1"/>
  <c r="S57" i="1"/>
  <c r="R57" i="1"/>
  <c r="U57" i="1"/>
  <c r="V57" i="1"/>
  <c r="K218" i="2"/>
  <c r="S158" i="1"/>
  <c r="T158" i="1"/>
  <c r="U158" i="1"/>
  <c r="R158" i="1"/>
  <c r="V158" i="1"/>
  <c r="S191" i="1"/>
  <c r="T191" i="1"/>
  <c r="U191" i="1"/>
  <c r="R191" i="1"/>
  <c r="V191" i="1"/>
  <c r="T81" i="1"/>
  <c r="S81" i="1"/>
  <c r="U81" i="1"/>
  <c r="R81" i="1"/>
  <c r="V81" i="1"/>
  <c r="S209" i="1"/>
  <c r="T209" i="1"/>
  <c r="R209" i="1"/>
  <c r="U209" i="1"/>
  <c r="V209" i="1"/>
  <c r="S55" i="1"/>
  <c r="T55" i="1"/>
  <c r="U55" i="1"/>
  <c r="R55" i="1"/>
  <c r="V55" i="1"/>
  <c r="K167" i="2"/>
  <c r="S121" i="1"/>
  <c r="T121" i="1"/>
  <c r="R121" i="1"/>
  <c r="U121" i="1"/>
  <c r="V121" i="1"/>
  <c r="S100" i="1"/>
  <c r="T100" i="1"/>
  <c r="U100" i="1"/>
  <c r="R100" i="1"/>
  <c r="V100" i="1"/>
  <c r="S216" i="1"/>
  <c r="T216" i="1"/>
  <c r="U216" i="1"/>
  <c r="R216" i="1"/>
  <c r="V216" i="1"/>
  <c r="S201" i="1"/>
  <c r="T201" i="1"/>
  <c r="R201" i="1"/>
  <c r="U201" i="1"/>
  <c r="V201" i="1"/>
  <c r="S76" i="1"/>
  <c r="T76" i="1"/>
  <c r="R76" i="1"/>
  <c r="U76" i="1"/>
  <c r="V76" i="1"/>
  <c r="K88" i="2"/>
  <c r="I88" i="2" s="1"/>
  <c r="K67" i="1" s="1"/>
  <c r="U118" i="2"/>
  <c r="K123" i="2"/>
  <c r="S62" i="1"/>
  <c r="T62" i="1"/>
  <c r="U62" i="1"/>
  <c r="R62" i="1"/>
  <c r="V62" i="1"/>
  <c r="S203" i="1"/>
  <c r="T203" i="1"/>
  <c r="U203" i="1"/>
  <c r="R203" i="1"/>
  <c r="V203" i="1"/>
  <c r="Q160" i="1"/>
  <c r="Q62" i="1"/>
  <c r="T95" i="1"/>
  <c r="S95" i="1"/>
  <c r="R95" i="1"/>
  <c r="U95" i="1"/>
  <c r="V95" i="1"/>
  <c r="K140" i="2"/>
  <c r="I140" i="2" s="1"/>
  <c r="L133" i="2" s="1"/>
  <c r="K105" i="1" s="1"/>
  <c r="K165" i="2"/>
  <c r="I165" i="2" s="1"/>
  <c r="L161" i="2" s="1"/>
  <c r="K119" i="1" s="1"/>
  <c r="S61" i="1"/>
  <c r="T61" i="1"/>
  <c r="U61" i="1"/>
  <c r="R61" i="1"/>
  <c r="V61" i="1"/>
  <c r="T204" i="1"/>
  <c r="S204" i="1"/>
  <c r="U204" i="1"/>
  <c r="R204" i="1"/>
  <c r="V204" i="1"/>
  <c r="T82" i="1"/>
  <c r="S82" i="1"/>
  <c r="R82" i="1"/>
  <c r="U82" i="1"/>
  <c r="V82" i="1"/>
  <c r="K242" i="2"/>
  <c r="I242" i="2" s="1"/>
  <c r="L235" i="2" s="1"/>
  <c r="K179" i="1" s="1"/>
  <c r="K302" i="2"/>
  <c r="L291" i="2" s="1"/>
  <c r="K221" i="1" s="1"/>
  <c r="W221" i="1" s="1"/>
  <c r="S149" i="1"/>
  <c r="T149" i="1"/>
  <c r="R149" i="1"/>
  <c r="U149" i="1"/>
  <c r="V149" i="1"/>
  <c r="K85" i="2"/>
  <c r="I85" i="2" s="1"/>
  <c r="K64" i="1" s="1"/>
  <c r="K94" i="2"/>
  <c r="K238" i="2"/>
  <c r="I238" i="2" s="1"/>
  <c r="L231" i="2" s="1"/>
  <c r="K175" i="1" s="1"/>
  <c r="K294" i="2"/>
  <c r="K296" i="2"/>
  <c r="I296" i="2" s="1"/>
  <c r="L288" i="2" s="1"/>
  <c r="K218" i="1" s="1"/>
  <c r="Q218" i="1" s="1"/>
  <c r="K239" i="2"/>
  <c r="I239" i="2" s="1"/>
  <c r="L232" i="2" s="1"/>
  <c r="K176" i="1" s="1"/>
  <c r="S87" i="1"/>
  <c r="T87" i="1"/>
  <c r="R87" i="1"/>
  <c r="U87" i="1"/>
  <c r="V87" i="1"/>
  <c r="S164" i="1"/>
  <c r="T164" i="1"/>
  <c r="U164" i="1"/>
  <c r="R164" i="1"/>
  <c r="V164" i="1"/>
  <c r="S171" i="1"/>
  <c r="T171" i="1"/>
  <c r="U171" i="1"/>
  <c r="R171" i="1"/>
  <c r="V171" i="1"/>
  <c r="K138" i="2"/>
  <c r="I138" i="2" s="1"/>
  <c r="L131" i="2" s="1"/>
  <c r="K103" i="1" s="1"/>
  <c r="K161" i="2"/>
  <c r="I161" i="2" s="1"/>
  <c r="L159" i="2" s="1"/>
  <c r="K117" i="1" s="1"/>
  <c r="K149" i="2"/>
  <c r="T91" i="1"/>
  <c r="S91" i="1"/>
  <c r="R91" i="1"/>
  <c r="U91" i="1"/>
  <c r="V91" i="1"/>
  <c r="K98" i="2"/>
  <c r="K73" i="1" s="1"/>
  <c r="Q73" i="1" s="1"/>
  <c r="S128" i="1"/>
  <c r="T128" i="1"/>
  <c r="U128" i="1"/>
  <c r="R128" i="1"/>
  <c r="V128" i="1"/>
  <c r="T215" i="1"/>
  <c r="S215" i="1"/>
  <c r="U215" i="1"/>
  <c r="R215" i="1"/>
  <c r="V215" i="1"/>
  <c r="W128" i="1"/>
  <c r="W116" i="1"/>
  <c r="Q150" i="1"/>
  <c r="Q202" i="1"/>
  <c r="U271" i="2"/>
  <c r="Y199" i="1" s="1"/>
  <c r="K276" i="2"/>
  <c r="K116" i="2"/>
  <c r="T84" i="1"/>
  <c r="S84" i="1"/>
  <c r="U84" i="1"/>
  <c r="R84" i="1"/>
  <c r="V84" i="1"/>
  <c r="K200" i="2"/>
  <c r="L189" i="2" s="1"/>
  <c r="K147" i="1" s="1"/>
  <c r="U147" i="1" s="1"/>
  <c r="S85" i="1"/>
  <c r="T85" i="1"/>
  <c r="U85" i="1"/>
  <c r="R85" i="1"/>
  <c r="V85" i="1"/>
  <c r="S156" i="1"/>
  <c r="T156" i="1"/>
  <c r="U156" i="1"/>
  <c r="R156" i="1"/>
  <c r="V156" i="1"/>
  <c r="S123" i="1"/>
  <c r="T123" i="1"/>
  <c r="U123" i="1"/>
  <c r="R123" i="1"/>
  <c r="V123" i="1"/>
  <c r="U169" i="2"/>
  <c r="Y125" i="1" s="1"/>
  <c r="K174" i="2"/>
  <c r="T130" i="1"/>
  <c r="S130" i="1"/>
  <c r="U130" i="1"/>
  <c r="R130" i="1"/>
  <c r="V130" i="1"/>
  <c r="K139" i="2"/>
  <c r="I139" i="2" s="1"/>
  <c r="L132" i="2" s="1"/>
  <c r="K104" i="1" s="1"/>
  <c r="K163" i="2"/>
  <c r="I163" i="2" s="1"/>
  <c r="L160" i="2" s="1"/>
  <c r="K118" i="1" s="1"/>
  <c r="S159" i="1"/>
  <c r="T159" i="1"/>
  <c r="U159" i="1"/>
  <c r="R159" i="1"/>
  <c r="V159" i="1"/>
  <c r="K143" i="2"/>
  <c r="S107" i="1"/>
  <c r="T107" i="1"/>
  <c r="U107" i="1"/>
  <c r="R107" i="1"/>
  <c r="V107" i="1"/>
  <c r="U280" i="2"/>
  <c r="Y200" i="1" s="1"/>
  <c r="K277" i="2"/>
  <c r="T60" i="1"/>
  <c r="S60" i="1"/>
  <c r="U60" i="1"/>
  <c r="R60" i="1"/>
  <c r="V60" i="1"/>
  <c r="K253" i="2"/>
  <c r="T185" i="1"/>
  <c r="S185" i="1"/>
  <c r="U185" i="1"/>
  <c r="R185" i="1"/>
  <c r="V185" i="1"/>
  <c r="T112" i="1"/>
  <c r="S112" i="1"/>
  <c r="R112" i="1"/>
  <c r="U112" i="1"/>
  <c r="V112" i="1"/>
  <c r="K92" i="2"/>
  <c r="I92" i="2" s="1"/>
  <c r="K70" i="1" s="1"/>
  <c r="T70" i="1" s="1"/>
  <c r="T165" i="1"/>
  <c r="S165" i="1"/>
  <c r="U165" i="1"/>
  <c r="R165" i="1"/>
  <c r="V165" i="1"/>
  <c r="S187" i="1"/>
  <c r="T187" i="1"/>
  <c r="U187" i="1"/>
  <c r="R187" i="1"/>
  <c r="V187" i="1"/>
  <c r="T208" i="1"/>
  <c r="S208" i="1"/>
  <c r="U208" i="1"/>
  <c r="R208" i="1"/>
  <c r="V208" i="1"/>
  <c r="K245" i="2"/>
  <c r="T181" i="1"/>
  <c r="S181" i="1"/>
  <c r="R181" i="1"/>
  <c r="U181" i="1"/>
  <c r="V181" i="1"/>
  <c r="S172" i="1"/>
  <c r="T172" i="1"/>
  <c r="R172" i="1"/>
  <c r="U172" i="1"/>
  <c r="V172" i="1"/>
  <c r="W208" i="1"/>
  <c r="W50" i="1"/>
  <c r="Q59" i="1"/>
  <c r="Q192" i="1"/>
  <c r="Q50" i="1"/>
  <c r="Q91" i="1"/>
  <c r="Q223" i="1"/>
  <c r="Q116" i="1"/>
  <c r="S120" i="1"/>
  <c r="T120" i="1"/>
  <c r="U120" i="1"/>
  <c r="R120" i="1"/>
  <c r="V120" i="1"/>
  <c r="K249" i="2"/>
  <c r="T183" i="1"/>
  <c r="S183" i="1"/>
  <c r="U183" i="1"/>
  <c r="R183" i="1"/>
  <c r="V183" i="1"/>
  <c r="T92" i="1"/>
  <c r="S92" i="1"/>
  <c r="U92" i="1"/>
  <c r="R92" i="1"/>
  <c r="V92" i="1"/>
  <c r="K86" i="2"/>
  <c r="I86" i="2" s="1"/>
  <c r="K65" i="1" s="1"/>
  <c r="K190" i="2"/>
  <c r="I190" i="2" s="1"/>
  <c r="L183" i="2" s="1"/>
  <c r="K141" i="1" s="1"/>
  <c r="K232" i="2"/>
  <c r="I232" i="2" s="1"/>
  <c r="L225" i="2" s="1"/>
  <c r="K169" i="1" s="1"/>
  <c r="K189" i="2"/>
  <c r="I189" i="2" s="1"/>
  <c r="L182" i="2" s="1"/>
  <c r="K140" i="1" s="1"/>
  <c r="K231" i="2"/>
  <c r="I231" i="2" s="1"/>
  <c r="L224" i="2" s="1"/>
  <c r="K168" i="1" s="1"/>
  <c r="K261" i="2"/>
  <c r="I261" i="2" s="1"/>
  <c r="L259" i="2" s="1"/>
  <c r="K189" i="1" s="1"/>
  <c r="Q189" i="1" s="1"/>
  <c r="T214" i="1"/>
  <c r="S214" i="1"/>
  <c r="R214" i="1"/>
  <c r="U214" i="1"/>
  <c r="V214" i="1"/>
  <c r="T97" i="1"/>
  <c r="S97" i="1"/>
  <c r="U97" i="1"/>
  <c r="R97" i="1"/>
  <c r="V97" i="1"/>
  <c r="K151" i="2"/>
  <c r="I151" i="2" s="1"/>
  <c r="L139" i="2" s="1"/>
  <c r="K111" i="1" s="1"/>
  <c r="V111" i="1" s="1"/>
  <c r="T58" i="1"/>
  <c r="S58" i="1"/>
  <c r="U58" i="1"/>
  <c r="R58" i="1"/>
  <c r="V58" i="1"/>
  <c r="S174" i="1"/>
  <c r="T174" i="1"/>
  <c r="R174" i="1"/>
  <c r="U174" i="1"/>
  <c r="V174" i="1"/>
  <c r="S53" i="1"/>
  <c r="T53" i="1"/>
  <c r="U53" i="1"/>
  <c r="R53" i="1"/>
  <c r="V53" i="1"/>
  <c r="S63" i="1"/>
  <c r="T63" i="1"/>
  <c r="U63" i="1"/>
  <c r="R63" i="1"/>
  <c r="V63" i="1"/>
  <c r="T207" i="1"/>
  <c r="S207" i="1"/>
  <c r="R207" i="1"/>
  <c r="U207" i="1"/>
  <c r="V207" i="1"/>
  <c r="T127" i="1"/>
  <c r="S127" i="1"/>
  <c r="U127" i="1"/>
  <c r="R127" i="1"/>
  <c r="V127" i="1"/>
  <c r="K109" i="2"/>
  <c r="S79" i="1"/>
  <c r="T79" i="1"/>
  <c r="R79" i="1"/>
  <c r="U79" i="1"/>
  <c r="V79" i="1"/>
  <c r="K304" i="2"/>
  <c r="I304" i="2" s="1"/>
  <c r="L292" i="2" s="1"/>
  <c r="K222" i="1" s="1"/>
  <c r="V222" i="1" s="1"/>
  <c r="K147" i="2"/>
  <c r="T109" i="1"/>
  <c r="S109" i="1"/>
  <c r="R109" i="1"/>
  <c r="U109" i="1"/>
  <c r="V109" i="1"/>
  <c r="S137" i="1"/>
  <c r="T137" i="1"/>
  <c r="R137" i="1"/>
  <c r="U137" i="1"/>
  <c r="V137" i="1"/>
  <c r="U229" i="2"/>
  <c r="K226" i="2"/>
  <c r="K96" i="2"/>
  <c r="I96" i="2" s="1"/>
  <c r="K72" i="1" s="1"/>
  <c r="Q72" i="1" s="1"/>
  <c r="T90" i="1"/>
  <c r="S90" i="1"/>
  <c r="R90" i="1"/>
  <c r="U90" i="1"/>
  <c r="V90" i="1"/>
  <c r="S213" i="1"/>
  <c r="T213" i="1"/>
  <c r="U213" i="1"/>
  <c r="R213" i="1"/>
  <c r="V213" i="1"/>
  <c r="T124" i="1"/>
  <c r="S124" i="1"/>
  <c r="R124" i="1"/>
  <c r="U124" i="1"/>
  <c r="V124" i="1"/>
  <c r="W133" i="1"/>
  <c r="W213" i="1"/>
  <c r="W91" i="1"/>
  <c r="Q208" i="1"/>
  <c r="Q181" i="1"/>
  <c r="Q124" i="1"/>
  <c r="Q215" i="1"/>
  <c r="K251" i="2"/>
  <c r="T122" i="1"/>
  <c r="S122" i="1"/>
  <c r="U122" i="1"/>
  <c r="R122" i="1"/>
  <c r="V122" i="1"/>
  <c r="K198" i="2"/>
  <c r="T146" i="1"/>
  <c r="S146" i="1"/>
  <c r="R146" i="1"/>
  <c r="U146" i="1"/>
  <c r="V146" i="1"/>
  <c r="K210" i="2"/>
  <c r="I210" i="2" s="1"/>
  <c r="L208" i="2" s="1"/>
  <c r="K152" i="1" s="1"/>
  <c r="Q152" i="1" s="1"/>
  <c r="T193" i="1"/>
  <c r="S193" i="1"/>
  <c r="U193" i="1"/>
  <c r="R193" i="1"/>
  <c r="V193" i="1"/>
  <c r="K211" i="2"/>
  <c r="T153" i="1"/>
  <c r="S153" i="1"/>
  <c r="U153" i="1"/>
  <c r="R153" i="1"/>
  <c r="V153" i="1"/>
  <c r="S54" i="1"/>
  <c r="T54" i="1"/>
  <c r="R54" i="1"/>
  <c r="U54" i="1"/>
  <c r="V54" i="1"/>
  <c r="S188" i="1"/>
  <c r="T188" i="1"/>
  <c r="R188" i="1"/>
  <c r="U188" i="1"/>
  <c r="V188" i="1"/>
  <c r="T77" i="1"/>
  <c r="S77" i="1"/>
  <c r="U77" i="1"/>
  <c r="R77" i="1"/>
  <c r="V77" i="1"/>
  <c r="S83" i="1"/>
  <c r="T83" i="1"/>
  <c r="R83" i="1"/>
  <c r="U83" i="1"/>
  <c r="V83" i="1"/>
  <c r="S186" i="1"/>
  <c r="T186" i="1"/>
  <c r="R186" i="1"/>
  <c r="U186" i="1"/>
  <c r="V186" i="1"/>
  <c r="T94" i="1"/>
  <c r="S94" i="1"/>
  <c r="R94" i="1"/>
  <c r="U94" i="1"/>
  <c r="V94" i="1"/>
  <c r="T99" i="1"/>
  <c r="S99" i="1"/>
  <c r="U99" i="1"/>
  <c r="R99" i="1"/>
  <c r="V99" i="1"/>
  <c r="T211" i="1"/>
  <c r="S211" i="1"/>
  <c r="R211" i="1"/>
  <c r="U211" i="1"/>
  <c r="V211" i="1"/>
  <c r="S173" i="1"/>
  <c r="T173" i="1"/>
  <c r="U173" i="1"/>
  <c r="R173" i="1"/>
  <c r="V173" i="1"/>
  <c r="U67" i="2"/>
  <c r="K72" i="2"/>
  <c r="T154" i="1"/>
  <c r="S154" i="1"/>
  <c r="R154" i="1"/>
  <c r="U154" i="1"/>
  <c r="V154" i="1"/>
  <c r="K108" i="2"/>
  <c r="I108" i="2" s="1"/>
  <c r="L106" i="2" s="1"/>
  <c r="K78" i="1" s="1"/>
  <c r="Q78" i="1" s="1"/>
  <c r="T75" i="1"/>
  <c r="S75" i="1"/>
  <c r="R75" i="1"/>
  <c r="U75" i="1"/>
  <c r="V75" i="1"/>
  <c r="T197" i="1"/>
  <c r="S197" i="1"/>
  <c r="R197" i="1"/>
  <c r="U197" i="1"/>
  <c r="V197" i="1"/>
  <c r="T40" i="1"/>
  <c r="S40" i="1"/>
  <c r="U40" i="1"/>
  <c r="R40" i="1"/>
  <c r="V40" i="1"/>
  <c r="T206" i="1"/>
  <c r="S206" i="1"/>
  <c r="R206" i="1"/>
  <c r="U206" i="1"/>
  <c r="V206" i="1"/>
  <c r="T134" i="1"/>
  <c r="S134" i="1"/>
  <c r="R134" i="1"/>
  <c r="U134" i="1"/>
  <c r="V134" i="1"/>
  <c r="K196" i="2"/>
  <c r="K89" i="2"/>
  <c r="I89" i="2" s="1"/>
  <c r="K68" i="1" s="1"/>
  <c r="S80" i="1"/>
  <c r="T80" i="1"/>
  <c r="R80" i="1"/>
  <c r="U80" i="1"/>
  <c r="V80" i="1"/>
  <c r="W113" i="1"/>
  <c r="W62" i="1"/>
  <c r="Q193" i="1"/>
  <c r="Q97" i="1"/>
  <c r="Q93" i="1"/>
  <c r="Q83" i="1"/>
  <c r="Q92" i="1"/>
  <c r="K65" i="2"/>
  <c r="I65" i="2" s="1"/>
  <c r="K47" i="1" s="1"/>
  <c r="S47" i="1" s="1"/>
  <c r="T151" i="1"/>
  <c r="S151" i="1"/>
  <c r="U151" i="1"/>
  <c r="R151" i="1"/>
  <c r="V151" i="1"/>
  <c r="K136" i="2"/>
  <c r="I136" i="2" s="1"/>
  <c r="L129" i="2" s="1"/>
  <c r="K101" i="1" s="1"/>
  <c r="K159" i="2"/>
  <c r="I159" i="2" s="1"/>
  <c r="L157" i="2" s="1"/>
  <c r="K115" i="1" s="1"/>
  <c r="U115" i="1" s="1"/>
  <c r="K100" i="2"/>
  <c r="I100" i="2" s="1"/>
  <c r="K74" i="1" s="1"/>
  <c r="W74" i="1" s="1"/>
  <c r="K87" i="2"/>
  <c r="I87" i="2" s="1"/>
  <c r="K66" i="1" s="1"/>
  <c r="T198" i="1"/>
  <c r="S198" i="1"/>
  <c r="U198" i="1"/>
  <c r="R198" i="1"/>
  <c r="V198" i="1"/>
  <c r="U127" i="2"/>
  <c r="Y89" i="1" s="1"/>
  <c r="K124" i="2"/>
  <c r="S135" i="1"/>
  <c r="T135" i="1"/>
  <c r="U135" i="1"/>
  <c r="R135" i="1"/>
  <c r="V135" i="1"/>
  <c r="U220" i="2"/>
  <c r="Y162" i="1" s="1"/>
  <c r="K225" i="2"/>
  <c r="S114" i="1"/>
  <c r="T114" i="1"/>
  <c r="R114" i="1"/>
  <c r="U114" i="1"/>
  <c r="V114" i="1"/>
  <c r="K191" i="2"/>
  <c r="I191" i="2" s="1"/>
  <c r="L184" i="2" s="1"/>
  <c r="K142" i="1" s="1"/>
  <c r="K233" i="2"/>
  <c r="I233" i="2" s="1"/>
  <c r="L226" i="2" s="1"/>
  <c r="K170" i="1" s="1"/>
  <c r="K247" i="2"/>
  <c r="T129" i="1"/>
  <c r="S129" i="1"/>
  <c r="U129" i="1"/>
  <c r="R129" i="1"/>
  <c r="V129" i="1"/>
  <c r="T131" i="1"/>
  <c r="S131" i="1"/>
  <c r="U131" i="1"/>
  <c r="R131" i="1"/>
  <c r="V131" i="1"/>
  <c r="K188" i="2"/>
  <c r="I188" i="2" s="1"/>
  <c r="L181" i="2" s="1"/>
  <c r="K139" i="1" s="1"/>
  <c r="K230" i="2"/>
  <c r="I230" i="2" s="1"/>
  <c r="L223" i="2" s="1"/>
  <c r="K167" i="1" s="1"/>
  <c r="S157" i="1"/>
  <c r="T157" i="1"/>
  <c r="U157" i="1"/>
  <c r="R157" i="1"/>
  <c r="V157" i="1"/>
  <c r="K58" i="2"/>
  <c r="I58" i="2" s="1"/>
  <c r="K42" i="1" s="1"/>
  <c r="R42" i="1" s="1"/>
  <c r="T161" i="1"/>
  <c r="S161" i="1"/>
  <c r="R161" i="1"/>
  <c r="U161" i="1"/>
  <c r="V161" i="1"/>
  <c r="T56" i="1"/>
  <c r="S56" i="1"/>
  <c r="U56" i="1"/>
  <c r="R56" i="1"/>
  <c r="V56" i="1"/>
  <c r="O12" i="6"/>
  <c r="AC37" i="6"/>
  <c r="S47" i="6" s="1"/>
  <c r="Y37" i="6"/>
  <c r="S38" i="6" s="1"/>
  <c r="L42" i="6"/>
  <c r="M42" i="6" s="1"/>
  <c r="N39" i="6"/>
  <c r="O39" i="6" s="1"/>
  <c r="V47" i="1" l="1"/>
  <c r="U47" i="1"/>
  <c r="U42" i="1"/>
  <c r="V42" i="1"/>
  <c r="S42" i="1"/>
  <c r="T42" i="1"/>
  <c r="V69" i="1"/>
  <c r="S69" i="1"/>
  <c r="R69" i="1"/>
  <c r="T69" i="1"/>
  <c r="U69" i="1"/>
  <c r="Q220" i="1"/>
  <c r="Y51" i="1"/>
  <c r="Q47" i="1"/>
  <c r="W47" i="1"/>
  <c r="Q42" i="1"/>
  <c r="W42" i="1"/>
  <c r="R47" i="1"/>
  <c r="I94" i="2"/>
  <c r="K71" i="1" s="1"/>
  <c r="T47" i="1"/>
  <c r="Q69" i="1"/>
  <c r="W69" i="1"/>
  <c r="T152" i="1"/>
  <c r="S152" i="1"/>
  <c r="V220" i="1"/>
  <c r="W189" i="1"/>
  <c r="S222" i="1"/>
  <c r="S74" i="1"/>
  <c r="V78" i="1"/>
  <c r="R78" i="1"/>
  <c r="S78" i="1"/>
  <c r="U70" i="1"/>
  <c r="R220" i="1"/>
  <c r="S70" i="1"/>
  <c r="V189" i="1"/>
  <c r="Q111" i="1"/>
  <c r="V152" i="1"/>
  <c r="V72" i="1"/>
  <c r="U189" i="1"/>
  <c r="U152" i="1"/>
  <c r="U72" i="1"/>
  <c r="U111" i="1"/>
  <c r="T189" i="1"/>
  <c r="T220" i="1"/>
  <c r="R72" i="1"/>
  <c r="S111" i="1"/>
  <c r="S189" i="1"/>
  <c r="V218" i="1"/>
  <c r="T72" i="1"/>
  <c r="R218" i="1"/>
  <c r="W152" i="1"/>
  <c r="S72" i="1"/>
  <c r="V70" i="1"/>
  <c r="Q106" i="1"/>
  <c r="W106" i="1"/>
  <c r="S106" i="1"/>
  <c r="U106" i="1"/>
  <c r="T106" i="1"/>
  <c r="R106" i="1"/>
  <c r="V106" i="1"/>
  <c r="Q180" i="1"/>
  <c r="W180" i="1"/>
  <c r="R180" i="1"/>
  <c r="U180" i="1"/>
  <c r="V180" i="1"/>
  <c r="S180" i="1"/>
  <c r="T180" i="1"/>
  <c r="W143" i="1"/>
  <c r="Q143" i="1"/>
  <c r="T143" i="1"/>
  <c r="R143" i="1"/>
  <c r="U143" i="1"/>
  <c r="V143" i="1"/>
  <c r="S143" i="1"/>
  <c r="Q74" i="1"/>
  <c r="T74" i="1"/>
  <c r="T78" i="1"/>
  <c r="R152" i="1"/>
  <c r="I251" i="2"/>
  <c r="L240" i="2" s="1"/>
  <c r="K184" i="1" s="1"/>
  <c r="W72" i="1"/>
  <c r="Y163" i="1"/>
  <c r="T222" i="1"/>
  <c r="R111" i="1"/>
  <c r="R189" i="1"/>
  <c r="I149" i="2"/>
  <c r="L138" i="2" s="1"/>
  <c r="K110" i="1" s="1"/>
  <c r="U218" i="1"/>
  <c r="U220" i="1"/>
  <c r="W218" i="1"/>
  <c r="W78" i="1"/>
  <c r="V115" i="1"/>
  <c r="T111" i="1"/>
  <c r="Q70" i="1"/>
  <c r="W70" i="1"/>
  <c r="T218" i="1"/>
  <c r="S220" i="1"/>
  <c r="R115" i="1"/>
  <c r="I196" i="2"/>
  <c r="L187" i="2" s="1"/>
  <c r="K145" i="1" s="1"/>
  <c r="S145" i="1" s="1"/>
  <c r="S218" i="1"/>
  <c r="I247" i="2"/>
  <c r="L238" i="2" s="1"/>
  <c r="K182" i="1" s="1"/>
  <c r="V74" i="1"/>
  <c r="W111" i="1"/>
  <c r="Q222" i="1"/>
  <c r="W222" i="1"/>
  <c r="R222" i="1"/>
  <c r="Y88" i="1"/>
  <c r="W115" i="1"/>
  <c r="Q115" i="1"/>
  <c r="R74" i="1"/>
  <c r="S115" i="1"/>
  <c r="U74" i="1"/>
  <c r="T115" i="1"/>
  <c r="U78" i="1"/>
  <c r="U222" i="1"/>
  <c r="R70" i="1"/>
  <c r="I294" i="2"/>
  <c r="L287" i="2" s="1"/>
  <c r="K217" i="1" s="1"/>
  <c r="W73" i="1"/>
  <c r="U73" i="1"/>
  <c r="S73" i="1"/>
  <c r="U221" i="1"/>
  <c r="R147" i="1"/>
  <c r="T147" i="1"/>
  <c r="V73" i="1"/>
  <c r="R73" i="1"/>
  <c r="R221" i="1"/>
  <c r="T221" i="1"/>
  <c r="V221" i="1"/>
  <c r="S147" i="1"/>
  <c r="V147" i="1"/>
  <c r="V108" i="1"/>
  <c r="R108" i="1"/>
  <c r="T73" i="1"/>
  <c r="Q221" i="1"/>
  <c r="S221" i="1"/>
  <c r="U108" i="1"/>
  <c r="V219" i="1"/>
  <c r="U219" i="1"/>
  <c r="Q108" i="1"/>
  <c r="S108" i="1"/>
  <c r="R219" i="1"/>
  <c r="Q147" i="1"/>
  <c r="W147" i="1"/>
  <c r="T108" i="1"/>
  <c r="T219" i="1"/>
  <c r="Q219" i="1"/>
  <c r="S219" i="1"/>
  <c r="Z88" i="1"/>
  <c r="I123" i="2"/>
  <c r="L116" i="2" s="1"/>
  <c r="K88" i="1" s="1"/>
  <c r="S68" i="1"/>
  <c r="T68" i="1"/>
  <c r="U68" i="1"/>
  <c r="R68" i="1"/>
  <c r="V68" i="1"/>
  <c r="Q68" i="1"/>
  <c r="W68" i="1"/>
  <c r="Z163" i="1"/>
  <c r="I226" i="2"/>
  <c r="L219" i="2" s="1"/>
  <c r="K163" i="1" s="1"/>
  <c r="S169" i="1"/>
  <c r="T169" i="1"/>
  <c r="U169" i="1"/>
  <c r="R169" i="1"/>
  <c r="V169" i="1"/>
  <c r="W169" i="1"/>
  <c r="Q169" i="1"/>
  <c r="S104" i="1"/>
  <c r="T104" i="1"/>
  <c r="U104" i="1"/>
  <c r="R104" i="1"/>
  <c r="V104" i="1"/>
  <c r="Q104" i="1"/>
  <c r="W104" i="1"/>
  <c r="S175" i="1"/>
  <c r="T175" i="1"/>
  <c r="R175" i="1"/>
  <c r="U175" i="1"/>
  <c r="V175" i="1"/>
  <c r="Q175" i="1"/>
  <c r="W175" i="1"/>
  <c r="S64" i="1"/>
  <c r="T64" i="1"/>
  <c r="U64" i="1"/>
  <c r="R64" i="1"/>
  <c r="V64" i="1"/>
  <c r="W64" i="1"/>
  <c r="Q64" i="1"/>
  <c r="Y13" i="6"/>
  <c r="S14" i="6" s="1"/>
  <c r="U14" i="6" s="1"/>
  <c r="AC13" i="6"/>
  <c r="S26" i="6" s="1"/>
  <c r="S140" i="1"/>
  <c r="T140" i="1"/>
  <c r="U140" i="1"/>
  <c r="R140" i="1"/>
  <c r="V140" i="1"/>
  <c r="Q140" i="1"/>
  <c r="W140" i="1"/>
  <c r="T66" i="1"/>
  <c r="S66" i="1"/>
  <c r="U66" i="1"/>
  <c r="R66" i="1"/>
  <c r="V66" i="1"/>
  <c r="W66" i="1"/>
  <c r="Q66" i="1"/>
  <c r="Z51" i="1"/>
  <c r="I72" i="2"/>
  <c r="K51" i="1" s="1"/>
  <c r="S141" i="1"/>
  <c r="T141" i="1"/>
  <c r="R141" i="1"/>
  <c r="U141" i="1"/>
  <c r="V141" i="1"/>
  <c r="Q141" i="1"/>
  <c r="W141" i="1"/>
  <c r="Z126" i="1"/>
  <c r="I175" i="2"/>
  <c r="L168" i="2" s="1"/>
  <c r="K126" i="1" s="1"/>
  <c r="S65" i="1"/>
  <c r="T65" i="1"/>
  <c r="R65" i="1"/>
  <c r="U65" i="1"/>
  <c r="V65" i="1"/>
  <c r="W65" i="1"/>
  <c r="Q65" i="1"/>
  <c r="S117" i="1"/>
  <c r="T117" i="1"/>
  <c r="R117" i="1"/>
  <c r="U117" i="1"/>
  <c r="V117" i="1"/>
  <c r="W117" i="1"/>
  <c r="Q117" i="1"/>
  <c r="T67" i="1"/>
  <c r="S67" i="1"/>
  <c r="U67" i="1"/>
  <c r="R67" i="1"/>
  <c r="V67" i="1"/>
  <c r="Q67" i="1"/>
  <c r="W67" i="1"/>
  <c r="S178" i="1"/>
  <c r="T178" i="1"/>
  <c r="R178" i="1"/>
  <c r="U178" i="1"/>
  <c r="V178" i="1"/>
  <c r="W178" i="1"/>
  <c r="Q178" i="1"/>
  <c r="S177" i="1"/>
  <c r="T177" i="1"/>
  <c r="R177" i="1"/>
  <c r="U177" i="1"/>
  <c r="V177" i="1"/>
  <c r="W177" i="1"/>
  <c r="Q177" i="1"/>
  <c r="I124" i="2"/>
  <c r="L117" i="2" s="1"/>
  <c r="K89" i="1" s="1"/>
  <c r="Z89" i="1"/>
  <c r="Z162" i="1"/>
  <c r="I225" i="2"/>
  <c r="L218" i="2" s="1"/>
  <c r="K162" i="1" s="1"/>
  <c r="S170" i="1"/>
  <c r="T170" i="1"/>
  <c r="U170" i="1"/>
  <c r="R170" i="1"/>
  <c r="V170" i="1"/>
  <c r="Q170" i="1"/>
  <c r="W170" i="1"/>
  <c r="Z199" i="1"/>
  <c r="I276" i="2"/>
  <c r="L269" i="2" s="1"/>
  <c r="K199" i="1" s="1"/>
  <c r="S103" i="1"/>
  <c r="T103" i="1"/>
  <c r="R103" i="1"/>
  <c r="U103" i="1"/>
  <c r="V103" i="1"/>
  <c r="W103" i="1"/>
  <c r="Q103" i="1"/>
  <c r="Z52" i="1"/>
  <c r="I73" i="2"/>
  <c r="K52" i="1" s="1"/>
  <c r="S118" i="1"/>
  <c r="T118" i="1"/>
  <c r="R118" i="1"/>
  <c r="U118" i="1"/>
  <c r="V118" i="1"/>
  <c r="W118" i="1"/>
  <c r="Q118" i="1"/>
  <c r="T167" i="1"/>
  <c r="S167" i="1"/>
  <c r="U167" i="1"/>
  <c r="R167" i="1"/>
  <c r="V167" i="1"/>
  <c r="W167" i="1"/>
  <c r="Q167" i="1"/>
  <c r="T142" i="1"/>
  <c r="S142" i="1"/>
  <c r="R142" i="1"/>
  <c r="U142" i="1"/>
  <c r="V142" i="1"/>
  <c r="Q142" i="1"/>
  <c r="W142" i="1"/>
  <c r="T179" i="1"/>
  <c r="S179" i="1"/>
  <c r="R179" i="1"/>
  <c r="U179" i="1"/>
  <c r="V179" i="1"/>
  <c r="Q179" i="1"/>
  <c r="W179" i="1"/>
  <c r="T119" i="1"/>
  <c r="S119" i="1"/>
  <c r="U119" i="1"/>
  <c r="R119" i="1"/>
  <c r="V119" i="1"/>
  <c r="Q119" i="1"/>
  <c r="W119" i="1"/>
  <c r="T139" i="1"/>
  <c r="S139" i="1"/>
  <c r="R139" i="1"/>
  <c r="U139" i="1"/>
  <c r="V139" i="1"/>
  <c r="W139" i="1"/>
  <c r="Q139" i="1"/>
  <c r="Z200" i="1"/>
  <c r="I277" i="2"/>
  <c r="L270" i="2" s="1"/>
  <c r="K200" i="1" s="1"/>
  <c r="S176" i="1"/>
  <c r="T176" i="1"/>
  <c r="U176" i="1"/>
  <c r="R176" i="1"/>
  <c r="V176" i="1"/>
  <c r="Q176" i="1"/>
  <c r="W176" i="1"/>
  <c r="S105" i="1"/>
  <c r="T105" i="1"/>
  <c r="R105" i="1"/>
  <c r="U105" i="1"/>
  <c r="V105" i="1"/>
  <c r="Q105" i="1"/>
  <c r="W105" i="1"/>
  <c r="T166" i="1"/>
  <c r="S166" i="1"/>
  <c r="U166" i="1"/>
  <c r="R166" i="1"/>
  <c r="V166" i="1"/>
  <c r="Q166" i="1"/>
  <c r="W166" i="1"/>
  <c r="S101" i="1"/>
  <c r="T101" i="1"/>
  <c r="U101" i="1"/>
  <c r="R101" i="1"/>
  <c r="V101" i="1"/>
  <c r="Q101" i="1"/>
  <c r="W101" i="1"/>
  <c r="T168" i="1"/>
  <c r="S168" i="1"/>
  <c r="U168" i="1"/>
  <c r="R168" i="1"/>
  <c r="V168" i="1"/>
  <c r="Q168" i="1"/>
  <c r="W168" i="1"/>
  <c r="I174" i="2"/>
  <c r="L167" i="2" s="1"/>
  <c r="K125" i="1" s="1"/>
  <c r="Z125" i="1"/>
  <c r="T138" i="1"/>
  <c r="S138" i="1"/>
  <c r="R138" i="1"/>
  <c r="U138" i="1"/>
  <c r="V138" i="1"/>
  <c r="Q138" i="1"/>
  <c r="W138" i="1"/>
  <c r="T102" i="1"/>
  <c r="S102" i="1"/>
  <c r="U102" i="1"/>
  <c r="R102" i="1"/>
  <c r="V102" i="1"/>
  <c r="W102" i="1"/>
  <c r="Q102" i="1"/>
  <c r="P204" i="1"/>
  <c r="P103" i="1"/>
  <c r="P66" i="1"/>
  <c r="P216" i="1"/>
  <c r="P215" i="1"/>
  <c r="P116" i="1"/>
  <c r="P176" i="1"/>
  <c r="P104" i="1"/>
  <c r="P166" i="1"/>
  <c r="P105" i="1"/>
  <c r="P99" i="1"/>
  <c r="P202" i="1"/>
  <c r="P101" i="1"/>
  <c r="P78" i="1"/>
  <c r="P220" i="1"/>
  <c r="P90" i="1"/>
  <c r="P149" i="1"/>
  <c r="P186" i="1"/>
  <c r="P79" i="1"/>
  <c r="P96" i="1"/>
  <c r="P63" i="1"/>
  <c r="P70" i="1"/>
  <c r="P219" i="1"/>
  <c r="P194" i="1"/>
  <c r="P68" i="1"/>
  <c r="P50" i="1"/>
  <c r="P42" i="1"/>
  <c r="P100" i="1"/>
  <c r="P109" i="1"/>
  <c r="P218" i="1"/>
  <c r="P175" i="1"/>
  <c r="P214" i="1"/>
  <c r="P142" i="1"/>
  <c r="P82" i="1"/>
  <c r="P62" i="1"/>
  <c r="P85" i="1"/>
  <c r="P91" i="1"/>
  <c r="P49" i="1"/>
  <c r="P223" i="1"/>
  <c r="P115" i="1"/>
  <c r="P65" i="1"/>
  <c r="P206" i="1"/>
  <c r="P64" i="1"/>
  <c r="P92" i="1"/>
  <c r="P102" i="1"/>
  <c r="P107" i="1"/>
  <c r="P86" i="1"/>
  <c r="P40" i="1"/>
  <c r="P56" i="1"/>
  <c r="P94" i="1"/>
  <c r="P106" i="1"/>
  <c r="P108" i="1"/>
  <c r="P46" i="1"/>
  <c r="P95" i="1"/>
  <c r="P55" i="1"/>
  <c r="P129" i="1"/>
  <c r="P83" i="1"/>
  <c r="P221" i="1"/>
  <c r="P188" i="1"/>
  <c r="P203" i="1"/>
  <c r="P54" i="1"/>
  <c r="P81" i="1"/>
  <c r="P93" i="1"/>
  <c r="P77" i="1"/>
  <c r="P111" i="1"/>
  <c r="P207" i="1"/>
  <c r="P152" i="1"/>
  <c r="P156" i="1"/>
  <c r="P164" i="1"/>
  <c r="P153" i="1"/>
  <c r="P124" i="1"/>
  <c r="P171" i="1"/>
  <c r="P123" i="1"/>
  <c r="P160" i="1"/>
  <c r="P170" i="1"/>
  <c r="P119" i="1"/>
  <c r="P180" i="1"/>
  <c r="P137" i="1"/>
  <c r="P222" i="1"/>
  <c r="P130" i="1"/>
  <c r="P121" i="1"/>
  <c r="P193" i="1"/>
  <c r="P179" i="1"/>
  <c r="P197" i="1"/>
  <c r="P141" i="1"/>
  <c r="P112" i="1"/>
  <c r="P173" i="1"/>
  <c r="P118" i="1"/>
  <c r="P208" i="1"/>
  <c r="P138" i="1"/>
  <c r="P189" i="1"/>
  <c r="P212" i="1"/>
  <c r="P161" i="1"/>
  <c r="P127" i="1"/>
  <c r="P158" i="1"/>
  <c r="P144" i="1"/>
  <c r="P48" i="1"/>
  <c r="P167" i="1"/>
  <c r="P210" i="1"/>
  <c r="P196" i="1"/>
  <c r="P181" i="1"/>
  <c r="P185" i="1"/>
  <c r="P195" i="1"/>
  <c r="P148" i="1"/>
  <c r="P172" i="1"/>
  <c r="P198" i="1"/>
  <c r="P147" i="1"/>
  <c r="P154" i="1"/>
  <c r="P139" i="1"/>
  <c r="P69" i="1"/>
  <c r="P74" i="1"/>
  <c r="P114" i="1"/>
  <c r="P134" i="1"/>
  <c r="P211" i="1"/>
  <c r="P201" i="1"/>
  <c r="P143" i="1"/>
  <c r="P151" i="1"/>
  <c r="P133" i="1"/>
  <c r="P136" i="1"/>
  <c r="P73" i="1"/>
  <c r="P72" i="1"/>
  <c r="P47" i="1"/>
  <c r="P174" i="1"/>
  <c r="P122" i="1"/>
  <c r="P117" i="1"/>
  <c r="P132" i="1"/>
  <c r="P178" i="1"/>
  <c r="P87" i="1"/>
  <c r="P146" i="1"/>
  <c r="P128" i="1"/>
  <c r="P169" i="1"/>
  <c r="P113" i="1"/>
  <c r="P192" i="1"/>
  <c r="P120" i="1"/>
  <c r="P177" i="1"/>
  <c r="P165" i="1"/>
  <c r="P157" i="1"/>
  <c r="P168" i="1"/>
  <c r="P135" i="1"/>
  <c r="P213" i="1"/>
  <c r="P150" i="1"/>
  <c r="P209" i="1"/>
  <c r="P205" i="1"/>
  <c r="P131" i="1"/>
  <c r="P159" i="1"/>
  <c r="P80" i="1"/>
  <c r="P183" i="1"/>
  <c r="P155" i="1"/>
  <c r="P190" i="1"/>
  <c r="P140" i="1"/>
  <c r="P187" i="1"/>
  <c r="P97" i="1"/>
  <c r="P75" i="1"/>
  <c r="P76" i="1"/>
  <c r="P98" i="1"/>
  <c r="P84" i="1"/>
  <c r="P57" i="1"/>
  <c r="P60" i="1"/>
  <c r="P67" i="1"/>
  <c r="P61" i="1"/>
  <c r="P59" i="1"/>
  <c r="P58" i="1"/>
  <c r="P53" i="1"/>
  <c r="P191" i="1"/>
  <c r="U38" i="6"/>
  <c r="N6" i="6"/>
  <c r="N42" i="6"/>
  <c r="O42" i="6" s="1"/>
  <c r="L45" i="6"/>
  <c r="M45" i="6" s="1"/>
  <c r="W71" i="1" l="1"/>
  <c r="Q71" i="1"/>
  <c r="V71" i="1"/>
  <c r="R71" i="1"/>
  <c r="P71" i="1"/>
  <c r="T71" i="1"/>
  <c r="U71" i="1"/>
  <c r="S71" i="1"/>
  <c r="W145" i="1"/>
  <c r="P145" i="1"/>
  <c r="P52" i="1"/>
  <c r="P163" i="1"/>
  <c r="R217" i="1"/>
  <c r="P217" i="1"/>
  <c r="U217" i="1"/>
  <c r="V217" i="1"/>
  <c r="W217" i="1"/>
  <c r="Q217" i="1"/>
  <c r="S217" i="1"/>
  <c r="T217" i="1"/>
  <c r="T182" i="1"/>
  <c r="U182" i="1"/>
  <c r="V182" i="1"/>
  <c r="P182" i="1"/>
  <c r="R182" i="1"/>
  <c r="W182" i="1"/>
  <c r="Q182" i="1"/>
  <c r="S182" i="1"/>
  <c r="W110" i="1"/>
  <c r="U110" i="1"/>
  <c r="P110" i="1"/>
  <c r="Q110" i="1"/>
  <c r="S110" i="1"/>
  <c r="T110" i="1"/>
  <c r="V110" i="1"/>
  <c r="R110" i="1"/>
  <c r="V184" i="1"/>
  <c r="Q184" i="1"/>
  <c r="S184" i="1"/>
  <c r="U184" i="1"/>
  <c r="P184" i="1"/>
  <c r="W184" i="1"/>
  <c r="R184" i="1"/>
  <c r="T184" i="1"/>
  <c r="U145" i="1"/>
  <c r="Q145" i="1"/>
  <c r="T145" i="1"/>
  <c r="V145" i="1"/>
  <c r="R145" i="1"/>
  <c r="P89" i="1"/>
  <c r="P162" i="1"/>
  <c r="P125" i="1"/>
  <c r="T162" i="1"/>
  <c r="S162" i="1"/>
  <c r="R162" i="1"/>
  <c r="U162" i="1"/>
  <c r="V162" i="1"/>
  <c r="Q162" i="1"/>
  <c r="W162" i="1"/>
  <c r="S51" i="1"/>
  <c r="T51" i="1"/>
  <c r="U51" i="1"/>
  <c r="R51" i="1"/>
  <c r="V51" i="1"/>
  <c r="Q51" i="1"/>
  <c r="W51" i="1"/>
  <c r="Y14" i="6"/>
  <c r="AC14" i="6"/>
  <c r="S27" i="6" s="1"/>
  <c r="P51" i="1"/>
  <c r="T200" i="1"/>
  <c r="S200" i="1"/>
  <c r="R200" i="1"/>
  <c r="U200" i="1"/>
  <c r="V200" i="1"/>
  <c r="Q200" i="1"/>
  <c r="W200" i="1"/>
  <c r="T89" i="1"/>
  <c r="S89" i="1"/>
  <c r="U89" i="1"/>
  <c r="R89" i="1"/>
  <c r="V89" i="1"/>
  <c r="W89" i="1"/>
  <c r="Q89" i="1"/>
  <c r="P200" i="1"/>
  <c r="P199" i="1"/>
  <c r="S125" i="1"/>
  <c r="T125" i="1"/>
  <c r="U125" i="1"/>
  <c r="R125" i="1"/>
  <c r="V125" i="1"/>
  <c r="Q125" i="1"/>
  <c r="W125" i="1"/>
  <c r="S52" i="1"/>
  <c r="T52" i="1"/>
  <c r="U52" i="1"/>
  <c r="R52" i="1"/>
  <c r="V52" i="1"/>
  <c r="W52" i="1"/>
  <c r="Q52" i="1"/>
  <c r="S163" i="1"/>
  <c r="T163" i="1"/>
  <c r="R163" i="1"/>
  <c r="U163" i="1"/>
  <c r="V163" i="1"/>
  <c r="Q163" i="1"/>
  <c r="W163" i="1"/>
  <c r="P88" i="1"/>
  <c r="P126" i="1"/>
  <c r="S199" i="1"/>
  <c r="T199" i="1"/>
  <c r="U199" i="1"/>
  <c r="R199" i="1"/>
  <c r="V199" i="1"/>
  <c r="W199" i="1"/>
  <c r="Q199" i="1"/>
  <c r="S126" i="1"/>
  <c r="T126" i="1"/>
  <c r="U126" i="1"/>
  <c r="R126" i="1"/>
  <c r="V126" i="1"/>
  <c r="Q126" i="1"/>
  <c r="W126" i="1"/>
  <c r="T88" i="1"/>
  <c r="S88" i="1"/>
  <c r="U88" i="1"/>
  <c r="R88" i="1"/>
  <c r="V88" i="1"/>
  <c r="Q88" i="1"/>
  <c r="W88" i="1"/>
  <c r="O6" i="6"/>
  <c r="O9" i="6"/>
  <c r="AC38" i="6"/>
  <c r="S48" i="6" s="1"/>
  <c r="Y38" i="6"/>
  <c r="N45" i="6"/>
  <c r="O45" i="6" s="1"/>
  <c r="L48" i="6"/>
  <c r="M48" i="6" s="1"/>
  <c r="O202" i="1" l="1"/>
  <c r="O104" i="1"/>
  <c r="O216" i="1"/>
  <c r="O166" i="1"/>
  <c r="O116" i="1"/>
  <c r="O105" i="1"/>
  <c r="O99" i="1"/>
  <c r="O103" i="1"/>
  <c r="O67" i="1"/>
  <c r="O78" i="1"/>
  <c r="O215" i="1"/>
  <c r="O106" i="1"/>
  <c r="O101" i="1"/>
  <c r="O176" i="1"/>
  <c r="O66" i="1"/>
  <c r="O194" i="1"/>
  <c r="O142" i="1"/>
  <c r="O92" i="1"/>
  <c r="O56" i="1"/>
  <c r="O220" i="1"/>
  <c r="O111" i="1"/>
  <c r="O62" i="1"/>
  <c r="O97" i="1"/>
  <c r="O102" i="1"/>
  <c r="O49" i="1"/>
  <c r="O217" i="1"/>
  <c r="O90" i="1"/>
  <c r="O79" i="1"/>
  <c r="O83" i="1"/>
  <c r="O63" i="1"/>
  <c r="O223" i="1"/>
  <c r="O219" i="1"/>
  <c r="O68" i="1"/>
  <c r="O86" i="1"/>
  <c r="O138" i="1"/>
  <c r="O108" i="1"/>
  <c r="O93" i="1"/>
  <c r="O175" i="1"/>
  <c r="O109" i="1"/>
  <c r="O65" i="1"/>
  <c r="O85" i="1"/>
  <c r="O54" i="1"/>
  <c r="O100" i="1"/>
  <c r="O221" i="1"/>
  <c r="O214" i="1"/>
  <c r="O203" i="1"/>
  <c r="O64" i="1"/>
  <c r="O94" i="1"/>
  <c r="O95" i="1"/>
  <c r="O50" i="1"/>
  <c r="O110" i="1"/>
  <c r="O218" i="1"/>
  <c r="O77" i="1"/>
  <c r="O91" i="1"/>
  <c r="O115" i="1"/>
  <c r="O149" i="1"/>
  <c r="O186" i="1"/>
  <c r="O42" i="1"/>
  <c r="O206" i="1"/>
  <c r="O81" i="1"/>
  <c r="O107" i="1"/>
  <c r="O96" i="1"/>
  <c r="O70" i="1"/>
  <c r="O40" i="1"/>
  <c r="O207" i="1"/>
  <c r="O188" i="1"/>
  <c r="O80" i="1"/>
  <c r="O204" i="1"/>
  <c r="O130" i="1"/>
  <c r="O167" i="1"/>
  <c r="O172" i="1"/>
  <c r="O112" i="1"/>
  <c r="O153" i="1"/>
  <c r="O118" i="1"/>
  <c r="O113" i="1"/>
  <c r="O119" i="1"/>
  <c r="O156" i="1"/>
  <c r="O174" i="1"/>
  <c r="O170" i="1"/>
  <c r="O180" i="1"/>
  <c r="O193" i="1"/>
  <c r="O211" i="1"/>
  <c r="O184" i="1"/>
  <c r="O181" i="1"/>
  <c r="O129" i="1"/>
  <c r="O169" i="1"/>
  <c r="O152" i="1"/>
  <c r="O173" i="1"/>
  <c r="O123" i="1"/>
  <c r="O120" i="1"/>
  <c r="O212" i="1"/>
  <c r="O165" i="1"/>
  <c r="O122" i="1"/>
  <c r="O128" i="1"/>
  <c r="O161" i="1"/>
  <c r="O157" i="1"/>
  <c r="O137" i="1"/>
  <c r="O74" i="1"/>
  <c r="O117" i="1"/>
  <c r="O135" i="1"/>
  <c r="O131" i="1"/>
  <c r="O209" i="1"/>
  <c r="O148" i="1"/>
  <c r="O151" i="1"/>
  <c r="O98" i="1"/>
  <c r="O47" i="1"/>
  <c r="O222" i="1"/>
  <c r="O182" i="1"/>
  <c r="O192" i="1"/>
  <c r="O205" i="1"/>
  <c r="O127" i="1"/>
  <c r="O73" i="1"/>
  <c r="O177" i="1"/>
  <c r="O168" i="1"/>
  <c r="O171" i="1"/>
  <c r="O179" i="1"/>
  <c r="O210" i="1"/>
  <c r="O185" i="1"/>
  <c r="O87" i="1"/>
  <c r="O164" i="1"/>
  <c r="O121" i="1"/>
  <c r="O114" i="1"/>
  <c r="O213" i="1"/>
  <c r="O134" i="1"/>
  <c r="O133" i="1"/>
  <c r="O154" i="1"/>
  <c r="O72" i="1"/>
  <c r="O124" i="1"/>
  <c r="O208" i="1"/>
  <c r="O141" i="1"/>
  <c r="O71" i="1"/>
  <c r="O178" i="1"/>
  <c r="O189" i="1"/>
  <c r="O139" i="1"/>
  <c r="O160" i="1"/>
  <c r="O143" i="1"/>
  <c r="O48" i="1"/>
  <c r="O195" i="1"/>
  <c r="O150" i="1"/>
  <c r="O158" i="1"/>
  <c r="O146" i="1"/>
  <c r="O196" i="1"/>
  <c r="O197" i="1"/>
  <c r="O145" i="1"/>
  <c r="O144" i="1"/>
  <c r="O201" i="1"/>
  <c r="O198" i="1"/>
  <c r="O147" i="1"/>
  <c r="O136" i="1"/>
  <c r="O132" i="1"/>
  <c r="O55" i="1"/>
  <c r="O69" i="1"/>
  <c r="O82" i="1"/>
  <c r="O183" i="1"/>
  <c r="O159" i="1"/>
  <c r="O76" i="1"/>
  <c r="O190" i="1"/>
  <c r="O46" i="1"/>
  <c r="O155" i="1"/>
  <c r="O84" i="1"/>
  <c r="O75" i="1"/>
  <c r="O187" i="1"/>
  <c r="O58" i="1"/>
  <c r="O191" i="1"/>
  <c r="O59" i="1"/>
  <c r="O140" i="1"/>
  <c r="O53" i="1"/>
  <c r="O57" i="1"/>
  <c r="O60" i="1"/>
  <c r="O61" i="1"/>
  <c r="O199" i="1"/>
  <c r="O125" i="1"/>
  <c r="O88" i="1"/>
  <c r="O51" i="1"/>
  <c r="O162" i="1"/>
  <c r="O200" i="1"/>
  <c r="O163" i="1"/>
  <c r="O52" i="1"/>
  <c r="O126" i="1"/>
  <c r="O89" i="1"/>
  <c r="N215" i="1"/>
  <c r="N101" i="1"/>
  <c r="N202" i="1"/>
  <c r="N216" i="1"/>
  <c r="J216" i="1" s="1"/>
  <c r="N176" i="1"/>
  <c r="N116" i="1"/>
  <c r="N83" i="1"/>
  <c r="N103" i="1"/>
  <c r="N78" i="1"/>
  <c r="N65" i="1"/>
  <c r="N99" i="1"/>
  <c r="N218" i="1"/>
  <c r="J218" i="1" s="1"/>
  <c r="N105" i="1"/>
  <c r="N90" i="1"/>
  <c r="N104" i="1"/>
  <c r="N207" i="1"/>
  <c r="N106" i="1"/>
  <c r="N204" i="1"/>
  <c r="N142" i="1"/>
  <c r="N107" i="1"/>
  <c r="N94" i="1"/>
  <c r="N70" i="1"/>
  <c r="N66" i="1"/>
  <c r="N67" i="1"/>
  <c r="N115" i="1"/>
  <c r="N110" i="1"/>
  <c r="J110" i="1" s="1"/>
  <c r="N80" i="1"/>
  <c r="J80" i="1" s="1"/>
  <c r="N86" i="1"/>
  <c r="N79" i="1"/>
  <c r="N95" i="1"/>
  <c r="N46" i="1"/>
  <c r="N42" i="1"/>
  <c r="N93" i="1"/>
  <c r="J93" i="1" s="1"/>
  <c r="N100" i="1"/>
  <c r="J100" i="1" s="1"/>
  <c r="N217" i="1"/>
  <c r="N219" i="1"/>
  <c r="J219" i="1" s="1"/>
  <c r="N186" i="1"/>
  <c r="J186" i="1" s="1"/>
  <c r="N91" i="1"/>
  <c r="N111" i="1"/>
  <c r="N77" i="1"/>
  <c r="N206" i="1"/>
  <c r="N82" i="1"/>
  <c r="N97" i="1"/>
  <c r="J97" i="1" s="1"/>
  <c r="N223" i="1"/>
  <c r="N109" i="1"/>
  <c r="N220" i="1"/>
  <c r="N194" i="1"/>
  <c r="N62" i="1"/>
  <c r="N108" i="1"/>
  <c r="N68" i="1"/>
  <c r="N56" i="1"/>
  <c r="J56" i="1" s="1"/>
  <c r="N49" i="1"/>
  <c r="N85" i="1"/>
  <c r="J85" i="1" s="1"/>
  <c r="N203" i="1"/>
  <c r="N55" i="1"/>
  <c r="N175" i="1"/>
  <c r="N188" i="1"/>
  <c r="N63" i="1"/>
  <c r="J63" i="1" s="1"/>
  <c r="N81" i="1"/>
  <c r="J81" i="1" s="1"/>
  <c r="N54" i="1"/>
  <c r="N64" i="1"/>
  <c r="N92" i="1"/>
  <c r="J92" i="1" s="1"/>
  <c r="N102" i="1"/>
  <c r="N214" i="1"/>
  <c r="N96" i="1"/>
  <c r="N221" i="1"/>
  <c r="N50" i="1"/>
  <c r="N130" i="1"/>
  <c r="N177" i="1"/>
  <c r="J177" i="1" s="1"/>
  <c r="N122" i="1"/>
  <c r="N123" i="1"/>
  <c r="N185" i="1"/>
  <c r="N149" i="1"/>
  <c r="N165" i="1"/>
  <c r="N156" i="1"/>
  <c r="N180" i="1"/>
  <c r="J180" i="1" s="1"/>
  <c r="N74" i="1"/>
  <c r="N129" i="1"/>
  <c r="N168" i="1"/>
  <c r="N173" i="1"/>
  <c r="N135" i="1"/>
  <c r="N210" i="1"/>
  <c r="N178" i="1"/>
  <c r="N198" i="1"/>
  <c r="J198" i="1" s="1"/>
  <c r="N112" i="1"/>
  <c r="N153" i="1"/>
  <c r="N114" i="1"/>
  <c r="N124" i="1"/>
  <c r="N213" i="1"/>
  <c r="N157" i="1"/>
  <c r="N113" i="1"/>
  <c r="J113" i="1" s="1"/>
  <c r="N182" i="1"/>
  <c r="J182" i="1" s="1"/>
  <c r="N132" i="1"/>
  <c r="N158" i="1"/>
  <c r="N133" i="1"/>
  <c r="N98" i="1"/>
  <c r="N164" i="1"/>
  <c r="N118" i="1"/>
  <c r="N134" i="1"/>
  <c r="J134" i="1" s="1"/>
  <c r="N150" i="1"/>
  <c r="J150" i="1" s="1"/>
  <c r="N159" i="1"/>
  <c r="N147" i="1"/>
  <c r="N167" i="1"/>
  <c r="N117" i="1"/>
  <c r="J117" i="1" s="1"/>
  <c r="N189" i="1"/>
  <c r="J189" i="1" s="1"/>
  <c r="N212" i="1"/>
  <c r="J212" i="1" s="1"/>
  <c r="N208" i="1"/>
  <c r="N141" i="1"/>
  <c r="N128" i="1"/>
  <c r="N145" i="1"/>
  <c r="N73" i="1"/>
  <c r="N72" i="1"/>
  <c r="N47" i="1"/>
  <c r="N121" i="1"/>
  <c r="N209" i="1"/>
  <c r="N148" i="1"/>
  <c r="N136" i="1"/>
  <c r="N160" i="1"/>
  <c r="N71" i="1"/>
  <c r="J71" i="1" s="1"/>
  <c r="N222" i="1"/>
  <c r="J222" i="1" s="1"/>
  <c r="N171" i="1"/>
  <c r="J171" i="1" s="1"/>
  <c r="N119" i="1"/>
  <c r="N146" i="1"/>
  <c r="N193" i="1"/>
  <c r="N196" i="1"/>
  <c r="N195" i="1"/>
  <c r="N127" i="1"/>
  <c r="N139" i="1"/>
  <c r="N151" i="1"/>
  <c r="N131" i="1"/>
  <c r="N138" i="1"/>
  <c r="J138" i="1" s="1"/>
  <c r="N154" i="1"/>
  <c r="N87" i="1"/>
  <c r="N184" i="1"/>
  <c r="N152" i="1"/>
  <c r="N192" i="1"/>
  <c r="N169" i="1"/>
  <c r="N179" i="1"/>
  <c r="N181" i="1"/>
  <c r="J181" i="1" s="1"/>
  <c r="N161" i="1"/>
  <c r="N143" i="1"/>
  <c r="N144" i="1"/>
  <c r="N48" i="1"/>
  <c r="N170" i="1"/>
  <c r="N197" i="1"/>
  <c r="N205" i="1"/>
  <c r="J205" i="1" s="1"/>
  <c r="N174" i="1"/>
  <c r="N120" i="1"/>
  <c r="N137" i="1"/>
  <c r="J137" i="1" s="1"/>
  <c r="N201" i="1"/>
  <c r="J201" i="1" s="1"/>
  <c r="N69" i="1"/>
  <c r="N172" i="1"/>
  <c r="N211" i="1"/>
  <c r="N75" i="1"/>
  <c r="N40" i="1"/>
  <c r="N183" i="1"/>
  <c r="N190" i="1"/>
  <c r="N76" i="1"/>
  <c r="N187" i="1"/>
  <c r="N155" i="1"/>
  <c r="N84" i="1"/>
  <c r="N191" i="1"/>
  <c r="N53" i="1"/>
  <c r="J53" i="1" s="1"/>
  <c r="N60" i="1"/>
  <c r="N58" i="1"/>
  <c r="N140" i="1"/>
  <c r="N59" i="1"/>
  <c r="N166" i="1"/>
  <c r="J166" i="1" s="1"/>
  <c r="N61" i="1"/>
  <c r="N57" i="1"/>
  <c r="N162" i="1"/>
  <c r="J162" i="1" s="1"/>
  <c r="N125" i="1"/>
  <c r="J125" i="1" s="1"/>
  <c r="N199" i="1"/>
  <c r="N51" i="1"/>
  <c r="N88" i="1"/>
  <c r="N200" i="1"/>
  <c r="N126" i="1"/>
  <c r="J126" i="1" s="1"/>
  <c r="N89" i="1"/>
  <c r="N52" i="1"/>
  <c r="N163" i="1"/>
  <c r="N48" i="6"/>
  <c r="O48" i="6" s="1"/>
  <c r="U22" i="2"/>
  <c r="U18" i="2"/>
  <c r="AH15" i="1"/>
  <c r="AH14" i="1"/>
  <c r="AH13" i="1"/>
  <c r="AH12" i="1"/>
  <c r="AH10" i="1"/>
  <c r="AH9" i="1"/>
  <c r="AH8" i="1"/>
  <c r="AH7" i="1"/>
  <c r="AH6" i="1"/>
  <c r="AH5" i="1"/>
  <c r="AF14" i="1"/>
  <c r="AF13" i="1"/>
  <c r="AF12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2" i="1"/>
  <c r="J195" i="1" l="1"/>
  <c r="J161" i="1"/>
  <c r="J148" i="1"/>
  <c r="J223" i="1"/>
  <c r="J52" i="1"/>
  <c r="J131" i="1"/>
  <c r="J118" i="1"/>
  <c r="J210" i="1"/>
  <c r="J183" i="1"/>
  <c r="J54" i="1"/>
  <c r="J86" i="1"/>
  <c r="J50" i="1"/>
  <c r="J217" i="1"/>
  <c r="J61" i="1"/>
  <c r="J211" i="1"/>
  <c r="J47" i="1"/>
  <c r="J188" i="1"/>
  <c r="J78" i="1"/>
  <c r="J42" i="1"/>
  <c r="J187" i="1"/>
  <c r="J168" i="1"/>
  <c r="J104" i="1"/>
  <c r="J60" i="1"/>
  <c r="J193" i="1"/>
  <c r="J49" i="1"/>
  <c r="J68" i="1"/>
  <c r="J120" i="1"/>
  <c r="J141" i="1"/>
  <c r="J121" i="1"/>
  <c r="J114" i="1"/>
  <c r="J101" i="1"/>
  <c r="J163" i="1"/>
  <c r="J75" i="1"/>
  <c r="J213" i="1"/>
  <c r="J206" i="1"/>
  <c r="J215" i="1"/>
  <c r="J89" i="1"/>
  <c r="J191" i="1"/>
  <c r="J179" i="1"/>
  <c r="J119" i="1"/>
  <c r="J165" i="1"/>
  <c r="J221" i="1"/>
  <c r="J82" i="1"/>
  <c r="J204" i="1"/>
  <c r="J99" i="1"/>
  <c r="J135" i="1"/>
  <c r="J108" i="1"/>
  <c r="J106" i="1"/>
  <c r="J208" i="1"/>
  <c r="J142" i="1"/>
  <c r="J202" i="1"/>
  <c r="J98" i="1"/>
  <c r="J67" i="1"/>
  <c r="J207" i="1"/>
  <c r="J48" i="1"/>
  <c r="J123" i="1"/>
  <c r="J144" i="1"/>
  <c r="J153" i="1"/>
  <c r="J95" i="1"/>
  <c r="J76" i="1"/>
  <c r="J184" i="1"/>
  <c r="J147" i="1"/>
  <c r="J220" i="1"/>
  <c r="J90" i="1"/>
  <c r="J199" i="1"/>
  <c r="J58" i="1"/>
  <c r="J130" i="1"/>
  <c r="J107" i="1"/>
  <c r="J146" i="1"/>
  <c r="J156" i="1"/>
  <c r="J192" i="1"/>
  <c r="J214" i="1"/>
  <c r="J77" i="1"/>
  <c r="J88" i="1"/>
  <c r="J59" i="1"/>
  <c r="J133" i="1"/>
  <c r="J111" i="1"/>
  <c r="J129" i="1"/>
  <c r="J116" i="1"/>
  <c r="J122" i="1"/>
  <c r="J190" i="1"/>
  <c r="J136" i="1"/>
  <c r="J159" i="1"/>
  <c r="J178" i="1"/>
  <c r="J74" i="1"/>
  <c r="J79" i="1"/>
  <c r="J154" i="1"/>
  <c r="J174" i="1"/>
  <c r="J209" i="1"/>
  <c r="J169" i="1"/>
  <c r="J96" i="1"/>
  <c r="J139" i="1"/>
  <c r="J185" i="1"/>
  <c r="J175" i="1"/>
  <c r="J62" i="1"/>
  <c r="J167" i="1"/>
  <c r="J51" i="1"/>
  <c r="J140" i="1"/>
  <c r="J203" i="1"/>
  <c r="J91" i="1"/>
  <c r="J128" i="1"/>
  <c r="J132" i="1"/>
  <c r="J105" i="1"/>
  <c r="J196" i="1"/>
  <c r="J158" i="1"/>
  <c r="J176" i="1"/>
  <c r="J157" i="1"/>
  <c r="J65" i="1"/>
  <c r="J84" i="1"/>
  <c r="J197" i="1"/>
  <c r="J151" i="1"/>
  <c r="J164" i="1"/>
  <c r="J149" i="1"/>
  <c r="J115" i="1"/>
  <c r="J83" i="1"/>
  <c r="J57" i="1"/>
  <c r="J200" i="1"/>
  <c r="J155" i="1"/>
  <c r="J172" i="1"/>
  <c r="J170" i="1"/>
  <c r="J72" i="1"/>
  <c r="J124" i="1"/>
  <c r="J173" i="1"/>
  <c r="J103" i="1"/>
  <c r="J40" i="1"/>
  <c r="J69" i="1"/>
  <c r="J152" i="1"/>
  <c r="J127" i="1"/>
  <c r="J73" i="1"/>
  <c r="J102" i="1"/>
  <c r="J55" i="1"/>
  <c r="J194" i="1"/>
  <c r="J46" i="1"/>
  <c r="J66" i="1"/>
  <c r="J160" i="1"/>
  <c r="J145" i="1"/>
  <c r="J70" i="1"/>
  <c r="J143" i="1"/>
  <c r="J87" i="1"/>
  <c r="J112" i="1"/>
  <c r="J64" i="1"/>
  <c r="J109" i="1"/>
  <c r="J94" i="1"/>
  <c r="K22" i="2"/>
  <c r="I22" i="2" s="1"/>
  <c r="U24" i="2"/>
  <c r="Y15" i="1" s="1"/>
  <c r="U17" i="2"/>
  <c r="Y14" i="1" s="1"/>
  <c r="K21" i="2"/>
  <c r="I21" i="2" s="1"/>
  <c r="Z16" i="1"/>
  <c r="K23" i="2" s="1"/>
  <c r="I23" i="2" s="1"/>
  <c r="Z23" i="1"/>
  <c r="K30" i="2" s="1"/>
  <c r="Z17" i="1"/>
  <c r="K24" i="2" s="1"/>
  <c r="Z8" i="1"/>
  <c r="K12" i="2" s="1"/>
  <c r="I12" i="2" s="1"/>
  <c r="K8" i="1" s="1"/>
  <c r="Z18" i="1"/>
  <c r="K25" i="2" s="1"/>
  <c r="I25" i="2" s="1"/>
  <c r="K18" i="1" s="1"/>
  <c r="Z27" i="1"/>
  <c r="K34" i="2" s="1"/>
  <c r="Z35" i="1"/>
  <c r="Z25" i="1"/>
  <c r="K32" i="2" s="1"/>
  <c r="I32" i="2" s="1"/>
  <c r="Z7" i="1"/>
  <c r="K10" i="2" s="1"/>
  <c r="I10" i="2" s="1"/>
  <c r="K7" i="1" s="1"/>
  <c r="Z34" i="1"/>
  <c r="K43" i="2" s="1"/>
  <c r="I43" i="2" s="1"/>
  <c r="Z9" i="1"/>
  <c r="K13" i="2" s="1"/>
  <c r="Z19" i="1"/>
  <c r="K26" i="2" s="1"/>
  <c r="I26" i="2" s="1"/>
  <c r="K19" i="1" s="1"/>
  <c r="Z28" i="1"/>
  <c r="K35" i="2" s="1"/>
  <c r="Z36" i="1"/>
  <c r="K47" i="2" s="1"/>
  <c r="I47" i="2" s="1"/>
  <c r="Z6" i="1"/>
  <c r="Z33" i="1"/>
  <c r="Z2" i="1"/>
  <c r="K2" i="2" s="1"/>
  <c r="I2" i="2" s="1"/>
  <c r="Z10" i="1"/>
  <c r="K14" i="2" s="1"/>
  <c r="Z20" i="1"/>
  <c r="K27" i="2" s="1"/>
  <c r="Z29" i="1"/>
  <c r="K36" i="2" s="1"/>
  <c r="Z37" i="1"/>
  <c r="K49" i="2" s="1"/>
  <c r="Z26" i="1"/>
  <c r="K33" i="2" s="1"/>
  <c r="Z3" i="1"/>
  <c r="Z21" i="1"/>
  <c r="K28" i="2" s="1"/>
  <c r="Z30" i="1"/>
  <c r="K37" i="2" s="1"/>
  <c r="Z38" i="1"/>
  <c r="Z12" i="1"/>
  <c r="K17" i="2" s="1"/>
  <c r="Z22" i="1"/>
  <c r="K29" i="2" s="1"/>
  <c r="Z31" i="1"/>
  <c r="K38" i="2" s="1"/>
  <c r="I38" i="2" s="1"/>
  <c r="Z11" i="1"/>
  <c r="K15" i="2" s="1"/>
  <c r="K11" i="1" s="1"/>
  <c r="Z4" i="1"/>
  <c r="K6" i="2" s="1"/>
  <c r="Z5" i="1"/>
  <c r="K7" i="2" s="1"/>
  <c r="Z13" i="1"/>
  <c r="K18" i="2" s="1"/>
  <c r="Z24" i="1"/>
  <c r="K31" i="2" s="1"/>
  <c r="I31" i="2" s="1"/>
  <c r="Z32" i="1"/>
  <c r="E15" i="2"/>
  <c r="AC11" i="1" s="1"/>
  <c r="E13" i="2"/>
  <c r="AC9" i="1" s="1"/>
  <c r="AC8" i="1"/>
  <c r="AC7" i="1"/>
  <c r="AC6" i="1"/>
  <c r="I7" i="2" l="1"/>
  <c r="K5" i="1" s="1"/>
  <c r="I14" i="2"/>
  <c r="K10" i="1" s="1"/>
  <c r="K2" i="1"/>
  <c r="I27" i="2"/>
  <c r="K20" i="1" s="1"/>
  <c r="I13" i="2"/>
  <c r="K9" i="1" s="1"/>
  <c r="I37" i="2"/>
  <c r="K30" i="1" s="1"/>
  <c r="I17" i="2"/>
  <c r="K12" i="1" s="1"/>
  <c r="I24" i="2"/>
  <c r="K17" i="1" s="1"/>
  <c r="I36" i="2"/>
  <c r="K29" i="1" s="1"/>
  <c r="I30" i="2"/>
  <c r="K23" i="1" s="1"/>
  <c r="I18" i="2"/>
  <c r="K13" i="1" s="1"/>
  <c r="K16" i="1"/>
  <c r="I28" i="2"/>
  <c r="K21" i="1" s="1"/>
  <c r="I33" i="2"/>
  <c r="K26" i="1" s="1"/>
  <c r="I34" i="2"/>
  <c r="K27" i="1" s="1"/>
  <c r="I29" i="2"/>
  <c r="K22" i="1" s="1"/>
  <c r="I35" i="2"/>
  <c r="K28" i="1" s="1"/>
  <c r="K5" i="2"/>
  <c r="K31" i="1"/>
  <c r="K25" i="1"/>
  <c r="N25" i="1" s="1"/>
  <c r="K24" i="1"/>
  <c r="K14" i="1"/>
  <c r="Z14" i="1"/>
  <c r="Z15" i="1"/>
  <c r="K15" i="1"/>
  <c r="O19" i="1"/>
  <c r="W19" i="1"/>
  <c r="P19" i="1"/>
  <c r="Q19" i="1"/>
  <c r="R19" i="1"/>
  <c r="V19" i="1"/>
  <c r="S19" i="1"/>
  <c r="N19" i="1"/>
  <c r="T19" i="1"/>
  <c r="U19" i="1"/>
  <c r="U8" i="1"/>
  <c r="N8" i="1"/>
  <c r="V8" i="1"/>
  <c r="O8" i="1"/>
  <c r="W8" i="1"/>
  <c r="P8" i="1"/>
  <c r="T8" i="1"/>
  <c r="Q8" i="1"/>
  <c r="R8" i="1"/>
  <c r="S8" i="1"/>
  <c r="Q18" i="1"/>
  <c r="R18" i="1"/>
  <c r="P18" i="1"/>
  <c r="S18" i="1"/>
  <c r="T18" i="1"/>
  <c r="U18" i="1"/>
  <c r="N18" i="1"/>
  <c r="V18" i="1"/>
  <c r="O18" i="1"/>
  <c r="W18" i="1"/>
  <c r="K41" i="2"/>
  <c r="I41" i="2" s="1"/>
  <c r="K39" i="2"/>
  <c r="I39" i="2" s="1"/>
  <c r="K8" i="2"/>
  <c r="K45" i="2"/>
  <c r="I45" i="2" s="1"/>
  <c r="O7" i="1"/>
  <c r="W7" i="1"/>
  <c r="V7" i="1"/>
  <c r="P7" i="1"/>
  <c r="Q7" i="1"/>
  <c r="N7" i="1"/>
  <c r="R7" i="1"/>
  <c r="S7" i="1"/>
  <c r="T7" i="1"/>
  <c r="U7" i="1"/>
  <c r="K51" i="2"/>
  <c r="I51" i="2" s="1"/>
  <c r="O11" i="1"/>
  <c r="N11" i="1"/>
  <c r="W11" i="1"/>
  <c r="U11" i="1"/>
  <c r="V11" i="1"/>
  <c r="P11" i="1"/>
  <c r="Q11" i="1"/>
  <c r="R11" i="1"/>
  <c r="S11" i="1"/>
  <c r="T11" i="1"/>
  <c r="J32" i="2"/>
  <c r="J33" i="2"/>
  <c r="J34" i="2"/>
  <c r="J35" i="2"/>
  <c r="J36" i="2"/>
  <c r="J37" i="2"/>
  <c r="J38" i="2"/>
  <c r="J2" i="2"/>
  <c r="U10" i="1" l="1"/>
  <c r="N10" i="1"/>
  <c r="P10" i="1"/>
  <c r="R10" i="1"/>
  <c r="T10" i="1"/>
  <c r="O5" i="1"/>
  <c r="N5" i="1"/>
  <c r="R5" i="1"/>
  <c r="W5" i="1"/>
  <c r="S10" i="1"/>
  <c r="V5" i="1"/>
  <c r="W10" i="1"/>
  <c r="Q10" i="1"/>
  <c r="U5" i="1"/>
  <c r="O10" i="1"/>
  <c r="Q5" i="1"/>
  <c r="T5" i="1"/>
  <c r="V10" i="1"/>
  <c r="P5" i="1"/>
  <c r="S5" i="1"/>
  <c r="F2" i="1"/>
  <c r="F113" i="1"/>
  <c r="F39" i="1"/>
  <c r="F187" i="1"/>
  <c r="F150" i="1"/>
  <c r="F76" i="1"/>
  <c r="K38" i="1"/>
  <c r="V9" i="1"/>
  <c r="T9" i="1"/>
  <c r="U9" i="1"/>
  <c r="O9" i="1"/>
  <c r="W9" i="1"/>
  <c r="R9" i="1"/>
  <c r="P9" i="1"/>
  <c r="S9" i="1"/>
  <c r="Q9" i="1"/>
  <c r="N9" i="1"/>
  <c r="N23" i="1"/>
  <c r="U23" i="1"/>
  <c r="Q23" i="1"/>
  <c r="R23" i="1"/>
  <c r="W23" i="1"/>
  <c r="P23" i="1"/>
  <c r="S23" i="1"/>
  <c r="T23" i="1"/>
  <c r="O23" i="1"/>
  <c r="V23" i="1"/>
  <c r="N28" i="1"/>
  <c r="S28" i="1"/>
  <c r="W28" i="1"/>
  <c r="V28" i="1"/>
  <c r="U28" i="1"/>
  <c r="R28" i="1"/>
  <c r="P28" i="1"/>
  <c r="O28" i="1"/>
  <c r="T28" i="1"/>
  <c r="Q28" i="1"/>
  <c r="O29" i="1"/>
  <c r="N29" i="1"/>
  <c r="W29" i="1"/>
  <c r="T29" i="1"/>
  <c r="R29" i="1"/>
  <c r="V29" i="1"/>
  <c r="P29" i="1"/>
  <c r="U29" i="1"/>
  <c r="S29" i="1"/>
  <c r="Q29" i="1"/>
  <c r="P22" i="1"/>
  <c r="W22" i="1"/>
  <c r="O22" i="1"/>
  <c r="R22" i="1"/>
  <c r="S22" i="1"/>
  <c r="T22" i="1"/>
  <c r="U22" i="1"/>
  <c r="V22" i="1"/>
  <c r="Q22" i="1"/>
  <c r="N22" i="1"/>
  <c r="O17" i="1"/>
  <c r="W17" i="1"/>
  <c r="P17" i="1"/>
  <c r="S17" i="1"/>
  <c r="R17" i="1"/>
  <c r="T17" i="1"/>
  <c r="Q17" i="1"/>
  <c r="N17" i="1"/>
  <c r="U17" i="1"/>
  <c r="V17" i="1"/>
  <c r="S27" i="1"/>
  <c r="W27" i="1"/>
  <c r="U27" i="1"/>
  <c r="Q27" i="1"/>
  <c r="R27" i="1"/>
  <c r="O27" i="1"/>
  <c r="T27" i="1"/>
  <c r="N27" i="1"/>
  <c r="P27" i="1"/>
  <c r="V27" i="1"/>
  <c r="Q12" i="1"/>
  <c r="U12" i="1"/>
  <c r="R12" i="1"/>
  <c r="N12" i="1"/>
  <c r="O12" i="1"/>
  <c r="P12" i="1"/>
  <c r="S12" i="1"/>
  <c r="V12" i="1"/>
  <c r="W12" i="1"/>
  <c r="T12" i="1"/>
  <c r="Q26" i="1"/>
  <c r="N26" i="1"/>
  <c r="W26" i="1"/>
  <c r="R26" i="1"/>
  <c r="V26" i="1"/>
  <c r="T26" i="1"/>
  <c r="O26" i="1"/>
  <c r="P26" i="1"/>
  <c r="S26" i="1"/>
  <c r="U26" i="1"/>
  <c r="S30" i="1"/>
  <c r="W30" i="1"/>
  <c r="R30" i="1"/>
  <c r="Q30" i="1"/>
  <c r="T30" i="1"/>
  <c r="P30" i="1"/>
  <c r="N30" i="1"/>
  <c r="V30" i="1"/>
  <c r="U30" i="1"/>
  <c r="O30" i="1"/>
  <c r="W21" i="1"/>
  <c r="S21" i="1"/>
  <c r="P21" i="1"/>
  <c r="V21" i="1"/>
  <c r="T21" i="1"/>
  <c r="Q21" i="1"/>
  <c r="U21" i="1"/>
  <c r="R21" i="1"/>
  <c r="N21" i="1"/>
  <c r="O21" i="1"/>
  <c r="U16" i="1"/>
  <c r="R16" i="1"/>
  <c r="T16" i="1"/>
  <c r="S16" i="1"/>
  <c r="N16" i="1"/>
  <c r="O16" i="1"/>
  <c r="P16" i="1"/>
  <c r="V16" i="1"/>
  <c r="Q16" i="1"/>
  <c r="W16" i="1"/>
  <c r="V13" i="1"/>
  <c r="O13" i="1"/>
  <c r="W13" i="1"/>
  <c r="T13" i="1"/>
  <c r="Q13" i="1"/>
  <c r="U13" i="1"/>
  <c r="S13" i="1"/>
  <c r="P13" i="1"/>
  <c r="R13" i="1"/>
  <c r="N13" i="1"/>
  <c r="N20" i="1"/>
  <c r="T20" i="1"/>
  <c r="V20" i="1"/>
  <c r="O20" i="1"/>
  <c r="S20" i="1"/>
  <c r="W20" i="1"/>
  <c r="R20" i="1"/>
  <c r="P20" i="1"/>
  <c r="U20" i="1"/>
  <c r="Q20" i="1"/>
  <c r="F100" i="1"/>
  <c r="F137" i="1"/>
  <c r="F211" i="1"/>
  <c r="F174" i="1"/>
  <c r="I5" i="2"/>
  <c r="F216" i="1"/>
  <c r="F179" i="1"/>
  <c r="F105" i="1"/>
  <c r="F142" i="1"/>
  <c r="F212" i="1"/>
  <c r="F101" i="1"/>
  <c r="F175" i="1"/>
  <c r="F138" i="1"/>
  <c r="F173" i="1"/>
  <c r="F210" i="1"/>
  <c r="F99" i="1"/>
  <c r="F136" i="1"/>
  <c r="F215" i="1"/>
  <c r="F178" i="1"/>
  <c r="F141" i="1"/>
  <c r="F104" i="1"/>
  <c r="I8" i="2"/>
  <c r="K6" i="1" s="1"/>
  <c r="F139" i="1"/>
  <c r="F176" i="1"/>
  <c r="F213" i="1"/>
  <c r="F102" i="1"/>
  <c r="F103" i="1"/>
  <c r="F140" i="1"/>
  <c r="F177" i="1"/>
  <c r="F214" i="1"/>
  <c r="F64" i="1"/>
  <c r="F27" i="1"/>
  <c r="F66" i="1"/>
  <c r="F29" i="1"/>
  <c r="F65" i="1"/>
  <c r="F28" i="1"/>
  <c r="F63" i="1"/>
  <c r="F26" i="1"/>
  <c r="F68" i="1"/>
  <c r="F31" i="1"/>
  <c r="F25" i="1"/>
  <c r="F62" i="1"/>
  <c r="F67" i="1"/>
  <c r="F30" i="1"/>
  <c r="Q25" i="1"/>
  <c r="U25" i="1"/>
  <c r="T25" i="1"/>
  <c r="K34" i="1"/>
  <c r="T34" i="1" s="1"/>
  <c r="P25" i="1"/>
  <c r="S25" i="1"/>
  <c r="W25" i="1"/>
  <c r="K36" i="1"/>
  <c r="U36" i="1" s="1"/>
  <c r="O25" i="1"/>
  <c r="K37" i="1"/>
  <c r="U37" i="1" s="1"/>
  <c r="V25" i="1"/>
  <c r="R25" i="1"/>
  <c r="N31" i="1"/>
  <c r="P31" i="1"/>
  <c r="T31" i="1"/>
  <c r="V31" i="1"/>
  <c r="U31" i="1"/>
  <c r="Q31" i="1"/>
  <c r="R31" i="1"/>
  <c r="S31" i="1"/>
  <c r="O31" i="1"/>
  <c r="W31" i="1"/>
  <c r="K33" i="1"/>
  <c r="Q24" i="1"/>
  <c r="U24" i="1"/>
  <c r="N24" i="1"/>
  <c r="S24" i="1"/>
  <c r="V24" i="1"/>
  <c r="O24" i="1"/>
  <c r="W24" i="1"/>
  <c r="P24" i="1"/>
  <c r="T24" i="1"/>
  <c r="R24" i="1"/>
  <c r="S15" i="1"/>
  <c r="T15" i="1"/>
  <c r="R15" i="1"/>
  <c r="U15" i="1"/>
  <c r="V15" i="1"/>
  <c r="Q15" i="1"/>
  <c r="W15" i="1"/>
  <c r="P15" i="1"/>
  <c r="O15" i="1"/>
  <c r="N15" i="1"/>
  <c r="S14" i="1"/>
  <c r="T14" i="1"/>
  <c r="R14" i="1"/>
  <c r="U14" i="1"/>
  <c r="V14" i="1"/>
  <c r="Q14" i="1"/>
  <c r="W14" i="1"/>
  <c r="P14" i="1"/>
  <c r="O14" i="1"/>
  <c r="N14" i="1"/>
  <c r="J8" i="1"/>
  <c r="J7" i="1"/>
  <c r="J18" i="1"/>
  <c r="J19" i="1"/>
  <c r="J11" i="1"/>
  <c r="J5" i="2"/>
  <c r="J10" i="1" l="1"/>
  <c r="J5" i="1"/>
  <c r="K3" i="1"/>
  <c r="S3" i="1" s="1"/>
  <c r="J31" i="1"/>
  <c r="F3" i="1"/>
  <c r="F188" i="1"/>
  <c r="F151" i="1"/>
  <c r="F40" i="1"/>
  <c r="F114" i="1"/>
  <c r="F77" i="1"/>
  <c r="J17" i="1"/>
  <c r="O38" i="1"/>
  <c r="P38" i="1"/>
  <c r="T38" i="1"/>
  <c r="W38" i="1"/>
  <c r="S38" i="1"/>
  <c r="R38" i="1"/>
  <c r="V38" i="1"/>
  <c r="Q38" i="1"/>
  <c r="N38" i="1"/>
  <c r="U38" i="1"/>
  <c r="S37" i="1"/>
  <c r="J27" i="1"/>
  <c r="Q37" i="1"/>
  <c r="O37" i="1"/>
  <c r="J13" i="1"/>
  <c r="J28" i="1"/>
  <c r="P37" i="1"/>
  <c r="J30" i="1"/>
  <c r="J9" i="1"/>
  <c r="T37" i="1"/>
  <c r="J29" i="1"/>
  <c r="J26" i="1"/>
  <c r="J16" i="1"/>
  <c r="J20" i="1"/>
  <c r="J12" i="1"/>
  <c r="J22" i="1"/>
  <c r="J23" i="1"/>
  <c r="J21" i="1"/>
  <c r="W34" i="1"/>
  <c r="W6" i="1"/>
  <c r="V6" i="1"/>
  <c r="N6" i="1"/>
  <c r="T6" i="1"/>
  <c r="O6" i="1"/>
  <c r="S6" i="1"/>
  <c r="Q6" i="1"/>
  <c r="U6" i="1"/>
  <c r="P6" i="1"/>
  <c r="R6" i="1"/>
  <c r="W37" i="1"/>
  <c r="S34" i="1"/>
  <c r="U34" i="1"/>
  <c r="V34" i="1"/>
  <c r="N34" i="1"/>
  <c r="V37" i="1"/>
  <c r="R37" i="1"/>
  <c r="P34" i="1"/>
  <c r="N37" i="1"/>
  <c r="O34" i="1"/>
  <c r="J25" i="1"/>
  <c r="K32" i="1"/>
  <c r="T32" i="1" s="1"/>
  <c r="Q34" i="1"/>
  <c r="P36" i="1"/>
  <c r="R36" i="1"/>
  <c r="N36" i="1"/>
  <c r="Q36" i="1"/>
  <c r="V45" i="1"/>
  <c r="O45" i="1"/>
  <c r="N45" i="1"/>
  <c r="Q45" i="1"/>
  <c r="R45" i="1"/>
  <c r="S45" i="1"/>
  <c r="T45" i="1"/>
  <c r="U45" i="1"/>
  <c r="W45" i="1"/>
  <c r="P45" i="1"/>
  <c r="P41" i="1"/>
  <c r="W41" i="1"/>
  <c r="O41" i="1"/>
  <c r="R41" i="1"/>
  <c r="V41" i="1"/>
  <c r="N41" i="1"/>
  <c r="S41" i="1"/>
  <c r="U41" i="1"/>
  <c r="Q41" i="1"/>
  <c r="T41" i="1"/>
  <c r="W36" i="1"/>
  <c r="S36" i="1"/>
  <c r="V36" i="1"/>
  <c r="R34" i="1"/>
  <c r="O36" i="1"/>
  <c r="K35" i="1"/>
  <c r="T35" i="1" s="1"/>
  <c r="T36" i="1"/>
  <c r="W44" i="1"/>
  <c r="S44" i="1"/>
  <c r="Q44" i="1"/>
  <c r="O44" i="1"/>
  <c r="P44" i="1"/>
  <c r="N44" i="1"/>
  <c r="U44" i="1"/>
  <c r="T44" i="1"/>
  <c r="V44" i="1"/>
  <c r="R44" i="1"/>
  <c r="P33" i="1"/>
  <c r="R33" i="1"/>
  <c r="N33" i="1"/>
  <c r="W33" i="1"/>
  <c r="S33" i="1"/>
  <c r="V33" i="1"/>
  <c r="U33" i="1"/>
  <c r="Q33" i="1"/>
  <c r="O33" i="1"/>
  <c r="T33" i="1"/>
  <c r="J24" i="1"/>
  <c r="J14" i="1"/>
  <c r="J15" i="1"/>
  <c r="J51" i="2"/>
  <c r="J49" i="2"/>
  <c r="J47" i="2"/>
  <c r="J45" i="2"/>
  <c r="J43" i="2"/>
  <c r="J41" i="2"/>
  <c r="J18" i="2"/>
  <c r="F13" i="1" s="1"/>
  <c r="J15" i="2"/>
  <c r="J10" i="2"/>
  <c r="J8" i="2"/>
  <c r="J6" i="2"/>
  <c r="F4" i="1" s="1"/>
  <c r="J7" i="2"/>
  <c r="J13" i="2"/>
  <c r="J17" i="2"/>
  <c r="J21" i="2"/>
  <c r="J22" i="2"/>
  <c r="J23" i="2"/>
  <c r="J24" i="2"/>
  <c r="J25" i="2"/>
  <c r="F18" i="1" s="1"/>
  <c r="J26" i="2"/>
  <c r="J27" i="2"/>
  <c r="J28" i="2"/>
  <c r="J29" i="2"/>
  <c r="J30" i="2"/>
  <c r="N3" i="1" l="1"/>
  <c r="R3" i="1"/>
  <c r="Q3" i="1"/>
  <c r="V3" i="1"/>
  <c r="U3" i="1"/>
  <c r="P3" i="1"/>
  <c r="W3" i="1"/>
  <c r="O3" i="1"/>
  <c r="T3" i="1"/>
  <c r="F222" i="1"/>
  <c r="F37" i="1"/>
  <c r="F74" i="1"/>
  <c r="F111" i="1"/>
  <c r="F148" i="1"/>
  <c r="F185" i="1"/>
  <c r="F220" i="1"/>
  <c r="F35" i="1"/>
  <c r="F109" i="1"/>
  <c r="F72" i="1"/>
  <c r="F146" i="1"/>
  <c r="F183" i="1"/>
  <c r="F70" i="1"/>
  <c r="F33" i="1"/>
  <c r="F218" i="1"/>
  <c r="F144" i="1"/>
  <c r="F181" i="1"/>
  <c r="F107" i="1"/>
  <c r="F81" i="1"/>
  <c r="F192" i="1"/>
  <c r="F44" i="1"/>
  <c r="F155" i="1"/>
  <c r="F118" i="1"/>
  <c r="F7" i="1"/>
  <c r="F80" i="1"/>
  <c r="F6" i="1"/>
  <c r="F191" i="1"/>
  <c r="F154" i="1"/>
  <c r="F43" i="1"/>
  <c r="F117" i="1"/>
  <c r="F198" i="1"/>
  <c r="F124" i="1"/>
  <c r="F50" i="1"/>
  <c r="F161" i="1"/>
  <c r="F87" i="1"/>
  <c r="F38" i="1"/>
  <c r="F223" i="1"/>
  <c r="F149" i="1"/>
  <c r="F75" i="1"/>
  <c r="F112" i="1"/>
  <c r="F186" i="1"/>
  <c r="F184" i="1"/>
  <c r="F36" i="1"/>
  <c r="F110" i="1"/>
  <c r="F147" i="1"/>
  <c r="F73" i="1"/>
  <c r="F221" i="1"/>
  <c r="F219" i="1"/>
  <c r="F71" i="1"/>
  <c r="F145" i="1"/>
  <c r="F108" i="1"/>
  <c r="F182" i="1"/>
  <c r="F34" i="1"/>
  <c r="F196" i="1"/>
  <c r="F48" i="1"/>
  <c r="F159" i="1"/>
  <c r="F85" i="1"/>
  <c r="F11" i="1"/>
  <c r="F122" i="1"/>
  <c r="J38" i="1"/>
  <c r="J6" i="1"/>
  <c r="U35" i="1"/>
  <c r="F95" i="1"/>
  <c r="F206" i="1"/>
  <c r="F132" i="1"/>
  <c r="F169" i="1"/>
  <c r="F166" i="1"/>
  <c r="F92" i="1"/>
  <c r="F203" i="1"/>
  <c r="F129" i="1"/>
  <c r="F115" i="1"/>
  <c r="F78" i="1"/>
  <c r="I6" i="2"/>
  <c r="F189" i="1"/>
  <c r="F152" i="1"/>
  <c r="F202" i="1"/>
  <c r="F128" i="1"/>
  <c r="F165" i="1"/>
  <c r="F91" i="1"/>
  <c r="F201" i="1"/>
  <c r="F90" i="1"/>
  <c r="F164" i="1"/>
  <c r="F127" i="1"/>
  <c r="R32" i="1"/>
  <c r="J37" i="1"/>
  <c r="F89" i="1"/>
  <c r="F200" i="1"/>
  <c r="F126" i="1"/>
  <c r="F163" i="1"/>
  <c r="F130" i="1"/>
  <c r="F167" i="1"/>
  <c r="F93" i="1"/>
  <c r="F204" i="1"/>
  <c r="F134" i="1"/>
  <c r="F171" i="1"/>
  <c r="F208" i="1"/>
  <c r="F97" i="1"/>
  <c r="F96" i="1"/>
  <c r="F207" i="1"/>
  <c r="F133" i="1"/>
  <c r="F170" i="1"/>
  <c r="F88" i="1"/>
  <c r="F199" i="1"/>
  <c r="F125" i="1"/>
  <c r="F162" i="1"/>
  <c r="F160" i="1"/>
  <c r="F86" i="1"/>
  <c r="F123" i="1"/>
  <c r="F197" i="1"/>
  <c r="F168" i="1"/>
  <c r="F131" i="1"/>
  <c r="F94" i="1"/>
  <c r="F205" i="1"/>
  <c r="F120" i="1"/>
  <c r="F157" i="1"/>
  <c r="F83" i="1"/>
  <c r="F194" i="1"/>
  <c r="W32" i="1"/>
  <c r="V32" i="1"/>
  <c r="J36" i="1"/>
  <c r="F58" i="1"/>
  <c r="F21" i="1"/>
  <c r="J34" i="1"/>
  <c r="F57" i="1"/>
  <c r="F20" i="1"/>
  <c r="F9" i="1"/>
  <c r="F46" i="1"/>
  <c r="R35" i="1"/>
  <c r="F23" i="1"/>
  <c r="F60" i="1"/>
  <c r="F14" i="1"/>
  <c r="F51" i="1"/>
  <c r="F49" i="1"/>
  <c r="F12" i="1"/>
  <c r="S35" i="1"/>
  <c r="F41" i="1"/>
  <c r="P35" i="1"/>
  <c r="F56" i="1"/>
  <c r="F19" i="1"/>
  <c r="O35" i="1"/>
  <c r="F17" i="1"/>
  <c r="F54" i="1"/>
  <c r="W35" i="1"/>
  <c r="F15" i="1"/>
  <c r="F52" i="1"/>
  <c r="F59" i="1"/>
  <c r="F22" i="1"/>
  <c r="N35" i="1"/>
  <c r="Q35" i="1"/>
  <c r="F55" i="1"/>
  <c r="F16" i="1"/>
  <c r="F53" i="1"/>
  <c r="V35" i="1"/>
  <c r="U32" i="1"/>
  <c r="N32" i="1"/>
  <c r="S32" i="1"/>
  <c r="O32" i="1"/>
  <c r="R39" i="1"/>
  <c r="P39" i="1"/>
  <c r="T39" i="1"/>
  <c r="W39" i="1"/>
  <c r="O39" i="1"/>
  <c r="Q39" i="1"/>
  <c r="V39" i="1"/>
  <c r="N39" i="1"/>
  <c r="U39" i="1"/>
  <c r="S39" i="1"/>
  <c r="P32" i="1"/>
  <c r="Q32" i="1"/>
  <c r="V43" i="1"/>
  <c r="N43" i="1"/>
  <c r="U43" i="1"/>
  <c r="S43" i="1"/>
  <c r="T43" i="1"/>
  <c r="Q43" i="1"/>
  <c r="R43" i="1"/>
  <c r="W43" i="1"/>
  <c r="O43" i="1"/>
  <c r="P43" i="1"/>
  <c r="J44" i="1"/>
  <c r="J45" i="1"/>
  <c r="J41" i="1"/>
  <c r="J33" i="1"/>
  <c r="I38" i="1"/>
  <c r="I75" i="1" s="1"/>
  <c r="I112" i="1" s="1"/>
  <c r="I149" i="1" s="1"/>
  <c r="I186" i="1" s="1"/>
  <c r="I223" i="1" s="1"/>
  <c r="I37" i="1"/>
  <c r="I74" i="1" s="1"/>
  <c r="I111" i="1" s="1"/>
  <c r="I148" i="1" s="1"/>
  <c r="I185" i="1" s="1"/>
  <c r="I222" i="1" s="1"/>
  <c r="I30" i="1"/>
  <c r="I67" i="1" s="1"/>
  <c r="I104" i="1" s="1"/>
  <c r="I141" i="1" s="1"/>
  <c r="I178" i="1" s="1"/>
  <c r="I215" i="1" s="1"/>
  <c r="I22" i="1"/>
  <c r="I59" i="1" s="1"/>
  <c r="I96" i="1" s="1"/>
  <c r="I133" i="1" s="1"/>
  <c r="I170" i="1" s="1"/>
  <c r="I207" i="1" s="1"/>
  <c r="I14" i="1"/>
  <c r="I51" i="1" s="1"/>
  <c r="I88" i="1" s="1"/>
  <c r="I125" i="1" s="1"/>
  <c r="I162" i="1" s="1"/>
  <c r="I199" i="1" s="1"/>
  <c r="I6" i="1"/>
  <c r="I43" i="1" s="1"/>
  <c r="I80" i="1" s="1"/>
  <c r="I117" i="1" s="1"/>
  <c r="I154" i="1" s="1"/>
  <c r="I191" i="1" s="1"/>
  <c r="I29" i="1"/>
  <c r="I66" i="1" s="1"/>
  <c r="I103" i="1" s="1"/>
  <c r="I140" i="1" s="1"/>
  <c r="I177" i="1" s="1"/>
  <c r="I214" i="1" s="1"/>
  <c r="I21" i="1"/>
  <c r="I58" i="1" s="1"/>
  <c r="I95" i="1" s="1"/>
  <c r="I132" i="1" s="1"/>
  <c r="I169" i="1" s="1"/>
  <c r="I206" i="1" s="1"/>
  <c r="I13" i="1"/>
  <c r="I50" i="1" s="1"/>
  <c r="I87" i="1" s="1"/>
  <c r="I124" i="1" s="1"/>
  <c r="I161" i="1" s="1"/>
  <c r="I198" i="1" s="1"/>
  <c r="I5" i="1"/>
  <c r="I42" i="1" s="1"/>
  <c r="I79" i="1" s="1"/>
  <c r="I116" i="1" s="1"/>
  <c r="I153" i="1" s="1"/>
  <c r="I190" i="1" s="1"/>
  <c r="I36" i="1"/>
  <c r="I73" i="1" s="1"/>
  <c r="I110" i="1" s="1"/>
  <c r="I147" i="1" s="1"/>
  <c r="I184" i="1" s="1"/>
  <c r="I221" i="1" s="1"/>
  <c r="I28" i="1"/>
  <c r="I65" i="1" s="1"/>
  <c r="I102" i="1" s="1"/>
  <c r="I139" i="1" s="1"/>
  <c r="I176" i="1" s="1"/>
  <c r="I213" i="1" s="1"/>
  <c r="I20" i="1"/>
  <c r="I57" i="1" s="1"/>
  <c r="I94" i="1" s="1"/>
  <c r="I131" i="1" s="1"/>
  <c r="I168" i="1" s="1"/>
  <c r="I205" i="1" s="1"/>
  <c r="I12" i="1"/>
  <c r="I49" i="1" s="1"/>
  <c r="I86" i="1" s="1"/>
  <c r="I123" i="1" s="1"/>
  <c r="I160" i="1" s="1"/>
  <c r="I197" i="1" s="1"/>
  <c r="I35" i="1"/>
  <c r="I72" i="1" s="1"/>
  <c r="I109" i="1" s="1"/>
  <c r="I146" i="1" s="1"/>
  <c r="I183" i="1" s="1"/>
  <c r="I220" i="1" s="1"/>
  <c r="I19" i="1"/>
  <c r="I56" i="1" s="1"/>
  <c r="I93" i="1" s="1"/>
  <c r="I130" i="1" s="1"/>
  <c r="I167" i="1" s="1"/>
  <c r="I204" i="1" s="1"/>
  <c r="I11" i="1"/>
  <c r="I48" i="1" s="1"/>
  <c r="I85" i="1" s="1"/>
  <c r="I122" i="1" s="1"/>
  <c r="I159" i="1" s="1"/>
  <c r="I196" i="1" s="1"/>
  <c r="I34" i="1"/>
  <c r="I71" i="1" s="1"/>
  <c r="I108" i="1" s="1"/>
  <c r="I145" i="1" s="1"/>
  <c r="I182" i="1" s="1"/>
  <c r="I219" i="1" s="1"/>
  <c r="I26" i="1"/>
  <c r="I63" i="1" s="1"/>
  <c r="I100" i="1" s="1"/>
  <c r="I137" i="1" s="1"/>
  <c r="I174" i="1" s="1"/>
  <c r="I211" i="1" s="1"/>
  <c r="I18" i="1"/>
  <c r="I55" i="1" s="1"/>
  <c r="I92" i="1" s="1"/>
  <c r="I129" i="1" s="1"/>
  <c r="I166" i="1" s="1"/>
  <c r="I203" i="1" s="1"/>
  <c r="I10" i="1"/>
  <c r="I47" i="1" s="1"/>
  <c r="I84" i="1" s="1"/>
  <c r="I121" i="1" s="1"/>
  <c r="I158" i="1" s="1"/>
  <c r="I195" i="1" s="1"/>
  <c r="I33" i="1"/>
  <c r="I70" i="1" s="1"/>
  <c r="I107" i="1" s="1"/>
  <c r="I144" i="1" s="1"/>
  <c r="I181" i="1" s="1"/>
  <c r="I218" i="1" s="1"/>
  <c r="I25" i="1"/>
  <c r="I62" i="1" s="1"/>
  <c r="I99" i="1" s="1"/>
  <c r="I136" i="1" s="1"/>
  <c r="I173" i="1" s="1"/>
  <c r="I210" i="1" s="1"/>
  <c r="I17" i="1"/>
  <c r="I54" i="1" s="1"/>
  <c r="I91" i="1" s="1"/>
  <c r="I128" i="1" s="1"/>
  <c r="I165" i="1" s="1"/>
  <c r="I202" i="1" s="1"/>
  <c r="I9" i="1"/>
  <c r="I46" i="1" s="1"/>
  <c r="I83" i="1" s="1"/>
  <c r="I120" i="1" s="1"/>
  <c r="I157" i="1" s="1"/>
  <c r="I194" i="1" s="1"/>
  <c r="I27" i="1"/>
  <c r="I64" i="1" s="1"/>
  <c r="I101" i="1" s="1"/>
  <c r="I138" i="1" s="1"/>
  <c r="I175" i="1" s="1"/>
  <c r="I212" i="1" s="1"/>
  <c r="I32" i="1"/>
  <c r="I69" i="1" s="1"/>
  <c r="I106" i="1" s="1"/>
  <c r="I143" i="1" s="1"/>
  <c r="I180" i="1" s="1"/>
  <c r="I217" i="1" s="1"/>
  <c r="I24" i="1"/>
  <c r="I61" i="1" s="1"/>
  <c r="I98" i="1" s="1"/>
  <c r="I135" i="1" s="1"/>
  <c r="I172" i="1" s="1"/>
  <c r="I209" i="1" s="1"/>
  <c r="I16" i="1"/>
  <c r="I53" i="1" s="1"/>
  <c r="I90" i="1" s="1"/>
  <c r="I127" i="1" s="1"/>
  <c r="I164" i="1" s="1"/>
  <c r="I201" i="1" s="1"/>
  <c r="I8" i="1"/>
  <c r="I45" i="1" s="1"/>
  <c r="I82" i="1" s="1"/>
  <c r="I119" i="1" s="1"/>
  <c r="I156" i="1" s="1"/>
  <c r="I193" i="1" s="1"/>
  <c r="I31" i="1"/>
  <c r="I68" i="1" s="1"/>
  <c r="I105" i="1" s="1"/>
  <c r="I142" i="1" s="1"/>
  <c r="I179" i="1" s="1"/>
  <c r="I216" i="1" s="1"/>
  <c r="I23" i="1"/>
  <c r="I60" i="1" s="1"/>
  <c r="I97" i="1" s="1"/>
  <c r="I134" i="1" s="1"/>
  <c r="I171" i="1" s="1"/>
  <c r="I208" i="1" s="1"/>
  <c r="I15" i="1"/>
  <c r="I52" i="1" s="1"/>
  <c r="I89" i="1" s="1"/>
  <c r="I126" i="1" s="1"/>
  <c r="I163" i="1" s="1"/>
  <c r="I200" i="1" s="1"/>
  <c r="I7" i="1"/>
  <c r="I44" i="1" s="1"/>
  <c r="I81" i="1" s="1"/>
  <c r="I118" i="1" s="1"/>
  <c r="I155" i="1" s="1"/>
  <c r="I192" i="1" s="1"/>
  <c r="J3" i="1" l="1"/>
  <c r="K4" i="1"/>
  <c r="P4" i="1" s="1"/>
  <c r="P11" i="2"/>
  <c r="I2" i="7" s="1"/>
  <c r="J35" i="1"/>
  <c r="J32" i="1"/>
  <c r="J39" i="1"/>
  <c r="J43" i="1"/>
  <c r="I3" i="1"/>
  <c r="I40" i="1" s="1"/>
  <c r="I77" i="1" s="1"/>
  <c r="I114" i="1" s="1"/>
  <c r="I151" i="1" s="1"/>
  <c r="I188" i="1" s="1"/>
  <c r="I4" i="1"/>
  <c r="I41" i="1" s="1"/>
  <c r="I78" i="1" s="1"/>
  <c r="I115" i="1" s="1"/>
  <c r="I152" i="1" s="1"/>
  <c r="I189" i="1" s="1"/>
  <c r="I2" i="1"/>
  <c r="I39" i="1" s="1"/>
  <c r="I76" i="1" s="1"/>
  <c r="I113" i="1" s="1"/>
  <c r="I150" i="1" s="1"/>
  <c r="I187" i="1" s="1"/>
  <c r="N4" i="1" l="1"/>
  <c r="T4" i="1"/>
  <c r="O4" i="1"/>
  <c r="S4" i="1"/>
  <c r="U4" i="1"/>
  <c r="R4" i="1"/>
  <c r="Q4" i="1"/>
  <c r="W4" i="1"/>
  <c r="V4" i="1"/>
  <c r="AE18" i="1"/>
  <c r="J4" i="1" l="1"/>
  <c r="V2" i="1"/>
  <c r="N2" i="1"/>
  <c r="U2" i="1"/>
  <c r="T2" i="1"/>
  <c r="S2" i="1"/>
  <c r="R2" i="1"/>
  <c r="O2" i="1"/>
  <c r="Q2" i="1"/>
  <c r="W2" i="1"/>
  <c r="P2" i="1"/>
  <c r="L2" i="1"/>
  <c r="J2" i="1" l="1"/>
  <c r="L3" i="1"/>
  <c r="L4" i="1" s="1"/>
  <c r="L5" i="1" l="1"/>
  <c r="L6" i="1" l="1"/>
  <c r="L7" i="1" l="1"/>
  <c r="L8" i="1" l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  <c r="L21" i="1" s="1"/>
  <c r="L22" i="1" s="1"/>
  <c r="L23" i="1" s="1"/>
  <c r="L24" i="1" s="1"/>
  <c r="L25" i="1" s="1"/>
  <c r="L26" i="1" s="1"/>
  <c r="L27" i="1" s="1"/>
  <c r="L28" i="1" s="1"/>
  <c r="L29" i="1" s="1"/>
  <c r="L30" i="1" s="1"/>
  <c r="L31" i="1" s="1"/>
  <c r="L32" i="1" s="1"/>
  <c r="L33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L51" i="1" s="1"/>
  <c r="L52" i="1" s="1"/>
  <c r="L53" i="1" s="1"/>
  <c r="L54" i="1" s="1"/>
  <c r="L55" i="1" s="1"/>
  <c r="L56" i="1" s="1"/>
  <c r="L57" i="1" s="1"/>
  <c r="L58" i="1" s="1"/>
  <c r="L59" i="1" s="1"/>
  <c r="L60" i="1" s="1"/>
  <c r="L61" i="1" s="1"/>
  <c r="L62" i="1" s="1"/>
  <c r="L63" i="1" s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L74" i="1" s="1"/>
  <c r="L75" i="1" s="1"/>
  <c r="L76" i="1" s="1"/>
  <c r="L77" i="1" s="1"/>
  <c r="L78" i="1" s="1"/>
  <c r="L79" i="1" s="1"/>
  <c r="L80" i="1" s="1"/>
  <c r="L81" i="1" s="1"/>
  <c r="L82" i="1" s="1"/>
  <c r="L83" i="1" s="1"/>
  <c r="L84" i="1" s="1"/>
  <c r="L85" i="1" s="1"/>
  <c r="L86" i="1" s="1"/>
  <c r="L87" i="1" s="1"/>
  <c r="L88" i="1" s="1"/>
  <c r="L89" i="1" s="1"/>
  <c r="L90" i="1" s="1"/>
  <c r="L91" i="1" s="1"/>
  <c r="L92" i="1" s="1"/>
  <c r="L93" i="1" s="1"/>
  <c r="L94" i="1" s="1"/>
  <c r="L95" i="1" s="1"/>
  <c r="L96" i="1" s="1"/>
  <c r="L97" i="1" s="1"/>
  <c r="L98" i="1" s="1"/>
  <c r="L99" i="1" s="1"/>
  <c r="L100" i="1" s="1"/>
  <c r="L101" i="1" s="1"/>
  <c r="L102" i="1" s="1"/>
  <c r="L103" i="1" s="1"/>
  <c r="L104" i="1" s="1"/>
  <c r="L105" i="1" s="1"/>
  <c r="L106" i="1" s="1"/>
  <c r="L107" i="1" s="1"/>
  <c r="L108" i="1" s="1"/>
  <c r="L109" i="1" s="1"/>
  <c r="L110" i="1" s="1"/>
  <c r="L111" i="1" s="1"/>
  <c r="L112" i="1" s="1"/>
  <c r="L113" i="1" s="1"/>
  <c r="L114" i="1" s="1"/>
  <c r="L115" i="1" s="1"/>
  <c r="L116" i="1" s="1"/>
  <c r="L117" i="1" s="1"/>
  <c r="L118" i="1" s="1"/>
  <c r="L119" i="1" s="1"/>
  <c r="L120" i="1" s="1"/>
  <c r="L121" i="1" s="1"/>
  <c r="L122" i="1" s="1"/>
  <c r="L123" i="1" s="1"/>
  <c r="L124" i="1" s="1"/>
  <c r="L125" i="1" s="1"/>
  <c r="L126" i="1" s="1"/>
  <c r="L127" i="1" s="1"/>
  <c r="L128" i="1" s="1"/>
  <c r="L129" i="1" s="1"/>
  <c r="L130" i="1" s="1"/>
  <c r="L131" i="1" s="1"/>
  <c r="L132" i="1" s="1"/>
  <c r="L133" i="1" s="1"/>
  <c r="L134" i="1" s="1"/>
  <c r="L135" i="1" s="1"/>
  <c r="L136" i="1" s="1"/>
  <c r="L137" i="1" s="1"/>
  <c r="L138" i="1" s="1"/>
  <c r="L139" i="1" s="1"/>
  <c r="L140" i="1" s="1"/>
  <c r="L141" i="1" s="1"/>
  <c r="L142" i="1" s="1"/>
  <c r="L143" i="1" s="1"/>
  <c r="L144" i="1" s="1"/>
  <c r="L145" i="1" s="1"/>
  <c r="L146" i="1" s="1"/>
  <c r="L147" i="1" s="1"/>
  <c r="L148" i="1" s="1"/>
  <c r="L149" i="1" s="1"/>
  <c r="L150" i="1" s="1"/>
  <c r="L151" i="1" s="1"/>
  <c r="L152" i="1" s="1"/>
  <c r="L153" i="1" s="1"/>
  <c r="L154" i="1" s="1"/>
  <c r="L155" i="1" s="1"/>
  <c r="L156" i="1" s="1"/>
  <c r="L157" i="1" s="1"/>
  <c r="L158" i="1" s="1"/>
  <c r="L159" i="1" s="1"/>
  <c r="L160" i="1" s="1"/>
  <c r="L161" i="1" s="1"/>
  <c r="L162" i="1" s="1"/>
  <c r="L163" i="1" s="1"/>
  <c r="L164" i="1" s="1"/>
  <c r="L165" i="1" s="1"/>
  <c r="L166" i="1" s="1"/>
  <c r="L167" i="1" s="1"/>
  <c r="L168" i="1" s="1"/>
  <c r="L169" i="1" s="1"/>
  <c r="L170" i="1" s="1"/>
  <c r="L171" i="1" s="1"/>
  <c r="L172" i="1" s="1"/>
  <c r="L173" i="1" s="1"/>
  <c r="L174" i="1" s="1"/>
  <c r="L175" i="1" s="1"/>
  <c r="L176" i="1" s="1"/>
  <c r="L177" i="1" s="1"/>
  <c r="L178" i="1" s="1"/>
  <c r="L179" i="1" s="1"/>
  <c r="L180" i="1" s="1"/>
  <c r="L181" i="1" s="1"/>
  <c r="L182" i="1" s="1"/>
  <c r="L183" i="1" s="1"/>
  <c r="L184" i="1" s="1"/>
  <c r="L185" i="1" s="1"/>
  <c r="L186" i="1" s="1"/>
  <c r="L187" i="1" s="1"/>
  <c r="L188" i="1" s="1"/>
  <c r="L189" i="1" s="1"/>
  <c r="L190" i="1" s="1"/>
  <c r="L191" i="1" s="1"/>
  <c r="L192" i="1" s="1"/>
  <c r="L193" i="1" s="1"/>
  <c r="L194" i="1" s="1"/>
  <c r="L195" i="1" s="1"/>
  <c r="L196" i="1" s="1"/>
  <c r="L197" i="1" s="1"/>
  <c r="L198" i="1" s="1"/>
  <c r="L199" i="1" s="1"/>
  <c r="L200" i="1" s="1"/>
  <c r="L201" i="1" s="1"/>
  <c r="L202" i="1" s="1"/>
  <c r="L203" i="1" s="1"/>
  <c r="L204" i="1" s="1"/>
  <c r="L205" i="1" s="1"/>
  <c r="L206" i="1" s="1"/>
  <c r="L207" i="1" s="1"/>
  <c r="L208" i="1" s="1"/>
  <c r="L209" i="1" s="1"/>
  <c r="L210" i="1" s="1"/>
  <c r="L211" i="1" s="1"/>
  <c r="L212" i="1" s="1"/>
  <c r="L213" i="1" s="1"/>
  <c r="L214" i="1" s="1"/>
  <c r="L215" i="1" s="1"/>
  <c r="L216" i="1" s="1"/>
  <c r="L217" i="1" s="1"/>
  <c r="L218" i="1" s="1"/>
  <c r="L219" i="1" s="1"/>
  <c r="L220" i="1" s="1"/>
  <c r="L221" i="1" s="1"/>
  <c r="L222" i="1" s="1"/>
  <c r="L223" i="1" s="1"/>
</calcChain>
</file>

<file path=xl/comments1.xml><?xml version="1.0" encoding="utf-8"?>
<comments xmlns="http://schemas.openxmlformats.org/spreadsheetml/2006/main">
  <authors>
    <author>Lance</author>
  </authors>
  <commentLis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彩种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期号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E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H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K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L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M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X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组名
</t>
        </r>
      </text>
    </comment>
    <comment ref="Z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AC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中奖注数</t>
        </r>
      </text>
    </comment>
    <comment ref="Z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6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6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6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7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9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0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0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1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3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3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38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4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7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7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75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184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08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1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1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Z22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C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F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D4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4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9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9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14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14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15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199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2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2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25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25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25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D3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D3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D30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</commentList>
</comments>
</file>

<file path=xl/connections.xml><?xml version="1.0" encoding="utf-8"?>
<connections xmlns="http://schemas.openxmlformats.org/spreadsheetml/2006/main">
  <connection id="1" name="allResult" type="4" refreshedVersion="0" background="1">
    <webPr xml="1" sourceData="1" url="E:\Git Repository\WorkDocumentOfMe\allResult.xml" htmlTables="1" htmlFormat="all"/>
  </connection>
  <connection id="2" name="betorder" type="4" refreshedVersion="0" background="1">
    <webPr xml="1" sourceData="1" url="C:\Users\Lance\Desktop\betorder.xml" htmlTables="1" htmlFormat="all"/>
  </connection>
  <connection id="3" name="betorder1" type="4" refreshedVersion="0" background="1">
    <webPr xml="1" sourceData="1" url="C:\Users\Lance\Desktop\betorder.xml" htmlTables="1" htmlFormat="all"/>
  </connection>
  <connection id="4" name="betorder2" type="4" refreshedVersion="0" background="1">
    <webPr xml="1" sourceData="1" url="C:\Users\Lance\Desktop\betorder.xml" htmlTables="1" htmlFormat="all"/>
  </connection>
  <connection id="5" name="betorder3" type="4" refreshedVersion="0" background="1">
    <webPr xml="1" sourceData="1" url="C:\Users\Lance\Desktop\betorder.xml" htmlTables="1" htmlFormat="all"/>
  </connection>
  <connection id="6" name="betorder4" type="4" refreshedVersion="0" background="1">
    <webPr xml="1" sourceData="1" url="C:\Users\Lance\Desktop\BetDatas.xml" htmlTables="1" htmlFormat="all"/>
  </connection>
  <connection id="7" name="betorder5" type="4" refreshedVersion="0" background="1">
    <webPr xml="1" sourceData="1" url="C:\Users\Lance\Desktop\betorder.xml" htmlTables="1" htmlFormat="all"/>
  </connection>
  <connection id="8" name="betorder6" type="4" refreshedVersion="0" background="1">
    <webPr xml="1" sourceData="1" url="E:\Git Repository\WorkDocumentOfMe\betorder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<sst xmlns="http://schemas.openxmlformats.org/spreadsheetml/2006/main" count="2572" uniqueCount="794">
  <si>
    <t>BetRange</t>
  </si>
  <si>
    <t>PlayType</t>
  </si>
  <si>
    <t>Clomun</t>
  </si>
  <si>
    <t>Option</t>
  </si>
  <si>
    <t>复式</t>
  </si>
  <si>
    <t>Issue</t>
  </si>
  <si>
    <t>Group</t>
  </si>
  <si>
    <t>Multiple</t>
  </si>
  <si>
    <t>时时彩</t>
  </si>
  <si>
    <t>定位胆</t>
  </si>
  <si>
    <t>直选</t>
  </si>
  <si>
    <t>null</t>
  </si>
  <si>
    <t>组选</t>
  </si>
  <si>
    <t>不定位</t>
  </si>
  <si>
    <t>DrawnAmount</t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</si>
  <si>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</si>
  <si>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</si>
  <si>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</si>
  <si>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</si>
  <si>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</si>
  <si>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resultNumber</t>
    <phoneticPr fontId="1" type="noConversion"/>
  </si>
  <si>
    <t>中奖注数</t>
    <phoneticPr fontId="1" type="noConversion"/>
  </si>
  <si>
    <t>三码</t>
  </si>
  <si>
    <t>三码</t>
    <phoneticPr fontId="1" type="noConversion"/>
  </si>
  <si>
    <t>前三直选复式</t>
  </si>
  <si>
    <t>前三直选复式</t>
    <phoneticPr fontId="1" type="noConversion"/>
  </si>
  <si>
    <t>第一位</t>
    <phoneticPr fontId="1" type="noConversion"/>
  </si>
  <si>
    <t>第二位</t>
    <phoneticPr fontId="1" type="noConversion"/>
  </si>
  <si>
    <t>第三位</t>
    <phoneticPr fontId="1" type="noConversion"/>
  </si>
  <si>
    <t>前三直选单式</t>
  </si>
  <si>
    <t>胆码</t>
    <phoneticPr fontId="1" type="noConversion"/>
  </si>
  <si>
    <t>拖码</t>
    <phoneticPr fontId="1" type="noConversion"/>
  </si>
  <si>
    <t>前三直选单式</t>
    <phoneticPr fontId="1" type="noConversion"/>
  </si>
  <si>
    <t>前三组选单式</t>
  </si>
  <si>
    <t>前三组选复式</t>
  </si>
  <si>
    <t>前三组选复式</t>
    <phoneticPr fontId="1" type="noConversion"/>
  </si>
  <si>
    <t>前三组选单式</t>
    <phoneticPr fontId="1" type="noConversion"/>
  </si>
  <si>
    <t>前三组选胆拖</t>
  </si>
  <si>
    <t>前三组选胆拖</t>
    <phoneticPr fontId="1" type="noConversion"/>
  </si>
  <si>
    <t>前三组选</t>
    <phoneticPr fontId="1" type="noConversion"/>
  </si>
  <si>
    <t>二码</t>
  </si>
  <si>
    <t>二码</t>
    <phoneticPr fontId="1" type="noConversion"/>
  </si>
  <si>
    <t>前二直选复式</t>
  </si>
  <si>
    <t>前二直选复式</t>
    <phoneticPr fontId="1" type="noConversion"/>
  </si>
  <si>
    <t>前二直选单式</t>
  </si>
  <si>
    <t>前二直选单式</t>
    <phoneticPr fontId="1" type="noConversion"/>
  </si>
  <si>
    <t>前二组选复式</t>
  </si>
  <si>
    <t>前二组选复式</t>
    <phoneticPr fontId="1" type="noConversion"/>
  </si>
  <si>
    <t>前二组选胆拖</t>
  </si>
  <si>
    <t>前二组选胆拖</t>
    <phoneticPr fontId="1" type="noConversion"/>
  </si>
  <si>
    <t>前二组选单式</t>
  </si>
  <si>
    <t>前二组选单式</t>
    <phoneticPr fontId="1" type="noConversion"/>
  </si>
  <si>
    <t>第一位</t>
    <phoneticPr fontId="1" type="noConversion"/>
  </si>
  <si>
    <t>前二组选</t>
    <phoneticPr fontId="1" type="noConversion"/>
  </si>
  <si>
    <t>胆码</t>
    <phoneticPr fontId="1" type="noConversion"/>
  </si>
  <si>
    <t>拖码</t>
    <phoneticPr fontId="1" type="noConversion"/>
  </si>
  <si>
    <t>不定位</t>
    <phoneticPr fontId="1" type="noConversion"/>
  </si>
  <si>
    <t>前三一码不定位</t>
  </si>
  <si>
    <t>前三一码不定位</t>
    <phoneticPr fontId="1" type="noConversion"/>
  </si>
  <si>
    <t>不定位</t>
    <phoneticPr fontId="1" type="noConversion"/>
  </si>
  <si>
    <t>定位胆</t>
    <phoneticPr fontId="1" type="noConversion"/>
  </si>
  <si>
    <t>复式</t>
    <phoneticPr fontId="1" type="noConversion"/>
  </si>
  <si>
    <t>趣味型</t>
  </si>
  <si>
    <t>趣味型</t>
    <phoneticPr fontId="1" type="noConversion"/>
  </si>
  <si>
    <t>定单双</t>
  </si>
  <si>
    <t>定单双</t>
    <phoneticPr fontId="1" type="noConversion"/>
  </si>
  <si>
    <t>定单双</t>
    <phoneticPr fontId="1" type="noConversion"/>
  </si>
  <si>
    <t>猜中位</t>
  </si>
  <si>
    <t>猜中位</t>
    <phoneticPr fontId="1" type="noConversion"/>
  </si>
  <si>
    <t>任选复式</t>
  </si>
  <si>
    <t>任选复式</t>
    <phoneticPr fontId="1" type="noConversion"/>
  </si>
  <si>
    <t>一中一</t>
  </si>
  <si>
    <t>一中一</t>
    <phoneticPr fontId="1" type="noConversion"/>
  </si>
  <si>
    <t>二中二</t>
  </si>
  <si>
    <t>二中二</t>
    <phoneticPr fontId="1" type="noConversion"/>
  </si>
  <si>
    <t>三中三</t>
  </si>
  <si>
    <t>三中三</t>
    <phoneticPr fontId="1" type="noConversion"/>
  </si>
  <si>
    <t>四中四</t>
  </si>
  <si>
    <t>四中四</t>
    <phoneticPr fontId="1" type="noConversion"/>
  </si>
  <si>
    <t>五中五</t>
  </si>
  <si>
    <t>五中五</t>
    <phoneticPr fontId="1" type="noConversion"/>
  </si>
  <si>
    <t>六中五</t>
  </si>
  <si>
    <t>六中五</t>
    <phoneticPr fontId="1" type="noConversion"/>
  </si>
  <si>
    <t>七中五</t>
  </si>
  <si>
    <t>七中五</t>
    <phoneticPr fontId="1" type="noConversion"/>
  </si>
  <si>
    <t>八中五</t>
  </si>
  <si>
    <t>八中五</t>
    <phoneticPr fontId="1" type="noConversion"/>
  </si>
  <si>
    <t>选一中一</t>
    <phoneticPr fontId="1" type="noConversion"/>
  </si>
  <si>
    <t>选二中二</t>
    <phoneticPr fontId="1" type="noConversion"/>
  </si>
  <si>
    <t>选三中三</t>
    <phoneticPr fontId="1" type="noConversion"/>
  </si>
  <si>
    <t>选四中四</t>
    <phoneticPr fontId="1" type="noConversion"/>
  </si>
  <si>
    <t>选五中五</t>
    <phoneticPr fontId="1" type="noConversion"/>
  </si>
  <si>
    <t>选六中五</t>
    <phoneticPr fontId="1" type="noConversion"/>
  </si>
  <si>
    <t>选七中五</t>
    <phoneticPr fontId="1" type="noConversion"/>
  </si>
  <si>
    <t>选八中五</t>
    <phoneticPr fontId="1" type="noConversion"/>
  </si>
  <si>
    <t>任选单式</t>
  </si>
  <si>
    <t>任选单式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</si>
  <si>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</si>
  <si>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</si>
  <si>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</si>
  <si>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</si>
  <si>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null</t>
    <phoneticPr fontId="1" type="noConversion"/>
  </si>
  <si>
    <t>任选胆拖</t>
  </si>
  <si>
    <t>任选胆拖</t>
    <phoneticPr fontId="1" type="noConversion"/>
  </si>
  <si>
    <t>拖码</t>
    <phoneticPr fontId="1" type="noConversion"/>
  </si>
  <si>
    <t>,01,02,03,04,05,06,07,08,09,10,11</t>
  </si>
  <si>
    <t>01 02 03 04 05 06 07 08 09 10 11</t>
  </si>
  <si>
    <t>01 02 03 04 05 06 07 08 09 10 11,01 02 03 04 05 06 07 08 09 10 11,01 02 03 04 05 06 07 08 09 10 11</t>
  </si>
  <si>
    <r>
      <t>Bet</t>
    </r>
    <r>
      <rPr>
        <sz val="11"/>
        <color theme="1"/>
        <rFont val="宋体"/>
        <family val="3"/>
        <charset val="134"/>
        <scheme val="minor"/>
      </rPr>
      <t>Number</t>
    </r>
    <phoneticPr fontId="1" type="noConversion"/>
  </si>
  <si>
    <t>,01,02,03,04,05,06,07,08,09,10,11</t>
    <phoneticPr fontId="1" type="noConversion"/>
  </si>
  <si>
    <t>5单0双,4单1双,3单2双,2单3双,1单4双,0单5双</t>
    <phoneticPr fontId="1" type="noConversion"/>
  </si>
  <si>
    <t>03,04,05,06,07,08,09</t>
    <phoneticPr fontId="1" type="noConversion"/>
  </si>
  <si>
    <t>02,03,04,05,06,07,08,09,10,11</t>
    <phoneticPr fontId="1" type="noConversion"/>
  </si>
  <si>
    <t>resultNum</t>
    <phoneticPr fontId="1" type="noConversion"/>
  </si>
  <si>
    <t>betNumber</t>
    <phoneticPr fontId="1" type="noConversion"/>
  </si>
  <si>
    <t>InviCode</t>
    <phoneticPr fontId="1" type="noConversion"/>
  </si>
  <si>
    <t>InviCode2</t>
  </si>
  <si>
    <t>自身level</t>
    <phoneticPr fontId="1" type="noConversion"/>
  </si>
  <si>
    <t>上级2Code</t>
    <phoneticPr fontId="1" type="noConversion"/>
  </si>
  <si>
    <t>上级4Code</t>
    <phoneticPr fontId="1" type="noConversion"/>
  </si>
  <si>
    <t>上级5Code</t>
    <phoneticPr fontId="1" type="noConversion"/>
  </si>
  <si>
    <t>上级7Code</t>
    <phoneticPr fontId="1" type="noConversion"/>
  </si>
  <si>
    <t>上级7userId</t>
    <phoneticPr fontId="1" type="noConversion"/>
  </si>
  <si>
    <t>上级8UserId</t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</si>
  <si>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</si>
  <si>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</si>
  <si>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</si>
  <si>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</si>
  <si>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</si>
  <si>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</si>
  <si>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</si>
  <si>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</si>
  <si>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</si>
  <si>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</si>
  <si>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中奖注数</t>
    <phoneticPr fontId="1" type="noConversion"/>
  </si>
  <si>
    <t>9.9reward</t>
    <phoneticPr fontId="1" type="noConversion"/>
  </si>
  <si>
    <t>辅助计算</t>
    <phoneticPr fontId="1" type="noConversion"/>
  </si>
  <si>
    <t>趣味型定单双</t>
    <phoneticPr fontId="1" type="noConversion"/>
  </si>
  <si>
    <r>
      <t>5单</t>
    </r>
    <r>
      <rPr>
        <sz val="11"/>
        <color theme="1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</si>
  <si>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theme="1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</si>
  <si>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theme="1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</si>
  <si>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theme="1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</si>
  <si>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theme="1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</si>
  <si>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theme="1"/>
        <rFont val="宋体"/>
        <family val="3"/>
        <charset val="134"/>
        <scheme val="minor"/>
      </rPr>
      <t>5双</t>
    </r>
    <phoneticPr fontId="1" type="noConversion"/>
  </si>
  <si>
    <t>趣味型猜中位</t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</si>
  <si>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</si>
  <si>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自身Reward</t>
    <phoneticPr fontId="1" type="noConversion"/>
  </si>
  <si>
    <r>
      <t>9.9从</t>
    </r>
    <r>
      <rPr>
        <sz val="11"/>
        <color theme="1"/>
        <rFont val="宋体"/>
        <family val="3"/>
        <charset val="134"/>
        <scheme val="minor"/>
      </rPr>
      <t>0开始算</t>
    </r>
    <phoneticPr fontId="1" type="noConversion"/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</si>
  <si>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</si>
  <si>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user_Id</t>
    <phoneticPr fontId="1" type="noConversion"/>
  </si>
  <si>
    <t>parentCode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</si>
  <si>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</si>
  <si>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InviCode</t>
    <phoneticPr fontId="1" type="noConversion"/>
  </si>
  <si>
    <t>InviCode1</t>
    <phoneticPr fontId="1" type="noConversion"/>
  </si>
  <si>
    <t>betUserId</t>
    <phoneticPr fontId="1" type="noConversion"/>
  </si>
  <si>
    <t>InviCode2</t>
    <phoneticPr fontId="1" type="noConversion"/>
  </si>
  <si>
    <t>null</t>
    <phoneticPr fontId="1" type="noConversion"/>
  </si>
  <si>
    <t>上级1Code</t>
    <phoneticPr fontId="1" type="noConversion"/>
  </si>
  <si>
    <t>上级1userId</t>
    <phoneticPr fontId="1" type="noConversion"/>
  </si>
  <si>
    <t>上级1level</t>
    <phoneticPr fontId="1" type="noConversion"/>
  </si>
  <si>
    <t>上级1返利</t>
    <phoneticPr fontId="1" type="noConversion"/>
  </si>
  <si>
    <t>上级2UserId</t>
    <phoneticPr fontId="1" type="noConversion"/>
  </si>
  <si>
    <t>上级2level</t>
    <phoneticPr fontId="1" type="noConversion"/>
  </si>
  <si>
    <t>上级3Code</t>
    <phoneticPr fontId="1" type="noConversion"/>
  </si>
  <si>
    <t>上级3userId</t>
    <phoneticPr fontId="1" type="noConversion"/>
  </si>
  <si>
    <t>上级3level</t>
    <phoneticPr fontId="1" type="noConversion"/>
  </si>
  <si>
    <t>上级4UserId</t>
    <phoneticPr fontId="1" type="noConversion"/>
  </si>
  <si>
    <t>上级4level</t>
    <phoneticPr fontId="1" type="noConversion"/>
  </si>
  <si>
    <t>上级5userId</t>
    <phoneticPr fontId="1" type="noConversion"/>
  </si>
  <si>
    <t>上级5level</t>
    <phoneticPr fontId="1" type="noConversion"/>
  </si>
  <si>
    <t>上级6Code</t>
    <phoneticPr fontId="1" type="noConversion"/>
  </si>
  <si>
    <t>上级6UserId</t>
    <phoneticPr fontId="1" type="noConversion"/>
  </si>
  <si>
    <t>上级6level</t>
    <phoneticPr fontId="1" type="noConversion"/>
  </si>
  <si>
    <t>上级7level</t>
    <phoneticPr fontId="1" type="noConversion"/>
  </si>
  <si>
    <t>上级8Code</t>
    <phoneticPr fontId="1" type="noConversion"/>
  </si>
  <si>
    <t>上级8level</t>
    <phoneticPr fontId="1" type="noConversion"/>
  </si>
  <si>
    <t>黄金分割线</t>
    <phoneticPr fontId="1" type="noConversion"/>
  </si>
  <si>
    <t>黄金分割线</t>
    <phoneticPr fontId="1" type="noConversion"/>
  </si>
  <si>
    <t>上级9Code</t>
    <phoneticPr fontId="1" type="noConversion"/>
  </si>
  <si>
    <t>上级9userId</t>
    <phoneticPr fontId="1" type="noConversion"/>
  </si>
  <si>
    <t>上级9level</t>
    <phoneticPr fontId="1" type="noConversion"/>
  </si>
  <si>
    <t>上级10Code</t>
    <phoneticPr fontId="1" type="noConversion"/>
  </si>
  <si>
    <t>上级10userId</t>
    <phoneticPr fontId="1" type="noConversion"/>
  </si>
  <si>
    <t>上级10level</t>
    <phoneticPr fontId="1" type="noConversion"/>
  </si>
  <si>
    <t>上级11Code</t>
    <phoneticPr fontId="1" type="noConversion"/>
  </si>
  <si>
    <t>上级11userId</t>
    <phoneticPr fontId="1" type="noConversion"/>
  </si>
  <si>
    <t>上级11level</t>
    <phoneticPr fontId="1" type="noConversion"/>
  </si>
  <si>
    <t>上级12Code</t>
    <phoneticPr fontId="1" type="noConversion"/>
  </si>
  <si>
    <t>上级12userId</t>
    <phoneticPr fontId="1" type="noConversion"/>
  </si>
  <si>
    <t>上级12level</t>
    <phoneticPr fontId="1" type="noConversion"/>
  </si>
  <si>
    <t>上级13Code</t>
    <phoneticPr fontId="1" type="noConversion"/>
  </si>
  <si>
    <t>上级13userId</t>
    <phoneticPr fontId="1" type="noConversion"/>
  </si>
  <si>
    <t>上级13level</t>
    <phoneticPr fontId="1" type="noConversion"/>
  </si>
  <si>
    <t>上级14Code</t>
    <phoneticPr fontId="1" type="noConversion"/>
  </si>
  <si>
    <t>上级14userId</t>
    <phoneticPr fontId="1" type="noConversion"/>
  </si>
  <si>
    <t>上级14level</t>
    <phoneticPr fontId="1" type="noConversion"/>
  </si>
  <si>
    <t>上级14返利</t>
    <phoneticPr fontId="1" type="noConversion"/>
  </si>
  <si>
    <t>上级15Code</t>
    <phoneticPr fontId="1" type="noConversion"/>
  </si>
  <si>
    <t>上级15userId</t>
    <phoneticPr fontId="1" type="noConversion"/>
  </si>
  <si>
    <t>上级15level</t>
    <phoneticPr fontId="1" type="noConversion"/>
  </si>
  <si>
    <t>自身Reward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</si>
  <si>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</si>
  <si>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</si>
  <si>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</si>
  <si>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</si>
  <si>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</si>
  <si>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</si>
  <si>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</si>
  <si>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</si>
  <si>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</si>
  <si>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上级11返利</t>
    <phoneticPr fontId="1" type="noConversion"/>
  </si>
  <si>
    <t>上级12返利</t>
    <phoneticPr fontId="1" type="noConversion"/>
  </si>
  <si>
    <t>上级13返利</t>
    <phoneticPr fontId="1" type="noConversion"/>
  </si>
  <si>
    <t>上级15返利</t>
    <phoneticPr fontId="1" type="noConversion"/>
  </si>
  <si>
    <t>订单返点总和</t>
    <phoneticPr fontId="1" type="noConversion"/>
  </si>
  <si>
    <t>5单0双 4单1双 3单2双 2单3双 1单4双 0单5双</t>
  </si>
  <si>
    <t>03 04 05 06 07 08 09</t>
  </si>
  <si>
    <t>中奖金额</t>
    <phoneticPr fontId="1" type="noConversion"/>
  </si>
  <si>
    <t>自身reward</t>
    <phoneticPr fontId="1" type="noConversion"/>
  </si>
  <si>
    <t>01 02 03,04 05 06,07 08 09,02 05 07</t>
  </si>
  <si>
    <t>01 02 03,04 05 06,07 08 09,02 05 07</t>
    <phoneticPr fontId="1" type="noConversion"/>
  </si>
  <si>
    <t>01 02 03,06 07 08,09 10 11,05 02 07</t>
  </si>
  <si>
    <t>01 02 03,06 07 08,09 10 11,05 02 07</t>
    <phoneticPr fontId="1" type="noConversion"/>
  </si>
  <si>
    <t>01 02,02 05,05 02,07 08,09 10</t>
  </si>
  <si>
    <t>01 02,02 01,05 02,07 08,09 10,11 07</t>
  </si>
  <si>
    <t>01 02,02 01,05 02,07 08,09 10,11 07</t>
    <phoneticPr fontId="1" type="noConversion"/>
  </si>
  <si>
    <t>中位</t>
    <phoneticPr fontId="1" type="noConversion"/>
  </si>
  <si>
    <t>01,02 03 04 05 06 07 08 09 10 11</t>
  </si>
  <si>
    <t>test001</t>
    <phoneticPr fontId="1" type="noConversion"/>
  </si>
  <si>
    <t>test002</t>
  </si>
  <si>
    <t>test003</t>
  </si>
  <si>
    <t>test004</t>
  </si>
  <si>
    <t>test005</t>
  </si>
  <si>
    <t>test006</t>
  </si>
  <si>
    <t>test007</t>
  </si>
  <si>
    <t>test008</t>
  </si>
  <si>
    <t>test009</t>
  </si>
  <si>
    <t>test010</t>
  </si>
  <si>
    <t>04,01,08,02,06</t>
    <phoneticPr fontId="1" type="noConversion"/>
  </si>
  <si>
    <t>01 02 06 04 08,06 07 08 09 10</t>
  </si>
  <si>
    <t>01 02 08 04 05 06,07 08 09 10 11 02</t>
  </si>
  <si>
    <t>01 02 08 04 05 06,07 08 09 10 11 02</t>
    <phoneticPr fontId="1" type="noConversion"/>
  </si>
  <si>
    <t>,01,</t>
    <phoneticPr fontId="1" type="noConversion"/>
  </si>
  <si>
    <r>
      <t>0</t>
    </r>
    <r>
      <rPr>
        <sz val="11"/>
        <color theme="1"/>
        <rFont val="宋体"/>
        <family val="3"/>
        <charset val="134"/>
        <scheme val="minor"/>
      </rPr>
      <t>.0级别</t>
    </r>
    <phoneticPr fontId="1" type="noConversion"/>
  </si>
  <si>
    <r>
      <t>d</t>
    </r>
    <r>
      <rPr>
        <sz val="11"/>
        <color rgb="FF006100"/>
        <rFont val="宋体"/>
        <family val="3"/>
        <charset val="134"/>
        <scheme val="minor"/>
      </rPr>
      <t>ataValue</t>
    </r>
    <phoneticPr fontId="1" type="noConversion"/>
  </si>
  <si>
    <r>
      <t>9.9从</t>
    </r>
    <r>
      <rPr>
        <sz val="11"/>
        <color rgb="FF006100"/>
        <rFont val="宋体"/>
        <family val="3"/>
        <charset val="134"/>
        <scheme val="minor"/>
      </rPr>
      <t>0开始算</t>
    </r>
    <phoneticPr fontId="1" type="noConversion"/>
  </si>
  <si>
    <r>
      <t>5单</t>
    </r>
    <r>
      <rPr>
        <sz val="11"/>
        <color rgb="FF006100"/>
        <rFont val="宋体"/>
        <family val="3"/>
        <charset val="134"/>
        <scheme val="minor"/>
      </rPr>
      <t>0双</t>
    </r>
    <phoneticPr fontId="1" type="noConversion"/>
  </si>
  <si>
    <r>
      <t>4单</t>
    </r>
    <r>
      <rPr>
        <sz val="11"/>
        <color rgb="FF006100"/>
        <rFont val="宋体"/>
        <family val="3"/>
        <charset val="134"/>
        <scheme val="minor"/>
      </rPr>
      <t>1双</t>
    </r>
    <phoneticPr fontId="1" type="noConversion"/>
  </si>
  <si>
    <r>
      <t>3单</t>
    </r>
    <r>
      <rPr>
        <sz val="11"/>
        <color rgb="FF006100"/>
        <rFont val="宋体"/>
        <family val="3"/>
        <charset val="134"/>
        <scheme val="minor"/>
      </rPr>
      <t>2双</t>
    </r>
    <phoneticPr fontId="1" type="noConversion"/>
  </si>
  <si>
    <r>
      <t>2单</t>
    </r>
    <r>
      <rPr>
        <sz val="11"/>
        <color rgb="FF006100"/>
        <rFont val="宋体"/>
        <family val="3"/>
        <charset val="134"/>
        <scheme val="minor"/>
      </rPr>
      <t>3双</t>
    </r>
    <phoneticPr fontId="1" type="noConversion"/>
  </si>
  <si>
    <r>
      <t>1单</t>
    </r>
    <r>
      <rPr>
        <sz val="11"/>
        <color rgb="FF006100"/>
        <rFont val="宋体"/>
        <family val="3"/>
        <charset val="134"/>
        <scheme val="minor"/>
      </rPr>
      <t>4双</t>
    </r>
    <phoneticPr fontId="1" type="noConversion"/>
  </si>
  <si>
    <r>
      <t>0单</t>
    </r>
    <r>
      <rPr>
        <sz val="11"/>
        <color rgb="FF006100"/>
        <rFont val="宋体"/>
        <family val="3"/>
        <charset val="134"/>
        <scheme val="minor"/>
      </rPr>
      <t>5双</t>
    </r>
    <phoneticPr fontId="1" type="noConversion"/>
  </si>
  <si>
    <t>test011</t>
    <phoneticPr fontId="1" type="noConversion"/>
  </si>
  <si>
    <t>,01,02,03,04,05,06,07,08,09,10,11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</si>
  <si>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</si>
  <si>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</si>
  <si>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</si>
  <si>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</si>
  <si>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,07,</t>
    <phoneticPr fontId="1" type="noConversion"/>
  </si>
  <si>
    <t>,01,02,03,04,05,06,08,09,10,11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</si>
  <si>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</si>
  <si>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</si>
  <si>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01 02,02 05,05 02,07 08,09 10</t>
    <phoneticPr fontId="1" type="noConversion"/>
  </si>
  <si>
    <t>,02,03,04,05,06,07,08,09,10,11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</si>
  <si>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</si>
  <si>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</si>
  <si>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</si>
  <si>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,01,02,03,04,05,06,07,08,09,10,11,</t>
    <phoneticPr fontId="1" type="noConversion"/>
  </si>
  <si>
    <t>01 09,03 04,05 06,07 08,09 10</t>
    <phoneticPr fontId="1" type="noConversion"/>
  </si>
  <si>
    <t>01 02 03,04 05 06,07 08 09,10 11 01</t>
    <phoneticPr fontId="1" type="noConversion"/>
  </si>
  <si>
    <t>01 02 03 04,09 10 11 05,06 07 08 09</t>
    <phoneticPr fontId="1" type="noConversion"/>
  </si>
  <si>
    <t>01 02 06 04 08,06 07 08 09 10</t>
    <phoneticPr fontId="1" type="noConversion"/>
  </si>
  <si>
    <t>01 02 03 04 05 06 07,11 10 09 08 07 06 05</t>
    <phoneticPr fontId="1" type="noConversion"/>
  </si>
  <si>
    <t>01 02 03 04 05 06 07 08,11 10 09 08 07 06 05 04</t>
    <phoneticPr fontId="1" type="noConversion"/>
  </si>
  <si>
    <t>,02,</t>
    <phoneticPr fontId="1" type="noConversion"/>
  </si>
  <si>
    <t>01,03,04,05,06,07,08,09,10,11</t>
    <phoneticPr fontId="1" type="noConversion"/>
  </si>
  <si>
    <t>,03,</t>
    <phoneticPr fontId="1" type="noConversion"/>
  </si>
  <si>
    <t>,01,02,04,05,06,07,08,09,10,11</t>
    <phoneticPr fontId="1" type="noConversion"/>
  </si>
  <si>
    <t>,04,</t>
    <phoneticPr fontId="1" type="noConversion"/>
  </si>
  <si>
    <t>01,02,03,07,09,10,05,06,08,11</t>
    <phoneticPr fontId="1" type="noConversion"/>
  </si>
  <si>
    <t>,05,</t>
    <phoneticPr fontId="1" type="noConversion"/>
  </si>
  <si>
    <t>01,02,03,04,06,07,08,09,10,11</t>
    <phoneticPr fontId="1" type="noConversion"/>
  </si>
  <si>
    <t>,06,</t>
    <phoneticPr fontId="1" type="noConversion"/>
  </si>
  <si>
    <t>01,02,03,04,05,07,08,09,10,11</t>
    <phoneticPr fontId="1" type="noConversion"/>
  </si>
  <si>
    <t>01,02,03,04,05,06,09,10,08,11</t>
    <phoneticPr fontId="1" type="noConversion"/>
  </si>
  <si>
    <t>,01,02,03,04,05,06,07,08,09,10,11,</t>
  </si>
  <si>
    <t>07,01 02 03 04 05 06 08 09 10 11</t>
  </si>
  <si>
    <t>01 02 03 04 05 06 07 08 09 10 11,01 02 03 04 05 06 07 08 09 10 11</t>
  </si>
  <si>
    <t>01 09,03 04,05 06,07 08,09 10</t>
  </si>
  <si>
    <t>01 02 03,04 05 06,07 08 09,10 11 01</t>
  </si>
  <si>
    <t>01 02 03 04,09 10 11 05,06 07 08 09</t>
  </si>
  <si>
    <t>01 02 03 04 05 06 07,11 10 09 08 07 06 05</t>
  </si>
  <si>
    <t>01 02 03 04 05 06 07 08,11 10 09 08 07 06 05 04</t>
  </si>
  <si>
    <t>02,01 03 04 05 06 07 08 09 10 11</t>
  </si>
  <si>
    <t>03,01 02 04 05 06 07 08 09 10 11</t>
  </si>
  <si>
    <t>04,01 02 03 07 09 10 05 06 08 11</t>
  </si>
  <si>
    <t>05,01 02 03 04 06 07 08 09 10 11</t>
  </si>
  <si>
    <t>06,01 02 03 04 05 07 08 09 10 11</t>
  </si>
  <si>
    <t>07,01 02 03 04 05 06 09 10 08 11</t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</si>
  <si>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</si>
  <si>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</si>
  <si>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</si>
  <si>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</si>
  <si>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</si>
  <si>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</si>
  <si>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RebateAll</t>
    <phoneticPr fontId="1" type="noConversion"/>
  </si>
  <si>
    <t>drawnAmount</t>
    <phoneticPr fontId="1" type="noConversion"/>
  </si>
  <si>
    <t>balance</t>
    <phoneticPr fontId="1" type="noConversion"/>
  </si>
  <si>
    <t>resultNum</t>
    <phoneticPr fontId="1" type="noConversion"/>
  </si>
  <si>
    <t>11,08,06,04,07</t>
  </si>
  <si>
    <t>06,10,01,05,08</t>
  </si>
  <si>
    <t>01,10,08,09,03</t>
  </si>
  <si>
    <t>03,01,10,05,08</t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</si>
  <si>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</si>
  <si>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</si>
  <si>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</si>
  <si>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</si>
  <si>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</si>
  <si>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</si>
  <si>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01,02,03,04,05,06,07,08,09,10,11</t>
    <phoneticPr fontId="1" type="noConversion"/>
  </si>
  <si>
    <t>01,02,03,04,05,06,08,09,10,11</t>
    <phoneticPr fontId="1" type="noConversion"/>
  </si>
  <si>
    <t>01,02,04,05,06,07,08,09,10,11</t>
    <phoneticPr fontId="1" type="noConversion"/>
  </si>
  <si>
    <t>01,02,03,04,05,06,07,08,09,10,11</t>
    <phoneticPr fontId="1" type="noConversion"/>
  </si>
  <si>
    <t>allResult</t>
    <phoneticPr fontId="1" type="noConversion"/>
  </si>
  <si>
    <t>01,02,03,04,05</t>
  </si>
  <si>
    <t>01,02,03,04,06</t>
  </si>
  <si>
    <t>01,02,03,04,07</t>
  </si>
  <si>
    <t>01,02,03,04,06</t>
    <phoneticPr fontId="1" type="noConversion"/>
  </si>
  <si>
    <t>01,02,03,04,08</t>
  </si>
  <si>
    <t>01,02,03,04,09</t>
  </si>
  <si>
    <t>01,02,03,04,10</t>
  </si>
  <si>
    <t>01,02,03,04,11</t>
  </si>
  <si>
    <t>01,02,03,05,06</t>
  </si>
  <si>
    <t>01,02,03,05,07</t>
  </si>
  <si>
    <t>01,02,03,05,08</t>
  </si>
  <si>
    <t>01,02,03,05,09</t>
  </si>
  <si>
    <t>01,02,03,05,10</t>
  </si>
  <si>
    <t>01,02,03,05,11</t>
  </si>
  <si>
    <t>01,02,03,06,07</t>
  </si>
  <si>
    <t>01,02,03,06,08</t>
  </si>
  <si>
    <t>01,02,03,06,09</t>
  </si>
  <si>
    <t>01,02,03,06,10</t>
  </si>
  <si>
    <t>01,02,03,06,11</t>
  </si>
  <si>
    <t>01,02,03,07,08</t>
  </si>
  <si>
    <t>01,02,03,07,09</t>
  </si>
  <si>
    <t>01,02,03,07,10</t>
  </si>
  <si>
    <t>01,02,03,07,11</t>
  </si>
  <si>
    <t>01,02,03,08,09</t>
  </si>
  <si>
    <t>01,02,03,08,10</t>
  </si>
  <si>
    <t>01,02,03,08,11</t>
  </si>
  <si>
    <t>01,02,03,09,10</t>
  </si>
  <si>
    <t>01,02,03,09,11</t>
  </si>
  <si>
    <t>01,02,03,10,11</t>
  </si>
  <si>
    <t>01,02,04,05,06</t>
  </si>
  <si>
    <t>01,02,04,05,07</t>
  </si>
  <si>
    <t>01,02,04,05,08</t>
  </si>
  <si>
    <t>01,02,04,05,09</t>
  </si>
  <si>
    <t>01,02,04,05,10</t>
  </si>
  <si>
    <t>01,02,04,05,11</t>
  </si>
  <si>
    <t>01,02,04,06,07</t>
  </si>
  <si>
    <t>01,02,04,06,08</t>
  </si>
  <si>
    <t>01,02,04,06,09</t>
  </si>
  <si>
    <t>01,02,04,06,10</t>
  </si>
  <si>
    <t>01,02,04,06,11</t>
  </si>
  <si>
    <t>01,02,04,07,08</t>
  </si>
  <si>
    <t>01,02,04,07,09</t>
  </si>
  <si>
    <t>01,02,04,07,10</t>
  </si>
  <si>
    <t>01,02,04,07,11</t>
  </si>
  <si>
    <t>01,02,04,08,09</t>
  </si>
  <si>
    <t>01,02,04,08,10</t>
  </si>
  <si>
    <t>01,02,04,08,11</t>
  </si>
  <si>
    <t>01,02,04,09,10</t>
  </si>
  <si>
    <t>01,02,04,09,11</t>
  </si>
  <si>
    <t>01,02,04,10,11</t>
  </si>
  <si>
    <t>01,02,05,06,07</t>
  </si>
  <si>
    <t>01,02,05,06,08</t>
  </si>
  <si>
    <t>01,02,05,06,09</t>
  </si>
  <si>
    <t>01,02,05,06,10</t>
  </si>
  <si>
    <t>01,02,05,06,11</t>
  </si>
  <si>
    <t>01,02,05,07,08</t>
  </si>
  <si>
    <t>01,02,05,07,09</t>
  </si>
  <si>
    <t>01,02,05,07,10</t>
  </si>
  <si>
    <t>01,02,05,07,11</t>
  </si>
  <si>
    <t>01,02,05,08,09</t>
  </si>
  <si>
    <t>01,02,05,08,10</t>
  </si>
  <si>
    <t>01,02,05,08,11</t>
  </si>
  <si>
    <t>01,02,05,09,10</t>
  </si>
  <si>
    <t>01,02,05,09,11</t>
  </si>
  <si>
    <t>01,02,05,10,11</t>
  </si>
  <si>
    <t>01,02,06,07,08</t>
  </si>
  <si>
    <t>01,02,06,07,09</t>
  </si>
  <si>
    <t>01,02,06,07,10</t>
  </si>
  <si>
    <t>01,02,06,07,11</t>
  </si>
  <si>
    <t>01,02,06,08,09</t>
  </si>
  <si>
    <t>01,02,06,08,10</t>
  </si>
  <si>
    <t>01,02,06,08,11</t>
  </si>
  <si>
    <t>01,02,06,09,10</t>
  </si>
  <si>
    <t>01,02,06,09,11</t>
  </si>
  <si>
    <t>01,02,06,10,11</t>
  </si>
  <si>
    <t>01,02,07,08,09</t>
  </si>
  <si>
    <t>01,02,07,08,10</t>
  </si>
  <si>
    <t>01,02,07,08,11</t>
  </si>
  <si>
    <t>01,02,07,09,10</t>
  </si>
  <si>
    <t>01,02,07,09,11</t>
  </si>
  <si>
    <t>01,02,07,10,11</t>
  </si>
  <si>
    <t>01,02,08,09,10</t>
  </si>
  <si>
    <t>01,02,08,09,11</t>
  </si>
  <si>
    <t>01,02,08,10,11</t>
  </si>
  <si>
    <t>01,02,09,10,11</t>
  </si>
  <si>
    <t>01,03,04,05,06</t>
  </si>
  <si>
    <t>01,03,04,05,07</t>
  </si>
  <si>
    <t>01,03,04,05,08</t>
  </si>
  <si>
    <t>01,03,04,05,09</t>
  </si>
  <si>
    <t>01,03,04,05,10</t>
  </si>
  <si>
    <t>01,03,04,05,11</t>
  </si>
  <si>
    <t>01,03,04,06,07</t>
  </si>
  <si>
    <t>01,03,04,06,08</t>
  </si>
  <si>
    <t>01,03,04,06,09</t>
  </si>
  <si>
    <t>01,03,04,06,10</t>
  </si>
  <si>
    <t>01,03,04,06,11</t>
  </si>
  <si>
    <t>01,03,04,07,08</t>
  </si>
  <si>
    <t>01,03,04,07,09</t>
  </si>
  <si>
    <t>01,03,04,07,10</t>
  </si>
  <si>
    <t>01,03,04,07,11</t>
  </si>
  <si>
    <t>01,03,04,08,09</t>
  </si>
  <si>
    <t>01,03,04,08,10</t>
  </si>
  <si>
    <t>01,03,04,08,11</t>
  </si>
  <si>
    <t>01,03,04,09,10</t>
  </si>
  <si>
    <t>01,03,04,09,11</t>
  </si>
  <si>
    <t>01,03,04,10,11</t>
  </si>
  <si>
    <t>01,03,05,06,07</t>
  </si>
  <si>
    <t>01,03,05,06,08</t>
  </si>
  <si>
    <t>01,03,05,06,09</t>
  </si>
  <si>
    <t>01,03,05,06,10</t>
  </si>
  <si>
    <t>01,03,05,06,11</t>
  </si>
  <si>
    <t>01,03,05,07,08</t>
  </si>
  <si>
    <t>01,03,05,07,09</t>
  </si>
  <si>
    <t>01,03,05,07,10</t>
  </si>
  <si>
    <t>01,03,05,07,11</t>
  </si>
  <si>
    <t>01,03,05,08,09</t>
  </si>
  <si>
    <t>01,03,05,08,10</t>
  </si>
  <si>
    <t>01,03,05,08,11</t>
  </si>
  <si>
    <t>01,03,05,09,10</t>
  </si>
  <si>
    <t>01,03,05,09,11</t>
  </si>
  <si>
    <t>01,03,05,10,11</t>
  </si>
  <si>
    <t>01,03,06,07,08</t>
  </si>
  <si>
    <t>01,03,06,07,09</t>
  </si>
  <si>
    <t>01,03,06,07,10</t>
  </si>
  <si>
    <t>01,03,06,07,11</t>
  </si>
  <si>
    <t>01,03,06,08,09</t>
  </si>
  <si>
    <t>01,03,06,08,10</t>
  </si>
  <si>
    <t>01,03,06,08,11</t>
  </si>
  <si>
    <t>01,03,06,09,10</t>
  </si>
  <si>
    <t>01,03,06,09,11</t>
  </si>
  <si>
    <t>01,03,06,10,11</t>
  </si>
  <si>
    <t>01,03,07,08,09</t>
  </si>
  <si>
    <t>01,03,07,08,10</t>
  </si>
  <si>
    <t>01,03,07,08,11</t>
  </si>
  <si>
    <t>01,03,07,09,10</t>
  </si>
  <si>
    <t>01,03,07,09,11</t>
  </si>
  <si>
    <t>01,03,07,10,11</t>
  </si>
  <si>
    <t>01,03,08,09,10</t>
  </si>
  <si>
    <t>01,03,08,09,11</t>
  </si>
  <si>
    <t>01,03,08,10,11</t>
  </si>
  <si>
    <t>01,03,09,10,11</t>
  </si>
  <si>
    <t>01,04,05,06,07</t>
  </si>
  <si>
    <t>01,04,05,06,08</t>
  </si>
  <si>
    <t>01,04,05,06,09</t>
  </si>
  <si>
    <t>01,04,05,06,10</t>
  </si>
  <si>
    <t>01,04,05,06,11</t>
  </si>
  <si>
    <t>01,04,05,07,08</t>
  </si>
  <si>
    <t>01,04,05,07,09</t>
  </si>
  <si>
    <t>01,04,05,07,10</t>
  </si>
  <si>
    <t>01,04,05,07,11</t>
  </si>
  <si>
    <t>01,04,05,08,09</t>
  </si>
  <si>
    <t>01,04,05,08,10</t>
  </si>
  <si>
    <t>01,04,05,08,11</t>
  </si>
  <si>
    <t>01,04,05,09,10</t>
  </si>
  <si>
    <t>01,04,05,09,11</t>
  </si>
  <si>
    <t>01,04,05,10,11</t>
  </si>
  <si>
    <t>01,04,06,07,08</t>
  </si>
  <si>
    <t>01,04,06,07,09</t>
  </si>
  <si>
    <t>01,04,06,07,10</t>
  </si>
  <si>
    <t>01,04,06,07,11</t>
  </si>
  <si>
    <t>01,04,06,08,09</t>
  </si>
  <si>
    <t>01,04,06,08,10</t>
  </si>
  <si>
    <t>01,04,06,08,11</t>
  </si>
  <si>
    <t>01,04,06,09,10</t>
  </si>
  <si>
    <t>01,04,06,09,11</t>
  </si>
  <si>
    <t>01,04,06,10,11</t>
  </si>
  <si>
    <t>01,04,07,08,09</t>
  </si>
  <si>
    <t>01,04,07,08,10</t>
  </si>
  <si>
    <t>01,04,07,08,11</t>
  </si>
  <si>
    <t>01,04,07,09,10</t>
  </si>
  <si>
    <t>01,04,07,09,11</t>
  </si>
  <si>
    <t>01,04,07,10,11</t>
  </si>
  <si>
    <t>01,04,08,09,10</t>
  </si>
  <si>
    <t>01,04,08,09,11</t>
  </si>
  <si>
    <t>01,04,08,10,11</t>
  </si>
  <si>
    <t>01,04,09,10,11</t>
  </si>
  <si>
    <t>01,05,06,07,08</t>
  </si>
  <si>
    <t>01,05,06,07,09</t>
  </si>
  <si>
    <t>01,05,06,07,10</t>
  </si>
  <si>
    <t>01,05,06,07,11</t>
  </si>
  <si>
    <t>01,05,06,08,09</t>
  </si>
  <si>
    <t>01,05,06,08,10</t>
  </si>
  <si>
    <t>01,05,06,08,11</t>
  </si>
  <si>
    <t>01,05,06,09,10</t>
  </si>
  <si>
    <t>01,05,06,09,11</t>
  </si>
  <si>
    <t>01,05,06,10,11</t>
  </si>
  <si>
    <t>01,05,07,08,09</t>
  </si>
  <si>
    <t>01,05,07,08,10</t>
  </si>
  <si>
    <t>01,05,07,08,11</t>
  </si>
  <si>
    <t>01,05,07,09,10</t>
  </si>
  <si>
    <t>01,05,07,09,11</t>
  </si>
  <si>
    <t>01,05,07,10,11</t>
  </si>
  <si>
    <t>01,05,08,09,10</t>
  </si>
  <si>
    <t>01,05,08,09,11</t>
  </si>
  <si>
    <t>01,05,08,10,11</t>
  </si>
  <si>
    <t>01,05,09,10,11</t>
  </si>
  <si>
    <t>01,06,07,08,09</t>
  </si>
  <si>
    <t>01,06,07,08,10</t>
  </si>
  <si>
    <t>01,06,07,08,11</t>
  </si>
  <si>
    <t>01,06,07,09,10</t>
  </si>
  <si>
    <t>01,06,07,09,11</t>
  </si>
  <si>
    <t>01,06,07,10,11</t>
  </si>
  <si>
    <t>01,06,08,09,10</t>
  </si>
  <si>
    <t>01,06,08,09,11</t>
  </si>
  <si>
    <t>01,06,08,10,11</t>
  </si>
  <si>
    <t>01,06,09,10,11</t>
  </si>
  <si>
    <t>01,07,08,09,10</t>
  </si>
  <si>
    <t>01,07,08,09,11</t>
  </si>
  <si>
    <t>01,07,08,10,11</t>
  </si>
  <si>
    <t>01,07,09,10,11</t>
  </si>
  <si>
    <t>01,08,09,10,11</t>
  </si>
  <si>
    <t>02,03,04,05,06</t>
  </si>
  <si>
    <t>02,03,04,05,07</t>
  </si>
  <si>
    <t>02,03,04,05,08</t>
  </si>
  <si>
    <t>02,03,04,05,09</t>
  </si>
  <si>
    <t>02,03,04,05,10</t>
  </si>
  <si>
    <t>02,03,04,05,11</t>
  </si>
  <si>
    <t>02,03,04,06,07</t>
  </si>
  <si>
    <t>02,03,04,06,08</t>
  </si>
  <si>
    <t>02,03,04,06,09</t>
  </si>
  <si>
    <t>02,03,04,06,10</t>
  </si>
  <si>
    <t>02,03,04,06,11</t>
  </si>
  <si>
    <t>02,03,04,07,08</t>
  </si>
  <si>
    <t>02,03,04,07,09</t>
  </si>
  <si>
    <t>02,03,04,07,10</t>
  </si>
  <si>
    <t>02,03,04,07,11</t>
  </si>
  <si>
    <t>02,03,04,08,09</t>
  </si>
  <si>
    <t>02,03,04,08,10</t>
  </si>
  <si>
    <t>02,03,04,08,11</t>
  </si>
  <si>
    <t>02,03,04,09,10</t>
  </si>
  <si>
    <t>02,03,04,09,11</t>
  </si>
  <si>
    <t>02,03,04,10,11</t>
  </si>
  <si>
    <t>02,03,05,06,07</t>
  </si>
  <si>
    <t>02,03,05,06,08</t>
  </si>
  <si>
    <t>02,03,05,06,09</t>
  </si>
  <si>
    <t>02,03,05,06,10</t>
  </si>
  <si>
    <t>02,03,05,06,11</t>
  </si>
  <si>
    <t>02,03,05,07,08</t>
  </si>
  <si>
    <t>02,03,05,07,09</t>
  </si>
  <si>
    <t>02,03,05,07,10</t>
  </si>
  <si>
    <t>02,03,05,07,11</t>
  </si>
  <si>
    <t>02,03,05,08,09</t>
  </si>
  <si>
    <t>02,03,05,08,10</t>
  </si>
  <si>
    <t>02,03,05,08,11</t>
  </si>
  <si>
    <t>02,03,05,09,10</t>
  </si>
  <si>
    <t>02,03,05,09,11</t>
  </si>
  <si>
    <t>02,03,05,10,11</t>
  </si>
  <si>
    <t>02,03,06,07,08</t>
  </si>
  <si>
    <t>02,03,06,07,09</t>
  </si>
  <si>
    <t>02,03,06,07,10</t>
  </si>
  <si>
    <t>02,03,06,07,11</t>
  </si>
  <si>
    <t>02,03,06,08,09</t>
  </si>
  <si>
    <t>02,03,06,08,10</t>
  </si>
  <si>
    <t>02,03,06,08,11</t>
  </si>
  <si>
    <t>02,03,06,09,10</t>
  </si>
  <si>
    <t>02,03,06,09,11</t>
  </si>
  <si>
    <t>02,03,06,10,11</t>
  </si>
  <si>
    <t>02,03,07,08,09</t>
  </si>
  <si>
    <t>02,03,07,08,10</t>
  </si>
  <si>
    <t>02,03,07,08,11</t>
  </si>
  <si>
    <t>02,03,07,09,10</t>
  </si>
  <si>
    <t>02,03,07,09,11</t>
  </si>
  <si>
    <t>02,03,07,10,11</t>
  </si>
  <si>
    <t>02,03,08,09,10</t>
  </si>
  <si>
    <t>02,03,08,09,11</t>
  </si>
  <si>
    <t>02,03,08,10,11</t>
  </si>
  <si>
    <t>02,03,09,10,11</t>
  </si>
  <si>
    <t>02,04,05,06,07</t>
  </si>
  <si>
    <t>02,04,05,06,08</t>
  </si>
  <si>
    <t>02,04,05,06,09</t>
  </si>
  <si>
    <t>02,04,05,06,10</t>
  </si>
  <si>
    <t>02,04,05,06,11</t>
  </si>
  <si>
    <t>02,04,05,07,08</t>
  </si>
  <si>
    <t>02,04,05,07,09</t>
  </si>
  <si>
    <t>02,04,05,07,10</t>
  </si>
  <si>
    <t>02,04,05,07,11</t>
  </si>
  <si>
    <t>02,04,05,08,09</t>
  </si>
  <si>
    <t>02,04,05,08,10</t>
  </si>
  <si>
    <t>02,04,05,08,11</t>
  </si>
  <si>
    <t>02,04,05,09,10</t>
  </si>
  <si>
    <t>02,04,05,09,11</t>
  </si>
  <si>
    <t>02,04,05,10,11</t>
  </si>
  <si>
    <t>02,04,06,07,08</t>
  </si>
  <si>
    <t>02,04,06,07,09</t>
  </si>
  <si>
    <t>02,04,06,07,10</t>
  </si>
  <si>
    <t>02,04,06,07,11</t>
  </si>
  <si>
    <t>02,04,06,08,09</t>
  </si>
  <si>
    <t>02,04,06,08,10</t>
  </si>
  <si>
    <t>02,04,06,08,11</t>
  </si>
  <si>
    <t>02,04,06,09,10</t>
  </si>
  <si>
    <t>02,04,06,09,11</t>
  </si>
  <si>
    <t>02,04,06,10,11</t>
  </si>
  <si>
    <t>02,04,07,08,09</t>
  </si>
  <si>
    <t>02,04,07,08,10</t>
  </si>
  <si>
    <t>02,04,07,08,11</t>
  </si>
  <si>
    <t>02,04,07,09,10</t>
  </si>
  <si>
    <t>02,04,07,09,11</t>
  </si>
  <si>
    <t>02,04,07,10,11</t>
  </si>
  <si>
    <t>02,04,08,09,10</t>
  </si>
  <si>
    <t>02,04,08,09,11</t>
  </si>
  <si>
    <t>02,04,08,10,11</t>
  </si>
  <si>
    <t>02,04,09,10,11</t>
  </si>
  <si>
    <t>02,05,06,07,08</t>
  </si>
  <si>
    <t>02,05,06,07,09</t>
  </si>
  <si>
    <t>02,05,06,07,10</t>
  </si>
  <si>
    <t>02,05,06,07,11</t>
  </si>
  <si>
    <t>02,05,06,08,09</t>
  </si>
  <si>
    <t>02,05,06,08,10</t>
  </si>
  <si>
    <t>02,05,06,08,11</t>
  </si>
  <si>
    <t>02,05,06,09,10</t>
  </si>
  <si>
    <t>02,05,06,09,11</t>
  </si>
  <si>
    <t>02,05,06,10,11</t>
  </si>
  <si>
    <t>02,05,07,08,09</t>
  </si>
  <si>
    <t>02,05,07,08,10</t>
  </si>
  <si>
    <t>02,05,07,08,11</t>
  </si>
  <si>
    <t>02,05,07,09,10</t>
  </si>
  <si>
    <t>02,05,07,09,11</t>
  </si>
  <si>
    <t>02,05,07,10,11</t>
  </si>
  <si>
    <t>02,05,08,09,10</t>
  </si>
  <si>
    <t>02,05,08,09,11</t>
  </si>
  <si>
    <t>02,05,08,10,11</t>
  </si>
  <si>
    <t>02,05,09,10,11</t>
  </si>
  <si>
    <t>02,06,07,08,09</t>
  </si>
  <si>
    <t>02,06,07,08,10</t>
  </si>
  <si>
    <t>02,06,07,08,11</t>
  </si>
  <si>
    <t>02,06,07,09,10</t>
  </si>
  <si>
    <t>02,06,07,09,11</t>
  </si>
  <si>
    <t>02,06,07,10,11</t>
  </si>
  <si>
    <t>02,06,08,09,10</t>
  </si>
  <si>
    <t>02,06,08,09,11</t>
  </si>
  <si>
    <t>02,06,08,10,11</t>
  </si>
  <si>
    <t>02,06,09,10,11</t>
  </si>
  <si>
    <t>02,07,08,09,10</t>
  </si>
  <si>
    <t>02,07,08,09,11</t>
  </si>
  <si>
    <t>02,07,08,10,11</t>
  </si>
  <si>
    <t>02,07,09,10,11</t>
  </si>
  <si>
    <t>02,08,09,10,11</t>
  </si>
  <si>
    <t>03,04,05,06,07</t>
  </si>
  <si>
    <t>03,04,05,06,08</t>
  </si>
  <si>
    <t>03,04,05,06,09</t>
  </si>
  <si>
    <t>03,04,05,06,10</t>
  </si>
  <si>
    <t>03,04,05,06,11</t>
  </si>
  <si>
    <t>03,04,05,07,08</t>
  </si>
  <si>
    <t>03,04,05,07,09</t>
  </si>
  <si>
    <t>03,04,05,07,10</t>
  </si>
  <si>
    <t>03,04,05,07,11</t>
  </si>
  <si>
    <t>03,04,05,08,09</t>
  </si>
  <si>
    <t>03,04,05,08,10</t>
  </si>
  <si>
    <t>03,04,05,08,11</t>
  </si>
  <si>
    <t>03,04,05,09,10</t>
  </si>
  <si>
    <t>03,04,05,09,11</t>
  </si>
  <si>
    <t>03,04,05,10,11</t>
  </si>
  <si>
    <t>03,04,06,07,08</t>
  </si>
  <si>
    <t>03,04,06,07,09</t>
  </si>
  <si>
    <t>03,04,06,07,10</t>
  </si>
  <si>
    <t>03,04,06,07,11</t>
  </si>
  <si>
    <t>03,04,06,08,09</t>
  </si>
  <si>
    <t>03,04,06,08,10</t>
  </si>
  <si>
    <t>03,04,06,08,11</t>
  </si>
  <si>
    <t>03,04,06,09,10</t>
  </si>
  <si>
    <t>03,04,06,09,11</t>
  </si>
  <si>
    <t>03,04,06,10,11</t>
  </si>
  <si>
    <t>03,04,07,08,09</t>
  </si>
  <si>
    <t>03,04,07,08,10</t>
  </si>
  <si>
    <t>03,04,07,08,11</t>
  </si>
  <si>
    <t>03,04,07,09,10</t>
  </si>
  <si>
    <t>03,04,07,09,11</t>
  </si>
  <si>
    <t>03,04,07,10,11</t>
  </si>
  <si>
    <t>03,04,08,09,10</t>
  </si>
  <si>
    <t>03,04,08,09,11</t>
  </si>
  <si>
    <t>03,04,08,10,11</t>
  </si>
  <si>
    <t>03,04,09,10,11</t>
  </si>
  <si>
    <t>03,05,06,07,08</t>
  </si>
  <si>
    <t>03,05,06,07,09</t>
  </si>
  <si>
    <t>03,05,06,07,10</t>
  </si>
  <si>
    <t>03,05,06,07,11</t>
  </si>
  <si>
    <t>03,05,06,08,09</t>
  </si>
  <si>
    <t>03,05,06,08,10</t>
  </si>
  <si>
    <t>03,05,06,08,11</t>
  </si>
  <si>
    <t>03,05,06,09,10</t>
  </si>
  <si>
    <t>03,05,06,09,11</t>
  </si>
  <si>
    <t>03,05,06,10,11</t>
  </si>
  <si>
    <t>03,05,07,08,09</t>
  </si>
  <si>
    <t>03,05,07,08,10</t>
  </si>
  <si>
    <t>03,05,07,08,11</t>
  </si>
  <si>
    <t>03,05,07,09,10</t>
  </si>
  <si>
    <t>03,05,07,09,11</t>
  </si>
  <si>
    <t>03,05,07,10,11</t>
  </si>
  <si>
    <t>03,05,08,09,10</t>
  </si>
  <si>
    <t>03,05,08,09,11</t>
  </si>
  <si>
    <t>03,05,08,10,11</t>
  </si>
  <si>
    <t>03,05,09,10,11</t>
  </si>
  <si>
    <t>03,06,07,08,09</t>
  </si>
  <si>
    <t>03,06,07,08,10</t>
  </si>
  <si>
    <t>03,06,07,08,11</t>
  </si>
  <si>
    <t>03,06,07,09,10</t>
  </si>
  <si>
    <t>03,06,07,09,11</t>
  </si>
  <si>
    <t>03,06,07,10,11</t>
  </si>
  <si>
    <t>03,06,08,09,10</t>
  </si>
  <si>
    <t>03,06,08,09,11</t>
  </si>
  <si>
    <t>03,06,08,10,11</t>
  </si>
  <si>
    <t>03,06,09,10,11</t>
  </si>
  <si>
    <t>03,07,08,09,10</t>
  </si>
  <si>
    <t>03,07,08,09,11</t>
  </si>
  <si>
    <t>03,07,08,10,11</t>
  </si>
  <si>
    <t>03,07,09,10,11</t>
  </si>
  <si>
    <t>03,08,09,10,11</t>
  </si>
  <si>
    <t>04,05,06,07,08</t>
  </si>
  <si>
    <t>04,05,06,07,09</t>
  </si>
  <si>
    <t>04,05,06,07,10</t>
  </si>
  <si>
    <t>04,05,06,07,11</t>
  </si>
  <si>
    <t>04,05,06,08,09</t>
  </si>
  <si>
    <t>04,05,06,08,10</t>
  </si>
  <si>
    <t>04,05,06,08,11</t>
  </si>
  <si>
    <t>04,05,06,09,10</t>
  </si>
  <si>
    <t>04,05,06,09,11</t>
  </si>
  <si>
    <t>04,05,06,10,11</t>
  </si>
  <si>
    <t>04,05,07,08,09</t>
  </si>
  <si>
    <t>04,05,07,08,10</t>
  </si>
  <si>
    <t>04,05,07,08,11</t>
  </si>
  <si>
    <t>04,05,07,09,10</t>
  </si>
  <si>
    <t>04,05,07,09,11</t>
  </si>
  <si>
    <t>04,05,07,10,11</t>
  </si>
  <si>
    <t>04,05,08,09,10</t>
  </si>
  <si>
    <t>04,05,08,09,11</t>
  </si>
  <si>
    <t>04,05,08,10,11</t>
  </si>
  <si>
    <t>04,05,09,10,11</t>
  </si>
  <si>
    <t>04,06,07,08,09</t>
  </si>
  <si>
    <t>04,06,07,08,10</t>
  </si>
  <si>
    <t>04,06,07,08,11</t>
  </si>
  <si>
    <t>04,06,07,09,10</t>
  </si>
  <si>
    <t>04,06,07,09,11</t>
  </si>
  <si>
    <t>04,06,07,10,11</t>
  </si>
  <si>
    <t>04,06,08,09,10</t>
  </si>
  <si>
    <t>04,06,08,09,11</t>
  </si>
  <si>
    <t>04,06,08,10,11</t>
  </si>
  <si>
    <t>04,06,09,10,11</t>
  </si>
  <si>
    <t>04,07,08,09,10</t>
  </si>
  <si>
    <t>04,07,08,09,11</t>
  </si>
  <si>
    <t>04,07,08,10,11</t>
  </si>
  <si>
    <t>04,07,09,10,11</t>
  </si>
  <si>
    <t>04,08,09,10,11</t>
  </si>
  <si>
    <t>05,06,07,08,09</t>
  </si>
  <si>
    <t>05,06,07,08,10</t>
  </si>
  <si>
    <t>05,06,07,08,11</t>
  </si>
  <si>
    <t>05,06,07,09,10</t>
  </si>
  <si>
    <t>05,06,07,09,11</t>
  </si>
  <si>
    <t>05,06,07,10,11</t>
  </si>
  <si>
    <t>05,06,08,09,10</t>
  </si>
  <si>
    <t>05,06,08,09,11</t>
  </si>
  <si>
    <t>05,06,08,10,11</t>
  </si>
  <si>
    <t>05,06,09,10,11</t>
  </si>
  <si>
    <t>05,07,08,09,10</t>
  </si>
  <si>
    <t>05,07,08,09,11</t>
  </si>
  <si>
    <t>05,07,08,10,11</t>
  </si>
  <si>
    <t>05,07,09,10,11</t>
  </si>
  <si>
    <t>05,08,09,10,11</t>
  </si>
  <si>
    <t>06,07,08,09,10</t>
  </si>
  <si>
    <t>06,07,08,09,11</t>
  </si>
  <si>
    <t>06,07,08,10,11</t>
  </si>
  <si>
    <t>06,07,09,10,11</t>
  </si>
  <si>
    <t>06,08,09,10,11</t>
  </si>
  <si>
    <t>07,08,09,10,11</t>
  </si>
  <si>
    <t>03,06,07,08,10</t>
    <phoneticPr fontId="1" type="noConversion"/>
  </si>
  <si>
    <t>07,08,09,10,11</t>
    <phoneticPr fontId="1" type="noConversion"/>
  </si>
  <si>
    <t>SumOfWinNum</t>
    <phoneticPr fontId="1" type="noConversion"/>
  </si>
  <si>
    <t>SumOfWinNum</t>
    <phoneticPr fontId="11" type="noConversion"/>
  </si>
  <si>
    <t>07,08,09,10,11</t>
    <phoneticPr fontId="11" type="noConversion"/>
  </si>
  <si>
    <t>Result</t>
    <phoneticPr fontId="11" type="noConversion"/>
  </si>
  <si>
    <t>SumOfWinNum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</si>
</sst>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0006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9"/>
      <name val="宋体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4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</cellStyleXfs>
  <cellXfs count="103">
    <xf numFmtId="0" fontId="0" fillId="0" borderId="0" xfId="0">
      <alignment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Alignment="1">
      <alignment horizontal="center" vertical="center"/>
    </xf>
    <xf numFmtId="0" fontId="4" fillId="0" borderId="0" xfId="1" applyAlignment="1">
      <alignment horizontal="center" vertical="center" wrapText="1"/>
    </xf>
    <xf numFmtId="0" fontId="4" fillId="0" borderId="0" xfId="1" quotePrefix="1" applyAlignment="1">
      <alignment horizontal="center" vertical="center"/>
    </xf>
    <xf numFmtId="0" fontId="0" fillId="0" borderId="0" xfId="0" applyAlignment="1">
      <alignment horizontal="center" vertical="center" wrapText="1"/>
    </xf>
    <xf numFmtId="58" fontId="0" fillId="0" borderId="0" xfId="0" applyNumberFormat="1" applyAlignment="1">
      <alignment horizontal="center" vertical="center"/>
    </xf>
    <xf numFmtId="58" fontId="4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2" applyAlignment="1">
      <alignment horizontal="center" vertical="center"/>
    </xf>
    <xf numFmtId="0" fontId="8" fillId="3" borderId="0" xfId="3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7" fillId="2" borderId="0" xfId="2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9" fillId="4" borderId="0" xfId="4" applyAlignment="1">
      <alignment horizontal="center" vertical="center"/>
    </xf>
    <xf numFmtId="0" fontId="9" fillId="4" borderId="0" xfId="4">
      <alignment vertical="center"/>
    </xf>
    <xf numFmtId="0" fontId="8" fillId="3" borderId="1" xfId="3" applyBorder="1" applyAlignment="1">
      <alignment vertical="center"/>
    </xf>
    <xf numFmtId="0" fontId="8" fillId="3" borderId="1" xfId="3" applyBorder="1" applyAlignment="1">
      <alignment horizontal="center" vertical="center"/>
    </xf>
    <xf numFmtId="0" fontId="8" fillId="3" borderId="1" xfId="3" applyBorder="1" applyAlignment="1">
      <alignment horizontal="center" vertical="center" wrapText="1"/>
    </xf>
    <xf numFmtId="58" fontId="8" fillId="3" borderId="1" xfId="3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58" fontId="4" fillId="0" borderId="1" xfId="0" applyNumberFormat="1" applyFon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0" fontId="7" fillId="2" borderId="1" xfId="2" applyBorder="1" applyAlignment="1">
      <alignment horizontal="center" vertical="center"/>
    </xf>
    <xf numFmtId="0" fontId="9" fillId="4" borderId="1" xfId="4" applyBorder="1" applyAlignment="1">
      <alignment horizontal="center" vertical="center"/>
    </xf>
    <xf numFmtId="0" fontId="9" fillId="4" borderId="1" xfId="4" applyBorder="1" applyAlignment="1">
      <alignment vertical="center"/>
    </xf>
    <xf numFmtId="49" fontId="0" fillId="0" borderId="1" xfId="0" applyNumberFormat="1" applyBorder="1" applyAlignment="1">
      <alignment horizontal="center" vertical="center" wrapText="1"/>
    </xf>
    <xf numFmtId="0" fontId="9" fillId="5" borderId="1" xfId="4" applyFill="1" applyBorder="1" applyAlignment="1">
      <alignment vertical="center"/>
    </xf>
    <xf numFmtId="0" fontId="9" fillId="5" borderId="1" xfId="4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vertical="center"/>
    </xf>
    <xf numFmtId="58" fontId="4" fillId="5" borderId="1" xfId="0" applyNumberFormat="1" applyFont="1" applyFill="1" applyBorder="1" applyAlignment="1">
      <alignment horizontal="center" vertical="center"/>
    </xf>
    <xf numFmtId="58" fontId="0" fillId="5" borderId="1" xfId="0" applyNumberFormat="1" applyFill="1" applyBorder="1" applyAlignment="1">
      <alignment horizontal="center" vertical="center"/>
    </xf>
    <xf numFmtId="0" fontId="7" fillId="5" borderId="1" xfId="2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vertical="center"/>
    </xf>
    <xf numFmtId="58" fontId="4" fillId="6" borderId="1" xfId="0" applyNumberFormat="1" applyFont="1" applyFill="1" applyBorder="1" applyAlignment="1">
      <alignment horizontal="center" vertical="center"/>
    </xf>
    <xf numFmtId="58" fontId="0" fillId="6" borderId="1" xfId="0" applyNumberFormat="1" applyFill="1" applyBorder="1" applyAlignment="1">
      <alignment horizontal="center" vertical="center"/>
    </xf>
    <xf numFmtId="0" fontId="7" fillId="6" borderId="1" xfId="2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8" fillId="3" borderId="1" xfId="3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8" fillId="3" borderId="2" xfId="3" applyBorder="1" applyAlignment="1">
      <alignment horizontal="center" vertical="center" wrapText="1"/>
    </xf>
    <xf numFmtId="0" fontId="8" fillId="3" borderId="3" xfId="3" applyBorder="1" applyAlignment="1">
      <alignment horizontal="center" vertical="center" wrapText="1"/>
    </xf>
    <xf numFmtId="0" fontId="8" fillId="3" borderId="4" xfId="3" applyBorder="1" applyAlignment="1">
      <alignment horizontal="center" vertical="center" wrapText="1"/>
    </xf>
    <xf numFmtId="0" fontId="7" fillId="2" borderId="1" xfId="2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6" borderId="1" xfId="0" applyFill="1" applyBorder="1" applyAlignment="1">
      <alignment horizontal="center" vertical="center" wrapText="1"/>
    </xf>
    <xf numFmtId="0" fontId="7" fillId="6" borderId="1" xfId="2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7" fillId="5" borderId="1" xfId="2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8" fillId="3" borderId="1" xfId="3" applyBorder="1" applyAlignment="1">
      <alignment horizontal="center" vertical="center" wrapText="1"/>
    </xf>
    <xf numFmtId="0" fontId="8" fillId="3" borderId="1" xfId="3" applyBorder="1" applyAlignment="1">
      <alignment horizontal="center" vertical="center"/>
    </xf>
    <xf numFmtId="0" fontId="4" fillId="0" borderId="0" xfId="1" applyFont="1" applyAlignment="1">
      <alignment horizontal="center" vertical="center" wrapText="1"/>
    </xf>
  </cellXfs>
  <cellStyles count="5">
    <cellStyle name="差" xfId="2" builtinId="27"/>
    <cellStyle name="常规" xfId="0" builtinId="0"/>
    <cellStyle name="常规 2" xfId="1"/>
    <cellStyle name="好" xfId="3" builtinId="26"/>
    <cellStyle name="适中" xfId="4" builtinId="28"/>
  </cellStyles>
  <dxfs count="16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bateAll" form="unqualified"/>
                  <xsd:element minOccurs="0" nillable="true" type="xsd:string" name="drawnAmount" form="unqualified"/>
                  <xsd:element minOccurs="0" nillable="true" type="xsd:string" name="balance" form="unqualified"/>
                  <xsd:element minOccurs="0" nillable="true" type="xsd:string" name="resultNum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orderrebate">
        <xsd:complexType>
          <xsd:sequence minOccurs="0">
            <xsd:element minOccurs="0" maxOccurs="unbounded" nillable="true" name="lottery" form="unqualified">
              <xsd:complexType>
                <xsd:sequence minOccurs="0">
                  <xsd:element minOccurs="0" nillable="true" type="xsd:string" name="Result" form="unqualified"/>
                  <xsd:element minOccurs="0" nillable="true" type="xsd:string" name="SumOfWinNum" form="unqualified"/>
                </xsd:sequence>
              </xsd:complexType>
            </xsd:element>
          </xsd:sequence>
        </xsd:complexType>
      </xsd:element>
    </xsd:schema>
  </Schema>
  <Map ID="9" Name="betorder_映射" RootElement="betorder" SchemaID="Schema3" ShowImportExportValidationErrors="false" AutoFit="true" Append="false" PreserveSortAFLayout="true" PreserveFormat="true">
    <DataBinding FileBinding="true" ConnectionID="8" DataBindingLoadMode="1"/>
  </Map>
  <Map ID="10" Name="orderrebate_映射" RootElement="orderrebate" SchemaID="Schema2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2" name="表2" displayName="表2" ref="J1:K463" tableType="xml" totalsRowShown="0" headerRowDxfId="0" dataDxfId="1" connectionId="1">
  <autoFilter ref="J1:K463"/>
  <tableColumns count="2">
    <tableColumn id="1" uniqueName="Result" name="Result" dataDxfId="3">
      <xmlColumnPr mapId="10" xpath="/orderrebate/lottery/Result" xmlDataType="string"/>
    </tableColumn>
    <tableColumn id="2" uniqueName="SumOfWinNum" name="SumOfWinNum" dataDxfId="2">
      <xmlColumnPr mapId="10" xpath="/orderrebate/lottery/SumOfWinNum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1:J38" tableType="xml" totalsRowShown="0" headerRowDxfId="15" dataDxfId="14" connectionId="8">
  <autoFilter ref="A1:J38"/>
  <tableColumns count="10">
    <tableColumn id="1" uniqueName="betRange" name="betRange" dataDxfId="13">
      <xmlColumnPr mapId="9" xpath="/betorder/order/betRange" xmlDataType="string"/>
    </tableColumn>
    <tableColumn id="2" uniqueName="playType" name="playType" dataDxfId="12">
      <xmlColumnPr mapId="9" xpath="/betorder/order/playType" xmlDataType="string"/>
    </tableColumn>
    <tableColumn id="3" uniqueName="betContent" name="betContent" dataDxfId="11">
      <xmlColumnPr mapId="9" xpath="/betorder/order/betContent" xmlDataType="string"/>
    </tableColumn>
    <tableColumn id="4" uniqueName="mutiple" name="mutiple" dataDxfId="10">
      <xmlColumnPr mapId="9" xpath="/betorder/order/mutiple" xmlDataType="string"/>
    </tableColumn>
    <tableColumn id="5" uniqueName="amount" name="amount" dataDxfId="9">
      <xmlColumnPr mapId="9" xpath="/betorder/order/amount" xmlDataType="string"/>
    </tableColumn>
    <tableColumn id="6" uniqueName="spend" name="spend" dataDxfId="8">
      <xmlColumnPr mapId="9" xpath="/betorder/order/spend" xmlDataType="string"/>
    </tableColumn>
    <tableColumn id="7" uniqueName="RebateAll" name="RebateAll" dataDxfId="7">
      <xmlColumnPr mapId="9" xpath="/betorder/order/RebateAll" xmlDataType="string"/>
    </tableColumn>
    <tableColumn id="8" uniqueName="drawnAmount" name="drawnAmount" dataDxfId="6">
      <xmlColumnPr mapId="9" xpath="/betorder/order/drawnAmount" xmlDataType="string"/>
    </tableColumn>
    <tableColumn id="9" uniqueName="balance" name="balance" dataDxfId="5">
      <xmlColumnPr mapId="9" xpath="/betorder/order/balance" xmlDataType="string"/>
    </tableColumn>
    <tableColumn id="10" uniqueName="resultNum" name="resultNum" dataDxfId="4">
      <xmlColumnPr mapId="9" xpath="/betorder/order/resultNum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463"/>
  <sheetViews>
    <sheetView tabSelected="1" topLeftCell="F1" workbookViewId="0">
      <selection activeCell="M15" sqref="M15"/>
    </sheetView>
  </sheetViews>
  <sheetFormatPr defaultRowHeight="13.5" x14ac:dyDescent="0.15"/>
  <cols>
    <col min="1" max="5" width="0" style="28" hidden="1" customWidth="1"/>
    <col min="6" max="6" width="19.25" style="28" customWidth="1"/>
    <col min="7" max="7" width="22" style="28" customWidth="1"/>
    <col min="8" max="8" width="19.75" style="28" customWidth="1"/>
    <col min="9" max="9" width="9" style="28"/>
    <col min="10" max="10" width="17.75" style="28" customWidth="1"/>
    <col min="11" max="11" width="21" style="28" customWidth="1"/>
    <col min="12" max="16384" width="9" style="28"/>
  </cols>
  <sheetData>
    <row r="1" spans="1:11" x14ac:dyDescent="0.15">
      <c r="A1" s="27">
        <v>1</v>
      </c>
      <c r="B1" s="28">
        <v>2</v>
      </c>
      <c r="C1" s="28">
        <v>3</v>
      </c>
      <c r="D1" s="28">
        <v>4</v>
      </c>
      <c r="E1" s="28">
        <v>5</v>
      </c>
      <c r="F1" s="77" t="s">
        <v>323</v>
      </c>
      <c r="G1" s="77" t="s">
        <v>790</v>
      </c>
      <c r="H1" s="28" t="s">
        <v>791</v>
      </c>
      <c r="J1" s="28" t="s">
        <v>792</v>
      </c>
      <c r="K1" s="28" t="s">
        <v>793</v>
      </c>
    </row>
    <row r="2" spans="1:11" x14ac:dyDescent="0.15">
      <c r="A2" s="28">
        <v>1</v>
      </c>
      <c r="B2" s="28">
        <v>2</v>
      </c>
      <c r="C2" s="28">
        <v>3</v>
      </c>
      <c r="D2" s="28">
        <v>4</v>
      </c>
      <c r="E2" s="28">
        <v>6</v>
      </c>
      <c r="F2" s="28" t="str">
        <f>IF(A1&lt;10,0&amp;A1,A1)&amp;","&amp;IF(B1&lt;10,0&amp;B1,B1)&amp;","&amp;IF(C1&lt;10,0&amp;C1,C1)&amp;","&amp;IF(D1&lt;10,0&amp;D1,D1)&amp;","&amp;IF(E1&lt;10,0&amp;E1,E1)</f>
        <v>01,02,03,04,05</v>
      </c>
      <c r="G2" s="28">
        <v>44952.965000000004</v>
      </c>
      <c r="I2" s="28">
        <f>'5Of11Source'!P11</f>
        <v>26220.950000000004</v>
      </c>
      <c r="J2" s="4" t="s">
        <v>324</v>
      </c>
      <c r="K2" s="4">
        <v>44952.965000000004</v>
      </c>
    </row>
    <row r="3" spans="1:11" x14ac:dyDescent="0.15">
      <c r="A3" s="28">
        <v>1</v>
      </c>
      <c r="B3" s="28">
        <v>2</v>
      </c>
      <c r="C3" s="28">
        <v>3</v>
      </c>
      <c r="D3" s="28">
        <v>4</v>
      </c>
      <c r="E3" s="28">
        <v>7</v>
      </c>
      <c r="F3" s="28" t="str">
        <f>IF(A2&lt;10,0&amp;A2,A2)&amp;","&amp;IF(B2&lt;10,0&amp;B2,B2)&amp;","&amp;IF(C2&lt;10,0&amp;C2,C2)&amp;","&amp;IF(D2&lt;10,0&amp;D2,D2)&amp;","&amp;IF(E2&lt;10,0&amp;E2,E2)</f>
        <v>01,02,03,04,06</v>
      </c>
      <c r="G3" s="28">
        <v>43049.865000000005</v>
      </c>
      <c r="J3" s="28" t="s">
        <v>325</v>
      </c>
      <c r="K3" s="28">
        <v>43049.865000000005</v>
      </c>
    </row>
    <row r="4" spans="1:11" x14ac:dyDescent="0.15">
      <c r="A4" s="28">
        <v>1</v>
      </c>
      <c r="B4" s="28">
        <v>2</v>
      </c>
      <c r="C4" s="28">
        <v>3</v>
      </c>
      <c r="D4" s="28">
        <v>4</v>
      </c>
      <c r="E4" s="28">
        <v>8</v>
      </c>
      <c r="F4" s="28" t="str">
        <f>IF(A3&lt;10,0&amp;A3,A3)&amp;","&amp;IF(B3&lt;10,0&amp;B3,B3)&amp;","&amp;IF(C3&lt;10,0&amp;C3,C3)&amp;","&amp;IF(D3&lt;10,0&amp;D3,D3)&amp;","&amp;IF(E3&lt;10,0&amp;E3,E3)</f>
        <v>01,02,03,04,07</v>
      </c>
      <c r="G4" s="28">
        <v>41448.065000000002</v>
      </c>
      <c r="J4" s="28" t="s">
        <v>326</v>
      </c>
      <c r="K4" s="28">
        <v>41448.065000000002</v>
      </c>
    </row>
    <row r="5" spans="1:11" x14ac:dyDescent="0.15">
      <c r="A5" s="28">
        <v>1</v>
      </c>
      <c r="B5" s="28">
        <v>2</v>
      </c>
      <c r="C5" s="28">
        <v>3</v>
      </c>
      <c r="D5" s="28">
        <v>4</v>
      </c>
      <c r="E5" s="28">
        <v>9</v>
      </c>
      <c r="F5" s="28" t="str">
        <f>IF(A4&lt;10,0&amp;A4,A4)&amp;","&amp;IF(B4&lt;10,0&amp;B4,B4)&amp;","&amp;IF(C4&lt;10,0&amp;C4,C4)&amp;","&amp;IF(D4&lt;10,0&amp;D4,D4)&amp;","&amp;IF(E4&lt;10,0&amp;E4,E4)</f>
        <v>01,02,03,04,08</v>
      </c>
      <c r="G5" s="28">
        <v>40417.345000000008</v>
      </c>
      <c r="J5" s="28" t="s">
        <v>328</v>
      </c>
      <c r="K5" s="28">
        <v>40417.345000000008</v>
      </c>
    </row>
    <row r="6" spans="1:11" x14ac:dyDescent="0.15">
      <c r="A6" s="28">
        <v>1</v>
      </c>
      <c r="B6" s="28">
        <v>2</v>
      </c>
      <c r="C6" s="28">
        <v>3</v>
      </c>
      <c r="D6" s="28">
        <v>4</v>
      </c>
      <c r="E6" s="28">
        <v>10</v>
      </c>
      <c r="F6" s="28" t="str">
        <f>IF(A5&lt;10,0&amp;A5,A5)&amp;","&amp;IF(B5&lt;10,0&amp;B5,B5)&amp;","&amp;IF(C5&lt;10,0&amp;C5,C5)&amp;","&amp;IF(D5&lt;10,0&amp;D5,D5)&amp;","&amp;IF(E5&lt;10,0&amp;E5,E5)</f>
        <v>01,02,03,04,09</v>
      </c>
      <c r="G6" s="28">
        <v>40514.895000000004</v>
      </c>
      <c r="J6" s="28" t="s">
        <v>329</v>
      </c>
      <c r="K6" s="28">
        <v>40514.895000000004</v>
      </c>
    </row>
    <row r="7" spans="1:11" x14ac:dyDescent="0.15">
      <c r="A7" s="28">
        <v>1</v>
      </c>
      <c r="B7" s="28">
        <v>2</v>
      </c>
      <c r="C7" s="28">
        <v>3</v>
      </c>
      <c r="D7" s="28">
        <v>4</v>
      </c>
      <c r="E7" s="28">
        <v>11</v>
      </c>
      <c r="F7" s="28" t="str">
        <f>IF(A6&lt;10,0&amp;A6,A6)&amp;","&amp;IF(B6&lt;10,0&amp;B6,B6)&amp;","&amp;IF(C6&lt;10,0&amp;C6,C6)&amp;","&amp;IF(D6&lt;10,0&amp;D6,D6)&amp;","&amp;IF(E6&lt;10,0&amp;E6,E6)</f>
        <v>01,02,03,04,10</v>
      </c>
      <c r="G7" s="28">
        <v>40416.345000000008</v>
      </c>
      <c r="J7" s="28" t="s">
        <v>330</v>
      </c>
      <c r="K7" s="28">
        <v>40416.345000000008</v>
      </c>
    </row>
    <row r="8" spans="1:11" x14ac:dyDescent="0.15">
      <c r="A8" s="28">
        <v>1</v>
      </c>
      <c r="B8" s="28">
        <v>2</v>
      </c>
      <c r="C8" s="28">
        <v>3</v>
      </c>
      <c r="D8" s="28">
        <v>5</v>
      </c>
      <c r="E8" s="28">
        <v>6</v>
      </c>
      <c r="F8" s="28" t="str">
        <f>IF(A7&lt;10,0&amp;A7,A7)&amp;","&amp;IF(B7&lt;10,0&amp;B7,B7)&amp;","&amp;IF(C7&lt;10,0&amp;C7,C7)&amp;","&amp;IF(D7&lt;10,0&amp;D7,D7)&amp;","&amp;IF(E7&lt;10,0&amp;E7,E7)</f>
        <v>01,02,03,04,11</v>
      </c>
      <c r="G8" s="28">
        <v>40408.745000000003</v>
      </c>
      <c r="J8" s="28" t="s">
        <v>331</v>
      </c>
      <c r="K8" s="28">
        <v>40408.745000000003</v>
      </c>
    </row>
    <row r="9" spans="1:11" x14ac:dyDescent="0.15">
      <c r="A9" s="28">
        <v>1</v>
      </c>
      <c r="B9" s="28">
        <v>2</v>
      </c>
      <c r="C9" s="28">
        <v>3</v>
      </c>
      <c r="D9" s="28">
        <v>5</v>
      </c>
      <c r="E9" s="28">
        <v>7</v>
      </c>
      <c r="F9" s="28" t="str">
        <f>IF(A8&lt;10,0&amp;A8,A8)&amp;","&amp;IF(B8&lt;10,0&amp;B8,B8)&amp;","&amp;IF(C8&lt;10,0&amp;C8,C8)&amp;","&amp;IF(D8&lt;10,0&amp;D8,D8)&amp;","&amp;IF(E8&lt;10,0&amp;E8,E8)</f>
        <v>01,02,03,05,06</v>
      </c>
      <c r="G9" s="28">
        <v>42405.365000000005</v>
      </c>
      <c r="J9" s="28" t="s">
        <v>332</v>
      </c>
      <c r="K9" s="28">
        <v>42405.365000000005</v>
      </c>
    </row>
    <row r="10" spans="1:11" x14ac:dyDescent="0.15">
      <c r="A10" s="28">
        <v>1</v>
      </c>
      <c r="B10" s="28">
        <v>2</v>
      </c>
      <c r="C10" s="28">
        <v>3</v>
      </c>
      <c r="D10" s="28">
        <v>5</v>
      </c>
      <c r="E10" s="28">
        <v>8</v>
      </c>
      <c r="F10" s="28" t="str">
        <f>IF(A9&lt;10,0&amp;A9,A9)&amp;","&amp;IF(B9&lt;10,0&amp;B9,B9)&amp;","&amp;IF(C9&lt;10,0&amp;C9,C9)&amp;","&amp;IF(D9&lt;10,0&amp;D9,D9)&amp;","&amp;IF(E9&lt;10,0&amp;E9,E9)</f>
        <v>01,02,03,05,07</v>
      </c>
      <c r="G10" s="28">
        <v>40742.265000000007</v>
      </c>
      <c r="J10" s="28" t="s">
        <v>333</v>
      </c>
      <c r="K10" s="28">
        <v>40742.265000000007</v>
      </c>
    </row>
    <row r="11" spans="1:11" x14ac:dyDescent="0.15">
      <c r="A11" s="28">
        <v>1</v>
      </c>
      <c r="B11" s="28">
        <v>2</v>
      </c>
      <c r="C11" s="28">
        <v>3</v>
      </c>
      <c r="D11" s="28">
        <v>5</v>
      </c>
      <c r="E11" s="28">
        <v>9</v>
      </c>
      <c r="F11" s="28" t="str">
        <f>IF(A10&lt;10,0&amp;A10,A10)&amp;","&amp;IF(B10&lt;10,0&amp;B10,B10)&amp;","&amp;IF(C10&lt;10,0&amp;C10,C10)&amp;","&amp;IF(D10&lt;10,0&amp;D10,D10)&amp;","&amp;IF(E10&lt;10,0&amp;E10,E10)</f>
        <v>01,02,03,05,08</v>
      </c>
      <c r="G11" s="28">
        <v>39666.695000000007</v>
      </c>
      <c r="J11" s="28" t="s">
        <v>334</v>
      </c>
      <c r="K11" s="28">
        <v>39666.695000000007</v>
      </c>
    </row>
    <row r="12" spans="1:11" x14ac:dyDescent="0.15">
      <c r="A12" s="28">
        <v>1</v>
      </c>
      <c r="B12" s="28">
        <v>2</v>
      </c>
      <c r="C12" s="28">
        <v>3</v>
      </c>
      <c r="D12" s="28">
        <v>5</v>
      </c>
      <c r="E12" s="28">
        <v>10</v>
      </c>
      <c r="F12" s="28" t="str">
        <f>IF(A11&lt;10,0&amp;A11,A11)&amp;","&amp;IF(B11&lt;10,0&amp;B11,B11)&amp;","&amp;IF(C11&lt;10,0&amp;C11,C11)&amp;","&amp;IF(D11&lt;10,0&amp;D11,D11)&amp;","&amp;IF(E11&lt;10,0&amp;E11,E11)</f>
        <v>01,02,03,05,09</v>
      </c>
      <c r="G12" s="28">
        <v>39809.095000000008</v>
      </c>
      <c r="J12" s="28" t="s">
        <v>335</v>
      </c>
      <c r="K12" s="28">
        <v>39809.095000000008</v>
      </c>
    </row>
    <row r="13" spans="1:11" x14ac:dyDescent="0.15">
      <c r="A13" s="28">
        <v>1</v>
      </c>
      <c r="B13" s="28">
        <v>2</v>
      </c>
      <c r="C13" s="28">
        <v>3</v>
      </c>
      <c r="D13" s="28">
        <v>5</v>
      </c>
      <c r="E13" s="28">
        <v>11</v>
      </c>
      <c r="F13" s="28" t="str">
        <f>IF(A12&lt;10,0&amp;A12,A12)&amp;","&amp;IF(B12&lt;10,0&amp;B12,B12)&amp;","&amp;IF(C12&lt;10,0&amp;C12,C12)&amp;","&amp;IF(D12&lt;10,0&amp;D12,D12)&amp;","&amp;IF(E12&lt;10,0&amp;E12,E12)</f>
        <v>01,02,03,05,10</v>
      </c>
      <c r="G13" s="28">
        <v>39665.695000000007</v>
      </c>
      <c r="J13" s="28" t="s">
        <v>336</v>
      </c>
      <c r="K13" s="28">
        <v>39665.695000000007</v>
      </c>
    </row>
    <row r="14" spans="1:11" x14ac:dyDescent="0.15">
      <c r="A14" s="28">
        <v>1</v>
      </c>
      <c r="B14" s="28">
        <v>2</v>
      </c>
      <c r="C14" s="28">
        <v>3</v>
      </c>
      <c r="D14" s="28">
        <v>6</v>
      </c>
      <c r="E14" s="28">
        <v>7</v>
      </c>
      <c r="F14" s="28" t="str">
        <f>IF(A13&lt;10,0&amp;A13,A13)&amp;","&amp;IF(B13&lt;10,0&amp;B13,B13)&amp;","&amp;IF(C13&lt;10,0&amp;C13,C13)&amp;","&amp;IF(D13&lt;10,0&amp;D13,D13)&amp;","&amp;IF(E13&lt;10,0&amp;E13,E13)</f>
        <v>01,02,03,05,11</v>
      </c>
      <c r="G14" s="28">
        <v>39702.945000000007</v>
      </c>
      <c r="J14" s="28" t="s">
        <v>337</v>
      </c>
      <c r="K14" s="28">
        <v>39702.945000000007</v>
      </c>
    </row>
    <row r="15" spans="1:11" x14ac:dyDescent="0.15">
      <c r="A15" s="28">
        <v>1</v>
      </c>
      <c r="B15" s="28">
        <v>2</v>
      </c>
      <c r="C15" s="28">
        <v>3</v>
      </c>
      <c r="D15" s="28">
        <v>6</v>
      </c>
      <c r="E15" s="28">
        <v>8</v>
      </c>
      <c r="F15" s="28" t="str">
        <f>IF(A14&lt;10,0&amp;A14,A14)&amp;","&amp;IF(B14&lt;10,0&amp;B14,B14)&amp;","&amp;IF(C14&lt;10,0&amp;C14,C14)&amp;","&amp;IF(D14&lt;10,0&amp;D14,D14)&amp;","&amp;IF(E14&lt;10,0&amp;E14,E14)</f>
        <v>01,02,03,06,07</v>
      </c>
      <c r="G15" s="28">
        <v>38794.315000000002</v>
      </c>
      <c r="J15" s="28" t="s">
        <v>338</v>
      </c>
      <c r="K15" s="28">
        <v>38794.315000000002</v>
      </c>
    </row>
    <row r="16" spans="1:11" x14ac:dyDescent="0.15">
      <c r="A16" s="28">
        <v>1</v>
      </c>
      <c r="B16" s="28">
        <v>2</v>
      </c>
      <c r="C16" s="28">
        <v>3</v>
      </c>
      <c r="D16" s="28">
        <v>6</v>
      </c>
      <c r="E16" s="28">
        <v>9</v>
      </c>
      <c r="F16" s="28" t="str">
        <f>IF(A15&lt;10,0&amp;A15,A15)&amp;","&amp;IF(B15&lt;10,0&amp;B15,B15)&amp;","&amp;IF(C15&lt;10,0&amp;C15,C15)&amp;","&amp;IF(D15&lt;10,0&amp;D15,D15)&amp;","&amp;IF(E15&lt;10,0&amp;E15,E15)</f>
        <v>01,02,03,06,08</v>
      </c>
      <c r="G16" s="28">
        <v>37763.595000000001</v>
      </c>
      <c r="J16" s="28" t="s">
        <v>339</v>
      </c>
      <c r="K16" s="28">
        <v>37763.595000000001</v>
      </c>
    </row>
    <row r="17" spans="1:11" x14ac:dyDescent="0.15">
      <c r="A17" s="28">
        <v>1</v>
      </c>
      <c r="B17" s="28">
        <v>2</v>
      </c>
      <c r="C17" s="28">
        <v>3</v>
      </c>
      <c r="D17" s="28">
        <v>6</v>
      </c>
      <c r="E17" s="28">
        <v>10</v>
      </c>
      <c r="F17" s="28" t="str">
        <f>IF(A16&lt;10,0&amp;A16,A16)&amp;","&amp;IF(B16&lt;10,0&amp;B16,B16)&amp;","&amp;IF(C16&lt;10,0&amp;C16,C16)&amp;","&amp;IF(D16&lt;10,0&amp;D16,D16)&amp;","&amp;IF(E16&lt;10,0&amp;E16,E16)</f>
        <v>01,02,03,06,09</v>
      </c>
      <c r="G17" s="28">
        <v>37861.145000000004</v>
      </c>
      <c r="J17" s="28" t="s">
        <v>340</v>
      </c>
      <c r="K17" s="28">
        <v>37861.145000000004</v>
      </c>
    </row>
    <row r="18" spans="1:11" x14ac:dyDescent="0.15">
      <c r="A18" s="28">
        <v>1</v>
      </c>
      <c r="B18" s="28">
        <v>2</v>
      </c>
      <c r="C18" s="28">
        <v>3</v>
      </c>
      <c r="D18" s="28">
        <v>6</v>
      </c>
      <c r="E18" s="28">
        <v>11</v>
      </c>
      <c r="F18" s="28" t="str">
        <f>IF(A17&lt;10,0&amp;A17,A17)&amp;","&amp;IF(B17&lt;10,0&amp;B17,B17)&amp;","&amp;IF(C17&lt;10,0&amp;C17,C17)&amp;","&amp;IF(D17&lt;10,0&amp;D17,D17)&amp;","&amp;IF(E17&lt;10,0&amp;E17,E17)</f>
        <v>01,02,03,06,10</v>
      </c>
      <c r="G18" s="28">
        <v>37762.595000000001</v>
      </c>
      <c r="J18" s="28" t="s">
        <v>341</v>
      </c>
      <c r="K18" s="28">
        <v>37762.595000000001</v>
      </c>
    </row>
    <row r="19" spans="1:11" x14ac:dyDescent="0.15">
      <c r="A19" s="28">
        <v>1</v>
      </c>
      <c r="B19" s="28">
        <v>2</v>
      </c>
      <c r="C19" s="28">
        <v>3</v>
      </c>
      <c r="D19" s="28">
        <v>7</v>
      </c>
      <c r="E19" s="28">
        <v>8</v>
      </c>
      <c r="F19" s="28" t="str">
        <f>IF(A18&lt;10,0&amp;A18,A18)&amp;","&amp;IF(B18&lt;10,0&amp;B18,B18)&amp;","&amp;IF(C18&lt;10,0&amp;C18,C18)&amp;","&amp;IF(D18&lt;10,0&amp;D18,D18)&amp;","&amp;IF(E18&lt;10,0&amp;E18,E18)</f>
        <v>01,02,03,06,11</v>
      </c>
      <c r="G19" s="28">
        <v>37754.995000000003</v>
      </c>
      <c r="J19" s="28" t="s">
        <v>342</v>
      </c>
      <c r="K19" s="28">
        <v>37754.995000000003</v>
      </c>
    </row>
    <row r="20" spans="1:11" x14ac:dyDescent="0.15">
      <c r="A20" s="28">
        <v>1</v>
      </c>
      <c r="B20" s="28">
        <v>2</v>
      </c>
      <c r="C20" s="28">
        <v>3</v>
      </c>
      <c r="D20" s="28">
        <v>7</v>
      </c>
      <c r="E20" s="28">
        <v>9</v>
      </c>
      <c r="F20" s="28" t="str">
        <f>IF(A19&lt;10,0&amp;A19,A19)&amp;","&amp;IF(B19&lt;10,0&amp;B19,B19)&amp;","&amp;IF(C19&lt;10,0&amp;C19,C19)&amp;","&amp;IF(D19&lt;10,0&amp;D19,D19)&amp;","&amp;IF(E19&lt;10,0&amp;E19,E19)</f>
        <v>01,02,03,07,08</v>
      </c>
      <c r="G20" s="28">
        <v>36161.795000000006</v>
      </c>
      <c r="J20" s="28" t="s">
        <v>343</v>
      </c>
      <c r="K20" s="28">
        <v>36161.795000000006</v>
      </c>
    </row>
    <row r="21" spans="1:11" x14ac:dyDescent="0.15">
      <c r="A21" s="28">
        <v>1</v>
      </c>
      <c r="B21" s="28">
        <v>2</v>
      </c>
      <c r="C21" s="28">
        <v>3</v>
      </c>
      <c r="D21" s="28">
        <v>7</v>
      </c>
      <c r="E21" s="28">
        <v>10</v>
      </c>
      <c r="F21" s="28" t="str">
        <f>IF(A20&lt;10,0&amp;A20,A20)&amp;","&amp;IF(B20&lt;10,0&amp;B20,B20)&amp;","&amp;IF(C20&lt;10,0&amp;C20,C20)&amp;","&amp;IF(D20&lt;10,0&amp;D20,D20)&amp;","&amp;IF(E20&lt;10,0&amp;E20,E20)</f>
        <v>01,02,03,07,09</v>
      </c>
      <c r="G21" s="28">
        <v>36304.195000000007</v>
      </c>
      <c r="J21" s="28" t="s">
        <v>344</v>
      </c>
      <c r="K21" s="28">
        <v>36304.195000000007</v>
      </c>
    </row>
    <row r="22" spans="1:11" x14ac:dyDescent="0.15">
      <c r="A22" s="28">
        <v>1</v>
      </c>
      <c r="B22" s="28">
        <v>2</v>
      </c>
      <c r="C22" s="28">
        <v>3</v>
      </c>
      <c r="D22" s="28">
        <v>7</v>
      </c>
      <c r="E22" s="28">
        <v>11</v>
      </c>
      <c r="F22" s="28" t="str">
        <f>IF(A21&lt;10,0&amp;A21,A21)&amp;","&amp;IF(B21&lt;10,0&amp;B21,B21)&amp;","&amp;IF(C21&lt;10,0&amp;C21,C21)&amp;","&amp;IF(D21&lt;10,0&amp;D21,D21)&amp;","&amp;IF(E21&lt;10,0&amp;E21,E21)</f>
        <v>01,02,03,07,10</v>
      </c>
      <c r="G22" s="28">
        <v>36160.795000000006</v>
      </c>
      <c r="J22" s="28" t="s">
        <v>345</v>
      </c>
      <c r="K22" s="28">
        <v>36160.795000000006</v>
      </c>
    </row>
    <row r="23" spans="1:11" x14ac:dyDescent="0.15">
      <c r="A23" s="28">
        <v>1</v>
      </c>
      <c r="B23" s="28">
        <v>2</v>
      </c>
      <c r="C23" s="28">
        <v>3</v>
      </c>
      <c r="D23" s="28">
        <v>8</v>
      </c>
      <c r="E23" s="28">
        <v>9</v>
      </c>
      <c r="F23" s="28" t="str">
        <f>IF(A22&lt;10,0&amp;A22,A22)&amp;","&amp;IF(B22&lt;10,0&amp;B22,B22)&amp;","&amp;IF(C22&lt;10,0&amp;C22,C22)&amp;","&amp;IF(D22&lt;10,0&amp;D22,D22)&amp;","&amp;IF(E22&lt;10,0&amp;E22,E22)</f>
        <v>01,02,03,07,11</v>
      </c>
      <c r="G23" s="28">
        <v>36198.045000000006</v>
      </c>
      <c r="J23" s="28" t="s">
        <v>346</v>
      </c>
      <c r="K23" s="28">
        <v>36198.045000000006</v>
      </c>
    </row>
    <row r="24" spans="1:11" x14ac:dyDescent="0.15">
      <c r="A24" s="28">
        <v>1</v>
      </c>
      <c r="B24" s="28">
        <v>2</v>
      </c>
      <c r="C24" s="28">
        <v>3</v>
      </c>
      <c r="D24" s="28">
        <v>8</v>
      </c>
      <c r="E24" s="28">
        <v>10</v>
      </c>
      <c r="F24" s="28" t="str">
        <f>IF(A23&lt;10,0&amp;A23,A23)&amp;","&amp;IF(B23&lt;10,0&amp;B23,B23)&amp;","&amp;IF(C23&lt;10,0&amp;C23,C23)&amp;","&amp;IF(D23&lt;10,0&amp;D23,D23)&amp;","&amp;IF(E23&lt;10,0&amp;E23,E23)</f>
        <v>01,02,03,08,09</v>
      </c>
      <c r="G24" s="28">
        <v>35313.545000000006</v>
      </c>
      <c r="J24" s="28" t="s">
        <v>347</v>
      </c>
      <c r="K24" s="28">
        <v>35313.545000000006</v>
      </c>
    </row>
    <row r="25" spans="1:11" x14ac:dyDescent="0.15">
      <c r="A25" s="28">
        <v>1</v>
      </c>
      <c r="B25" s="28">
        <v>2</v>
      </c>
      <c r="C25" s="28">
        <v>3</v>
      </c>
      <c r="D25" s="28">
        <v>8</v>
      </c>
      <c r="E25" s="28">
        <v>11</v>
      </c>
      <c r="F25" s="28" t="str">
        <f>IF(A24&lt;10,0&amp;A24,A24)&amp;","&amp;IF(B24&lt;10,0&amp;B24,B24)&amp;","&amp;IF(C24&lt;10,0&amp;C24,C24)&amp;","&amp;IF(D24&lt;10,0&amp;D24,D24)&amp;","&amp;IF(E24&lt;10,0&amp;E24,E24)</f>
        <v>01,02,03,08,10</v>
      </c>
      <c r="G25" s="28">
        <v>35214.995000000003</v>
      </c>
      <c r="J25" s="28" t="s">
        <v>348</v>
      </c>
      <c r="K25" s="28">
        <v>35214.995000000003</v>
      </c>
    </row>
    <row r="26" spans="1:11" x14ac:dyDescent="0.15">
      <c r="A26" s="28">
        <v>1</v>
      </c>
      <c r="B26" s="28">
        <v>2</v>
      </c>
      <c r="C26" s="28">
        <v>3</v>
      </c>
      <c r="D26" s="28">
        <v>9</v>
      </c>
      <c r="E26" s="28">
        <v>10</v>
      </c>
      <c r="F26" s="28" t="str">
        <f>IF(A25&lt;10,0&amp;A25,A25)&amp;","&amp;IF(B25&lt;10,0&amp;B25,B25)&amp;","&amp;IF(C25&lt;10,0&amp;C25,C25)&amp;","&amp;IF(D25&lt;10,0&amp;D25,D25)&amp;","&amp;IF(E25&lt;10,0&amp;E25,E25)</f>
        <v>01,02,03,08,11</v>
      </c>
      <c r="G26" s="28">
        <v>35207.395000000004</v>
      </c>
      <c r="J26" s="28" t="s">
        <v>349</v>
      </c>
      <c r="K26" s="28">
        <v>35207.395000000004</v>
      </c>
    </row>
    <row r="27" spans="1:11" x14ac:dyDescent="0.15">
      <c r="A27" s="28">
        <v>1</v>
      </c>
      <c r="B27" s="28">
        <v>2</v>
      </c>
      <c r="C27" s="28">
        <v>3</v>
      </c>
      <c r="D27" s="28">
        <v>9</v>
      </c>
      <c r="E27" s="28">
        <v>11</v>
      </c>
      <c r="F27" s="28" t="str">
        <f>IF(A26&lt;10,0&amp;A26,A26)&amp;","&amp;IF(B26&lt;10,0&amp;B26,B26)&amp;","&amp;IF(C26&lt;10,0&amp;C26,C26)&amp;","&amp;IF(D26&lt;10,0&amp;D26,D26)&amp;","&amp;IF(E26&lt;10,0&amp;E26,E26)</f>
        <v>01,02,03,09,10</v>
      </c>
      <c r="G27" s="28">
        <v>35313.545000000006</v>
      </c>
      <c r="J27" s="28" t="s">
        <v>350</v>
      </c>
      <c r="K27" s="28">
        <v>35313.545000000006</v>
      </c>
    </row>
    <row r="28" spans="1:11" x14ac:dyDescent="0.15">
      <c r="A28" s="28">
        <v>1</v>
      </c>
      <c r="B28" s="28">
        <v>2</v>
      </c>
      <c r="C28" s="28">
        <v>3</v>
      </c>
      <c r="D28" s="28">
        <v>10</v>
      </c>
      <c r="E28" s="28">
        <v>11</v>
      </c>
      <c r="F28" s="28" t="str">
        <f>IF(A27&lt;10,0&amp;A27,A27)&amp;","&amp;IF(B27&lt;10,0&amp;B27,B27)&amp;","&amp;IF(C27&lt;10,0&amp;C27,C27)&amp;","&amp;IF(D27&lt;10,0&amp;D27,D27)&amp;","&amp;IF(E27&lt;10,0&amp;E27,E27)</f>
        <v>01,02,03,09,11</v>
      </c>
      <c r="G28" s="28">
        <v>35350.795000000006</v>
      </c>
      <c r="J28" s="28" t="s">
        <v>351</v>
      </c>
      <c r="K28" s="28">
        <v>35350.795000000006</v>
      </c>
    </row>
    <row r="29" spans="1:11" x14ac:dyDescent="0.15">
      <c r="A29" s="28">
        <v>1</v>
      </c>
      <c r="B29" s="28">
        <v>2</v>
      </c>
      <c r="C29" s="28">
        <v>4</v>
      </c>
      <c r="D29" s="28">
        <v>5</v>
      </c>
      <c r="E29" s="28">
        <v>6</v>
      </c>
      <c r="F29" s="28" t="str">
        <f>IF(A28&lt;10,0&amp;A28,A28)&amp;","&amp;IF(B28&lt;10,0&amp;B28,B28)&amp;","&amp;IF(C28&lt;10,0&amp;C28,C28)&amp;","&amp;IF(D28&lt;10,0&amp;D28,D28)&amp;","&amp;IF(E28&lt;10,0&amp;E28,E28)</f>
        <v>01,02,03,10,11</v>
      </c>
      <c r="G29" s="28">
        <v>35143.705000000002</v>
      </c>
      <c r="J29" s="28" t="s">
        <v>352</v>
      </c>
      <c r="K29" s="28">
        <v>35143.705000000002</v>
      </c>
    </row>
    <row r="30" spans="1:11" x14ac:dyDescent="0.15">
      <c r="A30" s="28">
        <v>1</v>
      </c>
      <c r="B30" s="28">
        <v>2</v>
      </c>
      <c r="C30" s="28">
        <v>4</v>
      </c>
      <c r="D30" s="28">
        <v>5</v>
      </c>
      <c r="E30" s="28">
        <v>7</v>
      </c>
      <c r="F30" s="28" t="str">
        <f>IF(A29&lt;10,0&amp;A29,A29)&amp;","&amp;IF(B29&lt;10,0&amp;B29,B29)&amp;","&amp;IF(C29&lt;10,0&amp;C29,C29)&amp;","&amp;IF(D29&lt;10,0&amp;D29,D29)&amp;","&amp;IF(E29&lt;10,0&amp;E29,E29)</f>
        <v>01,02,04,05,06</v>
      </c>
      <c r="G30" s="28">
        <v>34267.894999999997</v>
      </c>
      <c r="J30" s="28" t="s">
        <v>353</v>
      </c>
      <c r="K30" s="28">
        <v>34267.894999999997</v>
      </c>
    </row>
    <row r="31" spans="1:11" x14ac:dyDescent="0.15">
      <c r="A31" s="28">
        <v>1</v>
      </c>
      <c r="B31" s="28">
        <v>2</v>
      </c>
      <c r="C31" s="28">
        <v>4</v>
      </c>
      <c r="D31" s="28">
        <v>5</v>
      </c>
      <c r="E31" s="28">
        <v>8</v>
      </c>
      <c r="F31" s="28" t="str">
        <f>IF(A30&lt;10,0&amp;A30,A30)&amp;","&amp;IF(B30&lt;10,0&amp;B30,B30)&amp;","&amp;IF(C30&lt;10,0&amp;C30,C30)&amp;","&amp;IF(D30&lt;10,0&amp;D30,D30)&amp;","&amp;IF(E30&lt;10,0&amp;E30,E30)</f>
        <v>01,02,04,05,07</v>
      </c>
      <c r="G31" s="28">
        <v>32103.5</v>
      </c>
      <c r="J31" s="28" t="s">
        <v>354</v>
      </c>
      <c r="K31" s="28">
        <v>32103.5</v>
      </c>
    </row>
    <row r="32" spans="1:11" x14ac:dyDescent="0.15">
      <c r="A32" s="28">
        <v>1</v>
      </c>
      <c r="B32" s="28">
        <v>2</v>
      </c>
      <c r="C32" s="28">
        <v>4</v>
      </c>
      <c r="D32" s="28">
        <v>5</v>
      </c>
      <c r="E32" s="28">
        <v>9</v>
      </c>
      <c r="F32" s="28" t="str">
        <f>IF(A31&lt;10,0&amp;A31,A31)&amp;","&amp;IF(B31&lt;10,0&amp;B31,B31)&amp;","&amp;IF(C31&lt;10,0&amp;C31,C31)&amp;","&amp;IF(D31&lt;10,0&amp;D31,D31)&amp;","&amp;IF(E31&lt;10,0&amp;E31,E31)</f>
        <v>01,02,04,05,08</v>
      </c>
      <c r="G32" s="28">
        <v>31370</v>
      </c>
      <c r="J32" s="28" t="s">
        <v>355</v>
      </c>
      <c r="K32" s="28">
        <v>31370</v>
      </c>
    </row>
    <row r="33" spans="1:11" x14ac:dyDescent="0.15">
      <c r="A33" s="28">
        <v>1</v>
      </c>
      <c r="B33" s="28">
        <v>2</v>
      </c>
      <c r="C33" s="28">
        <v>4</v>
      </c>
      <c r="D33" s="28">
        <v>5</v>
      </c>
      <c r="E33" s="28">
        <v>10</v>
      </c>
      <c r="F33" s="28" t="str">
        <f>IF(A32&lt;10,0&amp;A32,A32)&amp;","&amp;IF(B32&lt;10,0&amp;B32,B32)&amp;","&amp;IF(C32&lt;10,0&amp;C32,C32)&amp;","&amp;IF(D32&lt;10,0&amp;D32,D32)&amp;","&amp;IF(E32&lt;10,0&amp;E32,E32)</f>
        <v>01,02,04,05,09</v>
      </c>
      <c r="G33" s="28">
        <v>31170.33</v>
      </c>
      <c r="J33" s="28" t="s">
        <v>356</v>
      </c>
      <c r="K33" s="28">
        <v>31170.33</v>
      </c>
    </row>
    <row r="34" spans="1:11" x14ac:dyDescent="0.15">
      <c r="A34" s="28">
        <v>1</v>
      </c>
      <c r="B34" s="28">
        <v>2</v>
      </c>
      <c r="C34" s="28">
        <v>4</v>
      </c>
      <c r="D34" s="28">
        <v>5</v>
      </c>
      <c r="E34" s="28">
        <v>11</v>
      </c>
      <c r="F34" s="28" t="str">
        <f>IF(A33&lt;10,0&amp;A33,A33)&amp;","&amp;IF(B33&lt;10,0&amp;B33,B33)&amp;","&amp;IF(C33&lt;10,0&amp;C33,C33)&amp;","&amp;IF(D33&lt;10,0&amp;D33,D33)&amp;","&amp;IF(E33&lt;10,0&amp;E33,E33)</f>
        <v>01,02,04,05,10</v>
      </c>
      <c r="G34" s="28">
        <v>31071.78</v>
      </c>
      <c r="J34" s="28" t="s">
        <v>357</v>
      </c>
      <c r="K34" s="28">
        <v>31071.78</v>
      </c>
    </row>
    <row r="35" spans="1:11" x14ac:dyDescent="0.15">
      <c r="A35" s="28">
        <v>1</v>
      </c>
      <c r="B35" s="28">
        <v>2</v>
      </c>
      <c r="C35" s="28">
        <v>4</v>
      </c>
      <c r="D35" s="28">
        <v>6</v>
      </c>
      <c r="E35" s="28">
        <v>7</v>
      </c>
      <c r="F35" s="28" t="str">
        <f>IF(A34&lt;10,0&amp;A34,A34)&amp;","&amp;IF(B34&lt;10,0&amp;B34,B34)&amp;","&amp;IF(C34&lt;10,0&amp;C34,C34)&amp;","&amp;IF(D34&lt;10,0&amp;D34,D34)&amp;","&amp;IF(E34&lt;10,0&amp;E34,E34)</f>
        <v>01,02,04,05,11</v>
      </c>
      <c r="G35" s="28">
        <v>31064.18</v>
      </c>
      <c r="J35" s="28" t="s">
        <v>358</v>
      </c>
      <c r="K35" s="28">
        <v>31064.18</v>
      </c>
    </row>
    <row r="36" spans="1:11" x14ac:dyDescent="0.15">
      <c r="A36" s="28">
        <v>1</v>
      </c>
      <c r="B36" s="28">
        <v>2</v>
      </c>
      <c r="C36" s="28">
        <v>4</v>
      </c>
      <c r="D36" s="28">
        <v>6</v>
      </c>
      <c r="E36" s="28">
        <v>8</v>
      </c>
      <c r="F36" s="28" t="str">
        <f>IF(A35&lt;10,0&amp;A35,A35)&amp;","&amp;IF(B35&lt;10,0&amp;B35,B35)&amp;","&amp;IF(C35&lt;10,0&amp;C35,C35)&amp;","&amp;IF(D35&lt;10,0&amp;D35,D35)&amp;","&amp;IF(E35&lt;10,0&amp;E35,E35)</f>
        <v>01,02,04,06,07</v>
      </c>
      <c r="G36" s="28">
        <v>30200.399999999998</v>
      </c>
      <c r="J36" s="28" t="s">
        <v>359</v>
      </c>
      <c r="K36" s="28">
        <v>30200.399999999998</v>
      </c>
    </row>
    <row r="37" spans="1:11" x14ac:dyDescent="0.15">
      <c r="A37" s="28">
        <v>1</v>
      </c>
      <c r="B37" s="28">
        <v>2</v>
      </c>
      <c r="C37" s="28">
        <v>4</v>
      </c>
      <c r="D37" s="28">
        <v>6</v>
      </c>
      <c r="E37" s="28">
        <v>9</v>
      </c>
      <c r="F37" s="28" t="str">
        <f>IF(A36&lt;10,0&amp;A36,A36)&amp;","&amp;IF(B36&lt;10,0&amp;B36,B36)&amp;","&amp;IF(C36&lt;10,0&amp;C36,C36)&amp;","&amp;IF(D36&lt;10,0&amp;D36,D36)&amp;","&amp;IF(E36&lt;10,0&amp;E36,E36)</f>
        <v>01,02,04,06,08</v>
      </c>
      <c r="G37" s="28">
        <v>36711.279999999999</v>
      </c>
      <c r="J37" s="28" t="s">
        <v>360</v>
      </c>
      <c r="K37" s="28">
        <v>36711.279999999999</v>
      </c>
    </row>
    <row r="38" spans="1:11" x14ac:dyDescent="0.15">
      <c r="A38" s="28">
        <v>1</v>
      </c>
      <c r="B38" s="28">
        <v>2</v>
      </c>
      <c r="C38" s="28">
        <v>4</v>
      </c>
      <c r="D38" s="28">
        <v>6</v>
      </c>
      <c r="E38" s="28">
        <v>10</v>
      </c>
      <c r="F38" s="28" t="str">
        <f>IF(A37&lt;10,0&amp;A37,A37)&amp;","&amp;IF(B37&lt;10,0&amp;B37,B37)&amp;","&amp;IF(C37&lt;10,0&amp;C37,C37)&amp;","&amp;IF(D37&lt;10,0&amp;D37,D37)&amp;","&amp;IF(E37&lt;10,0&amp;E37,E37)</f>
        <v>01,02,04,06,09</v>
      </c>
      <c r="G38" s="28">
        <v>29267.23</v>
      </c>
      <c r="J38" s="28" t="s">
        <v>361</v>
      </c>
      <c r="K38" s="28">
        <v>29267.23</v>
      </c>
    </row>
    <row r="39" spans="1:11" x14ac:dyDescent="0.15">
      <c r="A39" s="28">
        <v>1</v>
      </c>
      <c r="B39" s="28">
        <v>2</v>
      </c>
      <c r="C39" s="28">
        <v>4</v>
      </c>
      <c r="D39" s="28">
        <v>6</v>
      </c>
      <c r="E39" s="28">
        <v>11</v>
      </c>
      <c r="F39" s="28" t="str">
        <f>IF(A38&lt;10,0&amp;A38,A38)&amp;","&amp;IF(B38&lt;10,0&amp;B38,B38)&amp;","&amp;IF(C38&lt;10,0&amp;C38,C38)&amp;","&amp;IF(D38&lt;10,0&amp;D38,D38)&amp;","&amp;IF(E38&lt;10,0&amp;E38,E38)</f>
        <v>01,02,04,06,10</v>
      </c>
      <c r="G39" s="28">
        <v>29279.78</v>
      </c>
      <c r="J39" s="28" t="s">
        <v>362</v>
      </c>
      <c r="K39" s="28">
        <v>29279.78</v>
      </c>
    </row>
    <row r="40" spans="1:11" x14ac:dyDescent="0.15">
      <c r="A40" s="28">
        <v>1</v>
      </c>
      <c r="B40" s="28">
        <v>2</v>
      </c>
      <c r="C40" s="28">
        <v>4</v>
      </c>
      <c r="D40" s="28">
        <v>7</v>
      </c>
      <c r="E40" s="28">
        <v>8</v>
      </c>
      <c r="F40" s="28" t="str">
        <f>IF(A39&lt;10,0&amp;A39,A39)&amp;","&amp;IF(B39&lt;10,0&amp;B39,B39)&amp;","&amp;IF(C39&lt;10,0&amp;C39,C39)&amp;","&amp;IF(D39&lt;10,0&amp;D39,D39)&amp;","&amp;IF(E39&lt;10,0&amp;E39,E39)</f>
        <v>01,02,04,06,11</v>
      </c>
      <c r="G40" s="28">
        <v>29161.079999999998</v>
      </c>
      <c r="J40" s="28" t="s">
        <v>363</v>
      </c>
      <c r="K40" s="28">
        <v>29161.079999999998</v>
      </c>
    </row>
    <row r="41" spans="1:11" x14ac:dyDescent="0.15">
      <c r="A41" s="28">
        <v>1</v>
      </c>
      <c r="B41" s="28">
        <v>2</v>
      </c>
      <c r="C41" s="28">
        <v>4</v>
      </c>
      <c r="D41" s="28">
        <v>7</v>
      </c>
      <c r="E41" s="28">
        <v>9</v>
      </c>
      <c r="F41" s="28" t="str">
        <f>IF(A40&lt;10,0&amp;A40,A40)&amp;","&amp;IF(B40&lt;10,0&amp;B40,B40)&amp;","&amp;IF(C40&lt;10,0&amp;C40,C40)&amp;","&amp;IF(D40&lt;10,0&amp;D40,D40)&amp;","&amp;IF(E40&lt;10,0&amp;E40,E40)</f>
        <v>01,02,04,07,08</v>
      </c>
      <c r="G41" s="28">
        <v>27567.88</v>
      </c>
      <c r="J41" s="28" t="s">
        <v>364</v>
      </c>
      <c r="K41" s="28">
        <v>27567.88</v>
      </c>
    </row>
    <row r="42" spans="1:11" x14ac:dyDescent="0.15">
      <c r="A42" s="28">
        <v>1</v>
      </c>
      <c r="B42" s="28">
        <v>2</v>
      </c>
      <c r="C42" s="28">
        <v>4</v>
      </c>
      <c r="D42" s="28">
        <v>7</v>
      </c>
      <c r="E42" s="28">
        <v>10</v>
      </c>
      <c r="F42" s="28" t="str">
        <f>IF(A41&lt;10,0&amp;A41,A41)&amp;","&amp;IF(B41&lt;10,0&amp;B41,B41)&amp;","&amp;IF(C41&lt;10,0&amp;C41,C41)&amp;","&amp;IF(D41&lt;10,0&amp;D41,D41)&amp;","&amp;IF(E41&lt;10,0&amp;E41,E41)</f>
        <v>01,02,04,07,09</v>
      </c>
      <c r="G42" s="28">
        <v>27665.430000000004</v>
      </c>
      <c r="J42" s="28" t="s">
        <v>365</v>
      </c>
      <c r="K42" s="28">
        <v>27665.430000000004</v>
      </c>
    </row>
    <row r="43" spans="1:11" x14ac:dyDescent="0.15">
      <c r="A43" s="28">
        <v>1</v>
      </c>
      <c r="B43" s="28">
        <v>2</v>
      </c>
      <c r="C43" s="28">
        <v>4</v>
      </c>
      <c r="D43" s="28">
        <v>7</v>
      </c>
      <c r="E43" s="28">
        <v>11</v>
      </c>
      <c r="F43" s="28" t="str">
        <f>IF(A42&lt;10,0&amp;A42,A42)&amp;","&amp;IF(B42&lt;10,0&amp;B42,B42)&amp;","&amp;IF(C42&lt;10,0&amp;C42,C42)&amp;","&amp;IF(D42&lt;10,0&amp;D42,D42)&amp;","&amp;IF(E42&lt;10,0&amp;E42,E42)</f>
        <v>01,02,04,07,10</v>
      </c>
      <c r="G43" s="28">
        <v>27566.880000000001</v>
      </c>
      <c r="J43" s="28" t="s">
        <v>366</v>
      </c>
      <c r="K43" s="28">
        <v>27566.880000000001</v>
      </c>
    </row>
    <row r="44" spans="1:11" x14ac:dyDescent="0.15">
      <c r="A44" s="28">
        <v>1</v>
      </c>
      <c r="B44" s="28">
        <v>2</v>
      </c>
      <c r="C44" s="28">
        <v>4</v>
      </c>
      <c r="D44" s="28">
        <v>8</v>
      </c>
      <c r="E44" s="28">
        <v>9</v>
      </c>
      <c r="F44" s="28" t="str">
        <f>IF(A43&lt;10,0&amp;A43,A43)&amp;","&amp;IF(B43&lt;10,0&amp;B43,B43)&amp;","&amp;IF(C43&lt;10,0&amp;C43,C43)&amp;","&amp;IF(D43&lt;10,0&amp;D43,D43)&amp;","&amp;IF(E43&lt;10,0&amp;E43,E43)</f>
        <v>01,02,04,07,11</v>
      </c>
      <c r="G44" s="28">
        <v>27559.280000000002</v>
      </c>
      <c r="J44" s="28" t="s">
        <v>367</v>
      </c>
      <c r="K44" s="28">
        <v>27559.280000000002</v>
      </c>
    </row>
    <row r="45" spans="1:11" x14ac:dyDescent="0.15">
      <c r="A45" s="28">
        <v>1</v>
      </c>
      <c r="B45" s="28">
        <v>2</v>
      </c>
      <c r="C45" s="28">
        <v>4</v>
      </c>
      <c r="D45" s="28">
        <v>8</v>
      </c>
      <c r="E45" s="28">
        <v>10</v>
      </c>
      <c r="F45" s="28" t="str">
        <f>IF(A44&lt;10,0&amp;A44,A44)&amp;","&amp;IF(B44&lt;10,0&amp;B44,B44)&amp;","&amp;IF(C44&lt;10,0&amp;C44,C44)&amp;","&amp;IF(D44&lt;10,0&amp;D44,D44)&amp;","&amp;IF(E44&lt;10,0&amp;E44,E44)</f>
        <v>01,02,04,08,09</v>
      </c>
      <c r="G45" s="28">
        <v>26719.63</v>
      </c>
      <c r="J45" s="28" t="s">
        <v>368</v>
      </c>
      <c r="K45" s="28">
        <v>26719.63</v>
      </c>
    </row>
    <row r="46" spans="1:11" x14ac:dyDescent="0.15">
      <c r="A46" s="28">
        <v>1</v>
      </c>
      <c r="B46" s="28">
        <v>2</v>
      </c>
      <c r="C46" s="28">
        <v>4</v>
      </c>
      <c r="D46" s="28">
        <v>8</v>
      </c>
      <c r="E46" s="28">
        <v>11</v>
      </c>
      <c r="F46" s="28" t="str">
        <f>IF(A45&lt;10,0&amp;A45,A45)&amp;","&amp;IF(B45&lt;10,0&amp;B45,B45)&amp;","&amp;IF(C45&lt;10,0&amp;C45,C45)&amp;","&amp;IF(D45&lt;10,0&amp;D45,D45)&amp;","&amp;IF(E45&lt;10,0&amp;E45,E45)</f>
        <v>01,02,04,08,10</v>
      </c>
      <c r="G46" s="28">
        <v>26732.18</v>
      </c>
      <c r="J46" s="28" t="s">
        <v>369</v>
      </c>
      <c r="K46" s="28">
        <v>26732.18</v>
      </c>
    </row>
    <row r="47" spans="1:11" x14ac:dyDescent="0.15">
      <c r="A47" s="28">
        <v>1</v>
      </c>
      <c r="B47" s="28">
        <v>2</v>
      </c>
      <c r="C47" s="28">
        <v>4</v>
      </c>
      <c r="D47" s="28">
        <v>9</v>
      </c>
      <c r="E47" s="28">
        <v>10</v>
      </c>
      <c r="F47" s="28" t="str">
        <f>IF(A46&lt;10,0&amp;A46,A46)&amp;","&amp;IF(B46&lt;10,0&amp;B46,B46)&amp;","&amp;IF(C46&lt;10,0&amp;C46,C46)&amp;","&amp;IF(D46&lt;10,0&amp;D46,D46)&amp;","&amp;IF(E46&lt;10,0&amp;E46,E46)</f>
        <v>01,02,04,08,11</v>
      </c>
      <c r="G47" s="28">
        <v>26613.48</v>
      </c>
      <c r="J47" s="28" t="s">
        <v>370</v>
      </c>
      <c r="K47" s="28">
        <v>26613.48</v>
      </c>
    </row>
    <row r="48" spans="1:11" x14ac:dyDescent="0.15">
      <c r="A48" s="28">
        <v>1</v>
      </c>
      <c r="B48" s="28">
        <v>2</v>
      </c>
      <c r="C48" s="28">
        <v>4</v>
      </c>
      <c r="D48" s="28">
        <v>9</v>
      </c>
      <c r="E48" s="28">
        <v>11</v>
      </c>
      <c r="F48" s="28" t="str">
        <f>IF(A47&lt;10,0&amp;A47,A47)&amp;","&amp;IF(B47&lt;10,0&amp;B47,B47)&amp;","&amp;IF(C47&lt;10,0&amp;C47,C47)&amp;","&amp;IF(D47&lt;10,0&amp;D47,D47)&amp;","&amp;IF(E47&lt;10,0&amp;E47,E47)</f>
        <v>01,02,04,09,10</v>
      </c>
      <c r="G48" s="28">
        <v>26719.63</v>
      </c>
      <c r="J48" s="28" t="s">
        <v>371</v>
      </c>
      <c r="K48" s="28">
        <v>26719.63</v>
      </c>
    </row>
    <row r="49" spans="1:11" x14ac:dyDescent="0.15">
      <c r="A49" s="28">
        <v>1</v>
      </c>
      <c r="B49" s="28">
        <v>2</v>
      </c>
      <c r="C49" s="28">
        <v>4</v>
      </c>
      <c r="D49" s="28">
        <v>10</v>
      </c>
      <c r="E49" s="28">
        <v>11</v>
      </c>
      <c r="F49" s="28" t="str">
        <f>IF(A48&lt;10,0&amp;A48,A48)&amp;","&amp;IF(B48&lt;10,0&amp;B48,B48)&amp;","&amp;IF(C48&lt;10,0&amp;C48,C48)&amp;","&amp;IF(D48&lt;10,0&amp;D48,D48)&amp;","&amp;IF(E48&lt;10,0&amp;E48,E48)</f>
        <v>01,02,04,09,11</v>
      </c>
      <c r="G49" s="28">
        <v>26712.030000000002</v>
      </c>
      <c r="J49" s="28" t="s">
        <v>372</v>
      </c>
      <c r="K49" s="28">
        <v>26712.030000000002</v>
      </c>
    </row>
    <row r="50" spans="1:11" x14ac:dyDescent="0.15">
      <c r="A50" s="28">
        <v>1</v>
      </c>
      <c r="B50" s="28">
        <v>2</v>
      </c>
      <c r="C50" s="28">
        <v>5</v>
      </c>
      <c r="D50" s="28">
        <v>6</v>
      </c>
      <c r="E50" s="28">
        <v>7</v>
      </c>
      <c r="F50" s="28" t="str">
        <f>IF(A49&lt;10,0&amp;A49,A49)&amp;","&amp;IF(B49&lt;10,0&amp;B49,B49)&amp;","&amp;IF(C49&lt;10,0&amp;C49,C49)&amp;","&amp;IF(D49&lt;10,0&amp;D49,D49)&amp;","&amp;IF(E49&lt;10,0&amp;E49,E49)</f>
        <v>01,02,04,10,11</v>
      </c>
      <c r="G50" s="28">
        <v>26585.260000000002</v>
      </c>
      <c r="J50" s="28" t="s">
        <v>373</v>
      </c>
      <c r="K50" s="28">
        <v>26585.260000000002</v>
      </c>
    </row>
    <row r="51" spans="1:11" x14ac:dyDescent="0.15">
      <c r="A51" s="28">
        <v>1</v>
      </c>
      <c r="B51" s="28">
        <v>2</v>
      </c>
      <c r="C51" s="28">
        <v>5</v>
      </c>
      <c r="D51" s="28">
        <v>6</v>
      </c>
      <c r="E51" s="28">
        <v>8</v>
      </c>
      <c r="F51" s="28" t="str">
        <f>IF(A50&lt;10,0&amp;A50,A50)&amp;","&amp;IF(B50&lt;10,0&amp;B50,B50)&amp;","&amp;IF(C50&lt;10,0&amp;C50,C50)&amp;","&amp;IF(D50&lt;10,0&amp;D50,D50)&amp;","&amp;IF(E50&lt;10,0&amp;E50,E50)</f>
        <v>01,02,05,06,07</v>
      </c>
      <c r="G51" s="28">
        <v>30290.510000000002</v>
      </c>
      <c r="J51" s="28" t="s">
        <v>374</v>
      </c>
      <c r="K51" s="28">
        <v>30290.510000000002</v>
      </c>
    </row>
    <row r="52" spans="1:11" x14ac:dyDescent="0.15">
      <c r="A52" s="28">
        <v>1</v>
      </c>
      <c r="B52" s="28">
        <v>2</v>
      </c>
      <c r="C52" s="28">
        <v>5</v>
      </c>
      <c r="D52" s="28">
        <v>6</v>
      </c>
      <c r="E52" s="28">
        <v>9</v>
      </c>
      <c r="F52" s="28" t="str">
        <f>IF(A51&lt;10,0&amp;A51,A51)&amp;","&amp;IF(B51&lt;10,0&amp;B51,B51)&amp;","&amp;IF(C51&lt;10,0&amp;C51,C51)&amp;","&amp;IF(D51&lt;10,0&amp;D51,D51)&amp;","&amp;IF(E51&lt;10,0&amp;E51,E51)</f>
        <v>01,02,05,06,08</v>
      </c>
      <c r="G52" s="28">
        <v>29557.010000000002</v>
      </c>
      <c r="J52" s="28" t="s">
        <v>375</v>
      </c>
      <c r="K52" s="28">
        <v>29557.010000000002</v>
      </c>
    </row>
    <row r="53" spans="1:11" x14ac:dyDescent="0.15">
      <c r="A53" s="28">
        <v>1</v>
      </c>
      <c r="B53" s="28">
        <v>2</v>
      </c>
      <c r="C53" s="28">
        <v>5</v>
      </c>
      <c r="D53" s="28">
        <v>6</v>
      </c>
      <c r="E53" s="28">
        <v>10</v>
      </c>
      <c r="F53" s="28" t="str">
        <f>IF(A52&lt;10,0&amp;A52,A52)&amp;","&amp;IF(B52&lt;10,0&amp;B52,B52)&amp;","&amp;IF(C52&lt;10,0&amp;C52,C52)&amp;","&amp;IF(D52&lt;10,0&amp;D52,D52)&amp;","&amp;IF(E52&lt;10,0&amp;E52,E52)</f>
        <v>01,02,05,06,09</v>
      </c>
      <c r="G53" s="28">
        <v>29357.34</v>
      </c>
      <c r="J53" s="28" t="s">
        <v>376</v>
      </c>
      <c r="K53" s="28">
        <v>29357.34</v>
      </c>
    </row>
    <row r="54" spans="1:11" x14ac:dyDescent="0.15">
      <c r="A54" s="28">
        <v>1</v>
      </c>
      <c r="B54" s="28">
        <v>2</v>
      </c>
      <c r="C54" s="28">
        <v>5</v>
      </c>
      <c r="D54" s="28">
        <v>6</v>
      </c>
      <c r="E54" s="28">
        <v>11</v>
      </c>
      <c r="F54" s="28" t="str">
        <f>IF(A53&lt;10,0&amp;A53,A53)&amp;","&amp;IF(B53&lt;10,0&amp;B53,B53)&amp;","&amp;IF(C53&lt;10,0&amp;C53,C53)&amp;","&amp;IF(D53&lt;10,0&amp;D53,D53)&amp;","&amp;IF(E53&lt;10,0&amp;E53,E53)</f>
        <v>01,02,05,06,10</v>
      </c>
      <c r="G54" s="28">
        <v>29258.79</v>
      </c>
      <c r="J54" s="28" t="s">
        <v>377</v>
      </c>
      <c r="K54" s="28">
        <v>29258.79</v>
      </c>
    </row>
    <row r="55" spans="1:11" x14ac:dyDescent="0.15">
      <c r="A55" s="28">
        <v>1</v>
      </c>
      <c r="B55" s="28">
        <v>2</v>
      </c>
      <c r="C55" s="28">
        <v>5</v>
      </c>
      <c r="D55" s="28">
        <v>7</v>
      </c>
      <c r="E55" s="28">
        <v>8</v>
      </c>
      <c r="F55" s="28" t="str">
        <f>IF(A54&lt;10,0&amp;A54,A54)&amp;","&amp;IF(B54&lt;10,0&amp;B54,B54)&amp;","&amp;IF(C54&lt;10,0&amp;C54,C54)&amp;","&amp;IF(D54&lt;10,0&amp;D54,D54)&amp;","&amp;IF(E54&lt;10,0&amp;E54,E54)</f>
        <v>01,02,05,06,11</v>
      </c>
      <c r="G55" s="28">
        <v>29251.190000000002</v>
      </c>
      <c r="J55" s="28" t="s">
        <v>378</v>
      </c>
      <c r="K55" s="28">
        <v>29251.190000000002</v>
      </c>
    </row>
    <row r="56" spans="1:11" x14ac:dyDescent="0.15">
      <c r="A56" s="28">
        <v>1</v>
      </c>
      <c r="B56" s="28">
        <v>2</v>
      </c>
      <c r="C56" s="28">
        <v>5</v>
      </c>
      <c r="D56" s="28">
        <v>7</v>
      </c>
      <c r="E56" s="28">
        <v>9</v>
      </c>
      <c r="F56" s="28" t="str">
        <f>IF(A55&lt;10,0&amp;A55,A55)&amp;","&amp;IF(B55&lt;10,0&amp;B55,B55)&amp;","&amp;IF(C55&lt;10,0&amp;C55,C55)&amp;","&amp;IF(D55&lt;10,0&amp;D55,D55)&amp;","&amp;IF(E55&lt;10,0&amp;E55,E55)</f>
        <v>01,02,05,07,08</v>
      </c>
      <c r="G56" s="28">
        <v>27551.840000000004</v>
      </c>
      <c r="J56" s="28" t="s">
        <v>379</v>
      </c>
      <c r="K56" s="28">
        <v>27551.840000000004</v>
      </c>
    </row>
    <row r="57" spans="1:11" x14ac:dyDescent="0.15">
      <c r="A57" s="28">
        <v>1</v>
      </c>
      <c r="B57" s="28">
        <v>2</v>
      </c>
      <c r="C57" s="28">
        <v>5</v>
      </c>
      <c r="D57" s="28">
        <v>7</v>
      </c>
      <c r="E57" s="28">
        <v>10</v>
      </c>
      <c r="F57" s="28" t="str">
        <f>IF(A56&lt;10,0&amp;A56,A56)&amp;","&amp;IF(B56&lt;10,0&amp;B56,B56)&amp;","&amp;IF(C56&lt;10,0&amp;C56,C56)&amp;","&amp;IF(D56&lt;10,0&amp;D56,D56)&amp;","&amp;IF(E56&lt;10,0&amp;E56,E56)</f>
        <v>01,02,05,07,09</v>
      </c>
      <c r="G57" s="28">
        <v>27694.240000000005</v>
      </c>
      <c r="J57" s="28" t="s">
        <v>380</v>
      </c>
      <c r="K57" s="28">
        <v>27694.240000000005</v>
      </c>
    </row>
    <row r="58" spans="1:11" x14ac:dyDescent="0.15">
      <c r="A58" s="28">
        <v>1</v>
      </c>
      <c r="B58" s="28">
        <v>2</v>
      </c>
      <c r="C58" s="28">
        <v>5</v>
      </c>
      <c r="D58" s="28">
        <v>7</v>
      </c>
      <c r="E58" s="28">
        <v>11</v>
      </c>
      <c r="F58" s="28" t="str">
        <f>IF(A57&lt;10,0&amp;A57,A57)&amp;","&amp;IF(B57&lt;10,0&amp;B57,B57)&amp;","&amp;IF(C57&lt;10,0&amp;C57,C57)&amp;","&amp;IF(D57&lt;10,0&amp;D57,D57)&amp;","&amp;IF(E57&lt;10,0&amp;E57,E57)</f>
        <v>01,02,05,07,10</v>
      </c>
      <c r="G58" s="28">
        <v>27550.840000000004</v>
      </c>
      <c r="J58" s="28" t="s">
        <v>381</v>
      </c>
      <c r="K58" s="28">
        <v>27550.840000000004</v>
      </c>
    </row>
    <row r="59" spans="1:11" x14ac:dyDescent="0.15">
      <c r="A59" s="28">
        <v>1</v>
      </c>
      <c r="B59" s="28">
        <v>2</v>
      </c>
      <c r="C59" s="28">
        <v>5</v>
      </c>
      <c r="D59" s="28">
        <v>8</v>
      </c>
      <c r="E59" s="28">
        <v>9</v>
      </c>
      <c r="F59" s="28" t="str">
        <f>IF(A58&lt;10,0&amp;A58,A58)&amp;","&amp;IF(B58&lt;10,0&amp;B58,B58)&amp;","&amp;IF(C58&lt;10,0&amp;C58,C58)&amp;","&amp;IF(D58&lt;10,0&amp;D58,D58)&amp;","&amp;IF(E58&lt;10,0&amp;E58,E58)</f>
        <v>01,02,05,07,11</v>
      </c>
      <c r="G59" s="28">
        <v>27588.090000000004</v>
      </c>
      <c r="J59" s="28" t="s">
        <v>382</v>
      </c>
      <c r="K59" s="28">
        <v>27588.090000000004</v>
      </c>
    </row>
    <row r="60" spans="1:11" x14ac:dyDescent="0.15">
      <c r="A60" s="28">
        <v>1</v>
      </c>
      <c r="B60" s="28">
        <v>2</v>
      </c>
      <c r="C60" s="28">
        <v>5</v>
      </c>
      <c r="D60" s="28">
        <v>8</v>
      </c>
      <c r="E60" s="28">
        <v>10</v>
      </c>
      <c r="F60" s="28" t="str">
        <f>IF(A59&lt;10,0&amp;A59,A59)&amp;","&amp;IF(B59&lt;10,0&amp;B59,B59)&amp;","&amp;IF(C59&lt;10,0&amp;C59,C59)&amp;","&amp;IF(D59&lt;10,0&amp;D59,D59)&amp;","&amp;IF(E59&lt;10,0&amp;E59,E59)</f>
        <v>01,02,05,08,09</v>
      </c>
      <c r="G60" s="28">
        <v>26703.590000000004</v>
      </c>
      <c r="J60" s="28" t="s">
        <v>383</v>
      </c>
      <c r="K60" s="28">
        <v>26703.590000000004</v>
      </c>
    </row>
    <row r="61" spans="1:11" x14ac:dyDescent="0.15">
      <c r="A61" s="28">
        <v>1</v>
      </c>
      <c r="B61" s="28">
        <v>2</v>
      </c>
      <c r="C61" s="28">
        <v>5</v>
      </c>
      <c r="D61" s="28">
        <v>8</v>
      </c>
      <c r="E61" s="28">
        <v>11</v>
      </c>
      <c r="F61" s="28" t="str">
        <f>IF(A60&lt;10,0&amp;A60,A60)&amp;","&amp;IF(B60&lt;10,0&amp;B60,B60)&amp;","&amp;IF(C60&lt;10,0&amp;C60,C60)&amp;","&amp;IF(D60&lt;10,0&amp;D60,D60)&amp;","&amp;IF(E60&lt;10,0&amp;E60,E60)</f>
        <v>01,02,05,08,10</v>
      </c>
      <c r="G61" s="28">
        <v>26605.040000000001</v>
      </c>
      <c r="J61" s="28" t="s">
        <v>384</v>
      </c>
      <c r="K61" s="28">
        <v>26605.040000000001</v>
      </c>
    </row>
    <row r="62" spans="1:11" x14ac:dyDescent="0.15">
      <c r="A62" s="28">
        <v>1</v>
      </c>
      <c r="B62" s="28">
        <v>2</v>
      </c>
      <c r="C62" s="28">
        <v>5</v>
      </c>
      <c r="D62" s="28">
        <v>9</v>
      </c>
      <c r="E62" s="28">
        <v>10</v>
      </c>
      <c r="F62" s="28" t="str">
        <f>IF(A61&lt;10,0&amp;A61,A61)&amp;","&amp;IF(B61&lt;10,0&amp;B61,B61)&amp;","&amp;IF(C61&lt;10,0&amp;C61,C61)&amp;","&amp;IF(D61&lt;10,0&amp;D61,D61)&amp;","&amp;IF(E61&lt;10,0&amp;E61,E61)</f>
        <v>01,02,05,08,11</v>
      </c>
      <c r="G62" s="28">
        <v>26597.440000000002</v>
      </c>
      <c r="J62" s="28" t="s">
        <v>385</v>
      </c>
      <c r="K62" s="28">
        <v>26597.440000000002</v>
      </c>
    </row>
    <row r="63" spans="1:11" x14ac:dyDescent="0.15">
      <c r="A63" s="28">
        <v>1</v>
      </c>
      <c r="B63" s="28">
        <v>2</v>
      </c>
      <c r="C63" s="28">
        <v>5</v>
      </c>
      <c r="D63" s="28">
        <v>9</v>
      </c>
      <c r="E63" s="28">
        <v>11</v>
      </c>
      <c r="F63" s="28" t="str">
        <f>IF(A62&lt;10,0&amp;A62,A62)&amp;","&amp;IF(B62&lt;10,0&amp;B62,B62)&amp;","&amp;IF(C62&lt;10,0&amp;C62,C62)&amp;","&amp;IF(D62&lt;10,0&amp;D62,D62)&amp;","&amp;IF(E62&lt;10,0&amp;E62,E62)</f>
        <v>01,02,05,09,10</v>
      </c>
      <c r="G63" s="28">
        <v>26703.590000000004</v>
      </c>
      <c r="J63" s="28" t="s">
        <v>386</v>
      </c>
      <c r="K63" s="28">
        <v>26703.590000000004</v>
      </c>
    </row>
    <row r="64" spans="1:11" x14ac:dyDescent="0.15">
      <c r="A64" s="28">
        <v>1</v>
      </c>
      <c r="B64" s="28">
        <v>2</v>
      </c>
      <c r="C64" s="28">
        <v>5</v>
      </c>
      <c r="D64" s="28">
        <v>10</v>
      </c>
      <c r="E64" s="28">
        <v>11</v>
      </c>
      <c r="F64" s="28" t="str">
        <f>IF(A63&lt;10,0&amp;A63,A63)&amp;","&amp;IF(B63&lt;10,0&amp;B63,B63)&amp;","&amp;IF(C63&lt;10,0&amp;C63,C63)&amp;","&amp;IF(D63&lt;10,0&amp;D63,D63)&amp;","&amp;IF(E63&lt;10,0&amp;E63,E63)</f>
        <v>01,02,05,09,11</v>
      </c>
      <c r="G64" s="28">
        <v>26740.840000000004</v>
      </c>
      <c r="J64" s="28" t="s">
        <v>387</v>
      </c>
      <c r="K64" s="28">
        <v>26740.840000000004</v>
      </c>
    </row>
    <row r="65" spans="1:11" x14ac:dyDescent="0.15">
      <c r="A65" s="28">
        <v>1</v>
      </c>
      <c r="B65" s="28">
        <v>2</v>
      </c>
      <c r="C65" s="28">
        <v>6</v>
      </c>
      <c r="D65" s="28">
        <v>7</v>
      </c>
      <c r="E65" s="28">
        <v>8</v>
      </c>
      <c r="F65" s="28" t="str">
        <f>IF(A64&lt;10,0&amp;A64,A64)&amp;","&amp;IF(B64&lt;10,0&amp;B64,B64)&amp;","&amp;IF(C64&lt;10,0&amp;C64,C64)&amp;","&amp;IF(D64&lt;10,0&amp;D64,D64)&amp;","&amp;IF(E64&lt;10,0&amp;E64,E64)</f>
        <v>01,02,05,10,11</v>
      </c>
      <c r="G65" s="28">
        <v>26577.66</v>
      </c>
      <c r="J65" s="28" t="s">
        <v>388</v>
      </c>
      <c r="K65" s="28">
        <v>26577.66</v>
      </c>
    </row>
    <row r="66" spans="1:11" x14ac:dyDescent="0.15">
      <c r="A66" s="28">
        <v>1</v>
      </c>
      <c r="B66" s="28">
        <v>2</v>
      </c>
      <c r="C66" s="28">
        <v>6</v>
      </c>
      <c r="D66" s="28">
        <v>7</v>
      </c>
      <c r="E66" s="28">
        <v>9</v>
      </c>
      <c r="F66" s="28" t="str">
        <f>IF(A65&lt;10,0&amp;A65,A65)&amp;","&amp;IF(B65&lt;10,0&amp;B65,B65)&amp;","&amp;IF(C65&lt;10,0&amp;C65,C65)&amp;","&amp;IF(D65&lt;10,0&amp;D65,D65)&amp;","&amp;IF(E65&lt;10,0&amp;E65,E65)</f>
        <v>01,02,06,07,08</v>
      </c>
      <c r="G66" s="28">
        <v>25646.75</v>
      </c>
      <c r="J66" s="28" t="s">
        <v>389</v>
      </c>
      <c r="K66" s="28">
        <v>25646.75</v>
      </c>
    </row>
    <row r="67" spans="1:11" x14ac:dyDescent="0.15">
      <c r="A67" s="28">
        <v>1</v>
      </c>
      <c r="B67" s="28">
        <v>2</v>
      </c>
      <c r="C67" s="28">
        <v>6</v>
      </c>
      <c r="D67" s="28">
        <v>7</v>
      </c>
      <c r="E67" s="28">
        <v>10</v>
      </c>
      <c r="F67" s="28" t="str">
        <f>IF(A66&lt;10,0&amp;A66,A66)&amp;","&amp;IF(B66&lt;10,0&amp;B66,B66)&amp;","&amp;IF(C66&lt;10,0&amp;C66,C66)&amp;","&amp;IF(D66&lt;10,0&amp;D66,D66)&amp;","&amp;IF(E66&lt;10,0&amp;E66,E66)</f>
        <v>01,02,06,07,09</v>
      </c>
      <c r="G67" s="28">
        <v>25744.300000000003</v>
      </c>
      <c r="J67" s="28" t="s">
        <v>390</v>
      </c>
      <c r="K67" s="28">
        <v>25744.300000000003</v>
      </c>
    </row>
    <row r="68" spans="1:11" x14ac:dyDescent="0.15">
      <c r="A68" s="28">
        <v>1</v>
      </c>
      <c r="B68" s="28">
        <v>2</v>
      </c>
      <c r="C68" s="28">
        <v>6</v>
      </c>
      <c r="D68" s="28">
        <v>7</v>
      </c>
      <c r="E68" s="28">
        <v>11</v>
      </c>
      <c r="F68" s="28" t="str">
        <f>IF(A67&lt;10,0&amp;A67,A67)&amp;","&amp;IF(B67&lt;10,0&amp;B67,B67)&amp;","&amp;IF(C67&lt;10,0&amp;C67,C67)&amp;","&amp;IF(D67&lt;10,0&amp;D67,D67)&amp;","&amp;IF(E67&lt;10,0&amp;E67,E67)</f>
        <v>01,02,06,07,10</v>
      </c>
      <c r="G68" s="28">
        <v>25645.75</v>
      </c>
      <c r="J68" s="28" t="s">
        <v>391</v>
      </c>
      <c r="K68" s="28">
        <v>25645.75</v>
      </c>
    </row>
    <row r="69" spans="1:11" x14ac:dyDescent="0.15">
      <c r="A69" s="28">
        <v>1</v>
      </c>
      <c r="B69" s="28">
        <v>2</v>
      </c>
      <c r="C69" s="28">
        <v>6</v>
      </c>
      <c r="D69" s="28">
        <v>8</v>
      </c>
      <c r="E69" s="28">
        <v>9</v>
      </c>
      <c r="F69" s="28" t="str">
        <f>IF(A68&lt;10,0&amp;A68,A68)&amp;","&amp;IF(B68&lt;10,0&amp;B68,B68)&amp;","&amp;IF(C68&lt;10,0&amp;C68,C68)&amp;","&amp;IF(D68&lt;10,0&amp;D68,D68)&amp;","&amp;IF(E68&lt;10,0&amp;E68,E68)</f>
        <v>01,02,06,07,11</v>
      </c>
      <c r="G69" s="28">
        <v>25638.15</v>
      </c>
      <c r="J69" s="28" t="s">
        <v>392</v>
      </c>
      <c r="K69" s="28">
        <v>25638.15</v>
      </c>
    </row>
    <row r="70" spans="1:11" x14ac:dyDescent="0.15">
      <c r="A70" s="28">
        <v>1</v>
      </c>
      <c r="B70" s="28">
        <v>2</v>
      </c>
      <c r="C70" s="28">
        <v>6</v>
      </c>
      <c r="D70" s="28">
        <v>8</v>
      </c>
      <c r="E70" s="28">
        <v>10</v>
      </c>
      <c r="F70" s="28" t="str">
        <f>IF(A69&lt;10,0&amp;A69,A69)&amp;","&amp;IF(B69&lt;10,0&amp;B69,B69)&amp;","&amp;IF(C69&lt;10,0&amp;C69,C69)&amp;","&amp;IF(D69&lt;10,0&amp;D69,D69)&amp;","&amp;IF(E69&lt;10,0&amp;E69,E69)</f>
        <v>01,02,06,08,09</v>
      </c>
      <c r="G70" s="28">
        <v>24798.5</v>
      </c>
      <c r="J70" s="28" t="s">
        <v>393</v>
      </c>
      <c r="K70" s="28">
        <v>24798.5</v>
      </c>
    </row>
    <row r="71" spans="1:11" x14ac:dyDescent="0.15">
      <c r="A71" s="28">
        <v>1</v>
      </c>
      <c r="B71" s="28">
        <v>2</v>
      </c>
      <c r="C71" s="28">
        <v>6</v>
      </c>
      <c r="D71" s="28">
        <v>8</v>
      </c>
      <c r="E71" s="28">
        <v>11</v>
      </c>
      <c r="F71" s="28" t="str">
        <f>IF(A70&lt;10,0&amp;A70,A70)&amp;","&amp;IF(B70&lt;10,0&amp;B70,B70)&amp;","&amp;IF(C70&lt;10,0&amp;C70,C70)&amp;","&amp;IF(D70&lt;10,0&amp;D70,D70)&amp;","&amp;IF(E70&lt;10,0&amp;E70,E70)</f>
        <v>01,02,06,08,10</v>
      </c>
      <c r="G71" s="28">
        <v>24811.05</v>
      </c>
      <c r="J71" s="28" t="s">
        <v>394</v>
      </c>
      <c r="K71" s="28">
        <v>24811.05</v>
      </c>
    </row>
    <row r="72" spans="1:11" x14ac:dyDescent="0.15">
      <c r="A72" s="28">
        <v>1</v>
      </c>
      <c r="B72" s="28">
        <v>2</v>
      </c>
      <c r="C72" s="28">
        <v>6</v>
      </c>
      <c r="D72" s="28">
        <v>9</v>
      </c>
      <c r="E72" s="28">
        <v>10</v>
      </c>
      <c r="F72" s="28" t="str">
        <f>IF(A71&lt;10,0&amp;A71,A71)&amp;","&amp;IF(B71&lt;10,0&amp;B71,B71)&amp;","&amp;IF(C71&lt;10,0&amp;C71,C71)&amp;","&amp;IF(D71&lt;10,0&amp;D71,D71)&amp;","&amp;IF(E71&lt;10,0&amp;E71,E71)</f>
        <v>01,02,06,08,11</v>
      </c>
      <c r="G72" s="28">
        <v>24692.35</v>
      </c>
      <c r="J72" s="28" t="s">
        <v>395</v>
      </c>
      <c r="K72" s="28">
        <v>24692.35</v>
      </c>
    </row>
    <row r="73" spans="1:11" x14ac:dyDescent="0.15">
      <c r="A73" s="28">
        <v>1</v>
      </c>
      <c r="B73" s="28">
        <v>2</v>
      </c>
      <c r="C73" s="28">
        <v>6</v>
      </c>
      <c r="D73" s="28">
        <v>9</v>
      </c>
      <c r="E73" s="28">
        <v>11</v>
      </c>
      <c r="F73" s="28" t="str">
        <f>IF(A72&lt;10,0&amp;A72,A72)&amp;","&amp;IF(B72&lt;10,0&amp;B72,B72)&amp;","&amp;IF(C72&lt;10,0&amp;C72,C72)&amp;","&amp;IF(D72&lt;10,0&amp;D72,D72)&amp;","&amp;IF(E72&lt;10,0&amp;E72,E72)</f>
        <v>01,02,06,09,10</v>
      </c>
      <c r="G73" s="28">
        <v>24798.5</v>
      </c>
      <c r="J73" s="28" t="s">
        <v>396</v>
      </c>
      <c r="K73" s="28">
        <v>24798.5</v>
      </c>
    </row>
    <row r="74" spans="1:11" x14ac:dyDescent="0.15">
      <c r="A74" s="28">
        <v>1</v>
      </c>
      <c r="B74" s="28">
        <v>2</v>
      </c>
      <c r="C74" s="28">
        <v>6</v>
      </c>
      <c r="D74" s="28">
        <v>10</v>
      </c>
      <c r="E74" s="28">
        <v>11</v>
      </c>
      <c r="F74" s="28" t="str">
        <f>IF(A73&lt;10,0&amp;A73,A73)&amp;","&amp;IF(B73&lt;10,0&amp;B73,B73)&amp;","&amp;IF(C73&lt;10,0&amp;C73,C73)&amp;","&amp;IF(D73&lt;10,0&amp;D73,D73)&amp;","&amp;IF(E73&lt;10,0&amp;E73,E73)</f>
        <v>01,02,06,09,11</v>
      </c>
      <c r="G74" s="28">
        <v>24790.9</v>
      </c>
      <c r="J74" s="28" t="s">
        <v>397</v>
      </c>
      <c r="K74" s="28">
        <v>24790.9</v>
      </c>
    </row>
    <row r="75" spans="1:11" x14ac:dyDescent="0.15">
      <c r="A75" s="28">
        <v>1</v>
      </c>
      <c r="B75" s="28">
        <v>2</v>
      </c>
      <c r="C75" s="28">
        <v>7</v>
      </c>
      <c r="D75" s="28">
        <v>8</v>
      </c>
      <c r="E75" s="28">
        <v>9</v>
      </c>
      <c r="F75" s="28" t="str">
        <f>IF(A74&lt;10,0&amp;A74,A74)&amp;","&amp;IF(B74&lt;10,0&amp;B74,B74)&amp;","&amp;IF(C74&lt;10,0&amp;C74,C74)&amp;","&amp;IF(D74&lt;10,0&amp;D74,D74)&amp;","&amp;IF(E74&lt;10,0&amp;E74,E74)</f>
        <v>01,02,06,10,11</v>
      </c>
      <c r="G75" s="28">
        <v>24674.560000000001</v>
      </c>
      <c r="J75" s="28" t="s">
        <v>398</v>
      </c>
      <c r="K75" s="28">
        <v>24674.560000000001</v>
      </c>
    </row>
    <row r="76" spans="1:11" x14ac:dyDescent="0.15">
      <c r="A76" s="28">
        <v>1</v>
      </c>
      <c r="B76" s="28">
        <v>2</v>
      </c>
      <c r="C76" s="28">
        <v>7</v>
      </c>
      <c r="D76" s="28">
        <v>8</v>
      </c>
      <c r="E76" s="28">
        <v>10</v>
      </c>
      <c r="F76" s="28" t="str">
        <f>IF(A75&lt;10,0&amp;A75,A75)&amp;","&amp;IF(B75&lt;10,0&amp;B75,B75)&amp;","&amp;IF(C75&lt;10,0&amp;C75,C75)&amp;","&amp;IF(D75&lt;10,0&amp;D75,D75)&amp;","&amp;IF(E75&lt;10,0&amp;E75,E75)</f>
        <v>01,02,07,08,09</v>
      </c>
      <c r="G76" s="28">
        <v>23198.690000000006</v>
      </c>
      <c r="J76" s="28" t="s">
        <v>399</v>
      </c>
      <c r="K76" s="28">
        <v>23198.690000000006</v>
      </c>
    </row>
    <row r="77" spans="1:11" x14ac:dyDescent="0.15">
      <c r="A77" s="28">
        <v>1</v>
      </c>
      <c r="B77" s="28">
        <v>2</v>
      </c>
      <c r="C77" s="28">
        <v>7</v>
      </c>
      <c r="D77" s="28">
        <v>8</v>
      </c>
      <c r="E77" s="28">
        <v>11</v>
      </c>
      <c r="F77" s="28" t="str">
        <f>IF(A76&lt;10,0&amp;A76,A76)&amp;","&amp;IF(B76&lt;10,0&amp;B76,B76)&amp;","&amp;IF(C76&lt;10,0&amp;C76,C76)&amp;","&amp;IF(D76&lt;10,0&amp;D76,D76)&amp;","&amp;IF(E76&lt;10,0&amp;E76,E76)</f>
        <v>01,02,07,08,10</v>
      </c>
      <c r="G77" s="28">
        <v>23100.140000000003</v>
      </c>
      <c r="J77" s="28" t="s">
        <v>400</v>
      </c>
      <c r="K77" s="28">
        <v>23100.140000000003</v>
      </c>
    </row>
    <row r="78" spans="1:11" x14ac:dyDescent="0.15">
      <c r="A78" s="28">
        <v>1</v>
      </c>
      <c r="B78" s="28">
        <v>2</v>
      </c>
      <c r="C78" s="28">
        <v>7</v>
      </c>
      <c r="D78" s="28">
        <v>9</v>
      </c>
      <c r="E78" s="28">
        <v>10</v>
      </c>
      <c r="F78" s="28" t="str">
        <f>IF(A77&lt;10,0&amp;A77,A77)&amp;","&amp;IF(B77&lt;10,0&amp;B77,B77)&amp;","&amp;IF(C77&lt;10,0&amp;C77,C77)&amp;","&amp;IF(D77&lt;10,0&amp;D77,D77)&amp;","&amp;IF(E77&lt;10,0&amp;E77,E77)</f>
        <v>01,02,07,08,11</v>
      </c>
      <c r="G78" s="28">
        <v>23092.540000000005</v>
      </c>
      <c r="J78" s="28" t="s">
        <v>401</v>
      </c>
      <c r="K78" s="28">
        <v>23092.540000000005</v>
      </c>
    </row>
    <row r="79" spans="1:11" x14ac:dyDescent="0.15">
      <c r="A79" s="28">
        <v>1</v>
      </c>
      <c r="B79" s="28">
        <v>2</v>
      </c>
      <c r="C79" s="28">
        <v>7</v>
      </c>
      <c r="D79" s="28">
        <v>9</v>
      </c>
      <c r="E79" s="28">
        <v>11</v>
      </c>
      <c r="F79" s="28" t="str">
        <f>IF(A78&lt;10,0&amp;A78,A78)&amp;","&amp;IF(B78&lt;10,0&amp;B78,B78)&amp;","&amp;IF(C78&lt;10,0&amp;C78,C78)&amp;","&amp;IF(D78&lt;10,0&amp;D78,D78)&amp;","&amp;IF(E78&lt;10,0&amp;E78,E78)</f>
        <v>01,02,07,09,10</v>
      </c>
      <c r="G79" s="28">
        <v>23198.690000000006</v>
      </c>
      <c r="J79" s="28" t="s">
        <v>402</v>
      </c>
      <c r="K79" s="28">
        <v>23198.690000000006</v>
      </c>
    </row>
    <row r="80" spans="1:11" x14ac:dyDescent="0.15">
      <c r="A80" s="28">
        <v>1</v>
      </c>
      <c r="B80" s="28">
        <v>2</v>
      </c>
      <c r="C80" s="28">
        <v>7</v>
      </c>
      <c r="D80" s="28">
        <v>10</v>
      </c>
      <c r="E80" s="28">
        <v>11</v>
      </c>
      <c r="F80" s="28" t="str">
        <f>IF(A79&lt;10,0&amp;A79,A79)&amp;","&amp;IF(B79&lt;10,0&amp;B79,B79)&amp;","&amp;IF(C79&lt;10,0&amp;C79,C79)&amp;","&amp;IF(D79&lt;10,0&amp;D79,D79)&amp;","&amp;IF(E79&lt;10,0&amp;E79,E79)</f>
        <v>01,02,07,09,11</v>
      </c>
      <c r="G80" s="28">
        <v>23235.940000000006</v>
      </c>
      <c r="J80" s="28" t="s">
        <v>403</v>
      </c>
      <c r="K80" s="28">
        <v>23235.940000000006</v>
      </c>
    </row>
    <row r="81" spans="1:11" x14ac:dyDescent="0.15">
      <c r="A81" s="28">
        <v>1</v>
      </c>
      <c r="B81" s="28">
        <v>2</v>
      </c>
      <c r="C81" s="28">
        <v>8</v>
      </c>
      <c r="D81" s="28">
        <v>9</v>
      </c>
      <c r="E81" s="28">
        <v>10</v>
      </c>
      <c r="F81" s="28" t="str">
        <f>IF(A80&lt;10,0&amp;A80,A80)&amp;","&amp;IF(B80&lt;10,0&amp;B80,B80)&amp;","&amp;IF(C80&lt;10,0&amp;C80,C80)&amp;","&amp;IF(D80&lt;10,0&amp;D80,D80)&amp;","&amp;IF(E80&lt;10,0&amp;E80,E80)</f>
        <v>01,02,07,10,11</v>
      </c>
      <c r="G81" s="28">
        <v>23072.760000000002</v>
      </c>
      <c r="J81" s="28" t="s">
        <v>404</v>
      </c>
      <c r="K81" s="28">
        <v>23072.760000000002</v>
      </c>
    </row>
    <row r="82" spans="1:11" x14ac:dyDescent="0.15">
      <c r="A82" s="28">
        <v>1</v>
      </c>
      <c r="B82" s="28">
        <v>2</v>
      </c>
      <c r="C82" s="28">
        <v>8</v>
      </c>
      <c r="D82" s="28">
        <v>9</v>
      </c>
      <c r="E82" s="28">
        <v>11</v>
      </c>
      <c r="F82" s="28" t="str">
        <f>IF(A81&lt;10,0&amp;A81,A81)&amp;","&amp;IF(B81&lt;10,0&amp;B81,B81)&amp;","&amp;IF(C81&lt;10,0&amp;C81,C81)&amp;","&amp;IF(D81&lt;10,0&amp;D81,D81)&amp;","&amp;IF(E81&lt;10,0&amp;E81,E81)</f>
        <v>01,02,08,09,10</v>
      </c>
      <c r="G82" s="28">
        <v>22261.33</v>
      </c>
      <c r="J82" s="28" t="s">
        <v>405</v>
      </c>
      <c r="K82" s="28">
        <v>22261.33</v>
      </c>
    </row>
    <row r="83" spans="1:11" x14ac:dyDescent="0.15">
      <c r="A83" s="28">
        <v>1</v>
      </c>
      <c r="B83" s="28">
        <v>2</v>
      </c>
      <c r="C83" s="28">
        <v>8</v>
      </c>
      <c r="D83" s="28">
        <v>10</v>
      </c>
      <c r="E83" s="28">
        <v>11</v>
      </c>
      <c r="F83" s="28" t="str">
        <f>IF(A82&lt;10,0&amp;A82,A82)&amp;","&amp;IF(B82&lt;10,0&amp;B82,B82)&amp;","&amp;IF(C82&lt;10,0&amp;C82,C82)&amp;","&amp;IF(D82&lt;10,0&amp;D82,D82)&amp;","&amp;IF(E82&lt;10,0&amp;E82,E82)</f>
        <v>01,02,08,09,11</v>
      </c>
      <c r="G83" s="28">
        <v>22253.730000000003</v>
      </c>
      <c r="J83" s="28" t="s">
        <v>406</v>
      </c>
      <c r="K83" s="28">
        <v>22253.730000000003</v>
      </c>
    </row>
    <row r="84" spans="1:11" x14ac:dyDescent="0.15">
      <c r="A84" s="28">
        <v>1</v>
      </c>
      <c r="B84" s="28">
        <v>2</v>
      </c>
      <c r="C84" s="28">
        <v>9</v>
      </c>
      <c r="D84" s="28">
        <v>10</v>
      </c>
      <c r="E84" s="28">
        <v>11</v>
      </c>
      <c r="F84" s="28" t="str">
        <f>IF(A83&lt;10,0&amp;A83,A83)&amp;","&amp;IF(B83&lt;10,0&amp;B83,B83)&amp;","&amp;IF(C83&lt;10,0&amp;C83,C83)&amp;","&amp;IF(D83&lt;10,0&amp;D83,D83)&amp;","&amp;IF(E83&lt;10,0&amp;E83,E83)</f>
        <v>01,02,08,10,11</v>
      </c>
      <c r="G84" s="28">
        <v>22126.960000000003</v>
      </c>
      <c r="J84" s="28" t="s">
        <v>407</v>
      </c>
      <c r="K84" s="28">
        <v>22126.960000000003</v>
      </c>
    </row>
    <row r="85" spans="1:11" x14ac:dyDescent="0.15">
      <c r="A85" s="28">
        <v>1</v>
      </c>
      <c r="B85" s="28">
        <v>3</v>
      </c>
      <c r="C85" s="28">
        <v>4</v>
      </c>
      <c r="D85" s="28">
        <v>5</v>
      </c>
      <c r="E85" s="28">
        <v>6</v>
      </c>
      <c r="F85" s="28" t="str">
        <f>IF(A84&lt;10,0&amp;A84,A84)&amp;","&amp;IF(B84&lt;10,0&amp;B84,B84)&amp;","&amp;IF(C84&lt;10,0&amp;C84,C84)&amp;","&amp;IF(D84&lt;10,0&amp;D84,D84)&amp;","&amp;IF(E84&lt;10,0&amp;E84,E84)</f>
        <v>01,02,09,10,11</v>
      </c>
      <c r="G85" s="28">
        <v>22225.510000000002</v>
      </c>
      <c r="J85" s="28" t="s">
        <v>408</v>
      </c>
      <c r="K85" s="28">
        <v>22225.510000000002</v>
      </c>
    </row>
    <row r="86" spans="1:11" x14ac:dyDescent="0.15">
      <c r="A86" s="28">
        <v>1</v>
      </c>
      <c r="B86" s="28">
        <v>3</v>
      </c>
      <c r="C86" s="28">
        <v>4</v>
      </c>
      <c r="D86" s="28">
        <v>5</v>
      </c>
      <c r="E86" s="28">
        <v>7</v>
      </c>
      <c r="F86" s="28" t="str">
        <f>IF(A85&lt;10,0&amp;A85,A85)&amp;","&amp;IF(B85&lt;10,0&amp;B85,B85)&amp;","&amp;IF(C85&lt;10,0&amp;C85,C85)&amp;","&amp;IF(D85&lt;10,0&amp;D85,D85)&amp;","&amp;IF(E85&lt;10,0&amp;E85,E85)</f>
        <v>01,03,04,05,06</v>
      </c>
      <c r="G86" s="28">
        <v>34684.894999999997</v>
      </c>
      <c r="J86" s="28" t="s">
        <v>409</v>
      </c>
      <c r="K86" s="28">
        <v>34684.894999999997</v>
      </c>
    </row>
    <row r="87" spans="1:11" x14ac:dyDescent="0.15">
      <c r="A87" s="28">
        <v>1</v>
      </c>
      <c r="B87" s="28">
        <v>3</v>
      </c>
      <c r="C87" s="28">
        <v>4</v>
      </c>
      <c r="D87" s="28">
        <v>5</v>
      </c>
      <c r="E87" s="28">
        <v>8</v>
      </c>
      <c r="F87" s="28" t="str">
        <f>IF(A86&lt;10,0&amp;A86,A86)&amp;","&amp;IF(B86&lt;10,0&amp;B86,B86)&amp;","&amp;IF(C86&lt;10,0&amp;C86,C86)&amp;","&amp;IF(D86&lt;10,0&amp;D86,D86)&amp;","&amp;IF(E86&lt;10,0&amp;E86,E86)</f>
        <v>01,03,04,05,07</v>
      </c>
      <c r="G87" s="28">
        <v>32862.57</v>
      </c>
      <c r="J87" s="28" t="s">
        <v>410</v>
      </c>
      <c r="K87" s="28">
        <v>32862.57</v>
      </c>
    </row>
    <row r="88" spans="1:11" x14ac:dyDescent="0.15">
      <c r="A88" s="28">
        <v>1</v>
      </c>
      <c r="B88" s="28">
        <v>3</v>
      </c>
      <c r="C88" s="28">
        <v>4</v>
      </c>
      <c r="D88" s="28">
        <v>5</v>
      </c>
      <c r="E88" s="28">
        <v>9</v>
      </c>
      <c r="F88" s="28" t="str">
        <f>IF(A87&lt;10,0&amp;A87,A87)&amp;","&amp;IF(B87&lt;10,0&amp;B87,B87)&amp;","&amp;IF(C87&lt;10,0&amp;C87,C87)&amp;","&amp;IF(D87&lt;10,0&amp;D87,D87)&amp;","&amp;IF(E87&lt;10,0&amp;E87,E87)</f>
        <v>01,03,04,05,08</v>
      </c>
      <c r="G88" s="28">
        <v>31787</v>
      </c>
      <c r="J88" s="28" t="s">
        <v>411</v>
      </c>
      <c r="K88" s="28">
        <v>31787</v>
      </c>
    </row>
    <row r="89" spans="1:11" x14ac:dyDescent="0.15">
      <c r="A89" s="28">
        <v>1</v>
      </c>
      <c r="B89" s="28">
        <v>3</v>
      </c>
      <c r="C89" s="28">
        <v>4</v>
      </c>
      <c r="D89" s="28">
        <v>5</v>
      </c>
      <c r="E89" s="28">
        <v>10</v>
      </c>
      <c r="F89" s="28" t="str">
        <f>IF(A88&lt;10,0&amp;A88,A88)&amp;","&amp;IF(B88&lt;10,0&amp;B88,B88)&amp;","&amp;IF(C88&lt;10,0&amp;C88,C88)&amp;","&amp;IF(D88&lt;10,0&amp;D88,D88)&amp;","&amp;IF(E88&lt;10,0&amp;E88,E88)</f>
        <v>01,03,04,05,09</v>
      </c>
      <c r="G89" s="28">
        <v>31929.4</v>
      </c>
      <c r="J89" s="28" t="s">
        <v>412</v>
      </c>
      <c r="K89" s="28">
        <v>31929.4</v>
      </c>
    </row>
    <row r="90" spans="1:11" x14ac:dyDescent="0.15">
      <c r="A90" s="28">
        <v>1</v>
      </c>
      <c r="B90" s="28">
        <v>3</v>
      </c>
      <c r="C90" s="28">
        <v>4</v>
      </c>
      <c r="D90" s="28">
        <v>5</v>
      </c>
      <c r="E90" s="28">
        <v>11</v>
      </c>
      <c r="F90" s="28" t="str">
        <f>IF(A89&lt;10,0&amp;A89,A89)&amp;","&amp;IF(B89&lt;10,0&amp;B89,B89)&amp;","&amp;IF(C89&lt;10,0&amp;C89,C89)&amp;","&amp;IF(D89&lt;10,0&amp;D89,D89)&amp;","&amp;IF(E89&lt;10,0&amp;E89,E89)</f>
        <v>01,03,04,05,10</v>
      </c>
      <c r="G90" s="28">
        <v>31786</v>
      </c>
      <c r="J90" s="28" t="s">
        <v>413</v>
      </c>
      <c r="K90" s="28">
        <v>31786</v>
      </c>
    </row>
    <row r="91" spans="1:11" x14ac:dyDescent="0.15">
      <c r="A91" s="28">
        <v>1</v>
      </c>
      <c r="B91" s="28">
        <v>3</v>
      </c>
      <c r="C91" s="28">
        <v>4</v>
      </c>
      <c r="D91" s="28">
        <v>6</v>
      </c>
      <c r="E91" s="28">
        <v>7</v>
      </c>
      <c r="F91" s="28" t="str">
        <f>IF(A90&lt;10,0&amp;A90,A90)&amp;","&amp;IF(B90&lt;10,0&amp;B90,B90)&amp;","&amp;IF(C90&lt;10,0&amp;C90,C90)&amp;","&amp;IF(D90&lt;10,0&amp;D90,D90)&amp;","&amp;IF(E90&lt;10,0&amp;E90,E90)</f>
        <v>01,03,04,05,11</v>
      </c>
      <c r="G91" s="28">
        <v>31823.25</v>
      </c>
      <c r="J91" s="28" t="s">
        <v>414</v>
      </c>
      <c r="K91" s="28">
        <v>31823.25</v>
      </c>
    </row>
    <row r="92" spans="1:11" x14ac:dyDescent="0.15">
      <c r="A92" s="28">
        <v>1</v>
      </c>
      <c r="B92" s="28">
        <v>3</v>
      </c>
      <c r="C92" s="28">
        <v>4</v>
      </c>
      <c r="D92" s="28">
        <v>6</v>
      </c>
      <c r="E92" s="28">
        <v>8</v>
      </c>
      <c r="F92" s="28" t="str">
        <f>IF(A91&lt;10,0&amp;A91,A91)&amp;","&amp;IF(B91&lt;10,0&amp;B91,B91)&amp;","&amp;IF(C91&lt;10,0&amp;C91,C91)&amp;","&amp;IF(D91&lt;10,0&amp;D91,D91)&amp;","&amp;IF(E91&lt;10,0&amp;E91,E91)</f>
        <v>01,03,04,06,07</v>
      </c>
      <c r="G92" s="28">
        <v>30914.62</v>
      </c>
      <c r="J92" s="28" t="s">
        <v>415</v>
      </c>
      <c r="K92" s="28">
        <v>30914.62</v>
      </c>
    </row>
    <row r="93" spans="1:11" x14ac:dyDescent="0.15">
      <c r="A93" s="28">
        <v>1</v>
      </c>
      <c r="B93" s="28">
        <v>3</v>
      </c>
      <c r="C93" s="28">
        <v>4</v>
      </c>
      <c r="D93" s="28">
        <v>6</v>
      </c>
      <c r="E93" s="28">
        <v>9</v>
      </c>
      <c r="F93" s="28" t="str">
        <f>IF(A92&lt;10,0&amp;A92,A92)&amp;","&amp;IF(B92&lt;10,0&amp;B92,B92)&amp;","&amp;IF(C92&lt;10,0&amp;C92,C92)&amp;","&amp;IF(D92&lt;10,0&amp;D92,D92)&amp;","&amp;IF(E92&lt;10,0&amp;E92,E92)</f>
        <v>01,03,04,06,08</v>
      </c>
      <c r="G93" s="28">
        <v>29883.900000000005</v>
      </c>
      <c r="J93" s="28" t="s">
        <v>416</v>
      </c>
      <c r="K93" s="28">
        <v>29883.900000000005</v>
      </c>
    </row>
    <row r="94" spans="1:11" x14ac:dyDescent="0.15">
      <c r="A94" s="28">
        <v>1</v>
      </c>
      <c r="B94" s="28">
        <v>3</v>
      </c>
      <c r="C94" s="28">
        <v>4</v>
      </c>
      <c r="D94" s="28">
        <v>6</v>
      </c>
      <c r="E94" s="28">
        <v>10</v>
      </c>
      <c r="F94" s="28" t="str">
        <f>IF(A93&lt;10,0&amp;A93,A93)&amp;","&amp;IF(B93&lt;10,0&amp;B93,B93)&amp;","&amp;IF(C93&lt;10,0&amp;C93,C93)&amp;","&amp;IF(D93&lt;10,0&amp;D93,D93)&amp;","&amp;IF(E93&lt;10,0&amp;E93,E93)</f>
        <v>01,03,04,06,09</v>
      </c>
      <c r="G94" s="28">
        <v>29981.45</v>
      </c>
      <c r="J94" s="28" t="s">
        <v>417</v>
      </c>
      <c r="K94" s="28">
        <v>29981.45</v>
      </c>
    </row>
    <row r="95" spans="1:11" x14ac:dyDescent="0.15">
      <c r="A95" s="28">
        <v>1</v>
      </c>
      <c r="B95" s="28">
        <v>3</v>
      </c>
      <c r="C95" s="28">
        <v>4</v>
      </c>
      <c r="D95" s="28">
        <v>6</v>
      </c>
      <c r="E95" s="28">
        <v>11</v>
      </c>
      <c r="F95" s="28" t="str">
        <f>IF(A94&lt;10,0&amp;A94,A94)&amp;","&amp;IF(B94&lt;10,0&amp;B94,B94)&amp;","&amp;IF(C94&lt;10,0&amp;C94,C94)&amp;","&amp;IF(D94&lt;10,0&amp;D94,D94)&amp;","&amp;IF(E94&lt;10,0&amp;E94,E94)</f>
        <v>01,03,04,06,10</v>
      </c>
      <c r="G95" s="28">
        <v>29882.900000000005</v>
      </c>
      <c r="J95" s="28" t="s">
        <v>418</v>
      </c>
      <c r="K95" s="28">
        <v>29882.900000000005</v>
      </c>
    </row>
    <row r="96" spans="1:11" x14ac:dyDescent="0.15">
      <c r="A96" s="28">
        <v>1</v>
      </c>
      <c r="B96" s="28">
        <v>3</v>
      </c>
      <c r="C96" s="28">
        <v>4</v>
      </c>
      <c r="D96" s="28">
        <v>7</v>
      </c>
      <c r="E96" s="28">
        <v>8</v>
      </c>
      <c r="F96" s="28" t="str">
        <f>IF(A95&lt;10,0&amp;A95,A95)&amp;","&amp;IF(B95&lt;10,0&amp;B95,B95)&amp;","&amp;IF(C95&lt;10,0&amp;C95,C95)&amp;","&amp;IF(D95&lt;10,0&amp;D95,D95)&amp;","&amp;IF(E95&lt;10,0&amp;E95,E95)</f>
        <v>01,03,04,06,11</v>
      </c>
      <c r="G96" s="28">
        <v>29875.3</v>
      </c>
      <c r="J96" s="28" t="s">
        <v>419</v>
      </c>
      <c r="K96" s="28">
        <v>29875.3</v>
      </c>
    </row>
    <row r="97" spans="1:11" x14ac:dyDescent="0.15">
      <c r="A97" s="28">
        <v>1</v>
      </c>
      <c r="B97" s="28">
        <v>3</v>
      </c>
      <c r="C97" s="28">
        <v>4</v>
      </c>
      <c r="D97" s="28">
        <v>7</v>
      </c>
      <c r="E97" s="28">
        <v>9</v>
      </c>
      <c r="F97" s="28" t="str">
        <f>IF(A96&lt;10,0&amp;A96,A96)&amp;","&amp;IF(B96&lt;10,0&amp;B96,B96)&amp;","&amp;IF(C96&lt;10,0&amp;C96,C96)&amp;","&amp;IF(D96&lt;10,0&amp;D96,D96)&amp;","&amp;IF(E96&lt;10,0&amp;E96,E96)</f>
        <v>01,03,04,07,08</v>
      </c>
      <c r="G97" s="28">
        <v>28282.100000000002</v>
      </c>
      <c r="J97" s="28" t="s">
        <v>420</v>
      </c>
      <c r="K97" s="28">
        <v>28282.100000000002</v>
      </c>
    </row>
    <row r="98" spans="1:11" x14ac:dyDescent="0.15">
      <c r="A98" s="28">
        <v>1</v>
      </c>
      <c r="B98" s="28">
        <v>3</v>
      </c>
      <c r="C98" s="28">
        <v>4</v>
      </c>
      <c r="D98" s="28">
        <v>7</v>
      </c>
      <c r="E98" s="28">
        <v>10</v>
      </c>
      <c r="F98" s="28" t="str">
        <f>IF(A97&lt;10,0&amp;A97,A97)&amp;","&amp;IF(B97&lt;10,0&amp;B97,B97)&amp;","&amp;IF(C97&lt;10,0&amp;C97,C97)&amp;","&amp;IF(D97&lt;10,0&amp;D97,D97)&amp;","&amp;IF(E97&lt;10,0&amp;E97,E97)</f>
        <v>01,03,04,07,09</v>
      </c>
      <c r="G98" s="28">
        <v>28424.500000000004</v>
      </c>
      <c r="J98" s="28" t="s">
        <v>421</v>
      </c>
      <c r="K98" s="28">
        <v>28424.500000000004</v>
      </c>
    </row>
    <row r="99" spans="1:11" x14ac:dyDescent="0.15">
      <c r="A99" s="28">
        <v>1</v>
      </c>
      <c r="B99" s="28">
        <v>3</v>
      </c>
      <c r="C99" s="28">
        <v>4</v>
      </c>
      <c r="D99" s="28">
        <v>7</v>
      </c>
      <c r="E99" s="28">
        <v>11</v>
      </c>
      <c r="F99" s="28" t="str">
        <f>IF(A98&lt;10,0&amp;A98,A98)&amp;","&amp;IF(B98&lt;10,0&amp;B98,B98)&amp;","&amp;IF(C98&lt;10,0&amp;C98,C98)&amp;","&amp;IF(D98&lt;10,0&amp;D98,D98)&amp;","&amp;IF(E98&lt;10,0&amp;E98,E98)</f>
        <v>01,03,04,07,10</v>
      </c>
      <c r="G99" s="28">
        <v>28281.100000000002</v>
      </c>
      <c r="J99" s="28" t="s">
        <v>422</v>
      </c>
      <c r="K99" s="28">
        <v>28281.100000000002</v>
      </c>
    </row>
    <row r="100" spans="1:11" x14ac:dyDescent="0.15">
      <c r="A100" s="28">
        <v>1</v>
      </c>
      <c r="B100" s="28">
        <v>3</v>
      </c>
      <c r="C100" s="28">
        <v>4</v>
      </c>
      <c r="D100" s="28">
        <v>8</v>
      </c>
      <c r="E100" s="28">
        <v>9</v>
      </c>
      <c r="F100" s="28" t="str">
        <f>IF(A99&lt;10,0&amp;A99,A99)&amp;","&amp;IF(B99&lt;10,0&amp;B99,B99)&amp;","&amp;IF(C99&lt;10,0&amp;C99,C99)&amp;","&amp;IF(D99&lt;10,0&amp;D99,D99)&amp;","&amp;IF(E99&lt;10,0&amp;E99,E99)</f>
        <v>01,03,04,07,11</v>
      </c>
      <c r="G100" s="28">
        <v>28318.350000000002</v>
      </c>
      <c r="J100" s="28" t="s">
        <v>423</v>
      </c>
      <c r="K100" s="28">
        <v>28318.350000000002</v>
      </c>
    </row>
    <row r="101" spans="1:11" x14ac:dyDescent="0.15">
      <c r="A101" s="28">
        <v>1</v>
      </c>
      <c r="B101" s="28">
        <v>3</v>
      </c>
      <c r="C101" s="28">
        <v>4</v>
      </c>
      <c r="D101" s="28">
        <v>8</v>
      </c>
      <c r="E101" s="28">
        <v>10</v>
      </c>
      <c r="F101" s="28" t="str">
        <f>IF(A100&lt;10,0&amp;A100,A100)&amp;","&amp;IF(B100&lt;10,0&amp;B100,B100)&amp;","&amp;IF(C100&lt;10,0&amp;C100,C100)&amp;","&amp;IF(D100&lt;10,0&amp;D100,D100)&amp;","&amp;IF(E100&lt;10,0&amp;E100,E100)</f>
        <v>01,03,04,08,09</v>
      </c>
      <c r="G101" s="28">
        <v>27433.850000000002</v>
      </c>
      <c r="J101" s="28" t="s">
        <v>424</v>
      </c>
      <c r="K101" s="28">
        <v>27433.850000000002</v>
      </c>
    </row>
    <row r="102" spans="1:11" x14ac:dyDescent="0.15">
      <c r="A102" s="28">
        <v>1</v>
      </c>
      <c r="B102" s="28">
        <v>3</v>
      </c>
      <c r="C102" s="28">
        <v>4</v>
      </c>
      <c r="D102" s="28">
        <v>8</v>
      </c>
      <c r="E102" s="28">
        <v>11</v>
      </c>
      <c r="F102" s="28" t="str">
        <f>IF(A101&lt;10,0&amp;A101,A101)&amp;","&amp;IF(B101&lt;10,0&amp;B101,B101)&amp;","&amp;IF(C101&lt;10,0&amp;C101,C101)&amp;","&amp;IF(D101&lt;10,0&amp;D101,D101)&amp;","&amp;IF(E101&lt;10,0&amp;E101,E101)</f>
        <v>01,03,04,08,10</v>
      </c>
      <c r="G102" s="28">
        <v>27335.300000000007</v>
      </c>
      <c r="J102" s="28" t="s">
        <v>425</v>
      </c>
      <c r="K102" s="28">
        <v>27335.300000000007</v>
      </c>
    </row>
    <row r="103" spans="1:11" x14ac:dyDescent="0.15">
      <c r="A103" s="28">
        <v>1</v>
      </c>
      <c r="B103" s="28">
        <v>3</v>
      </c>
      <c r="C103" s="28">
        <v>4</v>
      </c>
      <c r="D103" s="28">
        <v>9</v>
      </c>
      <c r="E103" s="28">
        <v>10</v>
      </c>
      <c r="F103" s="28" t="str">
        <f>IF(A102&lt;10,0&amp;A102,A102)&amp;","&amp;IF(B102&lt;10,0&amp;B102,B102)&amp;","&amp;IF(C102&lt;10,0&amp;C102,C102)&amp;","&amp;IF(D102&lt;10,0&amp;D102,D102)&amp;","&amp;IF(E102&lt;10,0&amp;E102,E102)</f>
        <v>01,03,04,08,11</v>
      </c>
      <c r="G103" s="28">
        <v>27327.7</v>
      </c>
      <c r="J103" s="28" t="s">
        <v>426</v>
      </c>
      <c r="K103" s="28">
        <v>27327.7</v>
      </c>
    </row>
    <row r="104" spans="1:11" x14ac:dyDescent="0.15">
      <c r="A104" s="28">
        <v>1</v>
      </c>
      <c r="B104" s="28">
        <v>3</v>
      </c>
      <c r="C104" s="28">
        <v>4</v>
      </c>
      <c r="D104" s="28">
        <v>9</v>
      </c>
      <c r="E104" s="28">
        <v>11</v>
      </c>
      <c r="F104" s="28" t="str">
        <f>IF(A103&lt;10,0&amp;A103,A103)&amp;","&amp;IF(B103&lt;10,0&amp;B103,B103)&amp;","&amp;IF(C103&lt;10,0&amp;C103,C103)&amp;","&amp;IF(D103&lt;10,0&amp;D103,D103)&amp;","&amp;IF(E103&lt;10,0&amp;E103,E103)</f>
        <v>01,03,04,09,10</v>
      </c>
      <c r="G104" s="28">
        <v>27433.850000000002</v>
      </c>
      <c r="J104" s="28" t="s">
        <v>427</v>
      </c>
      <c r="K104" s="28">
        <v>27433.850000000002</v>
      </c>
    </row>
    <row r="105" spans="1:11" x14ac:dyDescent="0.15">
      <c r="A105" s="28">
        <v>1</v>
      </c>
      <c r="B105" s="28">
        <v>3</v>
      </c>
      <c r="C105" s="28">
        <v>4</v>
      </c>
      <c r="D105" s="28">
        <v>10</v>
      </c>
      <c r="E105" s="28">
        <v>11</v>
      </c>
      <c r="F105" s="28" t="str">
        <f>IF(A104&lt;10,0&amp;A104,A104)&amp;","&amp;IF(B104&lt;10,0&amp;B104,B104)&amp;","&amp;IF(C104&lt;10,0&amp;C104,C104)&amp;","&amp;IF(D104&lt;10,0&amp;D104,D104)&amp;","&amp;IF(E104&lt;10,0&amp;E104,E104)</f>
        <v>01,03,04,09,11</v>
      </c>
      <c r="G105" s="28">
        <v>27471.100000000002</v>
      </c>
      <c r="J105" s="28" t="s">
        <v>428</v>
      </c>
      <c r="K105" s="28">
        <v>27471.100000000002</v>
      </c>
    </row>
    <row r="106" spans="1:11" x14ac:dyDescent="0.15">
      <c r="A106" s="28">
        <v>1</v>
      </c>
      <c r="B106" s="28">
        <v>3</v>
      </c>
      <c r="C106" s="28">
        <v>5</v>
      </c>
      <c r="D106" s="28">
        <v>6</v>
      </c>
      <c r="E106" s="28">
        <v>7</v>
      </c>
      <c r="F106" s="28" t="str">
        <f>IF(A105&lt;10,0&amp;A105,A105)&amp;","&amp;IF(B105&lt;10,0&amp;B105,B105)&amp;","&amp;IF(C105&lt;10,0&amp;C105,C105)&amp;","&amp;IF(D105&lt;10,0&amp;D105,D105)&amp;","&amp;IF(E105&lt;10,0&amp;E105,E105)</f>
        <v>01,03,04,10,11</v>
      </c>
      <c r="G106" s="28">
        <v>27299.480000000007</v>
      </c>
      <c r="J106" s="28" t="s">
        <v>429</v>
      </c>
      <c r="K106" s="28">
        <v>27299.480000000007</v>
      </c>
    </row>
    <row r="107" spans="1:11" x14ac:dyDescent="0.15">
      <c r="A107" s="28">
        <v>1</v>
      </c>
      <c r="B107" s="28">
        <v>3</v>
      </c>
      <c r="C107" s="28">
        <v>5</v>
      </c>
      <c r="D107" s="28">
        <v>6</v>
      </c>
      <c r="E107" s="28">
        <v>8</v>
      </c>
      <c r="F107" s="28" t="str">
        <f>IF(A106&lt;10,0&amp;A106,A106)&amp;","&amp;IF(B106&lt;10,0&amp;B106,B106)&amp;","&amp;IF(C106&lt;10,0&amp;C106,C106)&amp;","&amp;IF(D106&lt;10,0&amp;D106,D106)&amp;","&amp;IF(E106&lt;10,0&amp;E106,E106)</f>
        <v>01,03,05,06,07</v>
      </c>
      <c r="G107" s="28">
        <v>30943.430000000004</v>
      </c>
      <c r="J107" s="28" t="s">
        <v>430</v>
      </c>
      <c r="K107" s="28">
        <v>30943.430000000004</v>
      </c>
    </row>
    <row r="108" spans="1:11" x14ac:dyDescent="0.15">
      <c r="A108" s="28">
        <v>1</v>
      </c>
      <c r="B108" s="28">
        <v>3</v>
      </c>
      <c r="C108" s="28">
        <v>5</v>
      </c>
      <c r="D108" s="28">
        <v>6</v>
      </c>
      <c r="E108" s="28">
        <v>9</v>
      </c>
      <c r="F108" s="28" t="str">
        <f>IF(A107&lt;10,0&amp;A107,A107)&amp;","&amp;IF(B107&lt;10,0&amp;B107,B107)&amp;","&amp;IF(C107&lt;10,0&amp;C107,C107)&amp;","&amp;IF(D107&lt;10,0&amp;D107,D107)&amp;","&amp;IF(E107&lt;10,0&amp;E107,E107)</f>
        <v>01,03,05,06,08</v>
      </c>
      <c r="G108" s="28">
        <v>29867.860000000004</v>
      </c>
      <c r="J108" s="28" t="s">
        <v>431</v>
      </c>
      <c r="K108" s="28">
        <v>29867.860000000004</v>
      </c>
    </row>
    <row r="109" spans="1:11" x14ac:dyDescent="0.15">
      <c r="A109" s="28">
        <v>1</v>
      </c>
      <c r="B109" s="28">
        <v>3</v>
      </c>
      <c r="C109" s="28">
        <v>5</v>
      </c>
      <c r="D109" s="28">
        <v>6</v>
      </c>
      <c r="E109" s="28">
        <v>10</v>
      </c>
      <c r="F109" s="28" t="str">
        <f>IF(A108&lt;10,0&amp;A108,A108)&amp;","&amp;IF(B108&lt;10,0&amp;B108,B108)&amp;","&amp;IF(C108&lt;10,0&amp;C108,C108)&amp;","&amp;IF(D108&lt;10,0&amp;D108,D108)&amp;","&amp;IF(E108&lt;10,0&amp;E108,E108)</f>
        <v>01,03,05,06,09</v>
      </c>
      <c r="G109" s="28">
        <v>30010.26</v>
      </c>
      <c r="J109" s="28" t="s">
        <v>432</v>
      </c>
      <c r="K109" s="28">
        <v>30010.26</v>
      </c>
    </row>
    <row r="110" spans="1:11" x14ac:dyDescent="0.15">
      <c r="A110" s="28">
        <v>1</v>
      </c>
      <c r="B110" s="28">
        <v>3</v>
      </c>
      <c r="C110" s="28">
        <v>5</v>
      </c>
      <c r="D110" s="28">
        <v>6</v>
      </c>
      <c r="E110" s="28">
        <v>11</v>
      </c>
      <c r="F110" s="28" t="str">
        <f>IF(A109&lt;10,0&amp;A109,A109)&amp;","&amp;IF(B109&lt;10,0&amp;B109,B109)&amp;","&amp;IF(C109&lt;10,0&amp;C109,C109)&amp;","&amp;IF(D109&lt;10,0&amp;D109,D109)&amp;","&amp;IF(E109&lt;10,0&amp;E109,E109)</f>
        <v>01,03,05,06,10</v>
      </c>
      <c r="G110" s="28">
        <v>29866.860000000004</v>
      </c>
      <c r="J110" s="28" t="s">
        <v>433</v>
      </c>
      <c r="K110" s="28">
        <v>29866.860000000004</v>
      </c>
    </row>
    <row r="111" spans="1:11" x14ac:dyDescent="0.15">
      <c r="A111" s="28">
        <v>1</v>
      </c>
      <c r="B111" s="28">
        <v>3</v>
      </c>
      <c r="C111" s="28">
        <v>5</v>
      </c>
      <c r="D111" s="28">
        <v>7</v>
      </c>
      <c r="E111" s="28">
        <v>8</v>
      </c>
      <c r="F111" s="28" t="str">
        <f>IF(A110&lt;10,0&amp;A110,A110)&amp;","&amp;IF(B110&lt;10,0&amp;B110,B110)&amp;","&amp;IF(C110&lt;10,0&amp;C110,C110)&amp;","&amp;IF(D110&lt;10,0&amp;D110,D110)&amp;","&amp;IF(E110&lt;10,0&amp;E110,E110)</f>
        <v>01,03,05,06,11</v>
      </c>
      <c r="G111" s="28">
        <v>29904.110000000004</v>
      </c>
      <c r="J111" s="28" t="s">
        <v>434</v>
      </c>
      <c r="K111" s="28">
        <v>29904.110000000004</v>
      </c>
    </row>
    <row r="112" spans="1:11" x14ac:dyDescent="0.15">
      <c r="A112" s="28">
        <v>1</v>
      </c>
      <c r="B112" s="28">
        <v>3</v>
      </c>
      <c r="C112" s="28">
        <v>5</v>
      </c>
      <c r="D112" s="28">
        <v>7</v>
      </c>
      <c r="E112" s="28">
        <v>9</v>
      </c>
      <c r="F112" s="28" t="str">
        <f>IF(A111&lt;10,0&amp;A111,A111)&amp;","&amp;IF(B111&lt;10,0&amp;B111,B111)&amp;","&amp;IF(C111&lt;10,0&amp;C111,C111)&amp;","&amp;IF(D111&lt;10,0&amp;D111,D111)&amp;","&amp;IF(E111&lt;10,0&amp;E111,E111)</f>
        <v>01,03,05,07,08</v>
      </c>
      <c r="G112" s="28">
        <v>28204.760000000006</v>
      </c>
      <c r="J112" s="28" t="s">
        <v>435</v>
      </c>
      <c r="K112" s="28">
        <v>28204.760000000006</v>
      </c>
    </row>
    <row r="113" spans="1:11" x14ac:dyDescent="0.15">
      <c r="A113" s="28">
        <v>1</v>
      </c>
      <c r="B113" s="28">
        <v>3</v>
      </c>
      <c r="C113" s="28">
        <v>5</v>
      </c>
      <c r="D113" s="28">
        <v>7</v>
      </c>
      <c r="E113" s="28">
        <v>10</v>
      </c>
      <c r="F113" s="28" t="str">
        <f>IF(A112&lt;10,0&amp;A112,A112)&amp;","&amp;IF(B112&lt;10,0&amp;B112,B112)&amp;","&amp;IF(C112&lt;10,0&amp;C112,C112)&amp;","&amp;IF(D112&lt;10,0&amp;D112,D112)&amp;","&amp;IF(E112&lt;10,0&amp;E112,E112)</f>
        <v>01,03,05,07,09</v>
      </c>
      <c r="G113" s="28">
        <v>28993.660000000007</v>
      </c>
      <c r="J113" s="28" t="s">
        <v>436</v>
      </c>
      <c r="K113" s="28">
        <v>28993.660000000007</v>
      </c>
    </row>
    <row r="114" spans="1:11" x14ac:dyDescent="0.15">
      <c r="A114" s="28">
        <v>1</v>
      </c>
      <c r="B114" s="28">
        <v>3</v>
      </c>
      <c r="C114" s="28">
        <v>5</v>
      </c>
      <c r="D114" s="28">
        <v>7</v>
      </c>
      <c r="E114" s="28">
        <v>11</v>
      </c>
      <c r="F114" s="28" t="str">
        <f>IF(A113&lt;10,0&amp;A113,A113)&amp;","&amp;IF(B113&lt;10,0&amp;B113,B113)&amp;","&amp;IF(C113&lt;10,0&amp;C113,C113)&amp;","&amp;IF(D113&lt;10,0&amp;D113,D113)&amp;","&amp;IF(E113&lt;10,0&amp;E113,E113)</f>
        <v>01,03,05,07,10</v>
      </c>
      <c r="G114" s="28">
        <v>28203.760000000006</v>
      </c>
      <c r="J114" s="28" t="s">
        <v>437</v>
      </c>
      <c r="K114" s="28">
        <v>28203.760000000006</v>
      </c>
    </row>
    <row r="115" spans="1:11" x14ac:dyDescent="0.15">
      <c r="A115" s="28">
        <v>1</v>
      </c>
      <c r="B115" s="28">
        <v>3</v>
      </c>
      <c r="C115" s="28">
        <v>5</v>
      </c>
      <c r="D115" s="28">
        <v>8</v>
      </c>
      <c r="E115" s="28">
        <v>9</v>
      </c>
      <c r="F115" s="28" t="str">
        <f>IF(A114&lt;10,0&amp;A114,A114)&amp;","&amp;IF(B114&lt;10,0&amp;B114,B114)&amp;","&amp;IF(C114&lt;10,0&amp;C114,C114)&amp;","&amp;IF(D114&lt;10,0&amp;D114,D114)&amp;","&amp;IF(E114&lt;10,0&amp;E114,E114)</f>
        <v>01,03,05,07,11</v>
      </c>
      <c r="G115" s="28">
        <v>28887.510000000006</v>
      </c>
      <c r="J115" s="28" t="s">
        <v>438</v>
      </c>
      <c r="K115" s="28">
        <v>28887.510000000006</v>
      </c>
    </row>
    <row r="116" spans="1:11" x14ac:dyDescent="0.15">
      <c r="A116" s="28">
        <v>1</v>
      </c>
      <c r="B116" s="28">
        <v>3</v>
      </c>
      <c r="C116" s="28">
        <v>5</v>
      </c>
      <c r="D116" s="28">
        <v>8</v>
      </c>
      <c r="E116" s="28">
        <v>10</v>
      </c>
      <c r="F116" s="28" t="str">
        <f>IF(A115&lt;10,0&amp;A115,A115)&amp;","&amp;IF(B115&lt;10,0&amp;B115,B115)&amp;","&amp;IF(C115&lt;10,0&amp;C115,C115)&amp;","&amp;IF(D115&lt;10,0&amp;D115,D115)&amp;","&amp;IF(E115&lt;10,0&amp;E115,E115)</f>
        <v>01,03,05,08,09</v>
      </c>
      <c r="G116" s="28">
        <v>27356.510000000006</v>
      </c>
      <c r="J116" s="28" t="s">
        <v>439</v>
      </c>
      <c r="K116" s="28">
        <v>27356.510000000006</v>
      </c>
    </row>
    <row r="117" spans="1:11" x14ac:dyDescent="0.15">
      <c r="A117" s="28">
        <v>1</v>
      </c>
      <c r="B117" s="28">
        <v>3</v>
      </c>
      <c r="C117" s="28">
        <v>5</v>
      </c>
      <c r="D117" s="28">
        <v>8</v>
      </c>
      <c r="E117" s="28">
        <v>11</v>
      </c>
      <c r="F117" s="28" t="str">
        <f>IF(A116&lt;10,0&amp;A116,A116)&amp;","&amp;IF(B116&lt;10,0&amp;B116,B116)&amp;","&amp;IF(C116&lt;10,0&amp;C116,C116)&amp;","&amp;IF(D116&lt;10,0&amp;D116,D116)&amp;","&amp;IF(E116&lt;10,0&amp;E116,E116)</f>
        <v>01,03,05,08,10</v>
      </c>
      <c r="G117" s="28">
        <v>27213.110000000004</v>
      </c>
      <c r="J117" s="28" t="s">
        <v>440</v>
      </c>
      <c r="K117" s="28">
        <v>27213.110000000004</v>
      </c>
    </row>
    <row r="118" spans="1:11" x14ac:dyDescent="0.15">
      <c r="A118" s="28">
        <v>1</v>
      </c>
      <c r="B118" s="28">
        <v>3</v>
      </c>
      <c r="C118" s="28">
        <v>5</v>
      </c>
      <c r="D118" s="28">
        <v>9</v>
      </c>
      <c r="E118" s="28">
        <v>10</v>
      </c>
      <c r="F118" s="28" t="str">
        <f>IF(A117&lt;10,0&amp;A117,A117)&amp;","&amp;IF(B117&lt;10,0&amp;B117,B117)&amp;","&amp;IF(C117&lt;10,0&amp;C117,C117)&amp;","&amp;IF(D117&lt;10,0&amp;D117,D117)&amp;","&amp;IF(E117&lt;10,0&amp;E117,E117)</f>
        <v>01,03,05,08,11</v>
      </c>
      <c r="G118" s="28">
        <v>27250.360000000004</v>
      </c>
      <c r="J118" s="28" t="s">
        <v>441</v>
      </c>
      <c r="K118" s="28">
        <v>27250.360000000004</v>
      </c>
    </row>
    <row r="119" spans="1:11" x14ac:dyDescent="0.15">
      <c r="A119" s="28">
        <v>1</v>
      </c>
      <c r="B119" s="28">
        <v>3</v>
      </c>
      <c r="C119" s="28">
        <v>5</v>
      </c>
      <c r="D119" s="28">
        <v>9</v>
      </c>
      <c r="E119" s="28">
        <v>11</v>
      </c>
      <c r="F119" s="28" t="str">
        <f>IF(A118&lt;10,0&amp;A118,A118)&amp;","&amp;IF(B118&lt;10,0&amp;B118,B118)&amp;","&amp;IF(C118&lt;10,0&amp;C118,C118)&amp;","&amp;IF(D118&lt;10,0&amp;D118,D118)&amp;","&amp;IF(E118&lt;10,0&amp;E118,E118)</f>
        <v>01,03,05,09,10</v>
      </c>
      <c r="G119" s="28">
        <v>27356.510000000006</v>
      </c>
      <c r="J119" s="28" t="s">
        <v>442</v>
      </c>
      <c r="K119" s="28">
        <v>27356.510000000006</v>
      </c>
    </row>
    <row r="120" spans="1:11" x14ac:dyDescent="0.15">
      <c r="A120" s="28">
        <v>1</v>
      </c>
      <c r="B120" s="28">
        <v>3</v>
      </c>
      <c r="C120" s="28">
        <v>5</v>
      </c>
      <c r="D120" s="28">
        <v>10</v>
      </c>
      <c r="E120" s="28">
        <v>11</v>
      </c>
      <c r="F120" s="28" t="str">
        <f>IF(A119&lt;10,0&amp;A119,A119)&amp;","&amp;IF(B119&lt;10,0&amp;B119,B119)&amp;","&amp;IF(C119&lt;10,0&amp;C119,C119)&amp;","&amp;IF(D119&lt;10,0&amp;D119,D119)&amp;","&amp;IF(E119&lt;10,0&amp;E119,E119)</f>
        <v>01,03,05,09,11</v>
      </c>
      <c r="G120" s="28">
        <v>28040.260000000006</v>
      </c>
      <c r="J120" s="28" t="s">
        <v>443</v>
      </c>
      <c r="K120" s="28">
        <v>28040.260000000006</v>
      </c>
    </row>
    <row r="121" spans="1:11" x14ac:dyDescent="0.15">
      <c r="A121" s="28">
        <v>1</v>
      </c>
      <c r="B121" s="28">
        <v>3</v>
      </c>
      <c r="C121" s="28">
        <v>6</v>
      </c>
      <c r="D121" s="28">
        <v>7</v>
      </c>
      <c r="E121" s="28">
        <v>8</v>
      </c>
      <c r="F121" s="28" t="str">
        <f>IF(A120&lt;10,0&amp;A120,A120)&amp;","&amp;IF(B120&lt;10,0&amp;B120,B120)&amp;","&amp;IF(C120&lt;10,0&amp;C120,C120)&amp;","&amp;IF(D120&lt;10,0&amp;D120,D120)&amp;","&amp;IF(E120&lt;10,0&amp;E120,E120)</f>
        <v>01,03,05,10,11</v>
      </c>
      <c r="G121" s="28">
        <v>27230.580000000005</v>
      </c>
      <c r="J121" s="28" t="s">
        <v>444</v>
      </c>
      <c r="K121" s="28">
        <v>27230.580000000005</v>
      </c>
    </row>
    <row r="122" spans="1:11" x14ac:dyDescent="0.15">
      <c r="A122" s="28">
        <v>1</v>
      </c>
      <c r="B122" s="28">
        <v>3</v>
      </c>
      <c r="C122" s="28">
        <v>6</v>
      </c>
      <c r="D122" s="28">
        <v>7</v>
      </c>
      <c r="E122" s="28">
        <v>9</v>
      </c>
      <c r="F122" s="28" t="str">
        <f>IF(A121&lt;10,0&amp;A121,A121)&amp;","&amp;IF(B121&lt;10,0&amp;B121,B121)&amp;","&amp;IF(C121&lt;10,0&amp;C121,C121)&amp;","&amp;IF(D121&lt;10,0&amp;D121,D121)&amp;","&amp;IF(E121&lt;10,0&amp;E121,E121)</f>
        <v>01,03,06,07,08</v>
      </c>
      <c r="G122" s="28">
        <v>26254.82</v>
      </c>
      <c r="J122" s="28" t="s">
        <v>445</v>
      </c>
      <c r="K122" s="28">
        <v>26254.82</v>
      </c>
    </row>
    <row r="123" spans="1:11" x14ac:dyDescent="0.15">
      <c r="A123" s="28">
        <v>1</v>
      </c>
      <c r="B123" s="28">
        <v>3</v>
      </c>
      <c r="C123" s="28">
        <v>6</v>
      </c>
      <c r="D123" s="28">
        <v>7</v>
      </c>
      <c r="E123" s="28">
        <v>10</v>
      </c>
      <c r="F123" s="28" t="str">
        <f>IF(A122&lt;10,0&amp;A122,A122)&amp;","&amp;IF(B122&lt;10,0&amp;B122,B122)&amp;","&amp;IF(C122&lt;10,0&amp;C122,C122)&amp;","&amp;IF(D122&lt;10,0&amp;D122,D122)&amp;","&amp;IF(E122&lt;10,0&amp;E122,E122)</f>
        <v>01,03,06,07,09</v>
      </c>
      <c r="G123" s="28">
        <v>26397.22</v>
      </c>
      <c r="J123" s="28" t="s">
        <v>446</v>
      </c>
      <c r="K123" s="28">
        <v>26397.22</v>
      </c>
    </row>
    <row r="124" spans="1:11" x14ac:dyDescent="0.15">
      <c r="A124" s="28">
        <v>1</v>
      </c>
      <c r="B124" s="28">
        <v>3</v>
      </c>
      <c r="C124" s="28">
        <v>6</v>
      </c>
      <c r="D124" s="28">
        <v>7</v>
      </c>
      <c r="E124" s="28">
        <v>11</v>
      </c>
      <c r="F124" s="28" t="str">
        <f>IF(A123&lt;10,0&amp;A123,A123)&amp;","&amp;IF(B123&lt;10,0&amp;B123,B123)&amp;","&amp;IF(C123&lt;10,0&amp;C123,C123)&amp;","&amp;IF(D123&lt;10,0&amp;D123,D123)&amp;","&amp;IF(E123&lt;10,0&amp;E123,E123)</f>
        <v>01,03,06,07,10</v>
      </c>
      <c r="G124" s="28">
        <v>26253.82</v>
      </c>
      <c r="J124" s="28" t="s">
        <v>447</v>
      </c>
      <c r="K124" s="28">
        <v>26253.82</v>
      </c>
    </row>
    <row r="125" spans="1:11" x14ac:dyDescent="0.15">
      <c r="A125" s="28">
        <v>1</v>
      </c>
      <c r="B125" s="28">
        <v>3</v>
      </c>
      <c r="C125" s="28">
        <v>6</v>
      </c>
      <c r="D125" s="28">
        <v>8</v>
      </c>
      <c r="E125" s="28">
        <v>9</v>
      </c>
      <c r="F125" s="28" t="str">
        <f>IF(A124&lt;10,0&amp;A124,A124)&amp;","&amp;IF(B124&lt;10,0&amp;B124,B124)&amp;","&amp;IF(C124&lt;10,0&amp;C124,C124)&amp;","&amp;IF(D124&lt;10,0&amp;D124,D124)&amp;","&amp;IF(E124&lt;10,0&amp;E124,E124)</f>
        <v>01,03,06,07,11</v>
      </c>
      <c r="G125" s="28">
        <v>26291.07</v>
      </c>
      <c r="J125" s="28" t="s">
        <v>448</v>
      </c>
      <c r="K125" s="28">
        <v>26291.07</v>
      </c>
    </row>
    <row r="126" spans="1:11" x14ac:dyDescent="0.15">
      <c r="A126" s="28">
        <v>1</v>
      </c>
      <c r="B126" s="28">
        <v>3</v>
      </c>
      <c r="C126" s="28">
        <v>6</v>
      </c>
      <c r="D126" s="28">
        <v>8</v>
      </c>
      <c r="E126" s="28">
        <v>10</v>
      </c>
      <c r="F126" s="28" t="str">
        <f>IF(A125&lt;10,0&amp;A125,A125)&amp;","&amp;IF(B125&lt;10,0&amp;B125,B125)&amp;","&amp;IF(C125&lt;10,0&amp;C125,C125)&amp;","&amp;IF(D125&lt;10,0&amp;D125,D125)&amp;","&amp;IF(E125&lt;10,0&amp;E125,E125)</f>
        <v>01,03,06,08,09</v>
      </c>
      <c r="G126" s="28">
        <v>25406.57</v>
      </c>
      <c r="J126" s="28" t="s">
        <v>449</v>
      </c>
      <c r="K126" s="28">
        <v>25406.57</v>
      </c>
    </row>
    <row r="127" spans="1:11" x14ac:dyDescent="0.15">
      <c r="A127" s="28">
        <v>1</v>
      </c>
      <c r="B127" s="28">
        <v>3</v>
      </c>
      <c r="C127" s="28">
        <v>6</v>
      </c>
      <c r="D127" s="28">
        <v>8</v>
      </c>
      <c r="E127" s="28">
        <v>11</v>
      </c>
      <c r="F127" s="28" t="str">
        <f>IF(A126&lt;10,0&amp;A126,A126)&amp;","&amp;IF(B126&lt;10,0&amp;B126,B126)&amp;","&amp;IF(C126&lt;10,0&amp;C126,C126)&amp;","&amp;IF(D126&lt;10,0&amp;D126,D126)&amp;","&amp;IF(E126&lt;10,0&amp;E126,E126)</f>
        <v>01,03,06,08,10</v>
      </c>
      <c r="G127" s="28">
        <v>25308.020000000004</v>
      </c>
      <c r="J127" s="28" t="s">
        <v>450</v>
      </c>
      <c r="K127" s="28">
        <v>25308.020000000004</v>
      </c>
    </row>
    <row r="128" spans="1:11" x14ac:dyDescent="0.15">
      <c r="A128" s="28">
        <v>1</v>
      </c>
      <c r="B128" s="28">
        <v>3</v>
      </c>
      <c r="C128" s="28">
        <v>6</v>
      </c>
      <c r="D128" s="28">
        <v>9</v>
      </c>
      <c r="E128" s="28">
        <v>10</v>
      </c>
      <c r="F128" s="28" t="str">
        <f>IF(A127&lt;10,0&amp;A127,A127)&amp;","&amp;IF(B127&lt;10,0&amp;B127,B127)&amp;","&amp;IF(C127&lt;10,0&amp;C127,C127)&amp;","&amp;IF(D127&lt;10,0&amp;D127,D127)&amp;","&amp;IF(E127&lt;10,0&amp;E127,E127)</f>
        <v>01,03,06,08,11</v>
      </c>
      <c r="G128" s="28">
        <v>25300.42</v>
      </c>
      <c r="J128" s="28" t="s">
        <v>451</v>
      </c>
      <c r="K128" s="28">
        <v>25300.42</v>
      </c>
    </row>
    <row r="129" spans="1:11" x14ac:dyDescent="0.15">
      <c r="A129" s="28">
        <v>1</v>
      </c>
      <c r="B129" s="28">
        <v>3</v>
      </c>
      <c r="C129" s="28">
        <v>6</v>
      </c>
      <c r="D129" s="28">
        <v>9</v>
      </c>
      <c r="E129" s="28">
        <v>11</v>
      </c>
      <c r="F129" s="28" t="str">
        <f>IF(A128&lt;10,0&amp;A128,A128)&amp;","&amp;IF(B128&lt;10,0&amp;B128,B128)&amp;","&amp;IF(C128&lt;10,0&amp;C128,C128)&amp;","&amp;IF(D128&lt;10,0&amp;D128,D128)&amp;","&amp;IF(E128&lt;10,0&amp;E128,E128)</f>
        <v>01,03,06,09,10</v>
      </c>
      <c r="G129" s="28">
        <v>25406.57</v>
      </c>
      <c r="J129" s="28" t="s">
        <v>452</v>
      </c>
      <c r="K129" s="28">
        <v>25406.57</v>
      </c>
    </row>
    <row r="130" spans="1:11" x14ac:dyDescent="0.15">
      <c r="A130" s="28">
        <v>1</v>
      </c>
      <c r="B130" s="28">
        <v>3</v>
      </c>
      <c r="C130" s="28">
        <v>6</v>
      </c>
      <c r="D130" s="28">
        <v>10</v>
      </c>
      <c r="E130" s="28">
        <v>11</v>
      </c>
      <c r="F130" s="28" t="str">
        <f>IF(A129&lt;10,0&amp;A129,A129)&amp;","&amp;IF(B129&lt;10,0&amp;B129,B129)&amp;","&amp;IF(C129&lt;10,0&amp;C129,C129)&amp;","&amp;IF(D129&lt;10,0&amp;D129,D129)&amp;","&amp;IF(E129&lt;10,0&amp;E129,E129)</f>
        <v>01,03,06,09,11</v>
      </c>
      <c r="G130" s="28">
        <v>25443.82</v>
      </c>
      <c r="J130" s="28" t="s">
        <v>453</v>
      </c>
      <c r="K130" s="28">
        <v>25443.82</v>
      </c>
    </row>
    <row r="131" spans="1:11" x14ac:dyDescent="0.15">
      <c r="A131" s="28">
        <v>1</v>
      </c>
      <c r="B131" s="28">
        <v>3</v>
      </c>
      <c r="C131" s="28">
        <v>7</v>
      </c>
      <c r="D131" s="28">
        <v>8</v>
      </c>
      <c r="E131" s="28">
        <v>9</v>
      </c>
      <c r="F131" s="28" t="str">
        <f>IF(A130&lt;10,0&amp;A130,A130)&amp;","&amp;IF(B130&lt;10,0&amp;B130,B130)&amp;","&amp;IF(C130&lt;10,0&amp;C130,C130)&amp;","&amp;IF(D130&lt;10,0&amp;D130,D130)&amp;","&amp;IF(E130&lt;10,0&amp;E130,E130)</f>
        <v>01,03,06,10,11</v>
      </c>
      <c r="G131" s="28">
        <v>25282.630000000005</v>
      </c>
      <c r="J131" s="28" t="s">
        <v>454</v>
      </c>
      <c r="K131" s="28">
        <v>25282.630000000005</v>
      </c>
    </row>
    <row r="132" spans="1:11" x14ac:dyDescent="0.15">
      <c r="A132" s="28">
        <v>1</v>
      </c>
      <c r="B132" s="28">
        <v>3</v>
      </c>
      <c r="C132" s="28">
        <v>7</v>
      </c>
      <c r="D132" s="28">
        <v>8</v>
      </c>
      <c r="E132" s="28">
        <v>10</v>
      </c>
      <c r="F132" s="28" t="str">
        <f>IF(A131&lt;10,0&amp;A131,A131)&amp;","&amp;IF(B131&lt;10,0&amp;B131,B131)&amp;","&amp;IF(C131&lt;10,0&amp;C131,C131)&amp;","&amp;IF(D131&lt;10,0&amp;D131,D131)&amp;","&amp;IF(E131&lt;10,0&amp;E131,E131)</f>
        <v>01,03,07,08,09</v>
      </c>
      <c r="G132" s="28">
        <v>23851.610000000008</v>
      </c>
      <c r="J132" s="28" t="s">
        <v>455</v>
      </c>
      <c r="K132" s="28">
        <v>23851.610000000008</v>
      </c>
    </row>
    <row r="133" spans="1:11" x14ac:dyDescent="0.15">
      <c r="A133" s="28">
        <v>1</v>
      </c>
      <c r="B133" s="28">
        <v>3</v>
      </c>
      <c r="C133" s="28">
        <v>7</v>
      </c>
      <c r="D133" s="28">
        <v>8</v>
      </c>
      <c r="E133" s="28">
        <v>11</v>
      </c>
      <c r="F133" s="28" t="str">
        <f>IF(A132&lt;10,0&amp;A132,A132)&amp;","&amp;IF(B132&lt;10,0&amp;B132,B132)&amp;","&amp;IF(C132&lt;10,0&amp;C132,C132)&amp;","&amp;IF(D132&lt;10,0&amp;D132,D132)&amp;","&amp;IF(E132&lt;10,0&amp;E132,E132)</f>
        <v>01,03,07,08,10</v>
      </c>
      <c r="G133" s="28">
        <v>23708.210000000006</v>
      </c>
      <c r="J133" s="28" t="s">
        <v>456</v>
      </c>
      <c r="K133" s="28">
        <v>23708.210000000006</v>
      </c>
    </row>
    <row r="134" spans="1:11" x14ac:dyDescent="0.15">
      <c r="A134" s="28">
        <v>1</v>
      </c>
      <c r="B134" s="28">
        <v>3</v>
      </c>
      <c r="C134" s="28">
        <v>7</v>
      </c>
      <c r="D134" s="28">
        <v>9</v>
      </c>
      <c r="E134" s="28">
        <v>10</v>
      </c>
      <c r="F134" s="28" t="str">
        <f>IF(A133&lt;10,0&amp;A133,A133)&amp;","&amp;IF(B133&lt;10,0&amp;B133,B133)&amp;","&amp;IF(C133&lt;10,0&amp;C133,C133)&amp;","&amp;IF(D133&lt;10,0&amp;D133,D133)&amp;","&amp;IF(E133&lt;10,0&amp;E133,E133)</f>
        <v>01,03,07,08,11</v>
      </c>
      <c r="G134" s="28">
        <v>23745.460000000006</v>
      </c>
      <c r="J134" s="28" t="s">
        <v>457</v>
      </c>
      <c r="K134" s="28">
        <v>23745.460000000006</v>
      </c>
    </row>
    <row r="135" spans="1:11" x14ac:dyDescent="0.15">
      <c r="A135" s="28">
        <v>1</v>
      </c>
      <c r="B135" s="28">
        <v>3</v>
      </c>
      <c r="C135" s="28">
        <v>7</v>
      </c>
      <c r="D135" s="28">
        <v>9</v>
      </c>
      <c r="E135" s="28">
        <v>11</v>
      </c>
      <c r="F135" s="28" t="str">
        <f>IF(A134&lt;10,0&amp;A134,A134)&amp;","&amp;IF(B134&lt;10,0&amp;B134,B134)&amp;","&amp;IF(C134&lt;10,0&amp;C134,C134)&amp;","&amp;IF(D134&lt;10,0&amp;D134,D134)&amp;","&amp;IF(E134&lt;10,0&amp;E134,E134)</f>
        <v>01,03,07,09,10</v>
      </c>
      <c r="G135" s="28">
        <v>23851.610000000008</v>
      </c>
      <c r="J135" s="28" t="s">
        <v>458</v>
      </c>
      <c r="K135" s="28">
        <v>23851.610000000008</v>
      </c>
    </row>
    <row r="136" spans="1:11" x14ac:dyDescent="0.15">
      <c r="A136" s="28">
        <v>1</v>
      </c>
      <c r="B136" s="28">
        <v>3</v>
      </c>
      <c r="C136" s="28">
        <v>7</v>
      </c>
      <c r="D136" s="28">
        <v>10</v>
      </c>
      <c r="E136" s="28">
        <v>11</v>
      </c>
      <c r="F136" s="28" t="str">
        <f>IF(A135&lt;10,0&amp;A135,A135)&amp;","&amp;IF(B135&lt;10,0&amp;B135,B135)&amp;","&amp;IF(C135&lt;10,0&amp;C135,C135)&amp;","&amp;IF(D135&lt;10,0&amp;D135,D135)&amp;","&amp;IF(E135&lt;10,0&amp;E135,E135)</f>
        <v>01,03,07,09,11</v>
      </c>
      <c r="G136" s="28">
        <v>24535.360000000008</v>
      </c>
      <c r="J136" s="28" t="s">
        <v>459</v>
      </c>
      <c r="K136" s="28">
        <v>24535.360000000008</v>
      </c>
    </row>
    <row r="137" spans="1:11" x14ac:dyDescent="0.15">
      <c r="A137" s="28">
        <v>1</v>
      </c>
      <c r="B137" s="28">
        <v>3</v>
      </c>
      <c r="C137" s="28">
        <v>8</v>
      </c>
      <c r="D137" s="28">
        <v>9</v>
      </c>
      <c r="E137" s="28">
        <v>10</v>
      </c>
      <c r="F137" s="28" t="str">
        <f>IF(A136&lt;10,0&amp;A136,A136)&amp;","&amp;IF(B136&lt;10,0&amp;B136,B136)&amp;","&amp;IF(C136&lt;10,0&amp;C136,C136)&amp;","&amp;IF(D136&lt;10,0&amp;D136,D136)&amp;","&amp;IF(E136&lt;10,0&amp;E136,E136)</f>
        <v>01,03,07,10,11</v>
      </c>
      <c r="G137" s="28">
        <v>23725.680000000008</v>
      </c>
      <c r="J137" s="28" t="s">
        <v>460</v>
      </c>
      <c r="K137" s="28">
        <v>23725.680000000008</v>
      </c>
    </row>
    <row r="138" spans="1:11" x14ac:dyDescent="0.15">
      <c r="A138" s="28">
        <v>1</v>
      </c>
      <c r="B138" s="28">
        <v>3</v>
      </c>
      <c r="C138" s="28">
        <v>8</v>
      </c>
      <c r="D138" s="28">
        <v>9</v>
      </c>
      <c r="E138" s="28">
        <v>11</v>
      </c>
      <c r="F138" s="28" t="str">
        <f>IF(A137&lt;10,0&amp;A137,A137)&amp;","&amp;IF(B137&lt;10,0&amp;B137,B137)&amp;","&amp;IF(C137&lt;10,0&amp;C137,C137)&amp;","&amp;IF(D137&lt;10,0&amp;D137,D137)&amp;","&amp;IF(E137&lt;10,0&amp;E137,E137)</f>
        <v>01,03,08,09,10</v>
      </c>
      <c r="G138" s="28">
        <v>22869.4</v>
      </c>
      <c r="J138" s="28" t="s">
        <v>461</v>
      </c>
      <c r="K138" s="28">
        <v>22869.4</v>
      </c>
    </row>
    <row r="139" spans="1:11" x14ac:dyDescent="0.15">
      <c r="A139" s="28">
        <v>1</v>
      </c>
      <c r="B139" s="28">
        <v>3</v>
      </c>
      <c r="C139" s="28">
        <v>8</v>
      </c>
      <c r="D139" s="28">
        <v>10</v>
      </c>
      <c r="E139" s="28">
        <v>11</v>
      </c>
      <c r="F139" s="28" t="str">
        <f>IF(A138&lt;10,0&amp;A138,A138)&amp;","&amp;IF(B138&lt;10,0&amp;B138,B138)&amp;","&amp;IF(C138&lt;10,0&amp;C138,C138)&amp;","&amp;IF(D138&lt;10,0&amp;D138,D138)&amp;","&amp;IF(E138&lt;10,0&amp;E138,E138)</f>
        <v>01,03,08,09,11</v>
      </c>
      <c r="G139" s="28">
        <v>22906.65</v>
      </c>
      <c r="J139" s="28" t="s">
        <v>462</v>
      </c>
      <c r="K139" s="28">
        <v>22906.65</v>
      </c>
    </row>
    <row r="140" spans="1:11" x14ac:dyDescent="0.15">
      <c r="A140" s="28">
        <v>1</v>
      </c>
      <c r="B140" s="28">
        <v>3</v>
      </c>
      <c r="C140" s="28">
        <v>9</v>
      </c>
      <c r="D140" s="28">
        <v>10</v>
      </c>
      <c r="E140" s="28">
        <v>11</v>
      </c>
      <c r="F140" s="28" t="str">
        <f>IF(A139&lt;10,0&amp;A139,A139)&amp;","&amp;IF(B139&lt;10,0&amp;B139,B139)&amp;","&amp;IF(C139&lt;10,0&amp;C139,C139)&amp;","&amp;IF(D139&lt;10,0&amp;D139,D139)&amp;","&amp;IF(E139&lt;10,0&amp;E139,E139)</f>
        <v>01,03,08,10,11</v>
      </c>
      <c r="G140" s="28">
        <v>22735.030000000006</v>
      </c>
      <c r="J140" s="28" t="s">
        <v>463</v>
      </c>
      <c r="K140" s="28">
        <v>22735.030000000006</v>
      </c>
    </row>
    <row r="141" spans="1:11" x14ac:dyDescent="0.15">
      <c r="A141" s="28">
        <v>1</v>
      </c>
      <c r="B141" s="28">
        <v>4</v>
      </c>
      <c r="C141" s="28">
        <v>5</v>
      </c>
      <c r="D141" s="28">
        <v>6</v>
      </c>
      <c r="E141" s="28">
        <v>7</v>
      </c>
      <c r="F141" s="28" t="str">
        <f>IF(A140&lt;10,0&amp;A140,A140)&amp;","&amp;IF(B140&lt;10,0&amp;B140,B140)&amp;","&amp;IF(C140&lt;10,0&amp;C140,C140)&amp;","&amp;IF(D140&lt;10,0&amp;D140,D140)&amp;","&amp;IF(E140&lt;10,0&amp;E140,E140)</f>
        <v>01,03,09,10,11</v>
      </c>
      <c r="G141" s="28">
        <v>22878.430000000008</v>
      </c>
      <c r="J141" s="28" t="s">
        <v>464</v>
      </c>
      <c r="K141" s="28">
        <v>22878.430000000008</v>
      </c>
    </row>
    <row r="142" spans="1:11" x14ac:dyDescent="0.15">
      <c r="A142" s="28">
        <v>1</v>
      </c>
      <c r="B142" s="28">
        <v>4</v>
      </c>
      <c r="C142" s="28">
        <v>5</v>
      </c>
      <c r="D142" s="28">
        <v>6</v>
      </c>
      <c r="E142" s="28">
        <v>8</v>
      </c>
      <c r="F142" s="28" t="str">
        <f>IF(A141&lt;10,0&amp;A141,A141)&amp;","&amp;IF(B141&lt;10,0&amp;B141,B141)&amp;","&amp;IF(C141&lt;10,0&amp;C141,C141)&amp;","&amp;IF(D141&lt;10,0&amp;D141,D141)&amp;","&amp;IF(E141&lt;10,0&amp;E141,E141)</f>
        <v>01,04,05,06,07</v>
      </c>
      <c r="G142" s="28">
        <v>33485.625</v>
      </c>
      <c r="J142" s="28" t="s">
        <v>465</v>
      </c>
      <c r="K142" s="28">
        <v>33485.625</v>
      </c>
    </row>
    <row r="143" spans="1:11" x14ac:dyDescent="0.15">
      <c r="A143" s="28">
        <v>1</v>
      </c>
      <c r="B143" s="28">
        <v>4</v>
      </c>
      <c r="C143" s="28">
        <v>5</v>
      </c>
      <c r="D143" s="28">
        <v>6</v>
      </c>
      <c r="E143" s="28">
        <v>9</v>
      </c>
      <c r="F143" s="28" t="str">
        <f>IF(A142&lt;10,0&amp;A142,A142)&amp;","&amp;IF(B142&lt;10,0&amp;B142,B142)&amp;","&amp;IF(C142&lt;10,0&amp;C142,C142)&amp;","&amp;IF(D142&lt;10,0&amp;D142,D142)&amp;","&amp;IF(E142&lt;10,0&amp;E142,E142)</f>
        <v>01,04,05,06,08</v>
      </c>
      <c r="G143" s="28">
        <v>32752.125</v>
      </c>
      <c r="J143" s="28" t="s">
        <v>466</v>
      </c>
      <c r="K143" s="28">
        <v>32752.125</v>
      </c>
    </row>
    <row r="144" spans="1:11" x14ac:dyDescent="0.15">
      <c r="A144" s="28">
        <v>1</v>
      </c>
      <c r="B144" s="28">
        <v>4</v>
      </c>
      <c r="C144" s="28">
        <v>5</v>
      </c>
      <c r="D144" s="28">
        <v>6</v>
      </c>
      <c r="E144" s="28">
        <v>10</v>
      </c>
      <c r="F144" s="28" t="str">
        <f>IF(A143&lt;10,0&amp;A143,A143)&amp;","&amp;IF(B143&lt;10,0&amp;B143,B143)&amp;","&amp;IF(C143&lt;10,0&amp;C143,C143)&amp;","&amp;IF(D143&lt;10,0&amp;D143,D143)&amp;","&amp;IF(E143&lt;10,0&amp;E143,E143)</f>
        <v>01,04,05,06,09</v>
      </c>
      <c r="G144" s="28">
        <v>32552.454999999998</v>
      </c>
      <c r="J144" s="28" t="s">
        <v>467</v>
      </c>
      <c r="K144" s="28">
        <v>32552.454999999998</v>
      </c>
    </row>
    <row r="145" spans="1:11" x14ac:dyDescent="0.15">
      <c r="A145" s="28">
        <v>1</v>
      </c>
      <c r="B145" s="28">
        <v>4</v>
      </c>
      <c r="C145" s="28">
        <v>5</v>
      </c>
      <c r="D145" s="28">
        <v>6</v>
      </c>
      <c r="E145" s="28">
        <v>11</v>
      </c>
      <c r="F145" s="28" t="str">
        <f>IF(A144&lt;10,0&amp;A144,A144)&amp;","&amp;IF(B144&lt;10,0&amp;B144,B144)&amp;","&amp;IF(C144&lt;10,0&amp;C144,C144)&amp;","&amp;IF(D144&lt;10,0&amp;D144,D144)&amp;","&amp;IF(E144&lt;10,0&amp;E144,E144)</f>
        <v>01,04,05,06,10</v>
      </c>
      <c r="G145" s="28">
        <v>32453.904999999999</v>
      </c>
      <c r="J145" s="28" t="s">
        <v>468</v>
      </c>
      <c r="K145" s="28">
        <v>32453.904999999999</v>
      </c>
    </row>
    <row r="146" spans="1:11" x14ac:dyDescent="0.15">
      <c r="A146" s="28">
        <v>1</v>
      </c>
      <c r="B146" s="28">
        <v>4</v>
      </c>
      <c r="C146" s="28">
        <v>5</v>
      </c>
      <c r="D146" s="28">
        <v>7</v>
      </c>
      <c r="E146" s="28">
        <v>8</v>
      </c>
      <c r="F146" s="28" t="str">
        <f>IF(A145&lt;10,0&amp;A145,A145)&amp;","&amp;IF(B145&lt;10,0&amp;B145,B145)&amp;","&amp;IF(C145&lt;10,0&amp;C145,C145)&amp;","&amp;IF(D145&lt;10,0&amp;D145,D145)&amp;","&amp;IF(E145&lt;10,0&amp;E145,E145)</f>
        <v>01,04,05,06,11</v>
      </c>
      <c r="G146" s="28">
        <v>32446.305</v>
      </c>
      <c r="J146" s="28" t="s">
        <v>469</v>
      </c>
      <c r="K146" s="28">
        <v>32446.305</v>
      </c>
    </row>
    <row r="147" spans="1:11" x14ac:dyDescent="0.15">
      <c r="A147" s="28">
        <v>1</v>
      </c>
      <c r="B147" s="28">
        <v>4</v>
      </c>
      <c r="C147" s="28">
        <v>5</v>
      </c>
      <c r="D147" s="28">
        <v>7</v>
      </c>
      <c r="E147" s="28">
        <v>9</v>
      </c>
      <c r="F147" s="28" t="str">
        <f>IF(A146&lt;10,0&amp;A146,A146)&amp;","&amp;IF(B146&lt;10,0&amp;B146,B146)&amp;","&amp;IF(C146&lt;10,0&amp;C146,C146)&amp;","&amp;IF(D146&lt;10,0&amp;D146,D146)&amp;","&amp;IF(E146&lt;10,0&amp;E146,E146)</f>
        <v>01,04,05,07,08</v>
      </c>
      <c r="G147" s="28">
        <v>30587.730000000003</v>
      </c>
      <c r="J147" s="28" t="s">
        <v>470</v>
      </c>
      <c r="K147" s="28">
        <v>30587.730000000003</v>
      </c>
    </row>
    <row r="148" spans="1:11" x14ac:dyDescent="0.15">
      <c r="A148" s="28">
        <v>1</v>
      </c>
      <c r="B148" s="28">
        <v>4</v>
      </c>
      <c r="C148" s="28">
        <v>5</v>
      </c>
      <c r="D148" s="28">
        <v>7</v>
      </c>
      <c r="E148" s="28">
        <v>10</v>
      </c>
      <c r="F148" s="28" t="str">
        <f>IF(A147&lt;10,0&amp;A147,A147)&amp;","&amp;IF(B147&lt;10,0&amp;B147,B147)&amp;","&amp;IF(C147&lt;10,0&amp;C147,C147)&amp;","&amp;IF(D147&lt;10,0&amp;D147,D147)&amp;","&amp;IF(E147&lt;10,0&amp;E147,E147)</f>
        <v>01,04,05,07,09</v>
      </c>
      <c r="G148" s="28">
        <v>30730.130000000005</v>
      </c>
      <c r="J148" s="28" t="s">
        <v>471</v>
      </c>
      <c r="K148" s="28">
        <v>30730.130000000005</v>
      </c>
    </row>
    <row r="149" spans="1:11" x14ac:dyDescent="0.15">
      <c r="A149" s="28">
        <v>1</v>
      </c>
      <c r="B149" s="28">
        <v>4</v>
      </c>
      <c r="C149" s="28">
        <v>5</v>
      </c>
      <c r="D149" s="28">
        <v>7</v>
      </c>
      <c r="E149" s="28">
        <v>11</v>
      </c>
      <c r="F149" s="28" t="str">
        <f>IF(A148&lt;10,0&amp;A148,A148)&amp;","&amp;IF(B148&lt;10,0&amp;B148,B148)&amp;","&amp;IF(C148&lt;10,0&amp;C148,C148)&amp;","&amp;IF(D148&lt;10,0&amp;D148,D148)&amp;","&amp;IF(E148&lt;10,0&amp;E148,E148)</f>
        <v>01,04,05,07,10</v>
      </c>
      <c r="G149" s="28">
        <v>30586.730000000003</v>
      </c>
      <c r="J149" s="28" t="s">
        <v>472</v>
      </c>
      <c r="K149" s="28">
        <v>30586.730000000003</v>
      </c>
    </row>
    <row r="150" spans="1:11" x14ac:dyDescent="0.15">
      <c r="A150" s="28">
        <v>1</v>
      </c>
      <c r="B150" s="28">
        <v>4</v>
      </c>
      <c r="C150" s="28">
        <v>5</v>
      </c>
      <c r="D150" s="28">
        <v>8</v>
      </c>
      <c r="E150" s="28">
        <v>9</v>
      </c>
      <c r="F150" s="28" t="str">
        <f>IF(A149&lt;10,0&amp;A149,A149)&amp;","&amp;IF(B149&lt;10,0&amp;B149,B149)&amp;","&amp;IF(C149&lt;10,0&amp;C149,C149)&amp;","&amp;IF(D149&lt;10,0&amp;D149,D149)&amp;","&amp;IF(E149&lt;10,0&amp;E149,E149)</f>
        <v>01,04,05,07,11</v>
      </c>
      <c r="G150" s="28">
        <v>30623.980000000003</v>
      </c>
      <c r="J150" s="28" t="s">
        <v>473</v>
      </c>
      <c r="K150" s="28">
        <v>30623.980000000003</v>
      </c>
    </row>
    <row r="151" spans="1:11" x14ac:dyDescent="0.15">
      <c r="A151" s="28">
        <v>1</v>
      </c>
      <c r="B151" s="28">
        <v>4</v>
      </c>
      <c r="C151" s="28">
        <v>5</v>
      </c>
      <c r="D151" s="28">
        <v>8</v>
      </c>
      <c r="E151" s="28">
        <v>10</v>
      </c>
      <c r="F151" s="28" t="str">
        <f>IF(A150&lt;10,0&amp;A150,A150)&amp;","&amp;IF(B150&lt;10,0&amp;B150,B150)&amp;","&amp;IF(C150&lt;10,0&amp;C150,C150)&amp;","&amp;IF(D150&lt;10,0&amp;D150,D150)&amp;","&amp;IF(E150&lt;10,0&amp;E150,E150)</f>
        <v>01,04,05,08,09</v>
      </c>
      <c r="G151" s="28">
        <v>29739.480000000003</v>
      </c>
      <c r="J151" s="28" t="s">
        <v>474</v>
      </c>
      <c r="K151" s="28">
        <v>29739.480000000003</v>
      </c>
    </row>
    <row r="152" spans="1:11" x14ac:dyDescent="0.15">
      <c r="A152" s="28">
        <v>1</v>
      </c>
      <c r="B152" s="28">
        <v>4</v>
      </c>
      <c r="C152" s="28">
        <v>5</v>
      </c>
      <c r="D152" s="28">
        <v>8</v>
      </c>
      <c r="E152" s="28">
        <v>11</v>
      </c>
      <c r="F152" s="28" t="str">
        <f>IF(A151&lt;10,0&amp;A151,A151)&amp;","&amp;IF(B151&lt;10,0&amp;B151,B151)&amp;","&amp;IF(C151&lt;10,0&amp;C151,C151)&amp;","&amp;IF(D151&lt;10,0&amp;D151,D151)&amp;","&amp;IF(E151&lt;10,0&amp;E151,E151)</f>
        <v>01,04,05,08,10</v>
      </c>
      <c r="G152" s="28">
        <v>29640.93</v>
      </c>
      <c r="J152" s="28" t="s">
        <v>475</v>
      </c>
      <c r="K152" s="28">
        <v>29640.93</v>
      </c>
    </row>
    <row r="153" spans="1:11" x14ac:dyDescent="0.15">
      <c r="A153" s="28">
        <v>1</v>
      </c>
      <c r="B153" s="28">
        <v>4</v>
      </c>
      <c r="C153" s="28">
        <v>5</v>
      </c>
      <c r="D153" s="28">
        <v>9</v>
      </c>
      <c r="E153" s="28">
        <v>10</v>
      </c>
      <c r="F153" s="28" t="str">
        <f>IF(A152&lt;10,0&amp;A152,A152)&amp;","&amp;IF(B152&lt;10,0&amp;B152,B152)&amp;","&amp;IF(C152&lt;10,0&amp;C152,C152)&amp;","&amp;IF(D152&lt;10,0&amp;D152,D152)&amp;","&amp;IF(E152&lt;10,0&amp;E152,E152)</f>
        <v>01,04,05,08,11</v>
      </c>
      <c r="G153" s="28">
        <v>29633.33</v>
      </c>
      <c r="J153" s="28" t="s">
        <v>476</v>
      </c>
      <c r="K153" s="28">
        <v>29633.33</v>
      </c>
    </row>
    <row r="154" spans="1:11" x14ac:dyDescent="0.15">
      <c r="A154" s="28">
        <v>1</v>
      </c>
      <c r="B154" s="28">
        <v>4</v>
      </c>
      <c r="C154" s="28">
        <v>5</v>
      </c>
      <c r="D154" s="28">
        <v>9</v>
      </c>
      <c r="E154" s="28">
        <v>11</v>
      </c>
      <c r="F154" s="28" t="str">
        <f>IF(A153&lt;10,0&amp;A153,A153)&amp;","&amp;IF(B153&lt;10,0&amp;B153,B153)&amp;","&amp;IF(C153&lt;10,0&amp;C153,C153)&amp;","&amp;IF(D153&lt;10,0&amp;D153,D153)&amp;","&amp;IF(E153&lt;10,0&amp;E153,E153)</f>
        <v>01,04,05,09,10</v>
      </c>
      <c r="G154" s="28">
        <v>29739.480000000003</v>
      </c>
      <c r="J154" s="28" t="s">
        <v>477</v>
      </c>
      <c r="K154" s="28">
        <v>29739.480000000003</v>
      </c>
    </row>
    <row r="155" spans="1:11" x14ac:dyDescent="0.15">
      <c r="A155" s="28">
        <v>1</v>
      </c>
      <c r="B155" s="28">
        <v>4</v>
      </c>
      <c r="C155" s="28">
        <v>5</v>
      </c>
      <c r="D155" s="28">
        <v>10</v>
      </c>
      <c r="E155" s="28">
        <v>11</v>
      </c>
      <c r="F155" s="28" t="str">
        <f>IF(A154&lt;10,0&amp;A154,A154)&amp;","&amp;IF(B154&lt;10,0&amp;B154,B154)&amp;","&amp;IF(C154&lt;10,0&amp;C154,C154)&amp;","&amp;IF(D154&lt;10,0&amp;D154,D154)&amp;","&amp;IF(E154&lt;10,0&amp;E154,E154)</f>
        <v>01,04,05,09,11</v>
      </c>
      <c r="G155" s="28">
        <v>29776.730000000003</v>
      </c>
      <c r="J155" s="28" t="s">
        <v>478</v>
      </c>
      <c r="K155" s="28">
        <v>29776.730000000003</v>
      </c>
    </row>
    <row r="156" spans="1:11" x14ac:dyDescent="0.15">
      <c r="A156" s="28">
        <v>1</v>
      </c>
      <c r="B156" s="28">
        <v>4</v>
      </c>
      <c r="C156" s="28">
        <v>6</v>
      </c>
      <c r="D156" s="28">
        <v>7</v>
      </c>
      <c r="E156" s="28">
        <v>8</v>
      </c>
      <c r="F156" s="28" t="str">
        <f>IF(A155&lt;10,0&amp;A155,A155)&amp;","&amp;IF(B155&lt;10,0&amp;B155,B155)&amp;","&amp;IF(C155&lt;10,0&amp;C155,C155)&amp;","&amp;IF(D155&lt;10,0&amp;D155,D155)&amp;","&amp;IF(E155&lt;10,0&amp;E155,E155)</f>
        <v>01,04,05,10,11</v>
      </c>
      <c r="G156" s="28">
        <v>29613.550000000003</v>
      </c>
      <c r="J156" s="28" t="s">
        <v>479</v>
      </c>
      <c r="K156" s="28">
        <v>29613.550000000003</v>
      </c>
    </row>
    <row r="157" spans="1:11" x14ac:dyDescent="0.15">
      <c r="A157" s="28">
        <v>1</v>
      </c>
      <c r="B157" s="28">
        <v>4</v>
      </c>
      <c r="C157" s="28">
        <v>6</v>
      </c>
      <c r="D157" s="28">
        <v>7</v>
      </c>
      <c r="E157" s="28">
        <v>9</v>
      </c>
      <c r="F157" s="28" t="str">
        <f>IF(A156&lt;10,0&amp;A156,A156)&amp;","&amp;IF(B156&lt;10,0&amp;B156,B156)&amp;","&amp;IF(C156&lt;10,0&amp;C156,C156)&amp;","&amp;IF(D156&lt;10,0&amp;D156,D156)&amp;","&amp;IF(E156&lt;10,0&amp;E156,E156)</f>
        <v>01,04,06,07,08</v>
      </c>
      <c r="G157" s="28">
        <v>28682.640000000003</v>
      </c>
      <c r="J157" s="28" t="s">
        <v>480</v>
      </c>
      <c r="K157" s="28">
        <v>28682.640000000003</v>
      </c>
    </row>
    <row r="158" spans="1:11" x14ac:dyDescent="0.15">
      <c r="A158" s="28">
        <v>1</v>
      </c>
      <c r="B158" s="28">
        <v>4</v>
      </c>
      <c r="C158" s="28">
        <v>6</v>
      </c>
      <c r="D158" s="28">
        <v>7</v>
      </c>
      <c r="E158" s="28">
        <v>10</v>
      </c>
      <c r="F158" s="28" t="str">
        <f>IF(A157&lt;10,0&amp;A157,A157)&amp;","&amp;IF(B157&lt;10,0&amp;B157,B157)&amp;","&amp;IF(C157&lt;10,0&amp;C157,C157)&amp;","&amp;IF(D157&lt;10,0&amp;D157,D157)&amp;","&amp;IF(E157&lt;10,0&amp;E157,E157)</f>
        <v>01,04,06,07,09</v>
      </c>
      <c r="G158" s="28">
        <v>28780.190000000002</v>
      </c>
      <c r="J158" s="28" t="s">
        <v>481</v>
      </c>
      <c r="K158" s="28">
        <v>28780.190000000002</v>
      </c>
    </row>
    <row r="159" spans="1:11" x14ac:dyDescent="0.15">
      <c r="A159" s="28">
        <v>1</v>
      </c>
      <c r="B159" s="28">
        <v>4</v>
      </c>
      <c r="C159" s="28">
        <v>6</v>
      </c>
      <c r="D159" s="28">
        <v>7</v>
      </c>
      <c r="E159" s="28">
        <v>11</v>
      </c>
      <c r="F159" s="28" t="str">
        <f>IF(A158&lt;10,0&amp;A158,A158)&amp;","&amp;IF(B158&lt;10,0&amp;B158,B158)&amp;","&amp;IF(C158&lt;10,0&amp;C158,C158)&amp;","&amp;IF(D158&lt;10,0&amp;D158,D158)&amp;","&amp;IF(E158&lt;10,0&amp;E158,E158)</f>
        <v>01,04,06,07,10</v>
      </c>
      <c r="G159" s="28">
        <v>28681.640000000003</v>
      </c>
      <c r="J159" s="28" t="s">
        <v>482</v>
      </c>
      <c r="K159" s="28">
        <v>28681.640000000003</v>
      </c>
    </row>
    <row r="160" spans="1:11" x14ac:dyDescent="0.15">
      <c r="A160" s="28">
        <v>1</v>
      </c>
      <c r="B160" s="28">
        <v>4</v>
      </c>
      <c r="C160" s="28">
        <v>6</v>
      </c>
      <c r="D160" s="28">
        <v>8</v>
      </c>
      <c r="E160" s="28">
        <v>9</v>
      </c>
      <c r="F160" s="28" t="str">
        <f>IF(A159&lt;10,0&amp;A159,A159)&amp;","&amp;IF(B159&lt;10,0&amp;B159,B159)&amp;","&amp;IF(C159&lt;10,0&amp;C159,C159)&amp;","&amp;IF(D159&lt;10,0&amp;D159,D159)&amp;","&amp;IF(E159&lt;10,0&amp;E159,E159)</f>
        <v>01,04,06,07,11</v>
      </c>
      <c r="G160" s="28">
        <v>28674.04</v>
      </c>
      <c r="J160" s="28" t="s">
        <v>483</v>
      </c>
      <c r="K160" s="28">
        <v>28674.04</v>
      </c>
    </row>
    <row r="161" spans="1:11" x14ac:dyDescent="0.15">
      <c r="A161" s="28">
        <v>1</v>
      </c>
      <c r="B161" s="28">
        <v>4</v>
      </c>
      <c r="C161" s="28">
        <v>6</v>
      </c>
      <c r="D161" s="28">
        <v>8</v>
      </c>
      <c r="E161" s="28">
        <v>10</v>
      </c>
      <c r="F161" s="28" t="str">
        <f>IF(A160&lt;10,0&amp;A160,A160)&amp;","&amp;IF(B160&lt;10,0&amp;B160,B160)&amp;","&amp;IF(C160&lt;10,0&amp;C160,C160)&amp;","&amp;IF(D160&lt;10,0&amp;D160,D160)&amp;","&amp;IF(E160&lt;10,0&amp;E160,E160)</f>
        <v>01,04,06,08,09</v>
      </c>
      <c r="G161" s="28">
        <v>27834.390000000003</v>
      </c>
      <c r="J161" s="28" t="s">
        <v>484</v>
      </c>
      <c r="K161" s="28">
        <v>27834.390000000003</v>
      </c>
    </row>
    <row r="162" spans="1:11" x14ac:dyDescent="0.15">
      <c r="A162" s="28">
        <v>1</v>
      </c>
      <c r="B162" s="28">
        <v>4</v>
      </c>
      <c r="C162" s="28">
        <v>6</v>
      </c>
      <c r="D162" s="28">
        <v>8</v>
      </c>
      <c r="E162" s="28">
        <v>11</v>
      </c>
      <c r="F162" s="28" t="str">
        <f>IF(A161&lt;10,0&amp;A161,A161)&amp;","&amp;IF(B161&lt;10,0&amp;B161,B161)&amp;","&amp;IF(C161&lt;10,0&amp;C161,C161)&amp;","&amp;IF(D161&lt;10,0&amp;D161,D161)&amp;","&amp;IF(E161&lt;10,0&amp;E161,E161)</f>
        <v>01,04,06,08,10</v>
      </c>
      <c r="G162" s="28">
        <v>27846.940000000002</v>
      </c>
      <c r="J162" s="28" t="s">
        <v>485</v>
      </c>
      <c r="K162" s="28">
        <v>27846.940000000002</v>
      </c>
    </row>
    <row r="163" spans="1:11" x14ac:dyDescent="0.15">
      <c r="A163" s="28">
        <v>1</v>
      </c>
      <c r="B163" s="28">
        <v>4</v>
      </c>
      <c r="C163" s="28">
        <v>6</v>
      </c>
      <c r="D163" s="28">
        <v>9</v>
      </c>
      <c r="E163" s="28">
        <v>10</v>
      </c>
      <c r="F163" s="28" t="str">
        <f>IF(A162&lt;10,0&amp;A162,A162)&amp;","&amp;IF(B162&lt;10,0&amp;B162,B162)&amp;","&amp;IF(C162&lt;10,0&amp;C162,C162)&amp;","&amp;IF(D162&lt;10,0&amp;D162,D162)&amp;","&amp;IF(E162&lt;10,0&amp;E162,E162)</f>
        <v>01,04,06,08,11</v>
      </c>
      <c r="G163" s="28">
        <v>27728.240000000002</v>
      </c>
      <c r="J163" s="28" t="s">
        <v>486</v>
      </c>
      <c r="K163" s="28">
        <v>27728.240000000002</v>
      </c>
    </row>
    <row r="164" spans="1:11" x14ac:dyDescent="0.15">
      <c r="A164" s="28">
        <v>1</v>
      </c>
      <c r="B164" s="28">
        <v>4</v>
      </c>
      <c r="C164" s="28">
        <v>6</v>
      </c>
      <c r="D164" s="28">
        <v>9</v>
      </c>
      <c r="E164" s="28">
        <v>11</v>
      </c>
      <c r="F164" s="28" t="str">
        <f>IF(A163&lt;10,0&amp;A163,A163)&amp;","&amp;IF(B163&lt;10,0&amp;B163,B163)&amp;","&amp;IF(C163&lt;10,0&amp;C163,C163)&amp;","&amp;IF(D163&lt;10,0&amp;D163,D163)&amp;","&amp;IF(E163&lt;10,0&amp;E163,E163)</f>
        <v>01,04,06,09,10</v>
      </c>
      <c r="G164" s="28">
        <v>27834.390000000003</v>
      </c>
      <c r="J164" s="28" t="s">
        <v>487</v>
      </c>
      <c r="K164" s="28">
        <v>27834.390000000003</v>
      </c>
    </row>
    <row r="165" spans="1:11" x14ac:dyDescent="0.15">
      <c r="A165" s="28">
        <v>1</v>
      </c>
      <c r="B165" s="28">
        <v>4</v>
      </c>
      <c r="C165" s="28">
        <v>6</v>
      </c>
      <c r="D165" s="28">
        <v>10</v>
      </c>
      <c r="E165" s="28">
        <v>11</v>
      </c>
      <c r="F165" s="28" t="str">
        <f>IF(A164&lt;10,0&amp;A164,A164)&amp;","&amp;IF(B164&lt;10,0&amp;B164,B164)&amp;","&amp;IF(C164&lt;10,0&amp;C164,C164)&amp;","&amp;IF(D164&lt;10,0&amp;D164,D164)&amp;","&amp;IF(E164&lt;10,0&amp;E164,E164)</f>
        <v>01,04,06,09,11</v>
      </c>
      <c r="G165" s="28">
        <v>27826.79</v>
      </c>
      <c r="J165" s="28" t="s">
        <v>488</v>
      </c>
      <c r="K165" s="28">
        <v>27826.79</v>
      </c>
    </row>
    <row r="166" spans="1:11" x14ac:dyDescent="0.15">
      <c r="A166" s="28">
        <v>1</v>
      </c>
      <c r="B166" s="28">
        <v>4</v>
      </c>
      <c r="C166" s="28">
        <v>7</v>
      </c>
      <c r="D166" s="28">
        <v>8</v>
      </c>
      <c r="E166" s="28">
        <v>9</v>
      </c>
      <c r="F166" s="28" t="str">
        <f>IF(A165&lt;10,0&amp;A165,A165)&amp;","&amp;IF(B165&lt;10,0&amp;B165,B165)&amp;","&amp;IF(C165&lt;10,0&amp;C165,C165)&amp;","&amp;IF(D165&lt;10,0&amp;D165,D165)&amp;","&amp;IF(E165&lt;10,0&amp;E165,E165)</f>
        <v>01,04,06,10,11</v>
      </c>
      <c r="G166" s="28">
        <v>27710.45</v>
      </c>
      <c r="J166" s="28" t="s">
        <v>489</v>
      </c>
      <c r="K166" s="28">
        <v>27710.45</v>
      </c>
    </row>
    <row r="167" spans="1:11" x14ac:dyDescent="0.15">
      <c r="A167" s="28">
        <v>1</v>
      </c>
      <c r="B167" s="28">
        <v>4</v>
      </c>
      <c r="C167" s="28">
        <v>7</v>
      </c>
      <c r="D167" s="28">
        <v>8</v>
      </c>
      <c r="E167" s="28">
        <v>10</v>
      </c>
      <c r="F167" s="28" t="str">
        <f>IF(A166&lt;10,0&amp;A166,A166)&amp;","&amp;IF(B166&lt;10,0&amp;B166,B166)&amp;","&amp;IF(C166&lt;10,0&amp;C166,C166)&amp;","&amp;IF(D166&lt;10,0&amp;D166,D166)&amp;","&amp;IF(E166&lt;10,0&amp;E166,E166)</f>
        <v>01,04,07,08,09</v>
      </c>
      <c r="G167" s="28">
        <v>26234.580000000005</v>
      </c>
      <c r="J167" s="28" t="s">
        <v>490</v>
      </c>
      <c r="K167" s="28">
        <v>26234.580000000005</v>
      </c>
    </row>
    <row r="168" spans="1:11" x14ac:dyDescent="0.15">
      <c r="A168" s="28">
        <v>1</v>
      </c>
      <c r="B168" s="28">
        <v>4</v>
      </c>
      <c r="C168" s="28">
        <v>7</v>
      </c>
      <c r="D168" s="28">
        <v>8</v>
      </c>
      <c r="E168" s="28">
        <v>11</v>
      </c>
      <c r="F168" s="28" t="str">
        <f>IF(A167&lt;10,0&amp;A167,A167)&amp;","&amp;IF(B167&lt;10,0&amp;B167,B167)&amp;","&amp;IF(C167&lt;10,0&amp;C167,C167)&amp;","&amp;IF(D167&lt;10,0&amp;D167,D167)&amp;","&amp;IF(E167&lt;10,0&amp;E167,E167)</f>
        <v>01,04,07,08,10</v>
      </c>
      <c r="G168" s="28">
        <v>26136.030000000002</v>
      </c>
      <c r="J168" s="28" t="s">
        <v>491</v>
      </c>
      <c r="K168" s="28">
        <v>26136.030000000002</v>
      </c>
    </row>
    <row r="169" spans="1:11" x14ac:dyDescent="0.15">
      <c r="A169" s="28">
        <v>1</v>
      </c>
      <c r="B169" s="28">
        <v>4</v>
      </c>
      <c r="C169" s="28">
        <v>7</v>
      </c>
      <c r="D169" s="28">
        <v>9</v>
      </c>
      <c r="E169" s="28">
        <v>10</v>
      </c>
      <c r="F169" s="28" t="str">
        <f>IF(A168&lt;10,0&amp;A168,A168)&amp;","&amp;IF(B168&lt;10,0&amp;B168,B168)&amp;","&amp;IF(C168&lt;10,0&amp;C168,C168)&amp;","&amp;IF(D168&lt;10,0&amp;D168,D168)&amp;","&amp;IF(E168&lt;10,0&amp;E168,E168)</f>
        <v>01,04,07,08,11</v>
      </c>
      <c r="G169" s="28">
        <v>26128.430000000004</v>
      </c>
      <c r="J169" s="28" t="s">
        <v>492</v>
      </c>
      <c r="K169" s="28">
        <v>26128.430000000004</v>
      </c>
    </row>
    <row r="170" spans="1:11" x14ac:dyDescent="0.15">
      <c r="A170" s="28">
        <v>1</v>
      </c>
      <c r="B170" s="28">
        <v>4</v>
      </c>
      <c r="C170" s="28">
        <v>7</v>
      </c>
      <c r="D170" s="28">
        <v>9</v>
      </c>
      <c r="E170" s="28">
        <v>11</v>
      </c>
      <c r="F170" s="28" t="str">
        <f>IF(A169&lt;10,0&amp;A169,A169)&amp;","&amp;IF(B169&lt;10,0&amp;B169,B169)&amp;","&amp;IF(C169&lt;10,0&amp;C169,C169)&amp;","&amp;IF(D169&lt;10,0&amp;D169,D169)&amp;","&amp;IF(E169&lt;10,0&amp;E169,E169)</f>
        <v>01,04,07,09,10</v>
      </c>
      <c r="G170" s="28">
        <v>26234.580000000005</v>
      </c>
      <c r="J170" s="28" t="s">
        <v>493</v>
      </c>
      <c r="K170" s="28">
        <v>26234.580000000005</v>
      </c>
    </row>
    <row r="171" spans="1:11" x14ac:dyDescent="0.15">
      <c r="A171" s="28">
        <v>1</v>
      </c>
      <c r="B171" s="28">
        <v>4</v>
      </c>
      <c r="C171" s="28">
        <v>7</v>
      </c>
      <c r="D171" s="28">
        <v>10</v>
      </c>
      <c r="E171" s="28">
        <v>11</v>
      </c>
      <c r="F171" s="28" t="str">
        <f>IF(A170&lt;10,0&amp;A170,A170)&amp;","&amp;IF(B170&lt;10,0&amp;B170,B170)&amp;","&amp;IF(C170&lt;10,0&amp;C170,C170)&amp;","&amp;IF(D170&lt;10,0&amp;D170,D170)&amp;","&amp;IF(E170&lt;10,0&amp;E170,E170)</f>
        <v>01,04,07,09,11</v>
      </c>
      <c r="G171" s="28">
        <v>26271.830000000005</v>
      </c>
      <c r="J171" s="28" t="s">
        <v>494</v>
      </c>
      <c r="K171" s="28">
        <v>26271.830000000005</v>
      </c>
    </row>
    <row r="172" spans="1:11" x14ac:dyDescent="0.15">
      <c r="A172" s="28">
        <v>1</v>
      </c>
      <c r="B172" s="28">
        <v>4</v>
      </c>
      <c r="C172" s="28">
        <v>8</v>
      </c>
      <c r="D172" s="28">
        <v>9</v>
      </c>
      <c r="E172" s="28">
        <v>10</v>
      </c>
      <c r="F172" s="28" t="str">
        <f>IF(A171&lt;10,0&amp;A171,A171)&amp;","&amp;IF(B171&lt;10,0&amp;B171,B171)&amp;","&amp;IF(C171&lt;10,0&amp;C171,C171)&amp;","&amp;IF(D171&lt;10,0&amp;D171,D171)&amp;","&amp;IF(E171&lt;10,0&amp;E171,E171)</f>
        <v>01,04,07,10,11</v>
      </c>
      <c r="G172" s="28">
        <v>26108.650000000005</v>
      </c>
      <c r="J172" s="28" t="s">
        <v>495</v>
      </c>
      <c r="K172" s="28">
        <v>26108.650000000005</v>
      </c>
    </row>
    <row r="173" spans="1:11" x14ac:dyDescent="0.15">
      <c r="A173" s="28">
        <v>1</v>
      </c>
      <c r="B173" s="28">
        <v>4</v>
      </c>
      <c r="C173" s="28">
        <v>8</v>
      </c>
      <c r="D173" s="28">
        <v>9</v>
      </c>
      <c r="E173" s="28">
        <v>11</v>
      </c>
      <c r="F173" s="28" t="str">
        <f>IF(A172&lt;10,0&amp;A172,A172)&amp;","&amp;IF(B172&lt;10,0&amp;B172,B172)&amp;","&amp;IF(C172&lt;10,0&amp;C172,C172)&amp;","&amp;IF(D172&lt;10,0&amp;D172,D172)&amp;","&amp;IF(E172&lt;10,0&amp;E172,E172)</f>
        <v>01,04,08,09,10</v>
      </c>
      <c r="G173" s="28">
        <v>25297.220000000005</v>
      </c>
      <c r="J173" s="28" t="s">
        <v>496</v>
      </c>
      <c r="K173" s="28">
        <v>25297.220000000005</v>
      </c>
    </row>
    <row r="174" spans="1:11" x14ac:dyDescent="0.15">
      <c r="A174" s="28">
        <v>1</v>
      </c>
      <c r="B174" s="28">
        <v>4</v>
      </c>
      <c r="C174" s="28">
        <v>8</v>
      </c>
      <c r="D174" s="28">
        <v>10</v>
      </c>
      <c r="E174" s="28">
        <v>11</v>
      </c>
      <c r="F174" s="28" t="str">
        <f>IF(A173&lt;10,0&amp;A173,A173)&amp;","&amp;IF(B173&lt;10,0&amp;B173,B173)&amp;","&amp;IF(C173&lt;10,0&amp;C173,C173)&amp;","&amp;IF(D173&lt;10,0&amp;D173,D173)&amp;","&amp;IF(E173&lt;10,0&amp;E173,E173)</f>
        <v>01,04,08,09,11</v>
      </c>
      <c r="G174" s="28">
        <v>25289.620000000003</v>
      </c>
      <c r="J174" s="28" t="s">
        <v>497</v>
      </c>
      <c r="K174" s="28">
        <v>25289.620000000003</v>
      </c>
    </row>
    <row r="175" spans="1:11" x14ac:dyDescent="0.15">
      <c r="A175" s="28">
        <v>1</v>
      </c>
      <c r="B175" s="28">
        <v>4</v>
      </c>
      <c r="C175" s="28">
        <v>9</v>
      </c>
      <c r="D175" s="28">
        <v>10</v>
      </c>
      <c r="E175" s="28">
        <v>11</v>
      </c>
      <c r="F175" s="28" t="str">
        <f>IF(A174&lt;10,0&amp;A174,A174)&amp;","&amp;IF(B174&lt;10,0&amp;B174,B174)&amp;","&amp;IF(C174&lt;10,0&amp;C174,C174)&amp;","&amp;IF(D174&lt;10,0&amp;D174,D174)&amp;","&amp;IF(E174&lt;10,0&amp;E174,E174)</f>
        <v>01,04,08,10,11</v>
      </c>
      <c r="G175" s="28">
        <v>25162.850000000002</v>
      </c>
      <c r="J175" s="28" t="s">
        <v>498</v>
      </c>
      <c r="K175" s="28">
        <v>25162.850000000002</v>
      </c>
    </row>
    <row r="176" spans="1:11" x14ac:dyDescent="0.15">
      <c r="A176" s="28">
        <v>1</v>
      </c>
      <c r="B176" s="28">
        <v>5</v>
      </c>
      <c r="C176" s="28">
        <v>6</v>
      </c>
      <c r="D176" s="28">
        <v>7</v>
      </c>
      <c r="E176" s="28">
        <v>8</v>
      </c>
      <c r="F176" s="28" t="str">
        <f>IF(A175&lt;10,0&amp;A175,A175)&amp;","&amp;IF(B175&lt;10,0&amp;B175,B175)&amp;","&amp;IF(C175&lt;10,0&amp;C175,C175)&amp;","&amp;IF(D175&lt;10,0&amp;D175,D175)&amp;","&amp;IF(E175&lt;10,0&amp;E175,E175)</f>
        <v>01,04,09,10,11</v>
      </c>
      <c r="G176" s="28">
        <v>25261.400000000005</v>
      </c>
      <c r="J176" s="28" t="s">
        <v>499</v>
      </c>
      <c r="K176" s="28">
        <v>25261.400000000005</v>
      </c>
    </row>
    <row r="177" spans="1:11" x14ac:dyDescent="0.15">
      <c r="A177" s="28">
        <v>1</v>
      </c>
      <c r="B177" s="28">
        <v>5</v>
      </c>
      <c r="C177" s="28">
        <v>6</v>
      </c>
      <c r="D177" s="28">
        <v>7</v>
      </c>
      <c r="E177" s="28">
        <v>9</v>
      </c>
      <c r="F177" s="28" t="str">
        <f>IF(A176&lt;10,0&amp;A176,A176)&amp;","&amp;IF(B176&lt;10,0&amp;B176,B176)&amp;","&amp;IF(C176&lt;10,0&amp;C176,C176)&amp;","&amp;IF(D176&lt;10,0&amp;D176,D176)&amp;","&amp;IF(E176&lt;10,0&amp;E176,E176)</f>
        <v>01,05,06,07,08</v>
      </c>
      <c r="G177" s="28">
        <v>28781.190000000002</v>
      </c>
      <c r="J177" s="28" t="s">
        <v>500</v>
      </c>
      <c r="K177" s="28">
        <v>28781.190000000002</v>
      </c>
    </row>
    <row r="178" spans="1:11" x14ac:dyDescent="0.15">
      <c r="A178" s="28">
        <v>1</v>
      </c>
      <c r="B178" s="28">
        <v>5</v>
      </c>
      <c r="C178" s="28">
        <v>6</v>
      </c>
      <c r="D178" s="28">
        <v>7</v>
      </c>
      <c r="E178" s="28">
        <v>10</v>
      </c>
      <c r="F178" s="28" t="str">
        <f>IF(A177&lt;10,0&amp;A177,A177)&amp;","&amp;IF(B177&lt;10,0&amp;B177,B177)&amp;","&amp;IF(C177&lt;10,0&amp;C177,C177)&amp;","&amp;IF(D177&lt;10,0&amp;D177,D177)&amp;","&amp;IF(E177&lt;10,0&amp;E177,E177)</f>
        <v>01,05,06,07,09</v>
      </c>
      <c r="G178" s="28">
        <v>28923.59</v>
      </c>
      <c r="J178" s="28" t="s">
        <v>501</v>
      </c>
      <c r="K178" s="28">
        <v>28923.59</v>
      </c>
    </row>
    <row r="179" spans="1:11" x14ac:dyDescent="0.15">
      <c r="A179" s="28">
        <v>1</v>
      </c>
      <c r="B179" s="28">
        <v>5</v>
      </c>
      <c r="C179" s="28">
        <v>6</v>
      </c>
      <c r="D179" s="28">
        <v>7</v>
      </c>
      <c r="E179" s="28">
        <v>11</v>
      </c>
      <c r="F179" s="28" t="str">
        <f>IF(A178&lt;10,0&amp;A178,A178)&amp;","&amp;IF(B178&lt;10,0&amp;B178,B178)&amp;","&amp;IF(C178&lt;10,0&amp;C178,C178)&amp;","&amp;IF(D178&lt;10,0&amp;D178,D178)&amp;","&amp;IF(E178&lt;10,0&amp;E178,E178)</f>
        <v>01,05,06,07,10</v>
      </c>
      <c r="G179" s="28">
        <v>28780.190000000002</v>
      </c>
      <c r="J179" s="28" t="s">
        <v>502</v>
      </c>
      <c r="K179" s="28">
        <v>28780.190000000002</v>
      </c>
    </row>
    <row r="180" spans="1:11" x14ac:dyDescent="0.15">
      <c r="A180" s="28">
        <v>1</v>
      </c>
      <c r="B180" s="28">
        <v>5</v>
      </c>
      <c r="C180" s="28">
        <v>6</v>
      </c>
      <c r="D180" s="28">
        <v>8</v>
      </c>
      <c r="E180" s="28">
        <v>9</v>
      </c>
      <c r="F180" s="28" t="str">
        <f>IF(A179&lt;10,0&amp;A179,A179)&amp;","&amp;IF(B179&lt;10,0&amp;B179,B179)&amp;","&amp;IF(C179&lt;10,0&amp;C179,C179)&amp;","&amp;IF(D179&lt;10,0&amp;D179,D179)&amp;","&amp;IF(E179&lt;10,0&amp;E179,E179)</f>
        <v>01,05,06,07,11</v>
      </c>
      <c r="G180" s="28">
        <v>28817.440000000002</v>
      </c>
      <c r="J180" s="28" t="s">
        <v>503</v>
      </c>
      <c r="K180" s="28">
        <v>28817.440000000002</v>
      </c>
    </row>
    <row r="181" spans="1:11" x14ac:dyDescent="0.15">
      <c r="A181" s="28">
        <v>1</v>
      </c>
      <c r="B181" s="28">
        <v>5</v>
      </c>
      <c r="C181" s="28">
        <v>6</v>
      </c>
      <c r="D181" s="28">
        <v>8</v>
      </c>
      <c r="E181" s="28">
        <v>10</v>
      </c>
      <c r="F181" s="28" t="str">
        <f>IF(A180&lt;10,0&amp;A180,A180)&amp;","&amp;IF(B180&lt;10,0&amp;B180,B180)&amp;","&amp;IF(C180&lt;10,0&amp;C180,C180)&amp;","&amp;IF(D180&lt;10,0&amp;D180,D180)&amp;","&amp;IF(E180&lt;10,0&amp;E180,E180)</f>
        <v>01,05,06,08,09</v>
      </c>
      <c r="G181" s="28">
        <v>27932.94</v>
      </c>
      <c r="J181" s="28" t="s">
        <v>504</v>
      </c>
      <c r="K181" s="28">
        <v>27932.94</v>
      </c>
    </row>
    <row r="182" spans="1:11" x14ac:dyDescent="0.15">
      <c r="A182" s="28">
        <v>1</v>
      </c>
      <c r="B182" s="28">
        <v>5</v>
      </c>
      <c r="C182" s="28">
        <v>6</v>
      </c>
      <c r="D182" s="28">
        <v>8</v>
      </c>
      <c r="E182" s="28">
        <v>11</v>
      </c>
      <c r="F182" s="28" t="str">
        <f>IF(A181&lt;10,0&amp;A181,A181)&amp;","&amp;IF(B181&lt;10,0&amp;B181,B181)&amp;","&amp;IF(C181&lt;10,0&amp;C181,C181)&amp;","&amp;IF(D181&lt;10,0&amp;D181,D181)&amp;","&amp;IF(E181&lt;10,0&amp;E181,E181)</f>
        <v>01,05,06,08,10</v>
      </c>
      <c r="G182" s="28">
        <v>27834.390000000003</v>
      </c>
      <c r="J182" s="28" t="s">
        <v>505</v>
      </c>
      <c r="K182" s="28">
        <v>27834.390000000003</v>
      </c>
    </row>
    <row r="183" spans="1:11" x14ac:dyDescent="0.15">
      <c r="A183" s="28">
        <v>1</v>
      </c>
      <c r="B183" s="28">
        <v>5</v>
      </c>
      <c r="C183" s="28">
        <v>6</v>
      </c>
      <c r="D183" s="28">
        <v>9</v>
      </c>
      <c r="E183" s="28">
        <v>10</v>
      </c>
      <c r="F183" s="28" t="str">
        <f>IF(A182&lt;10,0&amp;A182,A182)&amp;","&amp;IF(B182&lt;10,0&amp;B182,B182)&amp;","&amp;IF(C182&lt;10,0&amp;C182,C182)&amp;","&amp;IF(D182&lt;10,0&amp;D182,D182)&amp;","&amp;IF(E182&lt;10,0&amp;E182,E182)</f>
        <v>01,05,06,08,11</v>
      </c>
      <c r="G183" s="28">
        <v>27826.79</v>
      </c>
      <c r="J183" s="28" t="s">
        <v>506</v>
      </c>
      <c r="K183" s="28">
        <v>27826.79</v>
      </c>
    </row>
    <row r="184" spans="1:11" x14ac:dyDescent="0.15">
      <c r="A184" s="28">
        <v>1</v>
      </c>
      <c r="B184" s="28">
        <v>5</v>
      </c>
      <c r="C184" s="28">
        <v>6</v>
      </c>
      <c r="D184" s="28">
        <v>9</v>
      </c>
      <c r="E184" s="28">
        <v>11</v>
      </c>
      <c r="F184" s="28" t="str">
        <f>IF(A183&lt;10,0&amp;A183,A183)&amp;","&amp;IF(B183&lt;10,0&amp;B183,B183)&amp;","&amp;IF(C183&lt;10,0&amp;C183,C183)&amp;","&amp;IF(D183&lt;10,0&amp;D183,D183)&amp;","&amp;IF(E183&lt;10,0&amp;E183,E183)</f>
        <v>01,05,06,09,10</v>
      </c>
      <c r="G184" s="28">
        <v>27932.94</v>
      </c>
      <c r="J184" s="28" t="s">
        <v>507</v>
      </c>
      <c r="K184" s="28">
        <v>27932.94</v>
      </c>
    </row>
    <row r="185" spans="1:11" x14ac:dyDescent="0.15">
      <c r="A185" s="28">
        <v>1</v>
      </c>
      <c r="B185" s="28">
        <v>5</v>
      </c>
      <c r="C185" s="28">
        <v>6</v>
      </c>
      <c r="D185" s="28">
        <v>10</v>
      </c>
      <c r="E185" s="28">
        <v>11</v>
      </c>
      <c r="F185" s="28" t="str">
        <f>IF(A184&lt;10,0&amp;A184,A184)&amp;","&amp;IF(B184&lt;10,0&amp;B184,B184)&amp;","&amp;IF(C184&lt;10,0&amp;C184,C184)&amp;","&amp;IF(D184&lt;10,0&amp;D184,D184)&amp;","&amp;IF(E184&lt;10,0&amp;E184,E184)</f>
        <v>01,05,06,09,11</v>
      </c>
      <c r="G185" s="28">
        <v>27970.19</v>
      </c>
      <c r="J185" s="28" t="s">
        <v>508</v>
      </c>
      <c r="K185" s="28">
        <v>27970.19</v>
      </c>
    </row>
    <row r="186" spans="1:11" x14ac:dyDescent="0.15">
      <c r="A186" s="28">
        <v>1</v>
      </c>
      <c r="B186" s="28">
        <v>5</v>
      </c>
      <c r="C186" s="28">
        <v>7</v>
      </c>
      <c r="D186" s="28">
        <v>8</v>
      </c>
      <c r="E186" s="28">
        <v>9</v>
      </c>
      <c r="F186" s="28" t="str">
        <f>IF(A185&lt;10,0&amp;A185,A185)&amp;","&amp;IF(B185&lt;10,0&amp;B185,B185)&amp;","&amp;IF(C185&lt;10,0&amp;C185,C185)&amp;","&amp;IF(D185&lt;10,0&amp;D185,D185)&amp;","&amp;IF(E185&lt;10,0&amp;E185,E185)</f>
        <v>01,05,06,10,11</v>
      </c>
      <c r="G186" s="28">
        <v>27809.000000000004</v>
      </c>
      <c r="J186" s="28" t="s">
        <v>509</v>
      </c>
      <c r="K186" s="28">
        <v>27809.000000000004</v>
      </c>
    </row>
    <row r="187" spans="1:11" x14ac:dyDescent="0.15">
      <c r="A187" s="28">
        <v>1</v>
      </c>
      <c r="B187" s="28">
        <v>5</v>
      </c>
      <c r="C187" s="28">
        <v>7</v>
      </c>
      <c r="D187" s="28">
        <v>8</v>
      </c>
      <c r="E187" s="28">
        <v>10</v>
      </c>
      <c r="F187" s="28" t="str">
        <f>IF(A186&lt;10,0&amp;A186,A186)&amp;","&amp;IF(B186&lt;10,0&amp;B186,B186)&amp;","&amp;IF(C186&lt;10,0&amp;C186,C186)&amp;","&amp;IF(D186&lt;10,0&amp;D186,D186)&amp;","&amp;IF(E186&lt;10,0&amp;E186,E186)</f>
        <v>01,05,07,08,09</v>
      </c>
      <c r="G187" s="28">
        <v>26271.830000000005</v>
      </c>
      <c r="J187" s="28" t="s">
        <v>510</v>
      </c>
      <c r="K187" s="28">
        <v>26271.830000000005</v>
      </c>
    </row>
    <row r="188" spans="1:11" x14ac:dyDescent="0.15">
      <c r="A188" s="28">
        <v>1</v>
      </c>
      <c r="B188" s="28">
        <v>5</v>
      </c>
      <c r="C188" s="28">
        <v>7</v>
      </c>
      <c r="D188" s="28">
        <v>8</v>
      </c>
      <c r="E188" s="28">
        <v>11</v>
      </c>
      <c r="F188" s="28" t="str">
        <f>IF(A187&lt;10,0&amp;A187,A187)&amp;","&amp;IF(B187&lt;10,0&amp;B187,B187)&amp;","&amp;IF(C187&lt;10,0&amp;C187,C187)&amp;","&amp;IF(D187&lt;10,0&amp;D187,D187)&amp;","&amp;IF(E187&lt;10,0&amp;E187,E187)</f>
        <v>01,05,07,08,10</v>
      </c>
      <c r="G188" s="28">
        <v>26128.430000000004</v>
      </c>
      <c r="J188" s="28" t="s">
        <v>511</v>
      </c>
      <c r="K188" s="28">
        <v>26128.430000000004</v>
      </c>
    </row>
    <row r="189" spans="1:11" x14ac:dyDescent="0.15">
      <c r="A189" s="28">
        <v>1</v>
      </c>
      <c r="B189" s="28">
        <v>5</v>
      </c>
      <c r="C189" s="28">
        <v>7</v>
      </c>
      <c r="D189" s="28">
        <v>9</v>
      </c>
      <c r="E189" s="28">
        <v>10</v>
      </c>
      <c r="F189" s="28" t="str">
        <f>IF(A188&lt;10,0&amp;A188,A188)&amp;","&amp;IF(B188&lt;10,0&amp;B188,B188)&amp;","&amp;IF(C188&lt;10,0&amp;C188,C188)&amp;","&amp;IF(D188&lt;10,0&amp;D188,D188)&amp;","&amp;IF(E188&lt;10,0&amp;E188,E188)</f>
        <v>01,05,07,08,11</v>
      </c>
      <c r="G189" s="28">
        <v>26165.680000000004</v>
      </c>
      <c r="J189" s="28" t="s">
        <v>512</v>
      </c>
      <c r="K189" s="28">
        <v>26165.680000000004</v>
      </c>
    </row>
    <row r="190" spans="1:11" x14ac:dyDescent="0.15">
      <c r="A190" s="28">
        <v>1</v>
      </c>
      <c r="B190" s="28">
        <v>5</v>
      </c>
      <c r="C190" s="28">
        <v>7</v>
      </c>
      <c r="D190" s="28">
        <v>9</v>
      </c>
      <c r="E190" s="28">
        <v>11</v>
      </c>
      <c r="F190" s="28" t="str">
        <f>IF(A189&lt;10,0&amp;A189,A189)&amp;","&amp;IF(B189&lt;10,0&amp;B189,B189)&amp;","&amp;IF(C189&lt;10,0&amp;C189,C189)&amp;","&amp;IF(D189&lt;10,0&amp;D189,D189)&amp;","&amp;IF(E189&lt;10,0&amp;E189,E189)</f>
        <v>01,05,07,09,10</v>
      </c>
      <c r="G190" s="28">
        <v>26271.830000000005</v>
      </c>
      <c r="J190" s="28" t="s">
        <v>513</v>
      </c>
      <c r="K190" s="28">
        <v>26271.830000000005</v>
      </c>
    </row>
    <row r="191" spans="1:11" x14ac:dyDescent="0.15">
      <c r="A191" s="28">
        <v>1</v>
      </c>
      <c r="B191" s="28">
        <v>5</v>
      </c>
      <c r="C191" s="28">
        <v>7</v>
      </c>
      <c r="D191" s="28">
        <v>10</v>
      </c>
      <c r="E191" s="28">
        <v>11</v>
      </c>
      <c r="F191" s="28" t="str">
        <f>IF(A190&lt;10,0&amp;A190,A190)&amp;","&amp;IF(B190&lt;10,0&amp;B190,B190)&amp;","&amp;IF(C190&lt;10,0&amp;C190,C190)&amp;","&amp;IF(D190&lt;10,0&amp;D190,D190)&amp;","&amp;IF(E190&lt;10,0&amp;E190,E190)</f>
        <v>01,05,07,09,11</v>
      </c>
      <c r="G191" s="28">
        <v>26955.580000000005</v>
      </c>
      <c r="J191" s="28" t="s">
        <v>514</v>
      </c>
      <c r="K191" s="28">
        <v>26955.580000000005</v>
      </c>
    </row>
    <row r="192" spans="1:11" x14ac:dyDescent="0.15">
      <c r="A192" s="28">
        <v>1</v>
      </c>
      <c r="B192" s="28">
        <v>5</v>
      </c>
      <c r="C192" s="28">
        <v>8</v>
      </c>
      <c r="D192" s="28">
        <v>9</v>
      </c>
      <c r="E192" s="28">
        <v>10</v>
      </c>
      <c r="F192" s="28" t="str">
        <f>IF(A191&lt;10,0&amp;A191,A191)&amp;","&amp;IF(B191&lt;10,0&amp;B191,B191)&amp;","&amp;IF(C191&lt;10,0&amp;C191,C191)&amp;","&amp;IF(D191&lt;10,0&amp;D191,D191)&amp;","&amp;IF(E191&lt;10,0&amp;E191,E191)</f>
        <v>01,05,07,10,11</v>
      </c>
      <c r="G192" s="28">
        <v>26145.900000000005</v>
      </c>
      <c r="J192" s="28" t="s">
        <v>515</v>
      </c>
      <c r="K192" s="28">
        <v>26145.900000000005</v>
      </c>
    </row>
    <row r="193" spans="1:11" x14ac:dyDescent="0.15">
      <c r="A193" s="28">
        <v>1</v>
      </c>
      <c r="B193" s="28">
        <v>5</v>
      </c>
      <c r="C193" s="28">
        <v>8</v>
      </c>
      <c r="D193" s="28">
        <v>9</v>
      </c>
      <c r="E193" s="28">
        <v>11</v>
      </c>
      <c r="F193" s="28" t="str">
        <f>IF(A192&lt;10,0&amp;A192,A192)&amp;","&amp;IF(B192&lt;10,0&amp;B192,B192)&amp;","&amp;IF(C192&lt;10,0&amp;C192,C192)&amp;","&amp;IF(D192&lt;10,0&amp;D192,D192)&amp;","&amp;IF(E192&lt;10,0&amp;E192,E192)</f>
        <v>01,05,08,09,10</v>
      </c>
      <c r="G193" s="28">
        <v>25289.620000000003</v>
      </c>
      <c r="J193" s="28" t="s">
        <v>516</v>
      </c>
      <c r="K193" s="28">
        <v>25289.620000000003</v>
      </c>
    </row>
    <row r="194" spans="1:11" x14ac:dyDescent="0.15">
      <c r="A194" s="28">
        <v>1</v>
      </c>
      <c r="B194" s="28">
        <v>5</v>
      </c>
      <c r="C194" s="28">
        <v>8</v>
      </c>
      <c r="D194" s="28">
        <v>10</v>
      </c>
      <c r="E194" s="28">
        <v>11</v>
      </c>
      <c r="F194" s="28" t="str">
        <f>IF(A193&lt;10,0&amp;A193,A193)&amp;","&amp;IF(B193&lt;10,0&amp;B193,B193)&amp;","&amp;IF(C193&lt;10,0&amp;C193,C193)&amp;","&amp;IF(D193&lt;10,0&amp;D193,D193)&amp;","&amp;IF(E193&lt;10,0&amp;E193,E193)</f>
        <v>01,05,08,09,11</v>
      </c>
      <c r="G194" s="28">
        <v>25326.870000000003</v>
      </c>
      <c r="J194" s="28" t="s">
        <v>517</v>
      </c>
      <c r="K194" s="28">
        <v>25326.870000000003</v>
      </c>
    </row>
    <row r="195" spans="1:11" x14ac:dyDescent="0.15">
      <c r="A195" s="28">
        <v>1</v>
      </c>
      <c r="B195" s="28">
        <v>5</v>
      </c>
      <c r="C195" s="28">
        <v>9</v>
      </c>
      <c r="D195" s="28">
        <v>10</v>
      </c>
      <c r="E195" s="28">
        <v>11</v>
      </c>
      <c r="F195" s="28" t="str">
        <f>IF(A194&lt;10,0&amp;A194,A194)&amp;","&amp;IF(B194&lt;10,0&amp;B194,B194)&amp;","&amp;IF(C194&lt;10,0&amp;C194,C194)&amp;","&amp;IF(D194&lt;10,0&amp;D194,D194)&amp;","&amp;IF(E194&lt;10,0&amp;E194,E194)</f>
        <v>01,05,08,10,11</v>
      </c>
      <c r="G195" s="28">
        <v>25155.250000000004</v>
      </c>
      <c r="J195" s="28" t="s">
        <v>518</v>
      </c>
      <c r="K195" s="28">
        <v>25155.250000000004</v>
      </c>
    </row>
    <row r="196" spans="1:11" x14ac:dyDescent="0.15">
      <c r="A196" s="28">
        <v>1</v>
      </c>
      <c r="B196" s="28">
        <v>6</v>
      </c>
      <c r="C196" s="28">
        <v>7</v>
      </c>
      <c r="D196" s="28">
        <v>8</v>
      </c>
      <c r="E196" s="28">
        <v>9</v>
      </c>
      <c r="F196" s="28" t="str">
        <f>IF(A195&lt;10,0&amp;A195,A195)&amp;","&amp;IF(B195&lt;10,0&amp;B195,B195)&amp;","&amp;IF(C195&lt;10,0&amp;C195,C195)&amp;","&amp;IF(D195&lt;10,0&amp;D195,D195)&amp;","&amp;IF(E195&lt;10,0&amp;E195,E195)</f>
        <v>01,05,09,10,11</v>
      </c>
      <c r="G196" s="28">
        <v>25935.550000000007</v>
      </c>
      <c r="J196" s="28" t="s">
        <v>519</v>
      </c>
      <c r="K196" s="28">
        <v>25935.550000000007</v>
      </c>
    </row>
    <row r="197" spans="1:11" x14ac:dyDescent="0.15">
      <c r="A197" s="28">
        <v>1</v>
      </c>
      <c r="B197" s="28">
        <v>6</v>
      </c>
      <c r="C197" s="28">
        <v>7</v>
      </c>
      <c r="D197" s="28">
        <v>8</v>
      </c>
      <c r="E197" s="28">
        <v>10</v>
      </c>
      <c r="F197" s="28" t="str">
        <f>IF(A196&lt;10,0&amp;A196,A196)&amp;","&amp;IF(B196&lt;10,0&amp;B196,B196)&amp;","&amp;IF(C196&lt;10,0&amp;C196,C196)&amp;","&amp;IF(D196&lt;10,0&amp;D196,D196)&amp;","&amp;IF(E196&lt;10,0&amp;E196,E196)</f>
        <v>01,06,07,08,09</v>
      </c>
      <c r="G197" s="28">
        <v>24323.880000000005</v>
      </c>
      <c r="J197" s="28" t="s">
        <v>520</v>
      </c>
      <c r="K197" s="28">
        <v>24323.880000000005</v>
      </c>
    </row>
    <row r="198" spans="1:11" x14ac:dyDescent="0.15">
      <c r="A198" s="28">
        <v>1</v>
      </c>
      <c r="B198" s="28">
        <v>6</v>
      </c>
      <c r="C198" s="28">
        <v>7</v>
      </c>
      <c r="D198" s="28">
        <v>8</v>
      </c>
      <c r="E198" s="28">
        <v>11</v>
      </c>
      <c r="F198" s="28" t="str">
        <f>IF(A197&lt;10,0&amp;A197,A197)&amp;","&amp;IF(B197&lt;10,0&amp;B197,B197)&amp;","&amp;IF(C197&lt;10,0&amp;C197,C197)&amp;","&amp;IF(D197&lt;10,0&amp;D197,D197)&amp;","&amp;IF(E197&lt;10,0&amp;E197,E197)</f>
        <v>01,06,07,08,10</v>
      </c>
      <c r="G198" s="28">
        <v>24225.33</v>
      </c>
      <c r="J198" s="28" t="s">
        <v>521</v>
      </c>
      <c r="K198" s="28">
        <v>24225.33</v>
      </c>
    </row>
    <row r="199" spans="1:11" x14ac:dyDescent="0.15">
      <c r="A199" s="28">
        <v>1</v>
      </c>
      <c r="B199" s="28">
        <v>6</v>
      </c>
      <c r="C199" s="28">
        <v>7</v>
      </c>
      <c r="D199" s="28">
        <v>9</v>
      </c>
      <c r="E199" s="28">
        <v>10</v>
      </c>
      <c r="F199" s="28" t="str">
        <f>IF(A198&lt;10,0&amp;A198,A198)&amp;","&amp;IF(B198&lt;10,0&amp;B198,B198)&amp;","&amp;IF(C198&lt;10,0&amp;C198,C198)&amp;","&amp;IF(D198&lt;10,0&amp;D198,D198)&amp;","&amp;IF(E198&lt;10,0&amp;E198,E198)</f>
        <v>01,06,07,08,11</v>
      </c>
      <c r="G199" s="28">
        <v>24217.730000000003</v>
      </c>
      <c r="J199" s="28" t="s">
        <v>522</v>
      </c>
      <c r="K199" s="28">
        <v>24217.730000000003</v>
      </c>
    </row>
    <row r="200" spans="1:11" x14ac:dyDescent="0.15">
      <c r="A200" s="28">
        <v>1</v>
      </c>
      <c r="B200" s="28">
        <v>6</v>
      </c>
      <c r="C200" s="28">
        <v>7</v>
      </c>
      <c r="D200" s="28">
        <v>9</v>
      </c>
      <c r="E200" s="28">
        <v>11</v>
      </c>
      <c r="F200" s="28" t="str">
        <f>IF(A199&lt;10,0&amp;A199,A199)&amp;","&amp;IF(B199&lt;10,0&amp;B199,B199)&amp;","&amp;IF(C199&lt;10,0&amp;C199,C199)&amp;","&amp;IF(D199&lt;10,0&amp;D199,D199)&amp;","&amp;IF(E199&lt;10,0&amp;E199,E199)</f>
        <v>01,06,07,09,10</v>
      </c>
      <c r="G200" s="28">
        <v>24323.880000000005</v>
      </c>
      <c r="J200" s="28" t="s">
        <v>523</v>
      </c>
      <c r="K200" s="28">
        <v>24323.880000000005</v>
      </c>
    </row>
    <row r="201" spans="1:11" x14ac:dyDescent="0.15">
      <c r="A201" s="28">
        <v>1</v>
      </c>
      <c r="B201" s="28">
        <v>6</v>
      </c>
      <c r="C201" s="28">
        <v>7</v>
      </c>
      <c r="D201" s="28">
        <v>10</v>
      </c>
      <c r="E201" s="28">
        <v>11</v>
      </c>
      <c r="F201" s="28" t="str">
        <f>IF(A200&lt;10,0&amp;A200,A200)&amp;","&amp;IF(B200&lt;10,0&amp;B200,B200)&amp;","&amp;IF(C200&lt;10,0&amp;C200,C200)&amp;","&amp;IF(D200&lt;10,0&amp;D200,D200)&amp;","&amp;IF(E200&lt;10,0&amp;E200,E200)</f>
        <v>01,06,07,09,11</v>
      </c>
      <c r="G201" s="28">
        <v>24361.130000000005</v>
      </c>
      <c r="J201" s="28" t="s">
        <v>524</v>
      </c>
      <c r="K201" s="28">
        <v>24361.130000000005</v>
      </c>
    </row>
    <row r="202" spans="1:11" x14ac:dyDescent="0.15">
      <c r="A202" s="28">
        <v>1</v>
      </c>
      <c r="B202" s="28">
        <v>6</v>
      </c>
      <c r="C202" s="28">
        <v>8</v>
      </c>
      <c r="D202" s="28">
        <v>9</v>
      </c>
      <c r="E202" s="28">
        <v>10</v>
      </c>
      <c r="F202" s="28" t="str">
        <f>IF(A201&lt;10,0&amp;A201,A201)&amp;","&amp;IF(B201&lt;10,0&amp;B201,B201)&amp;","&amp;IF(C201&lt;10,0&amp;C201,C201)&amp;","&amp;IF(D201&lt;10,0&amp;D201,D201)&amp;","&amp;IF(E201&lt;10,0&amp;E201,E201)</f>
        <v>01,06,07,10,11</v>
      </c>
      <c r="G202" s="28">
        <v>24197.950000000004</v>
      </c>
      <c r="J202" s="28" t="s">
        <v>525</v>
      </c>
      <c r="K202" s="28">
        <v>24197.950000000004</v>
      </c>
    </row>
    <row r="203" spans="1:11" x14ac:dyDescent="0.15">
      <c r="A203" s="28">
        <v>1</v>
      </c>
      <c r="B203" s="28">
        <v>6</v>
      </c>
      <c r="C203" s="28">
        <v>8</v>
      </c>
      <c r="D203" s="28">
        <v>9</v>
      </c>
      <c r="E203" s="28">
        <v>11</v>
      </c>
      <c r="F203" s="28" t="str">
        <f>IF(A202&lt;10,0&amp;A202,A202)&amp;","&amp;IF(B202&lt;10,0&amp;B202,B202)&amp;","&amp;IF(C202&lt;10,0&amp;C202,C202)&amp;","&amp;IF(D202&lt;10,0&amp;D202,D202)&amp;","&amp;IF(E202&lt;10,0&amp;E202,E202)</f>
        <v>01,06,08,09,10</v>
      </c>
      <c r="G203" s="28">
        <v>23386.520000000004</v>
      </c>
      <c r="J203" s="28" t="s">
        <v>526</v>
      </c>
      <c r="K203" s="28">
        <v>23386.520000000004</v>
      </c>
    </row>
    <row r="204" spans="1:11" x14ac:dyDescent="0.15">
      <c r="A204" s="28">
        <v>1</v>
      </c>
      <c r="B204" s="28">
        <v>6</v>
      </c>
      <c r="C204" s="28">
        <v>8</v>
      </c>
      <c r="D204" s="28">
        <v>10</v>
      </c>
      <c r="E204" s="28">
        <v>11</v>
      </c>
      <c r="F204" s="28" t="str">
        <f>IF(A203&lt;10,0&amp;A203,A203)&amp;","&amp;IF(B203&lt;10,0&amp;B203,B203)&amp;","&amp;IF(C203&lt;10,0&amp;C203,C203)&amp;","&amp;IF(D203&lt;10,0&amp;D203,D203)&amp;","&amp;IF(E203&lt;10,0&amp;E203,E203)</f>
        <v>01,06,08,09,11</v>
      </c>
      <c r="G204" s="28">
        <v>23378.920000000002</v>
      </c>
      <c r="J204" s="28" t="s">
        <v>527</v>
      </c>
      <c r="K204" s="28">
        <v>23378.920000000002</v>
      </c>
    </row>
    <row r="205" spans="1:11" x14ac:dyDescent="0.15">
      <c r="A205" s="28">
        <v>1</v>
      </c>
      <c r="B205" s="28">
        <v>6</v>
      </c>
      <c r="C205" s="28">
        <v>9</v>
      </c>
      <c r="D205" s="28">
        <v>10</v>
      </c>
      <c r="E205" s="28">
        <v>11</v>
      </c>
      <c r="F205" s="28" t="str">
        <f>IF(A204&lt;10,0&amp;A204,A204)&amp;","&amp;IF(B204&lt;10,0&amp;B204,B204)&amp;","&amp;IF(C204&lt;10,0&amp;C204,C204)&amp;","&amp;IF(D204&lt;10,0&amp;D204,D204)&amp;","&amp;IF(E204&lt;10,0&amp;E204,E204)</f>
        <v>01,06,08,10,11</v>
      </c>
      <c r="G205" s="28">
        <v>23252.15</v>
      </c>
      <c r="J205" s="28" t="s">
        <v>528</v>
      </c>
      <c r="K205" s="28">
        <v>23252.15</v>
      </c>
    </row>
    <row r="206" spans="1:11" x14ac:dyDescent="0.15">
      <c r="A206" s="28">
        <v>1</v>
      </c>
      <c r="B206" s="28">
        <v>7</v>
      </c>
      <c r="C206" s="28">
        <v>8</v>
      </c>
      <c r="D206" s="28">
        <v>9</v>
      </c>
      <c r="E206" s="28">
        <v>10</v>
      </c>
      <c r="F206" s="28" t="str">
        <f>IF(A205&lt;10,0&amp;A205,A205)&amp;","&amp;IF(B205&lt;10,0&amp;B205,B205)&amp;","&amp;IF(C205&lt;10,0&amp;C205,C205)&amp;","&amp;IF(D205&lt;10,0&amp;D205,D205)&amp;","&amp;IF(E205&lt;10,0&amp;E205,E205)</f>
        <v>01,06,09,10,11</v>
      </c>
      <c r="G206" s="28">
        <v>23350.700000000004</v>
      </c>
      <c r="J206" s="28" t="s">
        <v>529</v>
      </c>
      <c r="K206" s="28">
        <v>23350.700000000004</v>
      </c>
    </row>
    <row r="207" spans="1:11" x14ac:dyDescent="0.15">
      <c r="A207" s="28">
        <v>1</v>
      </c>
      <c r="B207" s="28">
        <v>7</v>
      </c>
      <c r="C207" s="28">
        <v>8</v>
      </c>
      <c r="D207" s="28">
        <v>9</v>
      </c>
      <c r="E207" s="28">
        <v>11</v>
      </c>
      <c r="F207" s="28" t="str">
        <f>IF(A206&lt;10,0&amp;A206,A206)&amp;","&amp;IF(B206&lt;10,0&amp;B206,B206)&amp;","&amp;IF(C206&lt;10,0&amp;C206,C206)&amp;","&amp;IF(D206&lt;10,0&amp;D206,D206)&amp;","&amp;IF(E206&lt;10,0&amp;E206,E206)</f>
        <v>01,07,08,09,10</v>
      </c>
      <c r="G207" s="28">
        <v>21784.720000000005</v>
      </c>
      <c r="J207" s="28" t="s">
        <v>530</v>
      </c>
      <c r="K207" s="28">
        <v>21784.720000000005</v>
      </c>
    </row>
    <row r="208" spans="1:11" x14ac:dyDescent="0.15">
      <c r="A208" s="28">
        <v>1</v>
      </c>
      <c r="B208" s="28">
        <v>7</v>
      </c>
      <c r="C208" s="28">
        <v>8</v>
      </c>
      <c r="D208" s="28">
        <v>10</v>
      </c>
      <c r="E208" s="28">
        <v>11</v>
      </c>
      <c r="F208" s="28" t="str">
        <f>IF(A207&lt;10,0&amp;A207,A207)&amp;","&amp;IF(B207&lt;10,0&amp;B207,B207)&amp;","&amp;IF(C207&lt;10,0&amp;C207,C207)&amp;","&amp;IF(D207&lt;10,0&amp;D207,D207)&amp;","&amp;IF(E207&lt;10,0&amp;E207,E207)</f>
        <v>01,07,08,09,11</v>
      </c>
      <c r="G208" s="28">
        <v>21821.970000000005</v>
      </c>
      <c r="J208" s="28" t="s">
        <v>531</v>
      </c>
      <c r="K208" s="28">
        <v>21821.970000000005</v>
      </c>
    </row>
    <row r="209" spans="1:11" x14ac:dyDescent="0.15">
      <c r="A209" s="28">
        <v>1</v>
      </c>
      <c r="B209" s="28">
        <v>7</v>
      </c>
      <c r="C209" s="28">
        <v>9</v>
      </c>
      <c r="D209" s="28">
        <v>10</v>
      </c>
      <c r="E209" s="28">
        <v>11</v>
      </c>
      <c r="F209" s="28" t="str">
        <f>IF(A208&lt;10,0&amp;A208,A208)&amp;","&amp;IF(B208&lt;10,0&amp;B208,B208)&amp;","&amp;IF(C208&lt;10,0&amp;C208,C208)&amp;","&amp;IF(D208&lt;10,0&amp;D208,D208)&amp;","&amp;IF(E208&lt;10,0&amp;E208,E208)</f>
        <v>01,07,08,10,11</v>
      </c>
      <c r="G209" s="28">
        <v>21650.350000000006</v>
      </c>
      <c r="J209" s="28" t="s">
        <v>532</v>
      </c>
      <c r="K209" s="28">
        <v>21650.350000000006</v>
      </c>
    </row>
    <row r="210" spans="1:11" x14ac:dyDescent="0.15">
      <c r="A210" s="28">
        <v>1</v>
      </c>
      <c r="B210" s="28">
        <v>8</v>
      </c>
      <c r="C210" s="28">
        <v>9</v>
      </c>
      <c r="D210" s="28">
        <v>10</v>
      </c>
      <c r="E210" s="28">
        <v>11</v>
      </c>
      <c r="F210" s="28" t="str">
        <f>IF(A209&lt;10,0&amp;A209,A209)&amp;","&amp;IF(B209&lt;10,0&amp;B209,B209)&amp;","&amp;IF(C209&lt;10,0&amp;C209,C209)&amp;","&amp;IF(D209&lt;10,0&amp;D209,D209)&amp;","&amp;IF(E209&lt;10,0&amp;E209,E209)</f>
        <v>01,07,09,10,11</v>
      </c>
      <c r="G210" s="28">
        <v>21793.750000000007</v>
      </c>
      <c r="J210" s="28" t="s">
        <v>533</v>
      </c>
      <c r="K210" s="28">
        <v>21793.750000000007</v>
      </c>
    </row>
    <row r="211" spans="1:11" x14ac:dyDescent="0.15">
      <c r="A211" s="28">
        <v>2</v>
      </c>
      <c r="B211" s="28">
        <v>3</v>
      </c>
      <c r="C211" s="28">
        <v>4</v>
      </c>
      <c r="D211" s="28">
        <v>5</v>
      </c>
      <c r="E211" s="28">
        <v>6</v>
      </c>
      <c r="F211" s="28" t="str">
        <f>IF(A210&lt;10,0&amp;A210,A210)&amp;","&amp;IF(B210&lt;10,0&amp;B210,B210)&amp;","&amp;IF(C210&lt;10,0&amp;C210,C210)&amp;","&amp;IF(D210&lt;10,0&amp;D210,D210)&amp;","&amp;IF(E210&lt;10,0&amp;E210,E210)</f>
        <v>01,08,09,10,11</v>
      </c>
      <c r="G211" s="28">
        <v>20803.100000000006</v>
      </c>
      <c r="J211" s="28" t="s">
        <v>534</v>
      </c>
      <c r="K211" s="28">
        <v>20803.100000000006</v>
      </c>
    </row>
    <row r="212" spans="1:11" x14ac:dyDescent="0.15">
      <c r="A212" s="28">
        <v>2</v>
      </c>
      <c r="B212" s="28">
        <v>3</v>
      </c>
      <c r="C212" s="28">
        <v>4</v>
      </c>
      <c r="D212" s="28">
        <v>5</v>
      </c>
      <c r="E212" s="28">
        <v>7</v>
      </c>
      <c r="F212" s="28" t="str">
        <f>IF(A211&lt;10,0&amp;A211,A211)&amp;","&amp;IF(B211&lt;10,0&amp;B211,B211)&amp;","&amp;IF(C211&lt;10,0&amp;C211,C211)&amp;","&amp;IF(D211&lt;10,0&amp;D211,D211)&amp;","&amp;IF(E211&lt;10,0&amp;E211,E211)</f>
        <v>02,03,04,05,06</v>
      </c>
      <c r="G212" s="28">
        <v>35223.244999999995</v>
      </c>
      <c r="J212" s="28" t="s">
        <v>535</v>
      </c>
      <c r="K212" s="28">
        <v>35223.244999999995</v>
      </c>
    </row>
    <row r="213" spans="1:11" x14ac:dyDescent="0.15">
      <c r="A213" s="28">
        <v>2</v>
      </c>
      <c r="B213" s="28">
        <v>3</v>
      </c>
      <c r="C213" s="28">
        <v>4</v>
      </c>
      <c r="D213" s="28">
        <v>5</v>
      </c>
      <c r="E213" s="28">
        <v>8</v>
      </c>
      <c r="F213" s="28" t="str">
        <f>IF(A212&lt;10,0&amp;A212,A212)&amp;","&amp;IF(B212&lt;10,0&amp;B212,B212)&amp;","&amp;IF(C212&lt;10,0&amp;C212,C212)&amp;","&amp;IF(D212&lt;10,0&amp;D212,D212)&amp;","&amp;IF(E212&lt;10,0&amp;E212,E212)</f>
        <v>02,03,04,05,07</v>
      </c>
      <c r="G213" s="28">
        <v>33356.07</v>
      </c>
      <c r="J213" s="28" t="s">
        <v>536</v>
      </c>
      <c r="K213" s="28">
        <v>33356.07</v>
      </c>
    </row>
    <row r="214" spans="1:11" x14ac:dyDescent="0.15">
      <c r="A214" s="28">
        <v>2</v>
      </c>
      <c r="B214" s="28">
        <v>3</v>
      </c>
      <c r="C214" s="28">
        <v>4</v>
      </c>
      <c r="D214" s="28">
        <v>5</v>
      </c>
      <c r="E214" s="28">
        <v>9</v>
      </c>
      <c r="F214" s="28" t="str">
        <f>IF(A213&lt;10,0&amp;A213,A213)&amp;","&amp;IF(B213&lt;10,0&amp;B213,B213)&amp;","&amp;IF(C213&lt;10,0&amp;C213,C213)&amp;","&amp;IF(D213&lt;10,0&amp;D213,D213)&amp;","&amp;IF(E213&lt;10,0&amp;E213,E213)</f>
        <v>02,03,04,05,08</v>
      </c>
      <c r="G214" s="28">
        <v>32325.350000000006</v>
      </c>
      <c r="J214" s="28" t="s">
        <v>537</v>
      </c>
      <c r="K214" s="28">
        <v>32325.350000000006</v>
      </c>
    </row>
    <row r="215" spans="1:11" x14ac:dyDescent="0.15">
      <c r="A215" s="28">
        <v>2</v>
      </c>
      <c r="B215" s="28">
        <v>3</v>
      </c>
      <c r="C215" s="28">
        <v>4</v>
      </c>
      <c r="D215" s="28">
        <v>5</v>
      </c>
      <c r="E215" s="28">
        <v>10</v>
      </c>
      <c r="F215" s="28" t="str">
        <f>IF(A214&lt;10,0&amp;A214,A214)&amp;","&amp;IF(B214&lt;10,0&amp;B214,B214)&amp;","&amp;IF(C214&lt;10,0&amp;C214,C214)&amp;","&amp;IF(D214&lt;10,0&amp;D214,D214)&amp;","&amp;IF(E214&lt;10,0&amp;E214,E214)</f>
        <v>02,03,04,05,09</v>
      </c>
      <c r="G215" s="28">
        <v>32316.75</v>
      </c>
      <c r="J215" s="28" t="s">
        <v>538</v>
      </c>
      <c r="K215" s="28">
        <v>32316.75</v>
      </c>
    </row>
    <row r="216" spans="1:11" x14ac:dyDescent="0.15">
      <c r="A216" s="28">
        <v>2</v>
      </c>
      <c r="B216" s="28">
        <v>3</v>
      </c>
      <c r="C216" s="28">
        <v>4</v>
      </c>
      <c r="D216" s="28">
        <v>5</v>
      </c>
      <c r="E216" s="28">
        <v>11</v>
      </c>
      <c r="F216" s="28" t="str">
        <f>IF(A215&lt;10,0&amp;A215,A215)&amp;","&amp;IF(B215&lt;10,0&amp;B215,B215)&amp;","&amp;IF(C215&lt;10,0&amp;C215,C215)&amp;","&amp;IF(D215&lt;10,0&amp;D215,D215)&amp;","&amp;IF(E215&lt;10,0&amp;E215,E215)</f>
        <v>02,03,04,05,10</v>
      </c>
      <c r="G216" s="28">
        <v>32324.350000000006</v>
      </c>
      <c r="J216" s="28" t="s">
        <v>539</v>
      </c>
      <c r="K216" s="28">
        <v>32324.350000000006</v>
      </c>
    </row>
    <row r="217" spans="1:11" x14ac:dyDescent="0.15">
      <c r="A217" s="28">
        <v>2</v>
      </c>
      <c r="B217" s="28">
        <v>3</v>
      </c>
      <c r="C217" s="28">
        <v>4</v>
      </c>
      <c r="D217" s="28">
        <v>6</v>
      </c>
      <c r="E217" s="28">
        <v>7</v>
      </c>
      <c r="F217" s="28" t="str">
        <f>IF(A216&lt;10,0&amp;A216,A216)&amp;","&amp;IF(B216&lt;10,0&amp;B216,B216)&amp;","&amp;IF(C216&lt;10,0&amp;C216,C216)&amp;","&amp;IF(D216&lt;10,0&amp;D216,D216)&amp;","&amp;IF(E216&lt;10,0&amp;E216,E216)</f>
        <v>02,03,04,05,11</v>
      </c>
      <c r="G217" s="28">
        <v>32316.75</v>
      </c>
      <c r="J217" s="28" t="s">
        <v>540</v>
      </c>
      <c r="K217" s="28">
        <v>32316.75</v>
      </c>
    </row>
    <row r="218" spans="1:11" x14ac:dyDescent="0.15">
      <c r="A218" s="28">
        <v>2</v>
      </c>
      <c r="B218" s="28">
        <v>3</v>
      </c>
      <c r="C218" s="28">
        <v>4</v>
      </c>
      <c r="D218" s="28">
        <v>6</v>
      </c>
      <c r="E218" s="28">
        <v>8</v>
      </c>
      <c r="F218" s="28" t="str">
        <f>IF(A217&lt;10,0&amp;A217,A217)&amp;","&amp;IF(B217&lt;10,0&amp;B217,B217)&amp;","&amp;IF(C217&lt;10,0&amp;C217,C217)&amp;","&amp;IF(D217&lt;10,0&amp;D217,D217)&amp;","&amp;IF(E217&lt;10,0&amp;E217,E217)</f>
        <v>02,03,04,06,07</v>
      </c>
      <c r="G218" s="28">
        <v>31452.970000000005</v>
      </c>
      <c r="J218" s="28" t="s">
        <v>541</v>
      </c>
      <c r="K218" s="28">
        <v>31452.970000000005</v>
      </c>
    </row>
    <row r="219" spans="1:11" x14ac:dyDescent="0.15">
      <c r="A219" s="28">
        <v>2</v>
      </c>
      <c r="B219" s="28">
        <v>3</v>
      </c>
      <c r="C219" s="28">
        <v>4</v>
      </c>
      <c r="D219" s="28">
        <v>6</v>
      </c>
      <c r="E219" s="28">
        <v>9</v>
      </c>
      <c r="F219" s="28" t="str">
        <f>IF(A218&lt;10,0&amp;A218,A218)&amp;","&amp;IF(B218&lt;10,0&amp;B218,B218)&amp;","&amp;IF(C218&lt;10,0&amp;C218,C218)&amp;","&amp;IF(D218&lt;10,0&amp;D218,D218)&amp;","&amp;IF(E218&lt;10,0&amp;E218,E218)</f>
        <v>02,03,04,06,08</v>
      </c>
      <c r="G219" s="28">
        <v>30533.350000000002</v>
      </c>
      <c r="J219" s="28" t="s">
        <v>542</v>
      </c>
      <c r="K219" s="28">
        <v>30533.350000000002</v>
      </c>
    </row>
    <row r="220" spans="1:11" x14ac:dyDescent="0.15">
      <c r="A220" s="28">
        <v>2</v>
      </c>
      <c r="B220" s="28">
        <v>3</v>
      </c>
      <c r="C220" s="28">
        <v>4</v>
      </c>
      <c r="D220" s="28">
        <v>6</v>
      </c>
      <c r="E220" s="28">
        <v>10</v>
      </c>
      <c r="F220" s="28" t="str">
        <f>IF(A219&lt;10,0&amp;A219,A219)&amp;","&amp;IF(B219&lt;10,0&amp;B219,B219)&amp;","&amp;IF(C219&lt;10,0&amp;C219,C219)&amp;","&amp;IF(D219&lt;10,0&amp;D219,D219)&amp;","&amp;IF(E219&lt;10,0&amp;E219,E219)</f>
        <v>02,03,04,06,09</v>
      </c>
      <c r="G220" s="28">
        <v>30413.650000000005</v>
      </c>
      <c r="J220" s="28" t="s">
        <v>543</v>
      </c>
      <c r="K220" s="28">
        <v>30413.650000000005</v>
      </c>
    </row>
    <row r="221" spans="1:11" x14ac:dyDescent="0.15">
      <c r="A221" s="28">
        <v>2</v>
      </c>
      <c r="B221" s="28">
        <v>3</v>
      </c>
      <c r="C221" s="28">
        <v>4</v>
      </c>
      <c r="D221" s="28">
        <v>6</v>
      </c>
      <c r="E221" s="28">
        <v>11</v>
      </c>
      <c r="F221" s="28" t="str">
        <f>IF(A220&lt;10,0&amp;A220,A220)&amp;","&amp;IF(B220&lt;10,0&amp;B220,B220)&amp;","&amp;IF(C220&lt;10,0&amp;C220,C220)&amp;","&amp;IF(D220&lt;10,0&amp;D220,D220)&amp;","&amp;IF(E220&lt;10,0&amp;E220,E220)</f>
        <v>02,03,04,06,10</v>
      </c>
      <c r="G221" s="28">
        <v>30532.350000000002</v>
      </c>
      <c r="J221" s="28" t="s">
        <v>544</v>
      </c>
      <c r="K221" s="28">
        <v>30532.350000000002</v>
      </c>
    </row>
    <row r="222" spans="1:11" x14ac:dyDescent="0.15">
      <c r="A222" s="28">
        <v>2</v>
      </c>
      <c r="B222" s="28">
        <v>3</v>
      </c>
      <c r="C222" s="28">
        <v>4</v>
      </c>
      <c r="D222" s="28">
        <v>7</v>
      </c>
      <c r="E222" s="28">
        <v>8</v>
      </c>
      <c r="F222" s="28" t="str">
        <f>IF(A221&lt;10,0&amp;A221,A221)&amp;","&amp;IF(B221&lt;10,0&amp;B221,B221)&amp;","&amp;IF(C221&lt;10,0&amp;C221,C221)&amp;","&amp;IF(D221&lt;10,0&amp;D221,D221)&amp;","&amp;IF(E221&lt;10,0&amp;E221,E221)</f>
        <v>02,03,04,06,11</v>
      </c>
      <c r="G222" s="28">
        <v>30413.650000000005</v>
      </c>
      <c r="J222" s="28" t="s">
        <v>545</v>
      </c>
      <c r="K222" s="28">
        <v>30413.650000000005</v>
      </c>
    </row>
    <row r="223" spans="1:11" x14ac:dyDescent="0.15">
      <c r="A223" s="28">
        <v>2</v>
      </c>
      <c r="B223" s="28">
        <v>3</v>
      </c>
      <c r="C223" s="28">
        <v>4</v>
      </c>
      <c r="D223" s="28">
        <v>7</v>
      </c>
      <c r="E223" s="28">
        <v>9</v>
      </c>
      <c r="F223" s="28" t="str">
        <f>IF(A222&lt;10,0&amp;A222,A222)&amp;","&amp;IF(B222&lt;10,0&amp;B222,B222)&amp;","&amp;IF(C222&lt;10,0&amp;C222,C222)&amp;","&amp;IF(D222&lt;10,0&amp;D222,D222)&amp;","&amp;IF(E222&lt;10,0&amp;E222,E222)</f>
        <v>02,03,04,07,08</v>
      </c>
      <c r="G223" s="28">
        <v>28820.450000000008</v>
      </c>
      <c r="J223" s="28" t="s">
        <v>546</v>
      </c>
      <c r="K223" s="28">
        <v>28820.450000000008</v>
      </c>
    </row>
    <row r="224" spans="1:11" x14ac:dyDescent="0.15">
      <c r="A224" s="28">
        <v>2</v>
      </c>
      <c r="B224" s="28">
        <v>3</v>
      </c>
      <c r="C224" s="28">
        <v>4</v>
      </c>
      <c r="D224" s="28">
        <v>7</v>
      </c>
      <c r="E224" s="28">
        <v>10</v>
      </c>
      <c r="F224" s="28" t="str">
        <f>IF(A223&lt;10,0&amp;A223,A223)&amp;","&amp;IF(B223&lt;10,0&amp;B223,B223)&amp;","&amp;IF(C223&lt;10,0&amp;C223,C223)&amp;","&amp;IF(D223&lt;10,0&amp;D223,D223)&amp;","&amp;IF(E223&lt;10,0&amp;E223,E223)</f>
        <v>02,03,04,07,09</v>
      </c>
      <c r="G224" s="28">
        <v>28811.850000000002</v>
      </c>
      <c r="J224" s="28" t="s">
        <v>547</v>
      </c>
      <c r="K224" s="28">
        <v>28811.850000000002</v>
      </c>
    </row>
    <row r="225" spans="1:11" x14ac:dyDescent="0.15">
      <c r="A225" s="28">
        <v>2</v>
      </c>
      <c r="B225" s="28">
        <v>3</v>
      </c>
      <c r="C225" s="28">
        <v>4</v>
      </c>
      <c r="D225" s="28">
        <v>7</v>
      </c>
      <c r="E225" s="28">
        <v>11</v>
      </c>
      <c r="F225" s="28" t="str">
        <f>IF(A224&lt;10,0&amp;A224,A224)&amp;","&amp;IF(B224&lt;10,0&amp;B224,B224)&amp;","&amp;IF(C224&lt;10,0&amp;C224,C224)&amp;","&amp;IF(D224&lt;10,0&amp;D224,D224)&amp;","&amp;IF(E224&lt;10,0&amp;E224,E224)</f>
        <v>02,03,04,07,10</v>
      </c>
      <c r="G225" s="28">
        <v>28819.450000000008</v>
      </c>
      <c r="J225" s="28" t="s">
        <v>548</v>
      </c>
      <c r="K225" s="28">
        <v>28819.450000000008</v>
      </c>
    </row>
    <row r="226" spans="1:11" x14ac:dyDescent="0.15">
      <c r="A226" s="28">
        <v>2</v>
      </c>
      <c r="B226" s="28">
        <v>3</v>
      </c>
      <c r="C226" s="28">
        <v>4</v>
      </c>
      <c r="D226" s="28">
        <v>8</v>
      </c>
      <c r="E226" s="28">
        <v>9</v>
      </c>
      <c r="F226" s="28" t="str">
        <f>IF(A225&lt;10,0&amp;A225,A225)&amp;","&amp;IF(B225&lt;10,0&amp;B225,B225)&amp;","&amp;IF(C225&lt;10,0&amp;C225,C225)&amp;","&amp;IF(D225&lt;10,0&amp;D225,D225)&amp;","&amp;IF(E225&lt;10,0&amp;E225,E225)</f>
        <v>02,03,04,07,11</v>
      </c>
      <c r="G226" s="28">
        <v>28811.850000000002</v>
      </c>
      <c r="J226" s="28" t="s">
        <v>549</v>
      </c>
      <c r="K226" s="28">
        <v>28811.850000000002</v>
      </c>
    </row>
    <row r="227" spans="1:11" x14ac:dyDescent="0.15">
      <c r="A227" s="28">
        <v>2</v>
      </c>
      <c r="B227" s="28">
        <v>3</v>
      </c>
      <c r="C227" s="28">
        <v>4</v>
      </c>
      <c r="D227" s="28">
        <v>8</v>
      </c>
      <c r="E227" s="28">
        <v>10</v>
      </c>
      <c r="F227" s="28" t="str">
        <f>IF(A226&lt;10,0&amp;A226,A226)&amp;","&amp;IF(B226&lt;10,0&amp;B226,B226)&amp;","&amp;IF(C226&lt;10,0&amp;C226,C226)&amp;","&amp;IF(D226&lt;10,0&amp;D226,D226)&amp;","&amp;IF(E226&lt;10,0&amp;E226,E226)</f>
        <v>02,03,04,08,09</v>
      </c>
      <c r="G227" s="28">
        <v>27866.050000000007</v>
      </c>
      <c r="J227" s="28" t="s">
        <v>550</v>
      </c>
      <c r="K227" s="28">
        <v>27866.050000000007</v>
      </c>
    </row>
    <row r="228" spans="1:11" x14ac:dyDescent="0.15">
      <c r="A228" s="28">
        <v>2</v>
      </c>
      <c r="B228" s="28">
        <v>3</v>
      </c>
      <c r="C228" s="28">
        <v>4</v>
      </c>
      <c r="D228" s="28">
        <v>8</v>
      </c>
      <c r="E228" s="28">
        <v>11</v>
      </c>
      <c r="F228" s="28" t="str">
        <f>IF(A227&lt;10,0&amp;A227,A227)&amp;","&amp;IF(B227&lt;10,0&amp;B227,B227)&amp;","&amp;IF(C227&lt;10,0&amp;C227,C227)&amp;","&amp;IF(D227&lt;10,0&amp;D227,D227)&amp;","&amp;IF(E227&lt;10,0&amp;E227,E227)</f>
        <v>02,03,04,08,10</v>
      </c>
      <c r="G228" s="28">
        <v>27984.750000000004</v>
      </c>
      <c r="J228" s="28" t="s">
        <v>551</v>
      </c>
      <c r="K228" s="28">
        <v>27984.750000000004</v>
      </c>
    </row>
    <row r="229" spans="1:11" x14ac:dyDescent="0.15">
      <c r="A229" s="28">
        <v>2</v>
      </c>
      <c r="B229" s="28">
        <v>3</v>
      </c>
      <c r="C229" s="28">
        <v>4</v>
      </c>
      <c r="D229" s="28">
        <v>9</v>
      </c>
      <c r="E229" s="28">
        <v>10</v>
      </c>
      <c r="F229" s="28" t="str">
        <f>IF(A228&lt;10,0&amp;A228,A228)&amp;","&amp;IF(B228&lt;10,0&amp;B228,B228)&amp;","&amp;IF(C228&lt;10,0&amp;C228,C228)&amp;","&amp;IF(D228&lt;10,0&amp;D228,D228)&amp;","&amp;IF(E228&lt;10,0&amp;E228,E228)</f>
        <v>02,03,04,08,11</v>
      </c>
      <c r="G229" s="28">
        <v>27866.050000000007</v>
      </c>
      <c r="J229" s="28" t="s">
        <v>552</v>
      </c>
      <c r="K229" s="28">
        <v>27866.050000000007</v>
      </c>
    </row>
    <row r="230" spans="1:11" x14ac:dyDescent="0.15">
      <c r="A230" s="28">
        <v>2</v>
      </c>
      <c r="B230" s="28">
        <v>3</v>
      </c>
      <c r="C230" s="28">
        <v>4</v>
      </c>
      <c r="D230" s="28">
        <v>9</v>
      </c>
      <c r="E230" s="28">
        <v>11</v>
      </c>
      <c r="F230" s="28" t="str">
        <f>IF(A229&lt;10,0&amp;A229,A229)&amp;","&amp;IF(B229&lt;10,0&amp;B229,B229)&amp;","&amp;IF(C229&lt;10,0&amp;C229,C229)&amp;","&amp;IF(D229&lt;10,0&amp;D229,D229)&amp;","&amp;IF(E229&lt;10,0&amp;E229,E229)</f>
        <v>02,03,04,09,10</v>
      </c>
      <c r="G230" s="28">
        <v>27866.050000000007</v>
      </c>
      <c r="J230" s="28" t="s">
        <v>553</v>
      </c>
      <c r="K230" s="28">
        <v>27866.050000000007</v>
      </c>
    </row>
    <row r="231" spans="1:11" x14ac:dyDescent="0.15">
      <c r="A231" s="28">
        <v>2</v>
      </c>
      <c r="B231" s="28">
        <v>3</v>
      </c>
      <c r="C231" s="28">
        <v>4</v>
      </c>
      <c r="D231" s="28">
        <v>10</v>
      </c>
      <c r="E231" s="28">
        <v>11</v>
      </c>
      <c r="F231" s="28" t="str">
        <f>IF(A230&lt;10,0&amp;A230,A230)&amp;","&amp;IF(B230&lt;10,0&amp;B230,B230)&amp;","&amp;IF(C230&lt;10,0&amp;C230,C230)&amp;","&amp;IF(D230&lt;10,0&amp;D230,D230)&amp;","&amp;IF(E230&lt;10,0&amp;E230,E230)</f>
        <v>02,03,04,09,11</v>
      </c>
      <c r="G231" s="28">
        <v>27858.45</v>
      </c>
      <c r="J231" s="28" t="s">
        <v>554</v>
      </c>
      <c r="K231" s="28">
        <v>27858.45</v>
      </c>
    </row>
    <row r="232" spans="1:11" x14ac:dyDescent="0.15">
      <c r="A232" s="28">
        <v>2</v>
      </c>
      <c r="B232" s="28">
        <v>3</v>
      </c>
      <c r="C232" s="28">
        <v>5</v>
      </c>
      <c r="D232" s="28">
        <v>6</v>
      </c>
      <c r="E232" s="28">
        <v>7</v>
      </c>
      <c r="F232" s="28" t="str">
        <f>IF(A231&lt;10,0&amp;A231,A231)&amp;","&amp;IF(B231&lt;10,0&amp;B231,B231)&amp;","&amp;IF(C231&lt;10,0&amp;C231,C231)&amp;","&amp;IF(D231&lt;10,0&amp;D231,D231)&amp;","&amp;IF(E231&lt;10,0&amp;E231,E231)</f>
        <v>02,03,04,10,11</v>
      </c>
      <c r="G232" s="28">
        <v>27866.050000000007</v>
      </c>
      <c r="J232" s="28" t="s">
        <v>555</v>
      </c>
      <c r="K232" s="28">
        <v>27866.050000000007</v>
      </c>
    </row>
    <row r="233" spans="1:11" x14ac:dyDescent="0.15">
      <c r="A233" s="28">
        <v>2</v>
      </c>
      <c r="B233" s="28">
        <v>3</v>
      </c>
      <c r="C233" s="28">
        <v>5</v>
      </c>
      <c r="D233" s="28">
        <v>6</v>
      </c>
      <c r="E233" s="28">
        <v>8</v>
      </c>
      <c r="F233" s="28" t="str">
        <f>IF(A232&lt;10,0&amp;A232,A232)&amp;","&amp;IF(B232&lt;10,0&amp;B232,B232)&amp;","&amp;IF(C232&lt;10,0&amp;C232,C232)&amp;","&amp;IF(D232&lt;10,0&amp;D232,D232)&amp;","&amp;IF(E232&lt;10,0&amp;E232,E232)</f>
        <v>02,03,05,06,07</v>
      </c>
      <c r="G233" s="28">
        <v>31436.930000000004</v>
      </c>
      <c r="J233" s="28" t="s">
        <v>556</v>
      </c>
      <c r="K233" s="28">
        <v>31436.930000000004</v>
      </c>
    </row>
    <row r="234" spans="1:11" x14ac:dyDescent="0.15">
      <c r="A234" s="28">
        <v>2</v>
      </c>
      <c r="B234" s="28">
        <v>3</v>
      </c>
      <c r="C234" s="28">
        <v>5</v>
      </c>
      <c r="D234" s="28">
        <v>6</v>
      </c>
      <c r="E234" s="28">
        <v>9</v>
      </c>
      <c r="F234" s="28" t="str">
        <f>IF(A233&lt;10,0&amp;A233,A233)&amp;","&amp;IF(B233&lt;10,0&amp;B233,B233)&amp;","&amp;IF(C233&lt;10,0&amp;C233,C233)&amp;","&amp;IF(D233&lt;10,0&amp;D233,D233)&amp;","&amp;IF(E233&lt;10,0&amp;E233,E233)</f>
        <v>02,03,05,06,08</v>
      </c>
      <c r="G234" s="28">
        <v>30406.210000000003</v>
      </c>
      <c r="J234" s="28" t="s">
        <v>557</v>
      </c>
      <c r="K234" s="28">
        <v>30406.210000000003</v>
      </c>
    </row>
    <row r="235" spans="1:11" x14ac:dyDescent="0.15">
      <c r="A235" s="28">
        <v>2</v>
      </c>
      <c r="B235" s="28">
        <v>3</v>
      </c>
      <c r="C235" s="28">
        <v>5</v>
      </c>
      <c r="D235" s="28">
        <v>6</v>
      </c>
      <c r="E235" s="28">
        <v>10</v>
      </c>
      <c r="F235" s="28" t="str">
        <f>IF(A234&lt;10,0&amp;A234,A234)&amp;","&amp;IF(B234&lt;10,0&amp;B234,B234)&amp;","&amp;IF(C234&lt;10,0&amp;C234,C234)&amp;","&amp;IF(D234&lt;10,0&amp;D234,D234)&amp;","&amp;IF(E234&lt;10,0&amp;E234,E234)</f>
        <v>02,03,05,06,09</v>
      </c>
      <c r="G235" s="28">
        <v>30397.610000000004</v>
      </c>
      <c r="J235" s="28" t="s">
        <v>558</v>
      </c>
      <c r="K235" s="28">
        <v>30397.610000000004</v>
      </c>
    </row>
    <row r="236" spans="1:11" x14ac:dyDescent="0.15">
      <c r="A236" s="28">
        <v>2</v>
      </c>
      <c r="B236" s="28">
        <v>3</v>
      </c>
      <c r="C236" s="28">
        <v>5</v>
      </c>
      <c r="D236" s="28">
        <v>6</v>
      </c>
      <c r="E236" s="28">
        <v>11</v>
      </c>
      <c r="F236" s="28" t="str">
        <f>IF(A235&lt;10,0&amp;A235,A235)&amp;","&amp;IF(B235&lt;10,0&amp;B235,B235)&amp;","&amp;IF(C235&lt;10,0&amp;C235,C235)&amp;","&amp;IF(D235&lt;10,0&amp;D235,D235)&amp;","&amp;IF(E235&lt;10,0&amp;E235,E235)</f>
        <v>02,03,05,06,10</v>
      </c>
      <c r="G236" s="28">
        <v>30405.210000000003</v>
      </c>
      <c r="J236" s="28" t="s">
        <v>559</v>
      </c>
      <c r="K236" s="28">
        <v>30405.210000000003</v>
      </c>
    </row>
    <row r="237" spans="1:11" x14ac:dyDescent="0.15">
      <c r="A237" s="28">
        <v>2</v>
      </c>
      <c r="B237" s="28">
        <v>3</v>
      </c>
      <c r="C237" s="28">
        <v>5</v>
      </c>
      <c r="D237" s="28">
        <v>7</v>
      </c>
      <c r="E237" s="28">
        <v>8</v>
      </c>
      <c r="F237" s="28" t="str">
        <f>IF(A236&lt;10,0&amp;A236,A236)&amp;","&amp;IF(B236&lt;10,0&amp;B236,B236)&amp;","&amp;IF(C236&lt;10,0&amp;C236,C236)&amp;","&amp;IF(D236&lt;10,0&amp;D236,D236)&amp;","&amp;IF(E236&lt;10,0&amp;E236,E236)</f>
        <v>02,03,05,06,11</v>
      </c>
      <c r="G237" s="28">
        <v>30397.610000000004</v>
      </c>
      <c r="J237" s="28" t="s">
        <v>560</v>
      </c>
      <c r="K237" s="28">
        <v>30397.610000000004</v>
      </c>
    </row>
    <row r="238" spans="1:11" x14ac:dyDescent="0.15">
      <c r="A238" s="28">
        <v>2</v>
      </c>
      <c r="B238" s="28">
        <v>3</v>
      </c>
      <c r="C238" s="28">
        <v>5</v>
      </c>
      <c r="D238" s="28">
        <v>7</v>
      </c>
      <c r="E238" s="28">
        <v>9</v>
      </c>
      <c r="F238" s="28" t="str">
        <f>IF(A237&lt;10,0&amp;A237,A237)&amp;","&amp;IF(B237&lt;10,0&amp;B237,B237)&amp;","&amp;IF(C237&lt;10,0&amp;C237,C237)&amp;","&amp;IF(D237&lt;10,0&amp;D237,D237)&amp;","&amp;IF(E237&lt;10,0&amp;E237,E237)</f>
        <v>02,03,05,07,08</v>
      </c>
      <c r="G238" s="28">
        <v>28698.260000000006</v>
      </c>
      <c r="J238" s="28" t="s">
        <v>561</v>
      </c>
      <c r="K238" s="28">
        <v>28698.260000000006</v>
      </c>
    </row>
    <row r="239" spans="1:11" x14ac:dyDescent="0.15">
      <c r="A239" s="28">
        <v>2</v>
      </c>
      <c r="B239" s="28">
        <v>3</v>
      </c>
      <c r="C239" s="28">
        <v>5</v>
      </c>
      <c r="D239" s="28">
        <v>7</v>
      </c>
      <c r="E239" s="28">
        <v>10</v>
      </c>
      <c r="F239" s="28" t="str">
        <f>IF(A238&lt;10,0&amp;A238,A238)&amp;","&amp;IF(B238&lt;10,0&amp;B238,B238)&amp;","&amp;IF(C238&lt;10,0&amp;C238,C238)&amp;","&amp;IF(D238&lt;10,0&amp;D238,D238)&amp;","&amp;IF(E238&lt;10,0&amp;E238,E238)</f>
        <v>02,03,05,07,09</v>
      </c>
      <c r="G239" s="28">
        <v>28734.510000000006</v>
      </c>
      <c r="J239" s="28" t="s">
        <v>562</v>
      </c>
      <c r="K239" s="28">
        <v>28734.510000000006</v>
      </c>
    </row>
    <row r="240" spans="1:11" x14ac:dyDescent="0.15">
      <c r="A240" s="28">
        <v>2</v>
      </c>
      <c r="B240" s="28">
        <v>3</v>
      </c>
      <c r="C240" s="28">
        <v>5</v>
      </c>
      <c r="D240" s="28">
        <v>7</v>
      </c>
      <c r="E240" s="28">
        <v>11</v>
      </c>
      <c r="F240" s="28" t="str">
        <f>IF(A239&lt;10,0&amp;A239,A239)&amp;","&amp;IF(B239&lt;10,0&amp;B239,B239)&amp;","&amp;IF(C239&lt;10,0&amp;C239,C239)&amp;","&amp;IF(D239&lt;10,0&amp;D239,D239)&amp;","&amp;IF(E239&lt;10,0&amp;E239,E239)</f>
        <v>02,03,05,07,10</v>
      </c>
      <c r="G240" s="28">
        <v>28697.260000000006</v>
      </c>
      <c r="J240" s="28" t="s">
        <v>563</v>
      </c>
      <c r="K240" s="28">
        <v>28697.260000000006</v>
      </c>
    </row>
    <row r="241" spans="1:11" x14ac:dyDescent="0.15">
      <c r="A241" s="28">
        <v>2</v>
      </c>
      <c r="B241" s="28">
        <v>3</v>
      </c>
      <c r="C241" s="28">
        <v>5</v>
      </c>
      <c r="D241" s="28">
        <v>8</v>
      </c>
      <c r="E241" s="28">
        <v>9</v>
      </c>
      <c r="F241" s="28" t="str">
        <f>IF(A240&lt;10,0&amp;A240,A240)&amp;","&amp;IF(B240&lt;10,0&amp;B240,B240)&amp;","&amp;IF(C240&lt;10,0&amp;C240,C240)&amp;","&amp;IF(D240&lt;10,0&amp;D240,D240)&amp;","&amp;IF(E240&lt;10,0&amp;E240,E240)</f>
        <v>02,03,05,07,11</v>
      </c>
      <c r="G241" s="28">
        <v>28734.510000000006</v>
      </c>
      <c r="J241" s="28" t="s">
        <v>564</v>
      </c>
      <c r="K241" s="28">
        <v>28734.510000000006</v>
      </c>
    </row>
    <row r="242" spans="1:11" x14ac:dyDescent="0.15">
      <c r="A242" s="28">
        <v>2</v>
      </c>
      <c r="B242" s="28">
        <v>3</v>
      </c>
      <c r="C242" s="28">
        <v>5</v>
      </c>
      <c r="D242" s="28">
        <v>8</v>
      </c>
      <c r="E242" s="28">
        <v>10</v>
      </c>
      <c r="F242" s="28" t="str">
        <f>IF(A241&lt;10,0&amp;A241,A241)&amp;","&amp;IF(B241&lt;10,0&amp;B241,B241)&amp;","&amp;IF(C241&lt;10,0&amp;C241,C241)&amp;","&amp;IF(D241&lt;10,0&amp;D241,D241)&amp;","&amp;IF(E241&lt;10,0&amp;E241,E241)</f>
        <v>02,03,05,08,09</v>
      </c>
      <c r="G242" s="28">
        <v>27743.860000000004</v>
      </c>
      <c r="J242" s="28" t="s">
        <v>565</v>
      </c>
      <c r="K242" s="28">
        <v>27743.860000000004</v>
      </c>
    </row>
    <row r="243" spans="1:11" x14ac:dyDescent="0.15">
      <c r="A243" s="28">
        <v>2</v>
      </c>
      <c r="B243" s="28">
        <v>3</v>
      </c>
      <c r="C243" s="28">
        <v>5</v>
      </c>
      <c r="D243" s="28">
        <v>8</v>
      </c>
      <c r="E243" s="28">
        <v>11</v>
      </c>
      <c r="F243" s="28" t="str">
        <f>IF(A242&lt;10,0&amp;A242,A242)&amp;","&amp;IF(B242&lt;10,0&amp;B242,B242)&amp;","&amp;IF(C242&lt;10,0&amp;C242,C242)&amp;","&amp;IF(D242&lt;10,0&amp;D242,D242)&amp;","&amp;IF(E242&lt;10,0&amp;E242,E242)</f>
        <v>02,03,05,08,10</v>
      </c>
      <c r="G243" s="28">
        <v>27751.460000000003</v>
      </c>
      <c r="J243" s="28" t="s">
        <v>566</v>
      </c>
      <c r="K243" s="28">
        <v>27751.460000000003</v>
      </c>
    </row>
    <row r="244" spans="1:11" x14ac:dyDescent="0.15">
      <c r="A244" s="28">
        <v>2</v>
      </c>
      <c r="B244" s="28">
        <v>3</v>
      </c>
      <c r="C244" s="28">
        <v>5</v>
      </c>
      <c r="D244" s="28">
        <v>9</v>
      </c>
      <c r="E244" s="28">
        <v>10</v>
      </c>
      <c r="F244" s="28" t="str">
        <f>IF(A243&lt;10,0&amp;A243,A243)&amp;","&amp;IF(B243&lt;10,0&amp;B243,B243)&amp;","&amp;IF(C243&lt;10,0&amp;C243,C243)&amp;","&amp;IF(D243&lt;10,0&amp;D243,D243)&amp;","&amp;IF(E243&lt;10,0&amp;E243,E243)</f>
        <v>02,03,05,08,11</v>
      </c>
      <c r="G244" s="28">
        <v>27743.860000000004</v>
      </c>
      <c r="J244" s="28" t="s">
        <v>567</v>
      </c>
      <c r="K244" s="28">
        <v>27743.860000000004</v>
      </c>
    </row>
    <row r="245" spans="1:11" x14ac:dyDescent="0.15">
      <c r="A245" s="28">
        <v>2</v>
      </c>
      <c r="B245" s="28">
        <v>3</v>
      </c>
      <c r="C245" s="28">
        <v>5</v>
      </c>
      <c r="D245" s="28">
        <v>9</v>
      </c>
      <c r="E245" s="28">
        <v>11</v>
      </c>
      <c r="F245" s="28" t="str">
        <f>IF(A244&lt;10,0&amp;A244,A244)&amp;","&amp;IF(B244&lt;10,0&amp;B244,B244)&amp;","&amp;IF(C244&lt;10,0&amp;C244,C244)&amp;","&amp;IF(D244&lt;10,0&amp;D244,D244)&amp;","&amp;IF(E244&lt;10,0&amp;E244,E244)</f>
        <v>02,03,05,09,10</v>
      </c>
      <c r="G245" s="28">
        <v>27743.860000000004</v>
      </c>
      <c r="J245" s="28" t="s">
        <v>568</v>
      </c>
      <c r="K245" s="28">
        <v>27743.860000000004</v>
      </c>
    </row>
    <row r="246" spans="1:11" x14ac:dyDescent="0.15">
      <c r="A246" s="28">
        <v>2</v>
      </c>
      <c r="B246" s="28">
        <v>3</v>
      </c>
      <c r="C246" s="28">
        <v>5</v>
      </c>
      <c r="D246" s="28">
        <v>10</v>
      </c>
      <c r="E246" s="28">
        <v>11</v>
      </c>
      <c r="F246" s="28" t="str">
        <f>IF(A245&lt;10,0&amp;A245,A245)&amp;","&amp;IF(B245&lt;10,0&amp;B245,B245)&amp;","&amp;IF(C245&lt;10,0&amp;C245,C245)&amp;","&amp;IF(D245&lt;10,0&amp;D245,D245)&amp;","&amp;IF(E245&lt;10,0&amp;E245,E245)</f>
        <v>02,03,05,09,11</v>
      </c>
      <c r="G246" s="28">
        <v>27781.110000000004</v>
      </c>
      <c r="J246" s="28" t="s">
        <v>569</v>
      </c>
      <c r="K246" s="28">
        <v>27781.110000000004</v>
      </c>
    </row>
    <row r="247" spans="1:11" x14ac:dyDescent="0.15">
      <c r="A247" s="28">
        <v>2</v>
      </c>
      <c r="B247" s="28">
        <v>3</v>
      </c>
      <c r="C247" s="28">
        <v>6</v>
      </c>
      <c r="D247" s="28">
        <v>7</v>
      </c>
      <c r="E247" s="28">
        <v>8</v>
      </c>
      <c r="F247" s="28" t="str">
        <f>IF(A246&lt;10,0&amp;A246,A246)&amp;","&amp;IF(B246&lt;10,0&amp;B246,B246)&amp;","&amp;IF(C246&lt;10,0&amp;C246,C246)&amp;","&amp;IF(D246&lt;10,0&amp;D246,D246)&amp;","&amp;IF(E246&lt;10,0&amp;E246,E246)</f>
        <v>02,03,05,10,11</v>
      </c>
      <c r="G247" s="28">
        <v>27743.860000000004</v>
      </c>
      <c r="J247" s="28" t="s">
        <v>570</v>
      </c>
      <c r="K247" s="28">
        <v>27743.860000000004</v>
      </c>
    </row>
    <row r="248" spans="1:11" x14ac:dyDescent="0.15">
      <c r="A248" s="28">
        <v>2</v>
      </c>
      <c r="B248" s="28">
        <v>3</v>
      </c>
      <c r="C248" s="28">
        <v>6</v>
      </c>
      <c r="D248" s="28">
        <v>7</v>
      </c>
      <c r="E248" s="28">
        <v>9</v>
      </c>
      <c r="F248" s="28" t="str">
        <f>IF(A247&lt;10,0&amp;A247,A247)&amp;","&amp;IF(B247&lt;10,0&amp;B247,B247)&amp;","&amp;IF(C247&lt;10,0&amp;C247,C247)&amp;","&amp;IF(D247&lt;10,0&amp;D247,D247)&amp;","&amp;IF(E247&lt;10,0&amp;E247,E247)</f>
        <v>02,03,06,07,08</v>
      </c>
      <c r="G248" s="28">
        <v>26793.170000000006</v>
      </c>
      <c r="J248" s="28" t="s">
        <v>571</v>
      </c>
      <c r="K248" s="28">
        <v>26793.170000000006</v>
      </c>
    </row>
    <row r="249" spans="1:11" x14ac:dyDescent="0.15">
      <c r="A249" s="28">
        <v>2</v>
      </c>
      <c r="B249" s="28">
        <v>3</v>
      </c>
      <c r="C249" s="28">
        <v>6</v>
      </c>
      <c r="D249" s="28">
        <v>7</v>
      </c>
      <c r="E249" s="28">
        <v>10</v>
      </c>
      <c r="F249" s="28" t="str">
        <f>IF(A248&lt;10,0&amp;A248,A248)&amp;","&amp;IF(B248&lt;10,0&amp;B248,B248)&amp;","&amp;IF(C248&lt;10,0&amp;C248,C248)&amp;","&amp;IF(D248&lt;10,0&amp;D248,D248)&amp;","&amp;IF(E248&lt;10,0&amp;E248,E248)</f>
        <v>02,03,06,07,09</v>
      </c>
      <c r="G249" s="28">
        <v>26784.57</v>
      </c>
      <c r="J249" s="28" t="s">
        <v>572</v>
      </c>
      <c r="K249" s="28">
        <v>26784.57</v>
      </c>
    </row>
    <row r="250" spans="1:11" x14ac:dyDescent="0.15">
      <c r="A250" s="28">
        <v>2</v>
      </c>
      <c r="B250" s="28">
        <v>3</v>
      </c>
      <c r="C250" s="28">
        <v>6</v>
      </c>
      <c r="D250" s="28">
        <v>7</v>
      </c>
      <c r="E250" s="28">
        <v>11</v>
      </c>
      <c r="F250" s="28" t="str">
        <f>IF(A249&lt;10,0&amp;A249,A249)&amp;","&amp;IF(B249&lt;10,0&amp;B249,B249)&amp;","&amp;IF(C249&lt;10,0&amp;C249,C249)&amp;","&amp;IF(D249&lt;10,0&amp;D249,D249)&amp;","&amp;IF(E249&lt;10,0&amp;E249,E249)</f>
        <v>02,03,06,07,10</v>
      </c>
      <c r="G250" s="28">
        <v>26792.170000000006</v>
      </c>
      <c r="J250" s="28" t="s">
        <v>573</v>
      </c>
      <c r="K250" s="28">
        <v>26792.170000000006</v>
      </c>
    </row>
    <row r="251" spans="1:11" x14ac:dyDescent="0.15">
      <c r="A251" s="28">
        <v>2</v>
      </c>
      <c r="B251" s="28">
        <v>3</v>
      </c>
      <c r="C251" s="28">
        <v>6</v>
      </c>
      <c r="D251" s="28">
        <v>8</v>
      </c>
      <c r="E251" s="28">
        <v>9</v>
      </c>
      <c r="F251" s="28" t="str">
        <f>IF(A250&lt;10,0&amp;A250,A250)&amp;","&amp;IF(B250&lt;10,0&amp;B250,B250)&amp;","&amp;IF(C250&lt;10,0&amp;C250,C250)&amp;","&amp;IF(D250&lt;10,0&amp;D250,D250)&amp;","&amp;IF(E250&lt;10,0&amp;E250,E250)</f>
        <v>02,03,06,07,11</v>
      </c>
      <c r="G251" s="28">
        <v>26784.57</v>
      </c>
      <c r="J251" s="28" t="s">
        <v>574</v>
      </c>
      <c r="K251" s="28">
        <v>26784.57</v>
      </c>
    </row>
    <row r="252" spans="1:11" x14ac:dyDescent="0.15">
      <c r="A252" s="28">
        <v>2</v>
      </c>
      <c r="B252" s="28">
        <v>3</v>
      </c>
      <c r="C252" s="28">
        <v>6</v>
      </c>
      <c r="D252" s="28">
        <v>8</v>
      </c>
      <c r="E252" s="28">
        <v>10</v>
      </c>
      <c r="F252" s="28" t="str">
        <f>IF(A251&lt;10,0&amp;A251,A251)&amp;","&amp;IF(B251&lt;10,0&amp;B251,B251)&amp;","&amp;IF(C251&lt;10,0&amp;C251,C251)&amp;","&amp;IF(D251&lt;10,0&amp;D251,D251)&amp;","&amp;IF(E251&lt;10,0&amp;E251,E251)</f>
        <v>02,03,06,08,09</v>
      </c>
      <c r="G252" s="28">
        <v>25838.770000000004</v>
      </c>
      <c r="J252" s="28" t="s">
        <v>575</v>
      </c>
      <c r="K252" s="28">
        <v>25838.770000000004</v>
      </c>
    </row>
    <row r="253" spans="1:11" x14ac:dyDescent="0.15">
      <c r="A253" s="28">
        <v>2</v>
      </c>
      <c r="B253" s="28">
        <v>3</v>
      </c>
      <c r="C253" s="28">
        <v>6</v>
      </c>
      <c r="D253" s="28">
        <v>8</v>
      </c>
      <c r="E253" s="28">
        <v>11</v>
      </c>
      <c r="F253" s="28" t="str">
        <f>IF(A252&lt;10,0&amp;A252,A252)&amp;","&amp;IF(B252&lt;10,0&amp;B252,B252)&amp;","&amp;IF(C252&lt;10,0&amp;C252,C252)&amp;","&amp;IF(D252&lt;10,0&amp;D252,D252)&amp;","&amp;IF(E252&lt;10,0&amp;E252,E252)</f>
        <v>02,03,06,08,10</v>
      </c>
      <c r="G253" s="28">
        <v>25957.47</v>
      </c>
      <c r="J253" s="28" t="s">
        <v>576</v>
      </c>
      <c r="K253" s="28">
        <v>25957.47</v>
      </c>
    </row>
    <row r="254" spans="1:11" x14ac:dyDescent="0.15">
      <c r="A254" s="28">
        <v>2</v>
      </c>
      <c r="B254" s="28">
        <v>3</v>
      </c>
      <c r="C254" s="28">
        <v>6</v>
      </c>
      <c r="D254" s="28">
        <v>9</v>
      </c>
      <c r="E254" s="28">
        <v>10</v>
      </c>
      <c r="F254" s="28" t="str">
        <f>IF(A253&lt;10,0&amp;A253,A253)&amp;","&amp;IF(B253&lt;10,0&amp;B253,B253)&amp;","&amp;IF(C253&lt;10,0&amp;C253,C253)&amp;","&amp;IF(D253&lt;10,0&amp;D253,D253)&amp;","&amp;IF(E253&lt;10,0&amp;E253,E253)</f>
        <v>02,03,06,08,11</v>
      </c>
      <c r="G254" s="28">
        <v>25838.770000000004</v>
      </c>
      <c r="J254" s="28" t="s">
        <v>577</v>
      </c>
      <c r="K254" s="28">
        <v>25838.770000000004</v>
      </c>
    </row>
    <row r="255" spans="1:11" x14ac:dyDescent="0.15">
      <c r="A255" s="28">
        <v>2</v>
      </c>
      <c r="B255" s="28">
        <v>3</v>
      </c>
      <c r="C255" s="28">
        <v>6</v>
      </c>
      <c r="D255" s="28">
        <v>9</v>
      </c>
      <c r="E255" s="28">
        <v>11</v>
      </c>
      <c r="F255" s="28" t="str">
        <f>IF(A254&lt;10,0&amp;A254,A254)&amp;","&amp;IF(B254&lt;10,0&amp;B254,B254)&amp;","&amp;IF(C254&lt;10,0&amp;C254,C254)&amp;","&amp;IF(D254&lt;10,0&amp;D254,D254)&amp;","&amp;IF(E254&lt;10,0&amp;E254,E254)</f>
        <v>02,03,06,09,10</v>
      </c>
      <c r="G255" s="28">
        <v>25838.770000000004</v>
      </c>
      <c r="J255" s="28" t="s">
        <v>578</v>
      </c>
      <c r="K255" s="28">
        <v>25838.770000000004</v>
      </c>
    </row>
    <row r="256" spans="1:11" x14ac:dyDescent="0.15">
      <c r="A256" s="28">
        <v>2</v>
      </c>
      <c r="B256" s="28">
        <v>3</v>
      </c>
      <c r="C256" s="28">
        <v>6</v>
      </c>
      <c r="D256" s="28">
        <v>10</v>
      </c>
      <c r="E256" s="28">
        <v>11</v>
      </c>
      <c r="F256" s="28" t="str">
        <f>IF(A255&lt;10,0&amp;A255,A255)&amp;","&amp;IF(B255&lt;10,0&amp;B255,B255)&amp;","&amp;IF(C255&lt;10,0&amp;C255,C255)&amp;","&amp;IF(D255&lt;10,0&amp;D255,D255)&amp;","&amp;IF(E255&lt;10,0&amp;E255,E255)</f>
        <v>02,03,06,09,11</v>
      </c>
      <c r="G256" s="28">
        <v>25831.17</v>
      </c>
      <c r="J256" s="28" t="s">
        <v>579</v>
      </c>
      <c r="K256" s="28">
        <v>25831.17</v>
      </c>
    </row>
    <row r="257" spans="1:11" x14ac:dyDescent="0.15">
      <c r="A257" s="28">
        <v>2</v>
      </c>
      <c r="B257" s="28">
        <v>3</v>
      </c>
      <c r="C257" s="28">
        <v>7</v>
      </c>
      <c r="D257" s="28">
        <v>8</v>
      </c>
      <c r="E257" s="28">
        <v>9</v>
      </c>
      <c r="F257" s="28" t="str">
        <f>IF(A256&lt;10,0&amp;A256,A256)&amp;","&amp;IF(B256&lt;10,0&amp;B256,B256)&amp;","&amp;IF(C256&lt;10,0&amp;C256,C256)&amp;","&amp;IF(D256&lt;10,0&amp;D256,D256)&amp;","&amp;IF(E256&lt;10,0&amp;E256,E256)</f>
        <v>02,03,06,10,11</v>
      </c>
      <c r="G257" s="28">
        <v>25838.770000000004</v>
      </c>
      <c r="J257" s="28" t="s">
        <v>580</v>
      </c>
      <c r="K257" s="28">
        <v>25838.770000000004</v>
      </c>
    </row>
    <row r="258" spans="1:11" x14ac:dyDescent="0.15">
      <c r="A258" s="28">
        <v>2</v>
      </c>
      <c r="B258" s="28">
        <v>3</v>
      </c>
      <c r="C258" s="28">
        <v>7</v>
      </c>
      <c r="D258" s="28">
        <v>8</v>
      </c>
      <c r="E258" s="28">
        <v>10</v>
      </c>
      <c r="F258" s="28" t="str">
        <f>IF(A257&lt;10,0&amp;A257,A257)&amp;","&amp;IF(B257&lt;10,0&amp;B257,B257)&amp;","&amp;IF(C257&lt;10,0&amp;C257,C257)&amp;","&amp;IF(D257&lt;10,0&amp;D257,D257)&amp;","&amp;IF(E257&lt;10,0&amp;E257,E257)</f>
        <v>02,03,07,08,09</v>
      </c>
      <c r="G258" s="28">
        <v>24238.960000000006</v>
      </c>
      <c r="J258" s="28" t="s">
        <v>581</v>
      </c>
      <c r="K258" s="28">
        <v>24238.960000000006</v>
      </c>
    </row>
    <row r="259" spans="1:11" x14ac:dyDescent="0.15">
      <c r="A259" s="28">
        <v>2</v>
      </c>
      <c r="B259" s="28">
        <v>3</v>
      </c>
      <c r="C259" s="28">
        <v>7</v>
      </c>
      <c r="D259" s="28">
        <v>8</v>
      </c>
      <c r="E259" s="28">
        <v>11</v>
      </c>
      <c r="F259" s="28" t="str">
        <f>IF(A258&lt;10,0&amp;A258,A258)&amp;","&amp;IF(B258&lt;10,0&amp;B258,B258)&amp;","&amp;IF(C258&lt;10,0&amp;C258,C258)&amp;","&amp;IF(D258&lt;10,0&amp;D258,D258)&amp;","&amp;IF(E258&lt;10,0&amp;E258,E258)</f>
        <v>02,03,07,08,10</v>
      </c>
      <c r="G259" s="28">
        <v>24246.560000000005</v>
      </c>
      <c r="J259" s="28" t="s">
        <v>582</v>
      </c>
      <c r="K259" s="28">
        <v>24246.560000000005</v>
      </c>
    </row>
    <row r="260" spans="1:11" x14ac:dyDescent="0.15">
      <c r="A260" s="28">
        <v>2</v>
      </c>
      <c r="B260" s="28">
        <v>3</v>
      </c>
      <c r="C260" s="28">
        <v>7</v>
      </c>
      <c r="D260" s="28">
        <v>9</v>
      </c>
      <c r="E260" s="28">
        <v>10</v>
      </c>
      <c r="F260" s="28" t="str">
        <f>IF(A259&lt;10,0&amp;A259,A259)&amp;","&amp;IF(B259&lt;10,0&amp;B259,B259)&amp;","&amp;IF(C259&lt;10,0&amp;C259,C259)&amp;","&amp;IF(D259&lt;10,0&amp;D259,D259)&amp;","&amp;IF(E259&lt;10,0&amp;E259,E259)</f>
        <v>02,03,07,08,11</v>
      </c>
      <c r="G260" s="28">
        <v>24238.960000000006</v>
      </c>
      <c r="J260" s="28" t="s">
        <v>583</v>
      </c>
      <c r="K260" s="28">
        <v>24238.960000000006</v>
      </c>
    </row>
    <row r="261" spans="1:11" x14ac:dyDescent="0.15">
      <c r="A261" s="28">
        <v>2</v>
      </c>
      <c r="B261" s="28">
        <v>3</v>
      </c>
      <c r="C261" s="28">
        <v>7</v>
      </c>
      <c r="D261" s="28">
        <v>9</v>
      </c>
      <c r="E261" s="28">
        <v>11</v>
      </c>
      <c r="F261" s="28" t="str">
        <f>IF(A260&lt;10,0&amp;A260,A260)&amp;","&amp;IF(B260&lt;10,0&amp;B260,B260)&amp;","&amp;IF(C260&lt;10,0&amp;C260,C260)&amp;","&amp;IF(D260&lt;10,0&amp;D260,D260)&amp;","&amp;IF(E260&lt;10,0&amp;E260,E260)</f>
        <v>02,03,07,09,10</v>
      </c>
      <c r="G261" s="28">
        <v>24238.960000000006</v>
      </c>
      <c r="J261" s="28" t="s">
        <v>584</v>
      </c>
      <c r="K261" s="28">
        <v>24238.960000000006</v>
      </c>
    </row>
    <row r="262" spans="1:11" x14ac:dyDescent="0.15">
      <c r="A262" s="28">
        <v>2</v>
      </c>
      <c r="B262" s="28">
        <v>3</v>
      </c>
      <c r="C262" s="28">
        <v>7</v>
      </c>
      <c r="D262" s="28">
        <v>10</v>
      </c>
      <c r="E262" s="28">
        <v>11</v>
      </c>
      <c r="F262" s="28" t="str">
        <f>IF(A261&lt;10,0&amp;A261,A261)&amp;","&amp;IF(B261&lt;10,0&amp;B261,B261)&amp;","&amp;IF(C261&lt;10,0&amp;C261,C261)&amp;","&amp;IF(D261&lt;10,0&amp;D261,D261)&amp;","&amp;IF(E261&lt;10,0&amp;E261,E261)</f>
        <v>02,03,07,09,11</v>
      </c>
      <c r="G262" s="28">
        <v>24276.210000000006</v>
      </c>
      <c r="J262" s="28" t="s">
        <v>585</v>
      </c>
      <c r="K262" s="28">
        <v>24276.210000000006</v>
      </c>
    </row>
    <row r="263" spans="1:11" x14ac:dyDescent="0.15">
      <c r="A263" s="28">
        <v>2</v>
      </c>
      <c r="B263" s="28">
        <v>3</v>
      </c>
      <c r="C263" s="28">
        <v>8</v>
      </c>
      <c r="D263" s="28">
        <v>9</v>
      </c>
      <c r="E263" s="28">
        <v>10</v>
      </c>
      <c r="F263" s="28" t="str">
        <f>IF(A262&lt;10,0&amp;A262,A262)&amp;","&amp;IF(B262&lt;10,0&amp;B262,B262)&amp;","&amp;IF(C262&lt;10,0&amp;C262,C262)&amp;","&amp;IF(D262&lt;10,0&amp;D262,D262)&amp;","&amp;IF(E262&lt;10,0&amp;E262,E262)</f>
        <v>02,03,07,10,11</v>
      </c>
      <c r="G263" s="28">
        <v>24238.960000000006</v>
      </c>
      <c r="J263" s="28" t="s">
        <v>586</v>
      </c>
      <c r="K263" s="28">
        <v>24238.960000000006</v>
      </c>
    </row>
    <row r="264" spans="1:11" x14ac:dyDescent="0.15">
      <c r="A264" s="28">
        <v>2</v>
      </c>
      <c r="B264" s="28">
        <v>3</v>
      </c>
      <c r="C264" s="28">
        <v>8</v>
      </c>
      <c r="D264" s="28">
        <v>9</v>
      </c>
      <c r="E264" s="28">
        <v>11</v>
      </c>
      <c r="F264" s="28" t="str">
        <f>IF(A263&lt;10,0&amp;A263,A263)&amp;","&amp;IF(B263&lt;10,0&amp;B263,B263)&amp;","&amp;IF(C263&lt;10,0&amp;C263,C263)&amp;","&amp;IF(D263&lt;10,0&amp;D263,D263)&amp;","&amp;IF(E263&lt;10,0&amp;E263,E263)</f>
        <v>02,03,08,09,10</v>
      </c>
      <c r="G264" s="28">
        <v>23301.600000000006</v>
      </c>
      <c r="J264" s="28" t="s">
        <v>587</v>
      </c>
      <c r="K264" s="28">
        <v>23301.600000000006</v>
      </c>
    </row>
    <row r="265" spans="1:11" x14ac:dyDescent="0.15">
      <c r="A265" s="28">
        <v>2</v>
      </c>
      <c r="B265" s="28">
        <v>3</v>
      </c>
      <c r="C265" s="28">
        <v>8</v>
      </c>
      <c r="D265" s="28">
        <v>10</v>
      </c>
      <c r="E265" s="28">
        <v>11</v>
      </c>
      <c r="F265" s="28" t="str">
        <f>IF(A264&lt;10,0&amp;A264,A264)&amp;","&amp;IF(B264&lt;10,0&amp;B264,B264)&amp;","&amp;IF(C264&lt;10,0&amp;C264,C264)&amp;","&amp;IF(D264&lt;10,0&amp;D264,D264)&amp;","&amp;IF(E264&lt;10,0&amp;E264,E264)</f>
        <v>02,03,08,09,11</v>
      </c>
      <c r="G265" s="28">
        <v>23294</v>
      </c>
      <c r="J265" s="28" t="s">
        <v>588</v>
      </c>
      <c r="K265" s="28">
        <v>23294</v>
      </c>
    </row>
    <row r="266" spans="1:11" x14ac:dyDescent="0.15">
      <c r="A266" s="28">
        <v>2</v>
      </c>
      <c r="B266" s="28">
        <v>3</v>
      </c>
      <c r="C266" s="28">
        <v>9</v>
      </c>
      <c r="D266" s="28">
        <v>10</v>
      </c>
      <c r="E266" s="28">
        <v>11</v>
      </c>
      <c r="F266" s="28" t="str">
        <f>IF(A265&lt;10,0&amp;A265,A265)&amp;","&amp;IF(B265&lt;10,0&amp;B265,B265)&amp;","&amp;IF(C265&lt;10,0&amp;C265,C265)&amp;","&amp;IF(D265&lt;10,0&amp;D265,D265)&amp;","&amp;IF(E265&lt;10,0&amp;E265,E265)</f>
        <v>02,03,08,10,11</v>
      </c>
      <c r="G266" s="28">
        <v>23301.600000000006</v>
      </c>
      <c r="J266" s="28" t="s">
        <v>589</v>
      </c>
      <c r="K266" s="28">
        <v>23301.600000000006</v>
      </c>
    </row>
    <row r="267" spans="1:11" x14ac:dyDescent="0.15">
      <c r="A267" s="28">
        <v>2</v>
      </c>
      <c r="B267" s="28">
        <v>4</v>
      </c>
      <c r="C267" s="28">
        <v>5</v>
      </c>
      <c r="D267" s="28">
        <v>6</v>
      </c>
      <c r="E267" s="28">
        <v>7</v>
      </c>
      <c r="F267" s="28" t="str">
        <f>IF(A266&lt;10,0&amp;A266,A266)&amp;","&amp;IF(B266&lt;10,0&amp;B266,B266)&amp;","&amp;IF(C266&lt;10,0&amp;C266,C266)&amp;","&amp;IF(D266&lt;10,0&amp;D266,D266)&amp;","&amp;IF(E266&lt;10,0&amp;E266,E266)</f>
        <v>02,03,09,10,11</v>
      </c>
      <c r="G267" s="28">
        <v>23329.47</v>
      </c>
      <c r="J267" s="28" t="s">
        <v>590</v>
      </c>
      <c r="K267" s="28">
        <v>23329.47</v>
      </c>
    </row>
    <row r="268" spans="1:11" x14ac:dyDescent="0.15">
      <c r="A268" s="28">
        <v>2</v>
      </c>
      <c r="B268" s="28">
        <v>4</v>
      </c>
      <c r="C268" s="28">
        <v>5</v>
      </c>
      <c r="D268" s="28">
        <v>6</v>
      </c>
      <c r="E268" s="28">
        <v>8</v>
      </c>
      <c r="F268" s="28" t="str">
        <f>IF(A267&lt;10,0&amp;A267,A267)&amp;","&amp;IF(B267&lt;10,0&amp;B267,B267)&amp;","&amp;IF(C267&lt;10,0&amp;C267,C267)&amp;","&amp;IF(D267&lt;10,0&amp;D267,D267)&amp;","&amp;IF(E267&lt;10,0&amp;E267,E267)</f>
        <v>02,04,05,06,07</v>
      </c>
      <c r="G268" s="28">
        <v>34023.974999999999</v>
      </c>
      <c r="J268" s="28" t="s">
        <v>591</v>
      </c>
      <c r="K268" s="28">
        <v>34023.974999999999</v>
      </c>
    </row>
    <row r="269" spans="1:11" x14ac:dyDescent="0.15">
      <c r="A269" s="28">
        <v>2</v>
      </c>
      <c r="B269" s="28">
        <v>4</v>
      </c>
      <c r="C269" s="28">
        <v>5</v>
      </c>
      <c r="D269" s="28">
        <v>6</v>
      </c>
      <c r="E269" s="28">
        <v>9</v>
      </c>
      <c r="F269" s="28" t="str">
        <f>IF(A268&lt;10,0&amp;A268,A268)&amp;","&amp;IF(B268&lt;10,0&amp;B268,B268)&amp;","&amp;IF(C268&lt;10,0&amp;C268,C268)&amp;","&amp;IF(D268&lt;10,0&amp;D268,D268)&amp;","&amp;IF(E268&lt;10,0&amp;E268,E268)</f>
        <v>02,04,05,06,08</v>
      </c>
      <c r="G269" s="28">
        <v>33401.575000000004</v>
      </c>
      <c r="J269" s="28" t="s">
        <v>592</v>
      </c>
      <c r="K269" s="28">
        <v>33401.575000000004</v>
      </c>
    </row>
    <row r="270" spans="1:11" x14ac:dyDescent="0.15">
      <c r="A270" s="28">
        <v>2</v>
      </c>
      <c r="B270" s="28">
        <v>4</v>
      </c>
      <c r="C270" s="28">
        <v>5</v>
      </c>
      <c r="D270" s="28">
        <v>6</v>
      </c>
      <c r="E270" s="28">
        <v>10</v>
      </c>
      <c r="F270" s="28" t="str">
        <f>IF(A269&lt;10,0&amp;A269,A269)&amp;","&amp;IF(B269&lt;10,0&amp;B269,B269)&amp;","&amp;IF(C269&lt;10,0&amp;C269,C269)&amp;","&amp;IF(D269&lt;10,0&amp;D269,D269)&amp;","&amp;IF(E269&lt;10,0&amp;E269,E269)</f>
        <v>02,04,05,06,09</v>
      </c>
      <c r="G270" s="28">
        <v>32984.654999999999</v>
      </c>
      <c r="J270" s="28" t="s">
        <v>593</v>
      </c>
      <c r="K270" s="28">
        <v>32984.654999999999</v>
      </c>
    </row>
    <row r="271" spans="1:11" x14ac:dyDescent="0.15">
      <c r="A271" s="28">
        <v>2</v>
      </c>
      <c r="B271" s="28">
        <v>4</v>
      </c>
      <c r="C271" s="28">
        <v>5</v>
      </c>
      <c r="D271" s="28">
        <v>6</v>
      </c>
      <c r="E271" s="28">
        <v>11</v>
      </c>
      <c r="F271" s="28" t="str">
        <f>IF(A270&lt;10,0&amp;A270,A270)&amp;","&amp;IF(B270&lt;10,0&amp;B270,B270)&amp;","&amp;IF(C270&lt;10,0&amp;C270,C270)&amp;","&amp;IF(D270&lt;10,0&amp;D270,D270)&amp;","&amp;IF(E270&lt;10,0&amp;E270,E270)</f>
        <v>02,04,05,06,10</v>
      </c>
      <c r="G271" s="28">
        <v>33103.355000000003</v>
      </c>
      <c r="J271" s="28" t="s">
        <v>594</v>
      </c>
      <c r="K271" s="28">
        <v>33103.355000000003</v>
      </c>
    </row>
    <row r="272" spans="1:11" x14ac:dyDescent="0.15">
      <c r="A272" s="28">
        <v>2</v>
      </c>
      <c r="B272" s="28">
        <v>4</v>
      </c>
      <c r="C272" s="28">
        <v>5</v>
      </c>
      <c r="D272" s="28">
        <v>7</v>
      </c>
      <c r="E272" s="28">
        <v>8</v>
      </c>
      <c r="F272" s="28" t="str">
        <f>IF(A271&lt;10,0&amp;A271,A271)&amp;","&amp;IF(B271&lt;10,0&amp;B271,B271)&amp;","&amp;IF(C271&lt;10,0&amp;C271,C271)&amp;","&amp;IF(D271&lt;10,0&amp;D271,D271)&amp;","&amp;IF(E271&lt;10,0&amp;E271,E271)</f>
        <v>02,04,05,06,11</v>
      </c>
      <c r="G272" s="28">
        <v>32984.654999999999</v>
      </c>
      <c r="J272" s="28" t="s">
        <v>595</v>
      </c>
      <c r="K272" s="28">
        <v>32984.654999999999</v>
      </c>
    </row>
    <row r="273" spans="1:11" x14ac:dyDescent="0.15">
      <c r="A273" s="28">
        <v>2</v>
      </c>
      <c r="B273" s="28">
        <v>4</v>
      </c>
      <c r="C273" s="28">
        <v>5</v>
      </c>
      <c r="D273" s="28">
        <v>7</v>
      </c>
      <c r="E273" s="28">
        <v>9</v>
      </c>
      <c r="F273" s="28" t="str">
        <f>IF(A272&lt;10,0&amp;A272,A272)&amp;","&amp;IF(B272&lt;10,0&amp;B272,B272)&amp;","&amp;IF(C272&lt;10,0&amp;C272,C272)&amp;","&amp;IF(D272&lt;10,0&amp;D272,D272)&amp;","&amp;IF(E272&lt;10,0&amp;E272,E272)</f>
        <v>02,04,05,07,08</v>
      </c>
      <c r="G273" s="28">
        <v>31126.080000000002</v>
      </c>
      <c r="J273" s="28" t="s">
        <v>596</v>
      </c>
      <c r="K273" s="28">
        <v>31126.080000000002</v>
      </c>
    </row>
    <row r="274" spans="1:11" x14ac:dyDescent="0.15">
      <c r="A274" s="28">
        <v>2</v>
      </c>
      <c r="B274" s="28">
        <v>4</v>
      </c>
      <c r="C274" s="28">
        <v>5</v>
      </c>
      <c r="D274" s="28">
        <v>7</v>
      </c>
      <c r="E274" s="28">
        <v>10</v>
      </c>
      <c r="F274" s="28" t="str">
        <f>IF(A273&lt;10,0&amp;A273,A273)&amp;","&amp;IF(B273&lt;10,0&amp;B273,B273)&amp;","&amp;IF(C273&lt;10,0&amp;C273,C273)&amp;","&amp;IF(D273&lt;10,0&amp;D273,D273)&amp;","&amp;IF(E273&lt;10,0&amp;E273,E273)</f>
        <v>02,04,05,07,09</v>
      </c>
      <c r="G274" s="28">
        <v>31117.480000000003</v>
      </c>
      <c r="J274" s="28" t="s">
        <v>597</v>
      </c>
      <c r="K274" s="28">
        <v>31117.480000000003</v>
      </c>
    </row>
    <row r="275" spans="1:11" x14ac:dyDescent="0.15">
      <c r="A275" s="28">
        <v>2</v>
      </c>
      <c r="B275" s="28">
        <v>4</v>
      </c>
      <c r="C275" s="28">
        <v>5</v>
      </c>
      <c r="D275" s="28">
        <v>7</v>
      </c>
      <c r="E275" s="28">
        <v>11</v>
      </c>
      <c r="F275" s="28" t="str">
        <f>IF(A274&lt;10,0&amp;A274,A274)&amp;","&amp;IF(B274&lt;10,0&amp;B274,B274)&amp;","&amp;IF(C274&lt;10,0&amp;C274,C274)&amp;","&amp;IF(D274&lt;10,0&amp;D274,D274)&amp;","&amp;IF(E274&lt;10,0&amp;E274,E274)</f>
        <v>02,04,05,07,10</v>
      </c>
      <c r="G275" s="28">
        <v>31125.08</v>
      </c>
      <c r="J275" s="28" t="s">
        <v>598</v>
      </c>
      <c r="K275" s="28">
        <v>31125.08</v>
      </c>
    </row>
    <row r="276" spans="1:11" x14ac:dyDescent="0.15">
      <c r="A276" s="28">
        <v>2</v>
      </c>
      <c r="B276" s="28">
        <v>4</v>
      </c>
      <c r="C276" s="28">
        <v>5</v>
      </c>
      <c r="D276" s="28">
        <v>8</v>
      </c>
      <c r="E276" s="28">
        <v>9</v>
      </c>
      <c r="F276" s="28" t="str">
        <f>IF(A275&lt;10,0&amp;A275,A275)&amp;","&amp;IF(B275&lt;10,0&amp;B275,B275)&amp;","&amp;IF(C275&lt;10,0&amp;C275,C275)&amp;","&amp;IF(D275&lt;10,0&amp;D275,D275)&amp;","&amp;IF(E275&lt;10,0&amp;E275,E275)</f>
        <v>02,04,05,07,11</v>
      </c>
      <c r="G276" s="28">
        <v>31117.480000000003</v>
      </c>
      <c r="J276" s="28" t="s">
        <v>599</v>
      </c>
      <c r="K276" s="28">
        <v>31117.480000000003</v>
      </c>
    </row>
    <row r="277" spans="1:11" x14ac:dyDescent="0.15">
      <c r="A277" s="28">
        <v>2</v>
      </c>
      <c r="B277" s="28">
        <v>4</v>
      </c>
      <c r="C277" s="28">
        <v>5</v>
      </c>
      <c r="D277" s="28">
        <v>8</v>
      </c>
      <c r="E277" s="28">
        <v>10</v>
      </c>
      <c r="F277" s="28" t="str">
        <f>IF(A276&lt;10,0&amp;A276,A276)&amp;","&amp;IF(B276&lt;10,0&amp;B276,B276)&amp;","&amp;IF(C276&lt;10,0&amp;C276,C276)&amp;","&amp;IF(D276&lt;10,0&amp;D276,D276)&amp;","&amp;IF(E276&lt;10,0&amp;E276,E276)</f>
        <v>02,04,05,08,09</v>
      </c>
      <c r="G277" s="28">
        <v>30171.68</v>
      </c>
      <c r="J277" s="28" t="s">
        <v>600</v>
      </c>
      <c r="K277" s="28">
        <v>30171.68</v>
      </c>
    </row>
    <row r="278" spans="1:11" x14ac:dyDescent="0.15">
      <c r="A278" s="28">
        <v>2</v>
      </c>
      <c r="B278" s="28">
        <v>4</v>
      </c>
      <c r="C278" s="28">
        <v>5</v>
      </c>
      <c r="D278" s="28">
        <v>8</v>
      </c>
      <c r="E278" s="28">
        <v>11</v>
      </c>
      <c r="F278" s="28" t="str">
        <f>IF(A277&lt;10,0&amp;A277,A277)&amp;","&amp;IF(B277&lt;10,0&amp;B277,B277)&amp;","&amp;IF(C277&lt;10,0&amp;C277,C277)&amp;","&amp;IF(D277&lt;10,0&amp;D277,D277)&amp;","&amp;IF(E277&lt;10,0&amp;E277,E277)</f>
        <v>02,04,05,08,10</v>
      </c>
      <c r="G278" s="28">
        <v>30290.38</v>
      </c>
      <c r="J278" s="28" t="s">
        <v>601</v>
      </c>
      <c r="K278" s="28">
        <v>30290.38</v>
      </c>
    </row>
    <row r="279" spans="1:11" x14ac:dyDescent="0.15">
      <c r="A279" s="28">
        <v>2</v>
      </c>
      <c r="B279" s="28">
        <v>4</v>
      </c>
      <c r="C279" s="28">
        <v>5</v>
      </c>
      <c r="D279" s="28">
        <v>9</v>
      </c>
      <c r="E279" s="28">
        <v>10</v>
      </c>
      <c r="F279" s="28" t="str">
        <f>IF(A278&lt;10,0&amp;A278,A278)&amp;","&amp;IF(B278&lt;10,0&amp;B278,B278)&amp;","&amp;IF(C278&lt;10,0&amp;C278,C278)&amp;","&amp;IF(D278&lt;10,0&amp;D278,D278)&amp;","&amp;IF(E278&lt;10,0&amp;E278,E278)</f>
        <v>02,04,05,08,11</v>
      </c>
      <c r="G279" s="28">
        <v>30171.68</v>
      </c>
      <c r="J279" s="28" t="s">
        <v>602</v>
      </c>
      <c r="K279" s="28">
        <v>30171.68</v>
      </c>
    </row>
    <row r="280" spans="1:11" x14ac:dyDescent="0.15">
      <c r="A280" s="28">
        <v>2</v>
      </c>
      <c r="B280" s="28">
        <v>4</v>
      </c>
      <c r="C280" s="28">
        <v>5</v>
      </c>
      <c r="D280" s="28">
        <v>9</v>
      </c>
      <c r="E280" s="28">
        <v>11</v>
      </c>
      <c r="F280" s="28" t="str">
        <f>IF(A279&lt;10,0&amp;A279,A279)&amp;","&amp;IF(B279&lt;10,0&amp;B279,B279)&amp;","&amp;IF(C279&lt;10,0&amp;C279,C279)&amp;","&amp;IF(D279&lt;10,0&amp;D279,D279)&amp;","&amp;IF(E279&lt;10,0&amp;E279,E279)</f>
        <v>02,04,05,09,10</v>
      </c>
      <c r="G280" s="28">
        <v>30171.68</v>
      </c>
      <c r="J280" s="28" t="s">
        <v>603</v>
      </c>
      <c r="K280" s="28">
        <v>30171.68</v>
      </c>
    </row>
    <row r="281" spans="1:11" x14ac:dyDescent="0.15">
      <c r="A281" s="28">
        <v>2</v>
      </c>
      <c r="B281" s="28">
        <v>4</v>
      </c>
      <c r="C281" s="28">
        <v>5</v>
      </c>
      <c r="D281" s="28">
        <v>10</v>
      </c>
      <c r="E281" s="28">
        <v>11</v>
      </c>
      <c r="F281" s="28" t="str">
        <f>IF(A280&lt;10,0&amp;A280,A280)&amp;","&amp;IF(B280&lt;10,0&amp;B280,B280)&amp;","&amp;IF(C280&lt;10,0&amp;C280,C280)&amp;","&amp;IF(D280&lt;10,0&amp;D280,D280)&amp;","&amp;IF(E280&lt;10,0&amp;E280,E280)</f>
        <v>02,04,05,09,11</v>
      </c>
      <c r="G281" s="28">
        <v>30164.080000000002</v>
      </c>
      <c r="J281" s="28" t="s">
        <v>604</v>
      </c>
      <c r="K281" s="28">
        <v>30164.080000000002</v>
      </c>
    </row>
    <row r="282" spans="1:11" x14ac:dyDescent="0.15">
      <c r="A282" s="28">
        <v>2</v>
      </c>
      <c r="B282" s="28">
        <v>4</v>
      </c>
      <c r="C282" s="28">
        <v>6</v>
      </c>
      <c r="D282" s="28">
        <v>7</v>
      </c>
      <c r="E282" s="28">
        <v>8</v>
      </c>
      <c r="F282" s="28" t="str">
        <f>IF(A281&lt;10,0&amp;A281,A281)&amp;","&amp;IF(B281&lt;10,0&amp;B281,B281)&amp;","&amp;IF(C281&lt;10,0&amp;C281,C281)&amp;","&amp;IF(D281&lt;10,0&amp;D281,D281)&amp;","&amp;IF(E281&lt;10,0&amp;E281,E281)</f>
        <v>02,04,05,10,11</v>
      </c>
      <c r="G282" s="28">
        <v>30171.68</v>
      </c>
      <c r="J282" s="28" t="s">
        <v>605</v>
      </c>
      <c r="K282" s="28">
        <v>30171.68</v>
      </c>
    </row>
    <row r="283" spans="1:11" x14ac:dyDescent="0.15">
      <c r="A283" s="28">
        <v>2</v>
      </c>
      <c r="B283" s="28">
        <v>4</v>
      </c>
      <c r="C283" s="28">
        <v>6</v>
      </c>
      <c r="D283" s="28">
        <v>7</v>
      </c>
      <c r="E283" s="28">
        <v>9</v>
      </c>
      <c r="F283" s="28" t="str">
        <f>IF(A282&lt;10,0&amp;A282,A282)&amp;","&amp;IF(B282&lt;10,0&amp;B282,B282)&amp;","&amp;IF(C282&lt;10,0&amp;C282,C282)&amp;","&amp;IF(D282&lt;10,0&amp;D282,D282)&amp;","&amp;IF(E282&lt;10,0&amp;E282,E282)</f>
        <v>02,04,06,07,08</v>
      </c>
      <c r="G283" s="28">
        <v>29332.090000000004</v>
      </c>
      <c r="J283" s="28" t="s">
        <v>606</v>
      </c>
      <c r="K283" s="28">
        <v>29332.090000000004</v>
      </c>
    </row>
    <row r="284" spans="1:11" x14ac:dyDescent="0.15">
      <c r="A284" s="28">
        <v>2</v>
      </c>
      <c r="B284" s="28">
        <v>4</v>
      </c>
      <c r="C284" s="28">
        <v>6</v>
      </c>
      <c r="D284" s="28">
        <v>7</v>
      </c>
      <c r="E284" s="28">
        <v>10</v>
      </c>
      <c r="F284" s="28" t="str">
        <f>IF(A283&lt;10,0&amp;A283,A283)&amp;","&amp;IF(B283&lt;10,0&amp;B283,B283)&amp;","&amp;IF(C283&lt;10,0&amp;C283,C283)&amp;","&amp;IF(D283&lt;10,0&amp;D283,D283)&amp;","&amp;IF(E283&lt;10,0&amp;E283,E283)</f>
        <v>02,04,06,07,09</v>
      </c>
      <c r="G284" s="28">
        <v>29212.390000000003</v>
      </c>
      <c r="J284" s="28" t="s">
        <v>607</v>
      </c>
      <c r="K284" s="28">
        <v>29212.390000000003</v>
      </c>
    </row>
    <row r="285" spans="1:11" x14ac:dyDescent="0.15">
      <c r="A285" s="28">
        <v>2</v>
      </c>
      <c r="B285" s="28">
        <v>4</v>
      </c>
      <c r="C285" s="28">
        <v>6</v>
      </c>
      <c r="D285" s="28">
        <v>7</v>
      </c>
      <c r="E285" s="28">
        <v>11</v>
      </c>
      <c r="F285" s="28" t="str">
        <f>IF(A284&lt;10,0&amp;A284,A284)&amp;","&amp;IF(B284&lt;10,0&amp;B284,B284)&amp;","&amp;IF(C284&lt;10,0&amp;C284,C284)&amp;","&amp;IF(D284&lt;10,0&amp;D284,D284)&amp;","&amp;IF(E284&lt;10,0&amp;E284,E284)</f>
        <v>02,04,06,07,10</v>
      </c>
      <c r="G285" s="28">
        <v>29331.090000000004</v>
      </c>
      <c r="J285" s="28" t="s">
        <v>608</v>
      </c>
      <c r="K285" s="28">
        <v>29331.090000000004</v>
      </c>
    </row>
    <row r="286" spans="1:11" x14ac:dyDescent="0.15">
      <c r="A286" s="28">
        <v>2</v>
      </c>
      <c r="B286" s="28">
        <v>4</v>
      </c>
      <c r="C286" s="28">
        <v>6</v>
      </c>
      <c r="D286" s="28">
        <v>8</v>
      </c>
      <c r="E286" s="28">
        <v>9</v>
      </c>
      <c r="F286" s="28" t="str">
        <f>IF(A285&lt;10,0&amp;A285,A285)&amp;","&amp;IF(B285&lt;10,0&amp;B285,B285)&amp;","&amp;IF(C285&lt;10,0&amp;C285,C285)&amp;","&amp;IF(D285&lt;10,0&amp;D285,D285)&amp;","&amp;IF(E285&lt;10,0&amp;E285,E285)</f>
        <v>02,04,06,07,11</v>
      </c>
      <c r="G286" s="28">
        <v>29212.390000000003</v>
      </c>
      <c r="J286" s="28" t="s">
        <v>609</v>
      </c>
      <c r="K286" s="28">
        <v>29212.390000000003</v>
      </c>
    </row>
    <row r="287" spans="1:11" x14ac:dyDescent="0.15">
      <c r="A287" s="28">
        <v>2</v>
      </c>
      <c r="B287" s="28">
        <v>4</v>
      </c>
      <c r="C287" s="28">
        <v>6</v>
      </c>
      <c r="D287" s="28">
        <v>8</v>
      </c>
      <c r="E287" s="28">
        <v>10</v>
      </c>
      <c r="F287" s="28" t="str">
        <f>IF(A286&lt;10,0&amp;A286,A286)&amp;","&amp;IF(B286&lt;10,0&amp;B286,B286)&amp;","&amp;IF(C286&lt;10,0&amp;C286,C286)&amp;","&amp;IF(D286&lt;10,0&amp;D286,D286)&amp;","&amp;IF(E286&lt;10,0&amp;E286,E286)</f>
        <v>02,04,06,08,09</v>
      </c>
      <c r="G287" s="28">
        <v>28377.690000000002</v>
      </c>
      <c r="J287" s="28" t="s">
        <v>610</v>
      </c>
      <c r="K287" s="28">
        <v>28377.690000000002</v>
      </c>
    </row>
    <row r="288" spans="1:11" x14ac:dyDescent="0.15">
      <c r="A288" s="28">
        <v>2</v>
      </c>
      <c r="B288" s="28">
        <v>4</v>
      </c>
      <c r="C288" s="28">
        <v>6</v>
      </c>
      <c r="D288" s="28">
        <v>8</v>
      </c>
      <c r="E288" s="28">
        <v>11</v>
      </c>
      <c r="F288" s="28" t="str">
        <f>IF(A287&lt;10,0&amp;A287,A287)&amp;","&amp;IF(B287&lt;10,0&amp;B287,B287)&amp;","&amp;IF(C287&lt;10,0&amp;C287,C287)&amp;","&amp;IF(D287&lt;10,0&amp;D287,D287)&amp;","&amp;IF(E287&lt;10,0&amp;E287,E287)</f>
        <v>02,04,06,08,10</v>
      </c>
      <c r="G288" s="28">
        <v>32687.64</v>
      </c>
      <c r="J288" s="28" t="s">
        <v>611</v>
      </c>
      <c r="K288" s="28">
        <v>32687.64</v>
      </c>
    </row>
    <row r="289" spans="1:11" x14ac:dyDescent="0.15">
      <c r="A289" s="28">
        <v>2</v>
      </c>
      <c r="B289" s="28">
        <v>4</v>
      </c>
      <c r="C289" s="28">
        <v>6</v>
      </c>
      <c r="D289" s="28">
        <v>9</v>
      </c>
      <c r="E289" s="28">
        <v>10</v>
      </c>
      <c r="F289" s="28" t="str">
        <f>IF(A288&lt;10,0&amp;A288,A288)&amp;","&amp;IF(B288&lt;10,0&amp;B288,B288)&amp;","&amp;IF(C288&lt;10,0&amp;C288,C288)&amp;","&amp;IF(D288&lt;10,0&amp;D288,D288)&amp;","&amp;IF(E288&lt;10,0&amp;E288,E288)</f>
        <v>02,04,06,08,11</v>
      </c>
      <c r="G289" s="28">
        <v>28377.690000000002</v>
      </c>
      <c r="J289" s="28" t="s">
        <v>612</v>
      </c>
      <c r="K289" s="28">
        <v>28377.690000000002</v>
      </c>
    </row>
    <row r="290" spans="1:11" x14ac:dyDescent="0.15">
      <c r="A290" s="28">
        <v>2</v>
      </c>
      <c r="B290" s="28">
        <v>4</v>
      </c>
      <c r="C290" s="28">
        <v>6</v>
      </c>
      <c r="D290" s="28">
        <v>9</v>
      </c>
      <c r="E290" s="28">
        <v>11</v>
      </c>
      <c r="F290" s="28" t="str">
        <f>IF(A289&lt;10,0&amp;A289,A289)&amp;","&amp;IF(B289&lt;10,0&amp;B289,B289)&amp;","&amp;IF(C289&lt;10,0&amp;C289,C289)&amp;","&amp;IF(D289&lt;10,0&amp;D289,D289)&amp;","&amp;IF(E289&lt;10,0&amp;E289,E289)</f>
        <v>02,04,06,09,10</v>
      </c>
      <c r="G290" s="28">
        <v>28377.690000000002</v>
      </c>
      <c r="J290" s="28" t="s">
        <v>613</v>
      </c>
      <c r="K290" s="28">
        <v>28377.690000000002</v>
      </c>
    </row>
    <row r="291" spans="1:11" x14ac:dyDescent="0.15">
      <c r="A291" s="28">
        <v>2</v>
      </c>
      <c r="B291" s="28">
        <v>4</v>
      </c>
      <c r="C291" s="28">
        <v>6</v>
      </c>
      <c r="D291" s="28">
        <v>10</v>
      </c>
      <c r="E291" s="28">
        <v>11</v>
      </c>
      <c r="F291" s="28" t="str">
        <f>IF(A290&lt;10,0&amp;A290,A290)&amp;","&amp;IF(B290&lt;10,0&amp;B290,B290)&amp;","&amp;IF(C290&lt;10,0&amp;C290,C290)&amp;","&amp;IF(D290&lt;10,0&amp;D290,D290)&amp;","&amp;IF(E290&lt;10,0&amp;E290,E290)</f>
        <v>02,04,06,09,11</v>
      </c>
      <c r="G291" s="28">
        <v>28258.99</v>
      </c>
      <c r="J291" s="28" t="s">
        <v>614</v>
      </c>
      <c r="K291" s="28">
        <v>28258.99</v>
      </c>
    </row>
    <row r="292" spans="1:11" x14ac:dyDescent="0.15">
      <c r="A292" s="28">
        <v>2</v>
      </c>
      <c r="B292" s="28">
        <v>4</v>
      </c>
      <c r="C292" s="28">
        <v>7</v>
      </c>
      <c r="D292" s="28">
        <v>8</v>
      </c>
      <c r="E292" s="28">
        <v>9</v>
      </c>
      <c r="F292" s="28" t="str">
        <f>IF(A291&lt;10,0&amp;A291,A291)&amp;","&amp;IF(B291&lt;10,0&amp;B291,B291)&amp;","&amp;IF(C291&lt;10,0&amp;C291,C291)&amp;","&amp;IF(D291&lt;10,0&amp;D291,D291)&amp;","&amp;IF(E291&lt;10,0&amp;E291,E291)</f>
        <v>02,04,06,10,11</v>
      </c>
      <c r="G292" s="28">
        <v>28377.690000000002</v>
      </c>
      <c r="J292" s="28" t="s">
        <v>615</v>
      </c>
      <c r="K292" s="28">
        <v>28377.690000000002</v>
      </c>
    </row>
    <row r="293" spans="1:11" x14ac:dyDescent="0.15">
      <c r="A293" s="28">
        <v>2</v>
      </c>
      <c r="B293" s="28">
        <v>4</v>
      </c>
      <c r="C293" s="28">
        <v>7</v>
      </c>
      <c r="D293" s="28">
        <v>8</v>
      </c>
      <c r="E293" s="28">
        <v>10</v>
      </c>
      <c r="F293" s="28" t="str">
        <f>IF(A292&lt;10,0&amp;A292,A292)&amp;","&amp;IF(B292&lt;10,0&amp;B292,B292)&amp;","&amp;IF(C292&lt;10,0&amp;C292,C292)&amp;","&amp;IF(D292&lt;10,0&amp;D292,D292)&amp;","&amp;IF(E292&lt;10,0&amp;E292,E292)</f>
        <v>02,04,07,08,09</v>
      </c>
      <c r="G293" s="28">
        <v>26666.780000000002</v>
      </c>
      <c r="J293" s="28" t="s">
        <v>616</v>
      </c>
      <c r="K293" s="28">
        <v>26666.780000000002</v>
      </c>
    </row>
    <row r="294" spans="1:11" x14ac:dyDescent="0.15">
      <c r="A294" s="28">
        <v>2</v>
      </c>
      <c r="B294" s="28">
        <v>4</v>
      </c>
      <c r="C294" s="28">
        <v>7</v>
      </c>
      <c r="D294" s="28">
        <v>8</v>
      </c>
      <c r="E294" s="28">
        <v>11</v>
      </c>
      <c r="F294" s="28" t="str">
        <f>IF(A293&lt;10,0&amp;A293,A293)&amp;","&amp;IF(B293&lt;10,0&amp;B293,B293)&amp;","&amp;IF(C293&lt;10,0&amp;C293,C293)&amp;","&amp;IF(D293&lt;10,0&amp;D293,D293)&amp;","&amp;IF(E293&lt;10,0&amp;E293,E293)</f>
        <v>02,04,07,08,10</v>
      </c>
      <c r="G294" s="28">
        <v>26785.480000000003</v>
      </c>
      <c r="J294" s="28" t="s">
        <v>617</v>
      </c>
      <c r="K294" s="28">
        <v>26785.480000000003</v>
      </c>
    </row>
    <row r="295" spans="1:11" x14ac:dyDescent="0.15">
      <c r="A295" s="28">
        <v>2</v>
      </c>
      <c r="B295" s="28">
        <v>4</v>
      </c>
      <c r="C295" s="28">
        <v>7</v>
      </c>
      <c r="D295" s="28">
        <v>9</v>
      </c>
      <c r="E295" s="28">
        <v>10</v>
      </c>
      <c r="F295" s="28" t="str">
        <f>IF(A294&lt;10,0&amp;A294,A294)&amp;","&amp;IF(B294&lt;10,0&amp;B294,B294)&amp;","&amp;IF(C294&lt;10,0&amp;C294,C294)&amp;","&amp;IF(D294&lt;10,0&amp;D294,D294)&amp;","&amp;IF(E294&lt;10,0&amp;E294,E294)</f>
        <v>02,04,07,08,11</v>
      </c>
      <c r="G295" s="28">
        <v>26666.780000000002</v>
      </c>
      <c r="J295" s="28" t="s">
        <v>618</v>
      </c>
      <c r="K295" s="28">
        <v>26666.780000000002</v>
      </c>
    </row>
    <row r="296" spans="1:11" x14ac:dyDescent="0.15">
      <c r="A296" s="28">
        <v>2</v>
      </c>
      <c r="B296" s="28">
        <v>4</v>
      </c>
      <c r="C296" s="28">
        <v>7</v>
      </c>
      <c r="D296" s="28">
        <v>9</v>
      </c>
      <c r="E296" s="28">
        <v>11</v>
      </c>
      <c r="F296" s="28" t="str">
        <f>IF(A295&lt;10,0&amp;A295,A295)&amp;","&amp;IF(B295&lt;10,0&amp;B295,B295)&amp;","&amp;IF(C295&lt;10,0&amp;C295,C295)&amp;","&amp;IF(D295&lt;10,0&amp;D295,D295)&amp;","&amp;IF(E295&lt;10,0&amp;E295,E295)</f>
        <v>02,04,07,09,10</v>
      </c>
      <c r="G296" s="28">
        <v>26666.780000000002</v>
      </c>
      <c r="J296" s="28" t="s">
        <v>619</v>
      </c>
      <c r="K296" s="28">
        <v>26666.780000000002</v>
      </c>
    </row>
    <row r="297" spans="1:11" x14ac:dyDescent="0.15">
      <c r="A297" s="28">
        <v>2</v>
      </c>
      <c r="B297" s="28">
        <v>4</v>
      </c>
      <c r="C297" s="28">
        <v>7</v>
      </c>
      <c r="D297" s="28">
        <v>10</v>
      </c>
      <c r="E297" s="28">
        <v>11</v>
      </c>
      <c r="F297" s="28" t="str">
        <f>IF(A296&lt;10,0&amp;A296,A296)&amp;","&amp;IF(B296&lt;10,0&amp;B296,B296)&amp;","&amp;IF(C296&lt;10,0&amp;C296,C296)&amp;","&amp;IF(D296&lt;10,0&amp;D296,D296)&amp;","&amp;IF(E296&lt;10,0&amp;E296,E296)</f>
        <v>02,04,07,09,11</v>
      </c>
      <c r="G297" s="28">
        <v>26659.180000000004</v>
      </c>
      <c r="J297" s="28" t="s">
        <v>620</v>
      </c>
      <c r="K297" s="28">
        <v>26659.180000000004</v>
      </c>
    </row>
    <row r="298" spans="1:11" x14ac:dyDescent="0.15">
      <c r="A298" s="28">
        <v>2</v>
      </c>
      <c r="B298" s="28">
        <v>4</v>
      </c>
      <c r="C298" s="28">
        <v>8</v>
      </c>
      <c r="D298" s="28">
        <v>9</v>
      </c>
      <c r="E298" s="28">
        <v>10</v>
      </c>
      <c r="F298" s="28" t="str">
        <f>IF(A297&lt;10,0&amp;A297,A297)&amp;","&amp;IF(B297&lt;10,0&amp;B297,B297)&amp;","&amp;IF(C297&lt;10,0&amp;C297,C297)&amp;","&amp;IF(D297&lt;10,0&amp;D297,D297)&amp;","&amp;IF(E297&lt;10,0&amp;E297,E297)</f>
        <v>02,04,07,10,11</v>
      </c>
      <c r="G298" s="28">
        <v>26666.780000000002</v>
      </c>
      <c r="J298" s="28" t="s">
        <v>621</v>
      </c>
      <c r="K298" s="28">
        <v>26666.780000000002</v>
      </c>
    </row>
    <row r="299" spans="1:11" x14ac:dyDescent="0.15">
      <c r="A299" s="28">
        <v>2</v>
      </c>
      <c r="B299" s="28">
        <v>4</v>
      </c>
      <c r="C299" s="28">
        <v>8</v>
      </c>
      <c r="D299" s="28">
        <v>9</v>
      </c>
      <c r="E299" s="28">
        <v>11</v>
      </c>
      <c r="F299" s="28" t="str">
        <f>IF(A298&lt;10,0&amp;A298,A298)&amp;","&amp;IF(B298&lt;10,0&amp;B298,B298)&amp;","&amp;IF(C298&lt;10,0&amp;C298,C298)&amp;","&amp;IF(D298&lt;10,0&amp;D298,D298)&amp;","&amp;IF(E298&lt;10,0&amp;E298,E298)</f>
        <v>02,04,08,09,10</v>
      </c>
      <c r="G299" s="28">
        <v>25840.520000000004</v>
      </c>
      <c r="J299" s="28" t="s">
        <v>622</v>
      </c>
      <c r="K299" s="28">
        <v>25840.520000000004</v>
      </c>
    </row>
    <row r="300" spans="1:11" x14ac:dyDescent="0.15">
      <c r="A300" s="28">
        <v>2</v>
      </c>
      <c r="B300" s="28">
        <v>4</v>
      </c>
      <c r="C300" s="28">
        <v>8</v>
      </c>
      <c r="D300" s="28">
        <v>10</v>
      </c>
      <c r="E300" s="28">
        <v>11</v>
      </c>
      <c r="F300" s="28" t="str">
        <f>IF(A299&lt;10,0&amp;A299,A299)&amp;","&amp;IF(B299&lt;10,0&amp;B299,B299)&amp;","&amp;IF(C299&lt;10,0&amp;C299,C299)&amp;","&amp;IF(D299&lt;10,0&amp;D299,D299)&amp;","&amp;IF(E299&lt;10,0&amp;E299,E299)</f>
        <v>02,04,08,09,11</v>
      </c>
      <c r="G300" s="28">
        <v>25721.820000000003</v>
      </c>
      <c r="J300" s="28" t="s">
        <v>623</v>
      </c>
      <c r="K300" s="28">
        <v>25721.820000000003</v>
      </c>
    </row>
    <row r="301" spans="1:11" x14ac:dyDescent="0.15">
      <c r="A301" s="28">
        <v>2</v>
      </c>
      <c r="B301" s="28">
        <v>4</v>
      </c>
      <c r="C301" s="28">
        <v>9</v>
      </c>
      <c r="D301" s="28">
        <v>10</v>
      </c>
      <c r="E301" s="28">
        <v>11</v>
      </c>
      <c r="F301" s="28" t="str">
        <f>IF(A300&lt;10,0&amp;A300,A300)&amp;","&amp;IF(B300&lt;10,0&amp;B300,B300)&amp;","&amp;IF(C300&lt;10,0&amp;C300,C300)&amp;","&amp;IF(D300&lt;10,0&amp;D300,D300)&amp;","&amp;IF(E300&lt;10,0&amp;E300,E300)</f>
        <v>02,04,08,10,11</v>
      </c>
      <c r="G301" s="28">
        <v>25840.520000000004</v>
      </c>
      <c r="J301" s="28" t="s">
        <v>624</v>
      </c>
      <c r="K301" s="28">
        <v>25840.520000000004</v>
      </c>
    </row>
    <row r="302" spans="1:11" x14ac:dyDescent="0.15">
      <c r="A302" s="28">
        <v>2</v>
      </c>
      <c r="B302" s="28">
        <v>5</v>
      </c>
      <c r="C302" s="28">
        <v>6</v>
      </c>
      <c r="D302" s="28">
        <v>7</v>
      </c>
      <c r="E302" s="28">
        <v>8</v>
      </c>
      <c r="F302" s="28" t="str">
        <f>IF(A301&lt;10,0&amp;A301,A301)&amp;","&amp;IF(B301&lt;10,0&amp;B301,B301)&amp;","&amp;IF(C301&lt;10,0&amp;C301,C301)&amp;","&amp;IF(D301&lt;10,0&amp;D301,D301)&amp;","&amp;IF(E301&lt;10,0&amp;E301,E301)</f>
        <v>02,04,09,10,11</v>
      </c>
      <c r="G302" s="28">
        <v>25757.29</v>
      </c>
      <c r="J302" s="28" t="s">
        <v>625</v>
      </c>
      <c r="K302" s="28">
        <v>25757.29</v>
      </c>
    </row>
    <row r="303" spans="1:11" x14ac:dyDescent="0.15">
      <c r="A303" s="28">
        <v>2</v>
      </c>
      <c r="B303" s="28">
        <v>5</v>
      </c>
      <c r="C303" s="28">
        <v>6</v>
      </c>
      <c r="D303" s="28">
        <v>7</v>
      </c>
      <c r="E303" s="28">
        <v>9</v>
      </c>
      <c r="F303" s="28" t="str">
        <f>IF(A302&lt;10,0&amp;A302,A302)&amp;","&amp;IF(B302&lt;10,0&amp;B302,B302)&amp;","&amp;IF(C302&lt;10,0&amp;C302,C302)&amp;","&amp;IF(D302&lt;10,0&amp;D302,D302)&amp;","&amp;IF(E302&lt;10,0&amp;E302,E302)</f>
        <v>02,05,06,07,08</v>
      </c>
      <c r="G303" s="28">
        <v>30168.74</v>
      </c>
      <c r="J303" s="28" t="s">
        <v>626</v>
      </c>
      <c r="K303" s="28">
        <v>30168.74</v>
      </c>
    </row>
    <row r="304" spans="1:11" x14ac:dyDescent="0.15">
      <c r="A304" s="28">
        <v>2</v>
      </c>
      <c r="B304" s="28">
        <v>5</v>
      </c>
      <c r="C304" s="28">
        <v>6</v>
      </c>
      <c r="D304" s="28">
        <v>7</v>
      </c>
      <c r="E304" s="28">
        <v>10</v>
      </c>
      <c r="F304" s="28" t="str">
        <f>IF(A303&lt;10,0&amp;A303,A303)&amp;","&amp;IF(B303&lt;10,0&amp;B303,B303)&amp;","&amp;IF(C303&lt;10,0&amp;C303,C303)&amp;","&amp;IF(D303&lt;10,0&amp;D303,D303)&amp;","&amp;IF(E303&lt;10,0&amp;E303,E303)</f>
        <v>02,05,06,07,09</v>
      </c>
      <c r="G304" s="28">
        <v>30160.140000000003</v>
      </c>
      <c r="J304" s="28" t="s">
        <v>627</v>
      </c>
      <c r="K304" s="28">
        <v>30160.140000000003</v>
      </c>
    </row>
    <row r="305" spans="1:11" x14ac:dyDescent="0.15">
      <c r="A305" s="28">
        <v>2</v>
      </c>
      <c r="B305" s="28">
        <v>5</v>
      </c>
      <c r="C305" s="28">
        <v>6</v>
      </c>
      <c r="D305" s="28">
        <v>7</v>
      </c>
      <c r="E305" s="28">
        <v>11</v>
      </c>
      <c r="F305" s="28" t="str">
        <f>IF(A304&lt;10,0&amp;A304,A304)&amp;","&amp;IF(B304&lt;10,0&amp;B304,B304)&amp;","&amp;IF(C304&lt;10,0&amp;C304,C304)&amp;","&amp;IF(D304&lt;10,0&amp;D304,D304)&amp;","&amp;IF(E304&lt;10,0&amp;E304,E304)</f>
        <v>02,05,06,07,10</v>
      </c>
      <c r="G305" s="28">
        <v>30167.74</v>
      </c>
      <c r="J305" s="28" t="s">
        <v>628</v>
      </c>
      <c r="K305" s="28">
        <v>30167.74</v>
      </c>
    </row>
    <row r="306" spans="1:11" x14ac:dyDescent="0.15">
      <c r="A306" s="28">
        <v>2</v>
      </c>
      <c r="B306" s="28">
        <v>5</v>
      </c>
      <c r="C306" s="28">
        <v>6</v>
      </c>
      <c r="D306" s="28">
        <v>8</v>
      </c>
      <c r="E306" s="28">
        <v>9</v>
      </c>
      <c r="F306" s="28" t="str">
        <f>IF(A305&lt;10,0&amp;A305,A305)&amp;","&amp;IF(B305&lt;10,0&amp;B305,B305)&amp;","&amp;IF(C305&lt;10,0&amp;C305,C305)&amp;","&amp;IF(D305&lt;10,0&amp;D305,D305)&amp;","&amp;IF(E305&lt;10,0&amp;E305,E305)</f>
        <v>02,05,06,07,11</v>
      </c>
      <c r="G306" s="28">
        <v>30160.140000000003</v>
      </c>
      <c r="J306" s="28" t="s">
        <v>629</v>
      </c>
      <c r="K306" s="28">
        <v>30160.140000000003</v>
      </c>
    </row>
    <row r="307" spans="1:11" x14ac:dyDescent="0.15">
      <c r="A307" s="28">
        <v>2</v>
      </c>
      <c r="B307" s="28">
        <v>5</v>
      </c>
      <c r="C307" s="28">
        <v>6</v>
      </c>
      <c r="D307" s="28">
        <v>8</v>
      </c>
      <c r="E307" s="28">
        <v>10</v>
      </c>
      <c r="F307" s="28" t="str">
        <f>IF(A306&lt;10,0&amp;A306,A306)&amp;","&amp;IF(B306&lt;10,0&amp;B306,B306)&amp;","&amp;IF(C306&lt;10,0&amp;C306,C306)&amp;","&amp;IF(D306&lt;10,0&amp;D306,D306)&amp;","&amp;IF(E306&lt;10,0&amp;E306,E306)</f>
        <v>02,05,06,08,09</v>
      </c>
      <c r="G307" s="28">
        <v>29214.34</v>
      </c>
      <c r="J307" s="28" t="s">
        <v>630</v>
      </c>
      <c r="K307" s="28">
        <v>29214.34</v>
      </c>
    </row>
    <row r="308" spans="1:11" x14ac:dyDescent="0.15">
      <c r="A308" s="28">
        <v>2</v>
      </c>
      <c r="B308" s="28">
        <v>5</v>
      </c>
      <c r="C308" s="28">
        <v>6</v>
      </c>
      <c r="D308" s="28">
        <v>8</v>
      </c>
      <c r="E308" s="28">
        <v>11</v>
      </c>
      <c r="F308" s="28" t="str">
        <f>IF(A307&lt;10,0&amp;A307,A307)&amp;","&amp;IF(B307&lt;10,0&amp;B307,B307)&amp;","&amp;IF(C307&lt;10,0&amp;C307,C307)&amp;","&amp;IF(D307&lt;10,0&amp;D307,D307)&amp;","&amp;IF(E307&lt;10,0&amp;E307,E307)</f>
        <v>02,05,06,08,10</v>
      </c>
      <c r="G308" s="28">
        <v>29333.040000000001</v>
      </c>
      <c r="J308" s="28" t="s">
        <v>631</v>
      </c>
      <c r="K308" s="28">
        <v>29333.040000000001</v>
      </c>
    </row>
    <row r="309" spans="1:11" x14ac:dyDescent="0.15">
      <c r="A309" s="28">
        <v>2</v>
      </c>
      <c r="B309" s="28">
        <v>5</v>
      </c>
      <c r="C309" s="28">
        <v>6</v>
      </c>
      <c r="D309" s="28">
        <v>9</v>
      </c>
      <c r="E309" s="28">
        <v>10</v>
      </c>
      <c r="F309" s="28" t="str">
        <f>IF(A308&lt;10,0&amp;A308,A308)&amp;","&amp;IF(B308&lt;10,0&amp;B308,B308)&amp;","&amp;IF(C308&lt;10,0&amp;C308,C308)&amp;","&amp;IF(D308&lt;10,0&amp;D308,D308)&amp;","&amp;IF(E308&lt;10,0&amp;E308,E308)</f>
        <v>02,05,06,08,11</v>
      </c>
      <c r="G309" s="28">
        <v>29214.34</v>
      </c>
      <c r="J309" s="28" t="s">
        <v>632</v>
      </c>
      <c r="K309" s="28">
        <v>29214.34</v>
      </c>
    </row>
    <row r="310" spans="1:11" x14ac:dyDescent="0.15">
      <c r="A310" s="28">
        <v>2</v>
      </c>
      <c r="B310" s="28">
        <v>5</v>
      </c>
      <c r="C310" s="28">
        <v>6</v>
      </c>
      <c r="D310" s="28">
        <v>9</v>
      </c>
      <c r="E310" s="28">
        <v>11</v>
      </c>
      <c r="F310" s="28" t="str">
        <f>IF(A309&lt;10,0&amp;A309,A309)&amp;","&amp;IF(B309&lt;10,0&amp;B309,B309)&amp;","&amp;IF(C309&lt;10,0&amp;C309,C309)&amp;","&amp;IF(D309&lt;10,0&amp;D309,D309)&amp;","&amp;IF(E309&lt;10,0&amp;E309,E309)</f>
        <v>02,05,06,09,10</v>
      </c>
      <c r="G310" s="28">
        <v>29214.34</v>
      </c>
      <c r="J310" s="28" t="s">
        <v>633</v>
      </c>
      <c r="K310" s="28">
        <v>29214.34</v>
      </c>
    </row>
    <row r="311" spans="1:11" x14ac:dyDescent="0.15">
      <c r="A311" s="28">
        <v>2</v>
      </c>
      <c r="B311" s="28">
        <v>5</v>
      </c>
      <c r="C311" s="28">
        <v>6</v>
      </c>
      <c r="D311" s="28">
        <v>10</v>
      </c>
      <c r="E311" s="28">
        <v>11</v>
      </c>
      <c r="F311" s="28" t="str">
        <f>IF(A310&lt;10,0&amp;A310,A310)&amp;","&amp;IF(B310&lt;10,0&amp;B310,B310)&amp;","&amp;IF(C310&lt;10,0&amp;C310,C310)&amp;","&amp;IF(D310&lt;10,0&amp;D310,D310)&amp;","&amp;IF(E310&lt;10,0&amp;E310,E310)</f>
        <v>02,05,06,09,11</v>
      </c>
      <c r="G311" s="28">
        <v>29206.74</v>
      </c>
      <c r="J311" s="28" t="s">
        <v>634</v>
      </c>
      <c r="K311" s="28">
        <v>29206.74</v>
      </c>
    </row>
    <row r="312" spans="1:11" x14ac:dyDescent="0.15">
      <c r="A312" s="28">
        <v>2</v>
      </c>
      <c r="B312" s="28">
        <v>5</v>
      </c>
      <c r="C312" s="28">
        <v>7</v>
      </c>
      <c r="D312" s="28">
        <v>8</v>
      </c>
      <c r="E312" s="28">
        <v>9</v>
      </c>
      <c r="F312" s="28" t="str">
        <f>IF(A311&lt;10,0&amp;A311,A311)&amp;","&amp;IF(B311&lt;10,0&amp;B311,B311)&amp;","&amp;IF(C311&lt;10,0&amp;C311,C311)&amp;","&amp;IF(D311&lt;10,0&amp;D311,D311)&amp;","&amp;IF(E311&lt;10,0&amp;E311,E311)</f>
        <v>02,05,06,10,11</v>
      </c>
      <c r="G312" s="28">
        <v>29214.34</v>
      </c>
      <c r="J312" s="28" t="s">
        <v>635</v>
      </c>
      <c r="K312" s="28">
        <v>29214.34</v>
      </c>
    </row>
    <row r="313" spans="1:11" x14ac:dyDescent="0.15">
      <c r="A313" s="28">
        <v>2</v>
      </c>
      <c r="B313" s="28">
        <v>5</v>
      </c>
      <c r="C313" s="28">
        <v>7</v>
      </c>
      <c r="D313" s="28">
        <v>8</v>
      </c>
      <c r="E313" s="28">
        <v>10</v>
      </c>
      <c r="F313" s="28" t="str">
        <f>IF(A312&lt;10,0&amp;A312,A312)&amp;","&amp;IF(B312&lt;10,0&amp;B312,B312)&amp;","&amp;IF(C312&lt;10,0&amp;C312,C312)&amp;","&amp;IF(D312&lt;10,0&amp;D312,D312)&amp;","&amp;IF(E312&lt;10,0&amp;E312,E312)</f>
        <v>02,05,07,08,09</v>
      </c>
      <c r="G313" s="28">
        <v>38335.420000000006</v>
      </c>
      <c r="J313" s="28" t="s">
        <v>636</v>
      </c>
      <c r="K313" s="28">
        <v>38335.420000000006</v>
      </c>
    </row>
    <row r="314" spans="1:11" x14ac:dyDescent="0.15">
      <c r="A314" s="28">
        <v>2</v>
      </c>
      <c r="B314" s="28">
        <v>5</v>
      </c>
      <c r="C314" s="28">
        <v>7</v>
      </c>
      <c r="D314" s="28">
        <v>8</v>
      </c>
      <c r="E314" s="28">
        <v>11</v>
      </c>
      <c r="F314" s="28" t="str">
        <f>IF(A313&lt;10,0&amp;A313,A313)&amp;","&amp;IF(B313&lt;10,0&amp;B313,B313)&amp;","&amp;IF(C313&lt;10,0&amp;C313,C313)&amp;","&amp;IF(D313&lt;10,0&amp;D313,D313)&amp;","&amp;IF(E313&lt;10,0&amp;E313,E313)</f>
        <v>02,05,07,08,10</v>
      </c>
      <c r="G314" s="28">
        <v>38343.020000000011</v>
      </c>
      <c r="J314" s="28" t="s">
        <v>637</v>
      </c>
      <c r="K314" s="28">
        <v>38343.020000000011</v>
      </c>
    </row>
    <row r="315" spans="1:11" x14ac:dyDescent="0.15">
      <c r="A315" s="28">
        <v>2</v>
      </c>
      <c r="B315" s="28">
        <v>5</v>
      </c>
      <c r="C315" s="28">
        <v>7</v>
      </c>
      <c r="D315" s="28">
        <v>9</v>
      </c>
      <c r="E315" s="28">
        <v>10</v>
      </c>
      <c r="F315" s="28" t="str">
        <f>IF(A314&lt;10,0&amp;A314,A314)&amp;","&amp;IF(B314&lt;10,0&amp;B314,B314)&amp;","&amp;IF(C314&lt;10,0&amp;C314,C314)&amp;","&amp;IF(D314&lt;10,0&amp;D314,D314)&amp;","&amp;IF(E314&lt;10,0&amp;E314,E314)</f>
        <v>02,05,07,08,11</v>
      </c>
      <c r="G315" s="28">
        <v>38335.420000000006</v>
      </c>
      <c r="J315" s="28" t="s">
        <v>638</v>
      </c>
      <c r="K315" s="28">
        <v>38335.420000000006</v>
      </c>
    </row>
    <row r="316" spans="1:11" x14ac:dyDescent="0.15">
      <c r="A316" s="28">
        <v>2</v>
      </c>
      <c r="B316" s="28">
        <v>5</v>
      </c>
      <c r="C316" s="28">
        <v>7</v>
      </c>
      <c r="D316" s="28">
        <v>9</v>
      </c>
      <c r="E316" s="28">
        <v>11</v>
      </c>
      <c r="F316" s="28" t="str">
        <f>IF(A315&lt;10,0&amp;A315,A315)&amp;","&amp;IF(B315&lt;10,0&amp;B315,B315)&amp;","&amp;IF(C315&lt;10,0&amp;C315,C315)&amp;","&amp;IF(D315&lt;10,0&amp;D315,D315)&amp;","&amp;IF(E315&lt;10,0&amp;E315,E315)</f>
        <v>02,05,07,09,10</v>
      </c>
      <c r="G316" s="28">
        <v>38335.420000000006</v>
      </c>
      <c r="J316" s="28" t="s">
        <v>639</v>
      </c>
      <c r="K316" s="28">
        <v>38335.420000000006</v>
      </c>
    </row>
    <row r="317" spans="1:11" x14ac:dyDescent="0.15">
      <c r="A317" s="28">
        <v>2</v>
      </c>
      <c r="B317" s="28">
        <v>5</v>
      </c>
      <c r="C317" s="28">
        <v>7</v>
      </c>
      <c r="D317" s="28">
        <v>10</v>
      </c>
      <c r="E317" s="28">
        <v>11</v>
      </c>
      <c r="F317" s="28" t="str">
        <f>IF(A316&lt;10,0&amp;A316,A316)&amp;","&amp;IF(B316&lt;10,0&amp;B316,B316)&amp;","&amp;IF(C316&lt;10,0&amp;C316,C316)&amp;","&amp;IF(D316&lt;10,0&amp;D316,D316)&amp;","&amp;IF(E316&lt;10,0&amp;E316,E316)</f>
        <v>02,05,07,09,11</v>
      </c>
      <c r="G317" s="28">
        <v>38372.670000000006</v>
      </c>
      <c r="J317" s="28" t="s">
        <v>640</v>
      </c>
      <c r="K317" s="28">
        <v>38372.670000000006</v>
      </c>
    </row>
    <row r="318" spans="1:11" x14ac:dyDescent="0.15">
      <c r="A318" s="28">
        <v>2</v>
      </c>
      <c r="B318" s="28">
        <v>5</v>
      </c>
      <c r="C318" s="28">
        <v>8</v>
      </c>
      <c r="D318" s="28">
        <v>9</v>
      </c>
      <c r="E318" s="28">
        <v>10</v>
      </c>
      <c r="F318" s="28" t="str">
        <f>IF(A317&lt;10,0&amp;A317,A317)&amp;","&amp;IF(B317&lt;10,0&amp;B317,B317)&amp;","&amp;IF(C317&lt;10,0&amp;C317,C317)&amp;","&amp;IF(D317&lt;10,0&amp;D317,D317)&amp;","&amp;IF(E317&lt;10,0&amp;E317,E317)</f>
        <v>02,05,07,10,11</v>
      </c>
      <c r="G318" s="28">
        <v>38335.420000000006</v>
      </c>
      <c r="J318" s="28" t="s">
        <v>641</v>
      </c>
      <c r="K318" s="28">
        <v>38335.420000000006</v>
      </c>
    </row>
    <row r="319" spans="1:11" x14ac:dyDescent="0.15">
      <c r="A319" s="28">
        <v>2</v>
      </c>
      <c r="B319" s="28">
        <v>5</v>
      </c>
      <c r="C319" s="28">
        <v>8</v>
      </c>
      <c r="D319" s="28">
        <v>9</v>
      </c>
      <c r="E319" s="28">
        <v>11</v>
      </c>
      <c r="F319" s="28" t="str">
        <f>IF(A318&lt;10,0&amp;A318,A318)&amp;","&amp;IF(B318&lt;10,0&amp;B318,B318)&amp;","&amp;IF(C318&lt;10,0&amp;C318,C318)&amp;","&amp;IF(D318&lt;10,0&amp;D318,D318)&amp;","&amp;IF(E318&lt;10,0&amp;E318,E318)</f>
        <v>02,05,08,09,10</v>
      </c>
      <c r="G319" s="28">
        <v>26571.02</v>
      </c>
      <c r="J319" s="28" t="s">
        <v>642</v>
      </c>
      <c r="K319" s="28">
        <v>26571.02</v>
      </c>
    </row>
    <row r="320" spans="1:11" x14ac:dyDescent="0.15">
      <c r="A320" s="28">
        <v>2</v>
      </c>
      <c r="B320" s="28">
        <v>5</v>
      </c>
      <c r="C320" s="28">
        <v>8</v>
      </c>
      <c r="D320" s="28">
        <v>10</v>
      </c>
      <c r="E320" s="28">
        <v>11</v>
      </c>
      <c r="F320" s="28" t="str">
        <f>IF(A319&lt;10,0&amp;A319,A319)&amp;","&amp;IF(B319&lt;10,0&amp;B319,B319)&amp;","&amp;IF(C319&lt;10,0&amp;C319,C319)&amp;","&amp;IF(D319&lt;10,0&amp;D319,D319)&amp;","&amp;IF(E319&lt;10,0&amp;E319,E319)</f>
        <v>02,05,08,09,11</v>
      </c>
      <c r="G320" s="28">
        <v>26563.420000000002</v>
      </c>
      <c r="J320" s="28" t="s">
        <v>643</v>
      </c>
      <c r="K320" s="28">
        <v>26563.420000000002</v>
      </c>
    </row>
    <row r="321" spans="1:11" x14ac:dyDescent="0.15">
      <c r="A321" s="28">
        <v>2</v>
      </c>
      <c r="B321" s="28">
        <v>5</v>
      </c>
      <c r="C321" s="28">
        <v>9</v>
      </c>
      <c r="D321" s="28">
        <v>10</v>
      </c>
      <c r="E321" s="28">
        <v>11</v>
      </c>
      <c r="F321" s="28" t="str">
        <f>IF(A320&lt;10,0&amp;A320,A320)&amp;","&amp;IF(B320&lt;10,0&amp;B320,B320)&amp;","&amp;IF(C320&lt;10,0&amp;C320,C320)&amp;","&amp;IF(D320&lt;10,0&amp;D320,D320)&amp;","&amp;IF(E320&lt;10,0&amp;E320,E320)</f>
        <v>02,05,08,10,11</v>
      </c>
      <c r="G321" s="28">
        <v>26571.02</v>
      </c>
      <c r="J321" s="28" t="s">
        <v>644</v>
      </c>
      <c r="K321" s="28">
        <v>26571.02</v>
      </c>
    </row>
    <row r="322" spans="1:11" x14ac:dyDescent="0.15">
      <c r="A322" s="28">
        <v>2</v>
      </c>
      <c r="B322" s="28">
        <v>6</v>
      </c>
      <c r="C322" s="28">
        <v>7</v>
      </c>
      <c r="D322" s="28">
        <v>8</v>
      </c>
      <c r="E322" s="28">
        <v>9</v>
      </c>
      <c r="F322" s="28" t="str">
        <f>IF(A321&lt;10,0&amp;A321,A321)&amp;","&amp;IF(B321&lt;10,0&amp;B321,B321)&amp;","&amp;IF(C321&lt;10,0&amp;C321,C321)&amp;","&amp;IF(D321&lt;10,0&amp;D321,D321)&amp;","&amp;IF(E321&lt;10,0&amp;E321,E321)</f>
        <v>02,05,09,10,11</v>
      </c>
      <c r="G322" s="28">
        <v>27235.790000000005</v>
      </c>
      <c r="J322" s="28" t="s">
        <v>645</v>
      </c>
      <c r="K322" s="28">
        <v>27235.790000000005</v>
      </c>
    </row>
    <row r="323" spans="1:11" x14ac:dyDescent="0.15">
      <c r="A323" s="28">
        <v>2</v>
      </c>
      <c r="B323" s="28">
        <v>6</v>
      </c>
      <c r="C323" s="28">
        <v>7</v>
      </c>
      <c r="D323" s="28">
        <v>8</v>
      </c>
      <c r="E323" s="28">
        <v>10</v>
      </c>
      <c r="F323" s="28" t="str">
        <f>IF(A322&lt;10,0&amp;A322,A322)&amp;","&amp;IF(B322&lt;10,0&amp;B322,B322)&amp;","&amp;IF(C322&lt;10,0&amp;C322,C322)&amp;","&amp;IF(D322&lt;10,0&amp;D322,D322)&amp;","&amp;IF(E322&lt;10,0&amp;E322,E322)</f>
        <v>02,06,07,08,09</v>
      </c>
      <c r="G323" s="28">
        <v>24756.080000000002</v>
      </c>
      <c r="J323" s="28" t="s">
        <v>646</v>
      </c>
      <c r="K323" s="28">
        <v>24756.080000000002</v>
      </c>
    </row>
    <row r="324" spans="1:11" x14ac:dyDescent="0.15">
      <c r="A324" s="28">
        <v>2</v>
      </c>
      <c r="B324" s="28">
        <v>6</v>
      </c>
      <c r="C324" s="28">
        <v>7</v>
      </c>
      <c r="D324" s="28">
        <v>8</v>
      </c>
      <c r="E324" s="28">
        <v>11</v>
      </c>
      <c r="F324" s="28" t="str">
        <f>IF(A323&lt;10,0&amp;A323,A323)&amp;","&amp;IF(B323&lt;10,0&amp;B323,B323)&amp;","&amp;IF(C323&lt;10,0&amp;C323,C323)&amp;","&amp;IF(D323&lt;10,0&amp;D323,D323)&amp;","&amp;IF(E323&lt;10,0&amp;E323,E323)</f>
        <v>02,06,07,08,10</v>
      </c>
      <c r="G324" s="28">
        <v>24874.780000000002</v>
      </c>
      <c r="J324" s="28" t="s">
        <v>647</v>
      </c>
      <c r="K324" s="28">
        <v>24874.780000000002</v>
      </c>
    </row>
    <row r="325" spans="1:11" x14ac:dyDescent="0.15">
      <c r="A325" s="28">
        <v>2</v>
      </c>
      <c r="B325" s="28">
        <v>6</v>
      </c>
      <c r="C325" s="28">
        <v>7</v>
      </c>
      <c r="D325" s="28">
        <v>9</v>
      </c>
      <c r="E325" s="28">
        <v>10</v>
      </c>
      <c r="F325" s="28" t="str">
        <f>IF(A324&lt;10,0&amp;A324,A324)&amp;","&amp;IF(B324&lt;10,0&amp;B324,B324)&amp;","&amp;IF(C324&lt;10,0&amp;C324,C324)&amp;","&amp;IF(D324&lt;10,0&amp;D324,D324)&amp;","&amp;IF(E324&lt;10,0&amp;E324,E324)</f>
        <v>02,06,07,08,11</v>
      </c>
      <c r="G325" s="28">
        <v>24756.080000000002</v>
      </c>
      <c r="J325" s="28" t="s">
        <v>648</v>
      </c>
      <c r="K325" s="28">
        <v>24756.080000000002</v>
      </c>
    </row>
    <row r="326" spans="1:11" x14ac:dyDescent="0.15">
      <c r="A326" s="28">
        <v>2</v>
      </c>
      <c r="B326" s="28">
        <v>6</v>
      </c>
      <c r="C326" s="28">
        <v>7</v>
      </c>
      <c r="D326" s="28">
        <v>9</v>
      </c>
      <c r="E326" s="28">
        <v>11</v>
      </c>
      <c r="F326" s="28" t="str">
        <f>IF(A325&lt;10,0&amp;A325,A325)&amp;","&amp;IF(B325&lt;10,0&amp;B325,B325)&amp;","&amp;IF(C325&lt;10,0&amp;C325,C325)&amp;","&amp;IF(D325&lt;10,0&amp;D325,D325)&amp;","&amp;IF(E325&lt;10,0&amp;E325,E325)</f>
        <v>02,06,07,09,10</v>
      </c>
      <c r="G326" s="28">
        <v>24756.080000000002</v>
      </c>
      <c r="J326" s="28" t="s">
        <v>649</v>
      </c>
      <c r="K326" s="28">
        <v>24756.080000000002</v>
      </c>
    </row>
    <row r="327" spans="1:11" x14ac:dyDescent="0.15">
      <c r="A327" s="28">
        <v>2</v>
      </c>
      <c r="B327" s="28">
        <v>6</v>
      </c>
      <c r="C327" s="28">
        <v>7</v>
      </c>
      <c r="D327" s="28">
        <v>10</v>
      </c>
      <c r="E327" s="28">
        <v>11</v>
      </c>
      <c r="F327" s="28" t="str">
        <f>IF(A326&lt;10,0&amp;A326,A326)&amp;","&amp;IF(B326&lt;10,0&amp;B326,B326)&amp;","&amp;IF(C326&lt;10,0&amp;C326,C326)&amp;","&amp;IF(D326&lt;10,0&amp;D326,D326)&amp;","&amp;IF(E326&lt;10,0&amp;E326,E326)</f>
        <v>02,06,07,09,11</v>
      </c>
      <c r="G327" s="28">
        <v>24748.480000000003</v>
      </c>
      <c r="J327" s="28" t="s">
        <v>650</v>
      </c>
      <c r="K327" s="28">
        <v>24748.480000000003</v>
      </c>
    </row>
    <row r="328" spans="1:11" x14ac:dyDescent="0.15">
      <c r="A328" s="28">
        <v>2</v>
      </c>
      <c r="B328" s="28">
        <v>6</v>
      </c>
      <c r="C328" s="28">
        <v>8</v>
      </c>
      <c r="D328" s="28">
        <v>9</v>
      </c>
      <c r="E328" s="28">
        <v>10</v>
      </c>
      <c r="F328" s="28" t="str">
        <f>IF(A327&lt;10,0&amp;A327,A327)&amp;","&amp;IF(B327&lt;10,0&amp;B327,B327)&amp;","&amp;IF(C327&lt;10,0&amp;C327,C327)&amp;","&amp;IF(D327&lt;10,0&amp;D327,D327)&amp;","&amp;IF(E327&lt;10,0&amp;E327,E327)</f>
        <v>02,06,07,10,11</v>
      </c>
      <c r="G328" s="28">
        <v>24756.080000000002</v>
      </c>
      <c r="J328" s="28" t="s">
        <v>651</v>
      </c>
      <c r="K328" s="28">
        <v>24756.080000000002</v>
      </c>
    </row>
    <row r="329" spans="1:11" x14ac:dyDescent="0.15">
      <c r="A329" s="28">
        <v>2</v>
      </c>
      <c r="B329" s="28">
        <v>6</v>
      </c>
      <c r="C329" s="28">
        <v>8</v>
      </c>
      <c r="D329" s="28">
        <v>9</v>
      </c>
      <c r="E329" s="28">
        <v>11</v>
      </c>
      <c r="F329" s="28" t="str">
        <f>IF(A328&lt;10,0&amp;A328,A328)&amp;","&amp;IF(B328&lt;10,0&amp;B328,B328)&amp;","&amp;IF(C328&lt;10,0&amp;C328,C328)&amp;","&amp;IF(D328&lt;10,0&amp;D328,D328)&amp;","&amp;IF(E328&lt;10,0&amp;E328,E328)</f>
        <v>02,06,08,09,10</v>
      </c>
      <c r="G329" s="28">
        <v>23929.820000000003</v>
      </c>
      <c r="J329" s="28" t="s">
        <v>652</v>
      </c>
      <c r="K329" s="28">
        <v>23929.820000000003</v>
      </c>
    </row>
    <row r="330" spans="1:11" x14ac:dyDescent="0.15">
      <c r="A330" s="28">
        <v>2</v>
      </c>
      <c r="B330" s="28">
        <v>6</v>
      </c>
      <c r="C330" s="28">
        <v>8</v>
      </c>
      <c r="D330" s="28">
        <v>10</v>
      </c>
      <c r="E330" s="28">
        <v>11</v>
      </c>
      <c r="F330" s="28" t="str">
        <f>IF(A329&lt;10,0&amp;A329,A329)&amp;","&amp;IF(B329&lt;10,0&amp;B329,B329)&amp;","&amp;IF(C329&lt;10,0&amp;C329,C329)&amp;","&amp;IF(D329&lt;10,0&amp;D329,D329)&amp;","&amp;IF(E329&lt;10,0&amp;E329,E329)</f>
        <v>02,06,08,09,11</v>
      </c>
      <c r="G330" s="28">
        <v>23811.120000000003</v>
      </c>
      <c r="J330" s="28" t="s">
        <v>653</v>
      </c>
      <c r="K330" s="28">
        <v>23811.120000000003</v>
      </c>
    </row>
    <row r="331" spans="1:11" x14ac:dyDescent="0.15">
      <c r="A331" s="28">
        <v>2</v>
      </c>
      <c r="B331" s="28">
        <v>6</v>
      </c>
      <c r="C331" s="28">
        <v>9</v>
      </c>
      <c r="D331" s="28">
        <v>10</v>
      </c>
      <c r="E331" s="28">
        <v>11</v>
      </c>
      <c r="F331" s="28" t="str">
        <f>IF(A330&lt;10,0&amp;A330,A330)&amp;","&amp;IF(B330&lt;10,0&amp;B330,B330)&amp;","&amp;IF(C330&lt;10,0&amp;C330,C330)&amp;","&amp;IF(D330&lt;10,0&amp;D330,D330)&amp;","&amp;IF(E330&lt;10,0&amp;E330,E330)</f>
        <v>02,06,08,10,11</v>
      </c>
      <c r="G331" s="28">
        <v>23929.820000000003</v>
      </c>
      <c r="J331" s="28" t="s">
        <v>654</v>
      </c>
      <c r="K331" s="28">
        <v>23929.820000000003</v>
      </c>
    </row>
    <row r="332" spans="1:11" x14ac:dyDescent="0.15">
      <c r="A332" s="28">
        <v>2</v>
      </c>
      <c r="B332" s="28">
        <v>7</v>
      </c>
      <c r="C332" s="28">
        <v>8</v>
      </c>
      <c r="D332" s="28">
        <v>9</v>
      </c>
      <c r="E332" s="28">
        <v>10</v>
      </c>
      <c r="F332" s="28" t="str">
        <f>IF(A331&lt;10,0&amp;A331,A331)&amp;","&amp;IF(B331&lt;10,0&amp;B331,B331)&amp;","&amp;IF(C331&lt;10,0&amp;C331,C331)&amp;","&amp;IF(D331&lt;10,0&amp;D331,D331)&amp;","&amp;IF(E331&lt;10,0&amp;E331,E331)</f>
        <v>02,06,09,10,11</v>
      </c>
      <c r="G332" s="28">
        <v>23846.59</v>
      </c>
      <c r="J332" s="28" t="s">
        <v>655</v>
      </c>
      <c r="K332" s="28">
        <v>23846.59</v>
      </c>
    </row>
    <row r="333" spans="1:11" x14ac:dyDescent="0.15">
      <c r="A333" s="28">
        <v>2</v>
      </c>
      <c r="B333" s="28">
        <v>7</v>
      </c>
      <c r="C333" s="28">
        <v>8</v>
      </c>
      <c r="D333" s="28">
        <v>9</v>
      </c>
      <c r="E333" s="28">
        <v>11</v>
      </c>
      <c r="F333" s="28" t="str">
        <f>IF(A332&lt;10,0&amp;A332,A332)&amp;","&amp;IF(B332&lt;10,0&amp;B332,B332)&amp;","&amp;IF(C332&lt;10,0&amp;C332,C332)&amp;","&amp;IF(D332&lt;10,0&amp;D332,D332)&amp;","&amp;IF(E332&lt;10,0&amp;E332,E332)</f>
        <v>02,07,08,09,10</v>
      </c>
      <c r="G333" s="28">
        <v>22514.140000000007</v>
      </c>
      <c r="J333" s="28" t="s">
        <v>656</v>
      </c>
      <c r="K333" s="28">
        <v>22514.140000000007</v>
      </c>
    </row>
    <row r="334" spans="1:11" x14ac:dyDescent="0.15">
      <c r="A334" s="28">
        <v>2</v>
      </c>
      <c r="B334" s="28">
        <v>7</v>
      </c>
      <c r="C334" s="28">
        <v>8</v>
      </c>
      <c r="D334" s="28">
        <v>10</v>
      </c>
      <c r="E334" s="28">
        <v>11</v>
      </c>
      <c r="F334" s="28" t="str">
        <f>IF(A333&lt;10,0&amp;A333,A333)&amp;","&amp;IF(B333&lt;10,0&amp;B333,B333)&amp;","&amp;IF(C333&lt;10,0&amp;C333,C333)&amp;","&amp;IF(D333&lt;10,0&amp;D333,D333)&amp;","&amp;IF(E333&lt;10,0&amp;E333,E333)</f>
        <v>02,07,08,09,11</v>
      </c>
      <c r="G334" s="28">
        <v>22506.540000000005</v>
      </c>
      <c r="J334" s="28" t="s">
        <v>657</v>
      </c>
      <c r="K334" s="28">
        <v>22506.540000000005</v>
      </c>
    </row>
    <row r="335" spans="1:11" x14ac:dyDescent="0.15">
      <c r="A335" s="28">
        <v>2</v>
      </c>
      <c r="B335" s="28">
        <v>7</v>
      </c>
      <c r="C335" s="28">
        <v>9</v>
      </c>
      <c r="D335" s="28">
        <v>10</v>
      </c>
      <c r="E335" s="28">
        <v>11</v>
      </c>
      <c r="F335" s="28" t="str">
        <f>IF(A334&lt;10,0&amp;A334,A334)&amp;","&amp;IF(B334&lt;10,0&amp;B334,B334)&amp;","&amp;IF(C334&lt;10,0&amp;C334,C334)&amp;","&amp;IF(D334&lt;10,0&amp;D334,D334)&amp;","&amp;IF(E334&lt;10,0&amp;E334,E334)</f>
        <v>02,07,08,10,11</v>
      </c>
      <c r="G335" s="28">
        <v>22514.140000000007</v>
      </c>
      <c r="J335" s="28" t="s">
        <v>658</v>
      </c>
      <c r="K335" s="28">
        <v>22514.140000000007</v>
      </c>
    </row>
    <row r="336" spans="1:11" x14ac:dyDescent="0.15">
      <c r="A336" s="28">
        <v>2</v>
      </c>
      <c r="B336" s="28">
        <v>8</v>
      </c>
      <c r="C336" s="28">
        <v>9</v>
      </c>
      <c r="D336" s="28">
        <v>10</v>
      </c>
      <c r="E336" s="28">
        <v>11</v>
      </c>
      <c r="F336" s="28" t="str">
        <f>IF(A335&lt;10,0&amp;A335,A335)&amp;","&amp;IF(B335&lt;10,0&amp;B335,B335)&amp;","&amp;IF(C335&lt;10,0&amp;C335,C335)&amp;","&amp;IF(D335&lt;10,0&amp;D335,D335)&amp;","&amp;IF(E335&lt;10,0&amp;E335,E335)</f>
        <v>02,07,09,10,11</v>
      </c>
      <c r="G336" s="28">
        <v>22542.010000000006</v>
      </c>
      <c r="J336" s="28" t="s">
        <v>659</v>
      </c>
      <c r="K336" s="28">
        <v>22542.010000000006</v>
      </c>
    </row>
    <row r="337" spans="1:11" x14ac:dyDescent="0.15">
      <c r="A337" s="28">
        <v>3</v>
      </c>
      <c r="B337" s="28">
        <v>4</v>
      </c>
      <c r="C337" s="28">
        <v>5</v>
      </c>
      <c r="D337" s="28">
        <v>6</v>
      </c>
      <c r="E337" s="28">
        <v>7</v>
      </c>
      <c r="F337" s="28" t="str">
        <f>IF(A336&lt;10,0&amp;A336,A336)&amp;","&amp;IF(B336&lt;10,0&amp;B336,B336)&amp;","&amp;IF(C336&lt;10,0&amp;C336,C336)&amp;","&amp;IF(D336&lt;10,0&amp;D336,D336)&amp;","&amp;IF(E336&lt;10,0&amp;E336,E336)</f>
        <v>02,08,09,10,11</v>
      </c>
      <c r="G337" s="28">
        <v>21596.210000000003</v>
      </c>
      <c r="J337" s="28" t="s">
        <v>660</v>
      </c>
      <c r="K337" s="28">
        <v>21596.210000000003</v>
      </c>
    </row>
    <row r="338" spans="1:11" x14ac:dyDescent="0.15">
      <c r="A338" s="28">
        <v>3</v>
      </c>
      <c r="B338" s="28">
        <v>4</v>
      </c>
      <c r="C338" s="28">
        <v>5</v>
      </c>
      <c r="D338" s="28">
        <v>6</v>
      </c>
      <c r="E338" s="28">
        <v>8</v>
      </c>
      <c r="F338" s="28" t="str">
        <f>IF(A337&lt;10,0&amp;A337,A337)&amp;","&amp;IF(B337&lt;10,0&amp;B337,B337)&amp;","&amp;IF(C337&lt;10,0&amp;C337,C337)&amp;","&amp;IF(D337&lt;10,0&amp;D337,D337)&amp;","&amp;IF(E337&lt;10,0&amp;E337,E337)</f>
        <v>03,04,05,06,07</v>
      </c>
      <c r="G338" s="28">
        <v>35587.394999999997</v>
      </c>
      <c r="J338" s="28" t="s">
        <v>661</v>
      </c>
      <c r="K338" s="28">
        <v>35587.394999999997</v>
      </c>
    </row>
    <row r="339" spans="1:11" x14ac:dyDescent="0.15">
      <c r="A339" s="28">
        <v>3</v>
      </c>
      <c r="B339" s="28">
        <v>4</v>
      </c>
      <c r="C339" s="28">
        <v>5</v>
      </c>
      <c r="D339" s="28">
        <v>6</v>
      </c>
      <c r="E339" s="28">
        <v>9</v>
      </c>
      <c r="F339" s="28" t="str">
        <f>IF(A338&lt;10,0&amp;A338,A338)&amp;","&amp;IF(B338&lt;10,0&amp;B338,B338)&amp;","&amp;IF(C338&lt;10,0&amp;C338,C338)&amp;","&amp;IF(D338&lt;10,0&amp;D338,D338)&amp;","&amp;IF(E338&lt;10,0&amp;E338,E338)</f>
        <v>03,04,05,06,08</v>
      </c>
      <c r="G339" s="28">
        <v>34556.674999999996</v>
      </c>
      <c r="J339" s="28" t="s">
        <v>662</v>
      </c>
      <c r="K339" s="28">
        <v>34556.674999999996</v>
      </c>
    </row>
    <row r="340" spans="1:11" x14ac:dyDescent="0.15">
      <c r="A340" s="28">
        <v>3</v>
      </c>
      <c r="B340" s="28">
        <v>4</v>
      </c>
      <c r="C340" s="28">
        <v>5</v>
      </c>
      <c r="D340" s="28">
        <v>6</v>
      </c>
      <c r="E340" s="28">
        <v>10</v>
      </c>
      <c r="F340" s="28" t="str">
        <f>IF(A339&lt;10,0&amp;A339,A339)&amp;","&amp;IF(B339&lt;10,0&amp;B339,B339)&amp;","&amp;IF(C339&lt;10,0&amp;C339,C339)&amp;","&amp;IF(D339&lt;10,0&amp;D339,D339)&amp;","&amp;IF(E339&lt;10,0&amp;E339,E339)</f>
        <v>03,04,05,06,09</v>
      </c>
      <c r="G340" s="28">
        <v>34548.074999999997</v>
      </c>
      <c r="J340" s="28" t="s">
        <v>663</v>
      </c>
      <c r="K340" s="28">
        <v>34548.074999999997</v>
      </c>
    </row>
    <row r="341" spans="1:11" x14ac:dyDescent="0.15">
      <c r="A341" s="28">
        <v>3</v>
      </c>
      <c r="B341" s="28">
        <v>4</v>
      </c>
      <c r="C341" s="28">
        <v>5</v>
      </c>
      <c r="D341" s="28">
        <v>6</v>
      </c>
      <c r="E341" s="28">
        <v>11</v>
      </c>
      <c r="F341" s="28" t="str">
        <f>IF(A340&lt;10,0&amp;A340,A340)&amp;","&amp;IF(B340&lt;10,0&amp;B340,B340)&amp;","&amp;IF(C340&lt;10,0&amp;C340,C340)&amp;","&amp;IF(D340&lt;10,0&amp;D340,D340)&amp;","&amp;IF(E340&lt;10,0&amp;E340,E340)</f>
        <v>03,04,05,06,10</v>
      </c>
      <c r="G341" s="28">
        <v>34555.674999999996</v>
      </c>
      <c r="J341" s="28" t="s">
        <v>664</v>
      </c>
      <c r="K341" s="28">
        <v>34555.674999999996</v>
      </c>
    </row>
    <row r="342" spans="1:11" x14ac:dyDescent="0.15">
      <c r="A342" s="28">
        <v>3</v>
      </c>
      <c r="B342" s="28">
        <v>4</v>
      </c>
      <c r="C342" s="28">
        <v>5</v>
      </c>
      <c r="D342" s="28">
        <v>7</v>
      </c>
      <c r="E342" s="28">
        <v>8</v>
      </c>
      <c r="F342" s="28" t="str">
        <f>IF(A341&lt;10,0&amp;A341,A341)&amp;","&amp;IF(B341&lt;10,0&amp;B341,B341)&amp;","&amp;IF(C341&lt;10,0&amp;C341,C341)&amp;","&amp;IF(D341&lt;10,0&amp;D341,D341)&amp;","&amp;IF(E341&lt;10,0&amp;E341,E341)</f>
        <v>03,04,05,06,11</v>
      </c>
      <c r="G342" s="28">
        <v>34548.074999999997</v>
      </c>
      <c r="J342" s="28" t="s">
        <v>665</v>
      </c>
      <c r="K342" s="28">
        <v>34548.074999999997</v>
      </c>
    </row>
    <row r="343" spans="1:11" x14ac:dyDescent="0.15">
      <c r="A343" s="28">
        <v>3</v>
      </c>
      <c r="B343" s="28">
        <v>4</v>
      </c>
      <c r="C343" s="28">
        <v>5</v>
      </c>
      <c r="D343" s="28">
        <v>7</v>
      </c>
      <c r="E343" s="28">
        <v>9</v>
      </c>
      <c r="F343" s="28" t="str">
        <f>IF(A342&lt;10,0&amp;A342,A342)&amp;","&amp;IF(B342&lt;10,0&amp;B342,B342)&amp;","&amp;IF(C342&lt;10,0&amp;C342,C342)&amp;","&amp;IF(D342&lt;10,0&amp;D342,D342)&amp;","&amp;IF(E342&lt;10,0&amp;E342,E342)</f>
        <v>03,04,05,07,08</v>
      </c>
      <c r="G343" s="28">
        <v>32689.500000000007</v>
      </c>
      <c r="J343" s="28" t="s">
        <v>666</v>
      </c>
      <c r="K343" s="28">
        <v>32689.500000000007</v>
      </c>
    </row>
    <row r="344" spans="1:11" x14ac:dyDescent="0.15">
      <c r="A344" s="28">
        <v>3</v>
      </c>
      <c r="B344" s="28">
        <v>4</v>
      </c>
      <c r="C344" s="28">
        <v>5</v>
      </c>
      <c r="D344" s="28">
        <v>7</v>
      </c>
      <c r="E344" s="28">
        <v>10</v>
      </c>
      <c r="F344" s="28" t="str">
        <f>IF(A343&lt;10,0&amp;A343,A343)&amp;","&amp;IF(B343&lt;10,0&amp;B343,B343)&amp;","&amp;IF(C343&lt;10,0&amp;C343,C343)&amp;","&amp;IF(D343&lt;10,0&amp;D343,D343)&amp;","&amp;IF(E343&lt;10,0&amp;E343,E343)</f>
        <v>03,04,05,07,09</v>
      </c>
      <c r="G344" s="28">
        <v>32725.750000000007</v>
      </c>
      <c r="J344" s="28" t="s">
        <v>667</v>
      </c>
      <c r="K344" s="28">
        <v>32725.750000000007</v>
      </c>
    </row>
    <row r="345" spans="1:11" x14ac:dyDescent="0.15">
      <c r="A345" s="28">
        <v>3</v>
      </c>
      <c r="B345" s="28">
        <v>4</v>
      </c>
      <c r="C345" s="28">
        <v>5</v>
      </c>
      <c r="D345" s="28">
        <v>7</v>
      </c>
      <c r="E345" s="28">
        <v>11</v>
      </c>
      <c r="F345" s="28" t="str">
        <f>IF(A344&lt;10,0&amp;A344,A344)&amp;","&amp;IF(B344&lt;10,0&amp;B344,B344)&amp;","&amp;IF(C344&lt;10,0&amp;C344,C344)&amp;","&amp;IF(D344&lt;10,0&amp;D344,D344)&amp;","&amp;IF(E344&lt;10,0&amp;E344,E344)</f>
        <v>03,04,05,07,10</v>
      </c>
      <c r="G345" s="28">
        <v>32688.500000000007</v>
      </c>
      <c r="J345" s="28" t="s">
        <v>668</v>
      </c>
      <c r="K345" s="28">
        <v>32688.500000000007</v>
      </c>
    </row>
    <row r="346" spans="1:11" x14ac:dyDescent="0.15">
      <c r="A346" s="28">
        <v>3</v>
      </c>
      <c r="B346" s="28">
        <v>4</v>
      </c>
      <c r="C346" s="28">
        <v>5</v>
      </c>
      <c r="D346" s="28">
        <v>8</v>
      </c>
      <c r="E346" s="28">
        <v>9</v>
      </c>
      <c r="F346" s="28" t="str">
        <f>IF(A345&lt;10,0&amp;A345,A345)&amp;","&amp;IF(B345&lt;10,0&amp;B345,B345)&amp;","&amp;IF(C345&lt;10,0&amp;C345,C345)&amp;","&amp;IF(D345&lt;10,0&amp;D345,D345)&amp;","&amp;IF(E345&lt;10,0&amp;E345,E345)</f>
        <v>03,04,05,07,11</v>
      </c>
      <c r="G346" s="28">
        <v>32725.750000000007</v>
      </c>
      <c r="J346" s="28" t="s">
        <v>669</v>
      </c>
      <c r="K346" s="28">
        <v>32725.750000000007</v>
      </c>
    </row>
    <row r="347" spans="1:11" x14ac:dyDescent="0.15">
      <c r="A347" s="28">
        <v>3</v>
      </c>
      <c r="B347" s="28">
        <v>4</v>
      </c>
      <c r="C347" s="28">
        <v>5</v>
      </c>
      <c r="D347" s="28">
        <v>8</v>
      </c>
      <c r="E347" s="28">
        <v>10</v>
      </c>
      <c r="F347" s="28" t="str">
        <f>IF(A346&lt;10,0&amp;A346,A346)&amp;","&amp;IF(B346&lt;10,0&amp;B346,B346)&amp;","&amp;IF(C346&lt;10,0&amp;C346,C346)&amp;","&amp;IF(D346&lt;10,0&amp;D346,D346)&amp;","&amp;IF(E346&lt;10,0&amp;E346,E346)</f>
        <v>03,04,05,08,09</v>
      </c>
      <c r="G347" s="28">
        <v>31735.100000000006</v>
      </c>
      <c r="J347" s="28" t="s">
        <v>670</v>
      </c>
      <c r="K347" s="28">
        <v>31735.100000000006</v>
      </c>
    </row>
    <row r="348" spans="1:11" x14ac:dyDescent="0.15">
      <c r="A348" s="28">
        <v>3</v>
      </c>
      <c r="B348" s="28">
        <v>4</v>
      </c>
      <c r="C348" s="28">
        <v>5</v>
      </c>
      <c r="D348" s="28">
        <v>8</v>
      </c>
      <c r="E348" s="28">
        <v>11</v>
      </c>
      <c r="F348" s="28" t="str">
        <f>IF(A347&lt;10,0&amp;A347,A347)&amp;","&amp;IF(B347&lt;10,0&amp;B347,B347)&amp;","&amp;IF(C347&lt;10,0&amp;C347,C347)&amp;","&amp;IF(D347&lt;10,0&amp;D347,D347)&amp;","&amp;IF(E347&lt;10,0&amp;E347,E347)</f>
        <v>03,04,05,08,10</v>
      </c>
      <c r="G348" s="28">
        <v>31742.700000000004</v>
      </c>
      <c r="J348" s="28" t="s">
        <v>671</v>
      </c>
      <c r="K348" s="28">
        <v>31742.700000000004</v>
      </c>
    </row>
    <row r="349" spans="1:11" x14ac:dyDescent="0.15">
      <c r="A349" s="28">
        <v>3</v>
      </c>
      <c r="B349" s="28">
        <v>4</v>
      </c>
      <c r="C349" s="28">
        <v>5</v>
      </c>
      <c r="D349" s="28">
        <v>9</v>
      </c>
      <c r="E349" s="28">
        <v>10</v>
      </c>
      <c r="F349" s="28" t="str">
        <f>IF(A348&lt;10,0&amp;A348,A348)&amp;","&amp;IF(B348&lt;10,0&amp;B348,B348)&amp;","&amp;IF(C348&lt;10,0&amp;C348,C348)&amp;","&amp;IF(D348&lt;10,0&amp;D348,D348)&amp;","&amp;IF(E348&lt;10,0&amp;E348,E348)</f>
        <v>03,04,05,08,11</v>
      </c>
      <c r="G349" s="28">
        <v>31735.100000000006</v>
      </c>
      <c r="J349" s="28" t="s">
        <v>672</v>
      </c>
      <c r="K349" s="28">
        <v>31735.100000000006</v>
      </c>
    </row>
    <row r="350" spans="1:11" x14ac:dyDescent="0.15">
      <c r="A350" s="28">
        <v>3</v>
      </c>
      <c r="B350" s="28">
        <v>4</v>
      </c>
      <c r="C350" s="28">
        <v>5</v>
      </c>
      <c r="D350" s="28">
        <v>9</v>
      </c>
      <c r="E350" s="28">
        <v>11</v>
      </c>
      <c r="F350" s="28" t="str">
        <f>IF(A349&lt;10,0&amp;A349,A349)&amp;","&amp;IF(B349&lt;10,0&amp;B349,B349)&amp;","&amp;IF(C349&lt;10,0&amp;C349,C349)&amp;","&amp;IF(D349&lt;10,0&amp;D349,D349)&amp;","&amp;IF(E349&lt;10,0&amp;E349,E349)</f>
        <v>03,04,05,09,10</v>
      </c>
      <c r="G350" s="28">
        <v>31735.100000000006</v>
      </c>
      <c r="J350" s="28" t="s">
        <v>673</v>
      </c>
      <c r="K350" s="28">
        <v>31735.100000000006</v>
      </c>
    </row>
    <row r="351" spans="1:11" x14ac:dyDescent="0.15">
      <c r="A351" s="28">
        <v>3</v>
      </c>
      <c r="B351" s="28">
        <v>4</v>
      </c>
      <c r="C351" s="28">
        <v>5</v>
      </c>
      <c r="D351" s="28">
        <v>10</v>
      </c>
      <c r="E351" s="28">
        <v>11</v>
      </c>
      <c r="F351" s="28" t="str">
        <f>IF(A350&lt;10,0&amp;A350,A350)&amp;","&amp;IF(B350&lt;10,0&amp;B350,B350)&amp;","&amp;IF(C350&lt;10,0&amp;C350,C350)&amp;","&amp;IF(D350&lt;10,0&amp;D350,D350)&amp;","&amp;IF(E350&lt;10,0&amp;E350,E350)</f>
        <v>03,04,05,09,11</v>
      </c>
      <c r="G351" s="28">
        <v>31772.350000000006</v>
      </c>
      <c r="J351" s="28" t="s">
        <v>674</v>
      </c>
      <c r="K351" s="28">
        <v>31772.350000000006</v>
      </c>
    </row>
    <row r="352" spans="1:11" x14ac:dyDescent="0.15">
      <c r="A352" s="28">
        <v>3</v>
      </c>
      <c r="B352" s="28">
        <v>4</v>
      </c>
      <c r="C352" s="28">
        <v>6</v>
      </c>
      <c r="D352" s="28">
        <v>7</v>
      </c>
      <c r="E352" s="28">
        <v>8</v>
      </c>
      <c r="F352" s="28" t="str">
        <f>IF(A351&lt;10,0&amp;A351,A351)&amp;","&amp;IF(B351&lt;10,0&amp;B351,B351)&amp;","&amp;IF(C351&lt;10,0&amp;C351,C351)&amp;","&amp;IF(D351&lt;10,0&amp;D351,D351)&amp;","&amp;IF(E351&lt;10,0&amp;E351,E351)</f>
        <v>03,04,05,10,11</v>
      </c>
      <c r="G352" s="28">
        <v>31735.100000000006</v>
      </c>
      <c r="J352" s="28" t="s">
        <v>675</v>
      </c>
      <c r="K352" s="28">
        <v>31735.100000000006</v>
      </c>
    </row>
    <row r="353" spans="1:11" x14ac:dyDescent="0.15">
      <c r="A353" s="28">
        <v>3</v>
      </c>
      <c r="B353" s="28">
        <v>4</v>
      </c>
      <c r="C353" s="28">
        <v>6</v>
      </c>
      <c r="D353" s="28">
        <v>7</v>
      </c>
      <c r="E353" s="28">
        <v>9</v>
      </c>
      <c r="F353" s="28" t="str">
        <f>IF(A352&lt;10,0&amp;A352,A352)&amp;","&amp;IF(B352&lt;10,0&amp;B352,B352)&amp;","&amp;IF(C352&lt;10,0&amp;C352,C352)&amp;","&amp;IF(D352&lt;10,0&amp;D352,D352)&amp;","&amp;IF(E352&lt;10,0&amp;E352,E352)</f>
        <v>03,04,06,07,08</v>
      </c>
      <c r="G353" s="28">
        <v>30784.410000000007</v>
      </c>
      <c r="J353" s="28" t="s">
        <v>676</v>
      </c>
      <c r="K353" s="28">
        <v>30784.410000000007</v>
      </c>
    </row>
    <row r="354" spans="1:11" x14ac:dyDescent="0.15">
      <c r="A354" s="28">
        <v>3</v>
      </c>
      <c r="B354" s="28">
        <v>4</v>
      </c>
      <c r="C354" s="28">
        <v>6</v>
      </c>
      <c r="D354" s="28">
        <v>7</v>
      </c>
      <c r="E354" s="28">
        <v>10</v>
      </c>
      <c r="F354" s="28" t="str">
        <f>IF(A353&lt;10,0&amp;A353,A353)&amp;","&amp;IF(B353&lt;10,0&amp;B353,B353)&amp;","&amp;IF(C353&lt;10,0&amp;C353,C353)&amp;","&amp;IF(D353&lt;10,0&amp;D353,D353)&amp;","&amp;IF(E353&lt;10,0&amp;E353,E353)</f>
        <v>03,04,06,07,09</v>
      </c>
      <c r="G354" s="28">
        <v>30775.81</v>
      </c>
      <c r="J354" s="28" t="s">
        <v>677</v>
      </c>
      <c r="K354" s="28">
        <v>30775.81</v>
      </c>
    </row>
    <row r="355" spans="1:11" x14ac:dyDescent="0.15">
      <c r="A355" s="28">
        <v>3</v>
      </c>
      <c r="B355" s="28">
        <v>4</v>
      </c>
      <c r="C355" s="28">
        <v>6</v>
      </c>
      <c r="D355" s="28">
        <v>7</v>
      </c>
      <c r="E355" s="28">
        <v>11</v>
      </c>
      <c r="F355" s="28" t="str">
        <f>IF(A354&lt;10,0&amp;A354,A354)&amp;","&amp;IF(B354&lt;10,0&amp;B354,B354)&amp;","&amp;IF(C354&lt;10,0&amp;C354,C354)&amp;","&amp;IF(D354&lt;10,0&amp;D354,D354)&amp;","&amp;IF(E354&lt;10,0&amp;E354,E354)</f>
        <v>03,04,06,07,10</v>
      </c>
      <c r="G355" s="28">
        <v>30783.410000000007</v>
      </c>
      <c r="J355" s="28" t="s">
        <v>678</v>
      </c>
      <c r="K355" s="28">
        <v>30783.410000000007</v>
      </c>
    </row>
    <row r="356" spans="1:11" x14ac:dyDescent="0.15">
      <c r="A356" s="28">
        <v>3</v>
      </c>
      <c r="B356" s="28">
        <v>4</v>
      </c>
      <c r="C356" s="28">
        <v>6</v>
      </c>
      <c r="D356" s="28">
        <v>8</v>
      </c>
      <c r="E356" s="28">
        <v>9</v>
      </c>
      <c r="F356" s="28" t="str">
        <f>IF(A355&lt;10,0&amp;A355,A355)&amp;","&amp;IF(B355&lt;10,0&amp;B355,B355)&amp;","&amp;IF(C355&lt;10,0&amp;C355,C355)&amp;","&amp;IF(D355&lt;10,0&amp;D355,D355)&amp;","&amp;IF(E355&lt;10,0&amp;E355,E355)</f>
        <v>03,04,06,07,11</v>
      </c>
      <c r="G356" s="28">
        <v>30775.81</v>
      </c>
      <c r="J356" s="28" t="s">
        <v>679</v>
      </c>
      <c r="K356" s="28">
        <v>30775.81</v>
      </c>
    </row>
    <row r="357" spans="1:11" x14ac:dyDescent="0.15">
      <c r="A357" s="28">
        <v>3</v>
      </c>
      <c r="B357" s="28">
        <v>4</v>
      </c>
      <c r="C357" s="28">
        <v>6</v>
      </c>
      <c r="D357" s="28">
        <v>8</v>
      </c>
      <c r="E357" s="28">
        <v>10</v>
      </c>
      <c r="F357" s="28" t="str">
        <f>IF(A356&lt;10,0&amp;A356,A356)&amp;","&amp;IF(B356&lt;10,0&amp;B356,B356)&amp;","&amp;IF(C356&lt;10,0&amp;C356,C356)&amp;","&amp;IF(D356&lt;10,0&amp;D356,D356)&amp;","&amp;IF(E356&lt;10,0&amp;E356,E356)</f>
        <v>03,04,06,08,09</v>
      </c>
      <c r="G357" s="28">
        <v>29830.010000000006</v>
      </c>
      <c r="J357" s="28" t="s">
        <v>680</v>
      </c>
      <c r="K357" s="28">
        <v>29830.010000000006</v>
      </c>
    </row>
    <row r="358" spans="1:11" x14ac:dyDescent="0.15">
      <c r="A358" s="28">
        <v>3</v>
      </c>
      <c r="B358" s="28">
        <v>4</v>
      </c>
      <c r="C358" s="28">
        <v>6</v>
      </c>
      <c r="D358" s="28">
        <v>8</v>
      </c>
      <c r="E358" s="28">
        <v>11</v>
      </c>
      <c r="F358" s="28" t="str">
        <f>IF(A357&lt;10,0&amp;A357,A357)&amp;","&amp;IF(B357&lt;10,0&amp;B357,B357)&amp;","&amp;IF(C357&lt;10,0&amp;C357,C357)&amp;","&amp;IF(D357&lt;10,0&amp;D357,D357)&amp;","&amp;IF(E357&lt;10,0&amp;E357,E357)</f>
        <v>03,04,06,08,10</v>
      </c>
      <c r="G358" s="28">
        <v>29948.710000000003</v>
      </c>
      <c r="J358" s="28" t="s">
        <v>681</v>
      </c>
      <c r="K358" s="28">
        <v>29948.710000000003</v>
      </c>
    </row>
    <row r="359" spans="1:11" x14ac:dyDescent="0.15">
      <c r="A359" s="28">
        <v>3</v>
      </c>
      <c r="B359" s="28">
        <v>4</v>
      </c>
      <c r="C359" s="28">
        <v>6</v>
      </c>
      <c r="D359" s="28">
        <v>9</v>
      </c>
      <c r="E359" s="28">
        <v>10</v>
      </c>
      <c r="F359" s="28" t="str">
        <f>IF(A358&lt;10,0&amp;A358,A358)&amp;","&amp;IF(B358&lt;10,0&amp;B358,B358)&amp;","&amp;IF(C358&lt;10,0&amp;C358,C358)&amp;","&amp;IF(D358&lt;10,0&amp;D358,D358)&amp;","&amp;IF(E358&lt;10,0&amp;E358,E358)</f>
        <v>03,04,06,08,11</v>
      </c>
      <c r="G359" s="28">
        <v>29830.010000000006</v>
      </c>
      <c r="J359" s="28" t="s">
        <v>682</v>
      </c>
      <c r="K359" s="28">
        <v>29830.010000000006</v>
      </c>
    </row>
    <row r="360" spans="1:11" x14ac:dyDescent="0.15">
      <c r="A360" s="28">
        <v>3</v>
      </c>
      <c r="B360" s="28">
        <v>4</v>
      </c>
      <c r="C360" s="28">
        <v>6</v>
      </c>
      <c r="D360" s="28">
        <v>9</v>
      </c>
      <c r="E360" s="28">
        <v>11</v>
      </c>
      <c r="F360" s="28" t="str">
        <f>IF(A359&lt;10,0&amp;A359,A359)&amp;","&amp;IF(B359&lt;10,0&amp;B359,B359)&amp;","&amp;IF(C359&lt;10,0&amp;C359,C359)&amp;","&amp;IF(D359&lt;10,0&amp;D359,D359)&amp;","&amp;IF(E359&lt;10,0&amp;E359,E359)</f>
        <v>03,04,06,09,10</v>
      </c>
      <c r="G360" s="28">
        <v>29830.010000000006</v>
      </c>
      <c r="J360" s="28" t="s">
        <v>683</v>
      </c>
      <c r="K360" s="28">
        <v>29830.010000000006</v>
      </c>
    </row>
    <row r="361" spans="1:11" x14ac:dyDescent="0.15">
      <c r="A361" s="28">
        <v>3</v>
      </c>
      <c r="B361" s="28">
        <v>4</v>
      </c>
      <c r="C361" s="28">
        <v>6</v>
      </c>
      <c r="D361" s="28">
        <v>10</v>
      </c>
      <c r="E361" s="28">
        <v>11</v>
      </c>
      <c r="F361" s="28" t="str">
        <f>IF(A360&lt;10,0&amp;A360,A360)&amp;","&amp;IF(B360&lt;10,0&amp;B360,B360)&amp;","&amp;IF(C360&lt;10,0&amp;C360,C360)&amp;","&amp;IF(D360&lt;10,0&amp;D360,D360)&amp;","&amp;IF(E360&lt;10,0&amp;E360,E360)</f>
        <v>03,04,06,09,11</v>
      </c>
      <c r="G361" s="28">
        <v>29822.41</v>
      </c>
      <c r="J361" s="28" t="s">
        <v>684</v>
      </c>
      <c r="K361" s="28">
        <v>29822.41</v>
      </c>
    </row>
    <row r="362" spans="1:11" x14ac:dyDescent="0.15">
      <c r="A362" s="28">
        <v>3</v>
      </c>
      <c r="B362" s="28">
        <v>4</v>
      </c>
      <c r="C362" s="28">
        <v>7</v>
      </c>
      <c r="D362" s="28">
        <v>8</v>
      </c>
      <c r="E362" s="28">
        <v>9</v>
      </c>
      <c r="F362" s="28" t="str">
        <f>IF(A361&lt;10,0&amp;A361,A361)&amp;","&amp;IF(B361&lt;10,0&amp;B361,B361)&amp;","&amp;IF(C361&lt;10,0&amp;C361,C361)&amp;","&amp;IF(D361&lt;10,0&amp;D361,D361)&amp;","&amp;IF(E361&lt;10,0&amp;E361,E361)</f>
        <v>03,04,06,10,11</v>
      </c>
      <c r="G362" s="28">
        <v>29830.010000000006</v>
      </c>
      <c r="J362" s="28" t="s">
        <v>685</v>
      </c>
      <c r="K362" s="28">
        <v>29830.010000000006</v>
      </c>
    </row>
    <row r="363" spans="1:11" x14ac:dyDescent="0.15">
      <c r="A363" s="28">
        <v>3</v>
      </c>
      <c r="B363" s="28">
        <v>4</v>
      </c>
      <c r="C363" s="28">
        <v>7</v>
      </c>
      <c r="D363" s="28">
        <v>8</v>
      </c>
      <c r="E363" s="28">
        <v>10</v>
      </c>
      <c r="F363" s="28" t="str">
        <f>IF(A362&lt;10,0&amp;A362,A362)&amp;","&amp;IF(B362&lt;10,0&amp;B362,B362)&amp;","&amp;IF(C362&lt;10,0&amp;C362,C362)&amp;","&amp;IF(D362&lt;10,0&amp;D362,D362)&amp;","&amp;IF(E362&lt;10,0&amp;E362,E362)</f>
        <v>03,04,07,08,09</v>
      </c>
      <c r="G363" s="28">
        <v>28230.200000000008</v>
      </c>
      <c r="J363" s="28" t="s">
        <v>686</v>
      </c>
      <c r="K363" s="28">
        <v>28230.200000000008</v>
      </c>
    </row>
    <row r="364" spans="1:11" x14ac:dyDescent="0.15">
      <c r="A364" s="28">
        <v>3</v>
      </c>
      <c r="B364" s="28">
        <v>4</v>
      </c>
      <c r="C364" s="28">
        <v>7</v>
      </c>
      <c r="D364" s="28">
        <v>8</v>
      </c>
      <c r="E364" s="28">
        <v>11</v>
      </c>
      <c r="F364" s="28" t="str">
        <f>IF(A363&lt;10,0&amp;A363,A363)&amp;","&amp;IF(B363&lt;10,0&amp;B363,B363)&amp;","&amp;IF(C363&lt;10,0&amp;C363,C363)&amp;","&amp;IF(D363&lt;10,0&amp;D363,D363)&amp;","&amp;IF(E363&lt;10,0&amp;E363,E363)</f>
        <v>03,04,07,08,10</v>
      </c>
      <c r="G364" s="28">
        <v>28237.800000000007</v>
      </c>
      <c r="J364" s="28" t="s">
        <v>687</v>
      </c>
      <c r="K364" s="28">
        <v>28237.800000000007</v>
      </c>
    </row>
    <row r="365" spans="1:11" x14ac:dyDescent="0.15">
      <c r="A365" s="28">
        <v>3</v>
      </c>
      <c r="B365" s="28">
        <v>4</v>
      </c>
      <c r="C365" s="28">
        <v>7</v>
      </c>
      <c r="D365" s="28">
        <v>9</v>
      </c>
      <c r="E365" s="28">
        <v>10</v>
      </c>
      <c r="F365" s="28" t="str">
        <f>IF(A364&lt;10,0&amp;A364,A364)&amp;","&amp;IF(B364&lt;10,0&amp;B364,B364)&amp;","&amp;IF(C364&lt;10,0&amp;C364,C364)&amp;","&amp;IF(D364&lt;10,0&amp;D364,D364)&amp;","&amp;IF(E364&lt;10,0&amp;E364,E364)</f>
        <v>03,04,07,08,11</v>
      </c>
      <c r="G365" s="28">
        <v>28230.200000000008</v>
      </c>
      <c r="J365" s="28" t="s">
        <v>688</v>
      </c>
      <c r="K365" s="28">
        <v>28230.200000000008</v>
      </c>
    </row>
    <row r="366" spans="1:11" x14ac:dyDescent="0.15">
      <c r="A366" s="28">
        <v>3</v>
      </c>
      <c r="B366" s="28">
        <v>4</v>
      </c>
      <c r="C366" s="28">
        <v>7</v>
      </c>
      <c r="D366" s="28">
        <v>9</v>
      </c>
      <c r="E366" s="28">
        <v>11</v>
      </c>
      <c r="F366" s="28" t="str">
        <f>IF(A365&lt;10,0&amp;A365,A365)&amp;","&amp;IF(B365&lt;10,0&amp;B365,B365)&amp;","&amp;IF(C365&lt;10,0&amp;C365,C365)&amp;","&amp;IF(D365&lt;10,0&amp;D365,D365)&amp;","&amp;IF(E365&lt;10,0&amp;E365,E365)</f>
        <v>03,04,07,09,10</v>
      </c>
      <c r="G366" s="28">
        <v>28230.200000000008</v>
      </c>
      <c r="J366" s="28" t="s">
        <v>689</v>
      </c>
      <c r="K366" s="28">
        <v>28230.200000000008</v>
      </c>
    </row>
    <row r="367" spans="1:11" x14ac:dyDescent="0.15">
      <c r="A367" s="28">
        <v>3</v>
      </c>
      <c r="B367" s="28">
        <v>4</v>
      </c>
      <c r="C367" s="28">
        <v>7</v>
      </c>
      <c r="D367" s="28">
        <v>10</v>
      </c>
      <c r="E367" s="28">
        <v>11</v>
      </c>
      <c r="F367" s="28" t="str">
        <f>IF(A366&lt;10,0&amp;A366,A366)&amp;","&amp;IF(B366&lt;10,0&amp;B366,B366)&amp;","&amp;IF(C366&lt;10,0&amp;C366,C366)&amp;","&amp;IF(D366&lt;10,0&amp;D366,D366)&amp;","&amp;IF(E366&lt;10,0&amp;E366,E366)</f>
        <v>03,04,07,09,11</v>
      </c>
      <c r="G367" s="28">
        <v>28267.450000000008</v>
      </c>
      <c r="J367" s="28" t="s">
        <v>690</v>
      </c>
      <c r="K367" s="28">
        <v>28267.450000000008</v>
      </c>
    </row>
    <row r="368" spans="1:11" x14ac:dyDescent="0.15">
      <c r="A368" s="28">
        <v>3</v>
      </c>
      <c r="B368" s="28">
        <v>4</v>
      </c>
      <c r="C368" s="28">
        <v>8</v>
      </c>
      <c r="D368" s="28">
        <v>9</v>
      </c>
      <c r="E368" s="28">
        <v>10</v>
      </c>
      <c r="F368" s="28" t="str">
        <f>IF(A367&lt;10,0&amp;A367,A367)&amp;","&amp;IF(B367&lt;10,0&amp;B367,B367)&amp;","&amp;IF(C367&lt;10,0&amp;C367,C367)&amp;","&amp;IF(D367&lt;10,0&amp;D367,D367)&amp;","&amp;IF(E367&lt;10,0&amp;E367,E367)</f>
        <v>03,04,07,10,11</v>
      </c>
      <c r="G368" s="28">
        <v>28230.200000000008</v>
      </c>
      <c r="J368" s="28" t="s">
        <v>691</v>
      </c>
      <c r="K368" s="28">
        <v>28230.200000000008</v>
      </c>
    </row>
    <row r="369" spans="1:11" x14ac:dyDescent="0.15">
      <c r="A369" s="28">
        <v>3</v>
      </c>
      <c r="B369" s="28">
        <v>4</v>
      </c>
      <c r="C369" s="28">
        <v>8</v>
      </c>
      <c r="D369" s="28">
        <v>9</v>
      </c>
      <c r="E369" s="28">
        <v>11</v>
      </c>
      <c r="F369" s="28" t="str">
        <f>IF(A368&lt;10,0&amp;A368,A368)&amp;","&amp;IF(B368&lt;10,0&amp;B368,B368)&amp;","&amp;IF(C368&lt;10,0&amp;C368,C368)&amp;","&amp;IF(D368&lt;10,0&amp;D368,D368)&amp;","&amp;IF(E368&lt;10,0&amp;E368,E368)</f>
        <v>03,04,08,09,10</v>
      </c>
      <c r="G369" s="28">
        <v>27292.840000000007</v>
      </c>
      <c r="J369" s="28" t="s">
        <v>692</v>
      </c>
      <c r="K369" s="28">
        <v>27292.840000000007</v>
      </c>
    </row>
    <row r="370" spans="1:11" x14ac:dyDescent="0.15">
      <c r="A370" s="28">
        <v>3</v>
      </c>
      <c r="B370" s="28">
        <v>4</v>
      </c>
      <c r="C370" s="28">
        <v>8</v>
      </c>
      <c r="D370" s="28">
        <v>10</v>
      </c>
      <c r="E370" s="28">
        <v>11</v>
      </c>
      <c r="F370" s="28" t="str">
        <f>IF(A369&lt;10,0&amp;A369,A369)&amp;","&amp;IF(B369&lt;10,0&amp;B369,B369)&amp;","&amp;IF(C369&lt;10,0&amp;C369,C369)&amp;","&amp;IF(D369&lt;10,0&amp;D369,D369)&amp;","&amp;IF(E369&lt;10,0&amp;E369,E369)</f>
        <v>03,04,08,09,11</v>
      </c>
      <c r="G370" s="28">
        <v>27285.24</v>
      </c>
      <c r="J370" s="28" t="s">
        <v>693</v>
      </c>
      <c r="K370" s="28">
        <v>27285.24</v>
      </c>
    </row>
    <row r="371" spans="1:11" x14ac:dyDescent="0.15">
      <c r="A371" s="28">
        <v>3</v>
      </c>
      <c r="B371" s="28">
        <v>4</v>
      </c>
      <c r="C371" s="28">
        <v>9</v>
      </c>
      <c r="D371" s="28">
        <v>10</v>
      </c>
      <c r="E371" s="28">
        <v>11</v>
      </c>
      <c r="F371" s="28" t="str">
        <f>IF(A370&lt;10,0&amp;A370,A370)&amp;","&amp;IF(B370&lt;10,0&amp;B370,B370)&amp;","&amp;IF(C370&lt;10,0&amp;C370,C370)&amp;","&amp;IF(D370&lt;10,0&amp;D370,D370)&amp;","&amp;IF(E370&lt;10,0&amp;E370,E370)</f>
        <v>03,04,08,10,11</v>
      </c>
      <c r="G371" s="28">
        <v>27292.840000000007</v>
      </c>
      <c r="J371" s="28" t="s">
        <v>694</v>
      </c>
      <c r="K371" s="28">
        <v>27292.840000000007</v>
      </c>
    </row>
    <row r="372" spans="1:11" x14ac:dyDescent="0.15">
      <c r="A372" s="28">
        <v>3</v>
      </c>
      <c r="B372" s="28">
        <v>5</v>
      </c>
      <c r="C372" s="28">
        <v>6</v>
      </c>
      <c r="D372" s="28">
        <v>7</v>
      </c>
      <c r="E372" s="28">
        <v>8</v>
      </c>
      <c r="F372" s="28" t="str">
        <f>IF(A371&lt;10,0&amp;A371,A371)&amp;","&amp;IF(B371&lt;10,0&amp;B371,B371)&amp;","&amp;IF(C371&lt;10,0&amp;C371,C371)&amp;","&amp;IF(D371&lt;10,0&amp;D371,D371)&amp;","&amp;IF(E371&lt;10,0&amp;E371,E371)</f>
        <v>03,04,09,10,11</v>
      </c>
      <c r="G372" s="28">
        <v>27320.710000000003</v>
      </c>
      <c r="J372" s="28" t="s">
        <v>695</v>
      </c>
      <c r="K372" s="28">
        <v>27320.710000000003</v>
      </c>
    </row>
    <row r="373" spans="1:11" x14ac:dyDescent="0.15">
      <c r="A373" s="28">
        <v>3</v>
      </c>
      <c r="B373" s="28">
        <v>5</v>
      </c>
      <c r="C373" s="28">
        <v>6</v>
      </c>
      <c r="D373" s="28">
        <v>7</v>
      </c>
      <c r="E373" s="28">
        <v>9</v>
      </c>
      <c r="F373" s="28" t="str">
        <f>IF(A372&lt;10,0&amp;A372,A372)&amp;","&amp;IF(B372&lt;10,0&amp;B372,B372)&amp;","&amp;IF(C372&lt;10,0&amp;C372,C372)&amp;","&amp;IF(D372&lt;10,0&amp;D372,D372)&amp;","&amp;IF(E372&lt;10,0&amp;E372,E372)</f>
        <v>03,05,06,07,08</v>
      </c>
      <c r="G373" s="28">
        <v>30776.81</v>
      </c>
      <c r="J373" s="28" t="s">
        <v>696</v>
      </c>
      <c r="K373" s="28">
        <v>30776.81</v>
      </c>
    </row>
    <row r="374" spans="1:11" x14ac:dyDescent="0.15">
      <c r="A374" s="28">
        <v>3</v>
      </c>
      <c r="B374" s="28">
        <v>5</v>
      </c>
      <c r="C374" s="28">
        <v>6</v>
      </c>
      <c r="D374" s="28">
        <v>7</v>
      </c>
      <c r="E374" s="28">
        <v>10</v>
      </c>
      <c r="F374" s="28" t="str">
        <f>IF(A373&lt;10,0&amp;A373,A373)&amp;","&amp;IF(B373&lt;10,0&amp;B373,B373)&amp;","&amp;IF(C373&lt;10,0&amp;C373,C373)&amp;","&amp;IF(D373&lt;10,0&amp;D373,D373)&amp;","&amp;IF(E373&lt;10,0&amp;E373,E373)</f>
        <v>03,05,06,07,09</v>
      </c>
      <c r="G374" s="28">
        <v>30813.06</v>
      </c>
      <c r="J374" s="28" t="s">
        <v>697</v>
      </c>
      <c r="K374" s="28">
        <v>30813.06</v>
      </c>
    </row>
    <row r="375" spans="1:11" x14ac:dyDescent="0.15">
      <c r="A375" s="28">
        <v>3</v>
      </c>
      <c r="B375" s="28">
        <v>5</v>
      </c>
      <c r="C375" s="28">
        <v>6</v>
      </c>
      <c r="D375" s="28">
        <v>7</v>
      </c>
      <c r="E375" s="28">
        <v>11</v>
      </c>
      <c r="F375" s="28" t="str">
        <f>IF(A374&lt;10,0&amp;A374,A374)&amp;","&amp;IF(B374&lt;10,0&amp;B374,B374)&amp;","&amp;IF(C374&lt;10,0&amp;C374,C374)&amp;","&amp;IF(D374&lt;10,0&amp;D374,D374)&amp;","&amp;IF(E374&lt;10,0&amp;E374,E374)</f>
        <v>03,05,06,07,10</v>
      </c>
      <c r="G375" s="28">
        <v>30775.81</v>
      </c>
      <c r="J375" s="28" t="s">
        <v>698</v>
      </c>
      <c r="K375" s="28">
        <v>30775.81</v>
      </c>
    </row>
    <row r="376" spans="1:11" x14ac:dyDescent="0.15">
      <c r="A376" s="28">
        <v>3</v>
      </c>
      <c r="B376" s="28">
        <v>5</v>
      </c>
      <c r="C376" s="28">
        <v>6</v>
      </c>
      <c r="D376" s="28">
        <v>8</v>
      </c>
      <c r="E376" s="28">
        <v>9</v>
      </c>
      <c r="F376" s="28" t="str">
        <f>IF(A375&lt;10,0&amp;A375,A375)&amp;","&amp;IF(B375&lt;10,0&amp;B375,B375)&amp;","&amp;IF(C375&lt;10,0&amp;C375,C375)&amp;","&amp;IF(D375&lt;10,0&amp;D375,D375)&amp;","&amp;IF(E375&lt;10,0&amp;E375,E375)</f>
        <v>03,05,06,07,11</v>
      </c>
      <c r="G376" s="28">
        <v>30813.06</v>
      </c>
      <c r="J376" s="28" t="s">
        <v>699</v>
      </c>
      <c r="K376" s="28">
        <v>30813.06</v>
      </c>
    </row>
    <row r="377" spans="1:11" x14ac:dyDescent="0.15">
      <c r="A377" s="28">
        <v>3</v>
      </c>
      <c r="B377" s="28">
        <v>5</v>
      </c>
      <c r="C377" s="28">
        <v>6</v>
      </c>
      <c r="D377" s="28">
        <v>8</v>
      </c>
      <c r="E377" s="28">
        <v>10</v>
      </c>
      <c r="F377" s="28" t="str">
        <f>IF(A376&lt;10,0&amp;A376,A376)&amp;","&amp;IF(B376&lt;10,0&amp;B376,B376)&amp;","&amp;IF(C376&lt;10,0&amp;C376,C376)&amp;","&amp;IF(D376&lt;10,0&amp;D376,D376)&amp;","&amp;IF(E376&lt;10,0&amp;E376,E376)</f>
        <v>03,05,06,08,09</v>
      </c>
      <c r="G377" s="28">
        <v>29822.41</v>
      </c>
      <c r="J377" s="28" t="s">
        <v>700</v>
      </c>
      <c r="K377" s="28">
        <v>29822.41</v>
      </c>
    </row>
    <row r="378" spans="1:11" x14ac:dyDescent="0.15">
      <c r="A378" s="28">
        <v>3</v>
      </c>
      <c r="B378" s="28">
        <v>5</v>
      </c>
      <c r="C378" s="28">
        <v>6</v>
      </c>
      <c r="D378" s="28">
        <v>8</v>
      </c>
      <c r="E378" s="28">
        <v>11</v>
      </c>
      <c r="F378" s="28" t="str">
        <f>IF(A377&lt;10,0&amp;A377,A377)&amp;","&amp;IF(B377&lt;10,0&amp;B377,B377)&amp;","&amp;IF(C377&lt;10,0&amp;C377,C377)&amp;","&amp;IF(D377&lt;10,0&amp;D377,D377)&amp;","&amp;IF(E377&lt;10,0&amp;E377,E377)</f>
        <v>03,05,06,08,10</v>
      </c>
      <c r="G378" s="28">
        <v>29830.010000000006</v>
      </c>
      <c r="J378" s="28" t="s">
        <v>701</v>
      </c>
      <c r="K378" s="28">
        <v>29830.010000000006</v>
      </c>
    </row>
    <row r="379" spans="1:11" x14ac:dyDescent="0.15">
      <c r="A379" s="28">
        <v>3</v>
      </c>
      <c r="B379" s="28">
        <v>5</v>
      </c>
      <c r="C379" s="28">
        <v>6</v>
      </c>
      <c r="D379" s="28">
        <v>9</v>
      </c>
      <c r="E379" s="28">
        <v>10</v>
      </c>
      <c r="F379" s="28" t="str">
        <f>IF(A378&lt;10,0&amp;A378,A378)&amp;","&amp;IF(B378&lt;10,0&amp;B378,B378)&amp;","&amp;IF(C378&lt;10,0&amp;C378,C378)&amp;","&amp;IF(D378&lt;10,0&amp;D378,D378)&amp;","&amp;IF(E378&lt;10,0&amp;E378,E378)</f>
        <v>03,05,06,08,11</v>
      </c>
      <c r="G379" s="28">
        <v>29822.41</v>
      </c>
      <c r="J379" s="28" t="s">
        <v>702</v>
      </c>
      <c r="K379" s="28">
        <v>29822.41</v>
      </c>
    </row>
    <row r="380" spans="1:11" x14ac:dyDescent="0.15">
      <c r="A380" s="28">
        <v>3</v>
      </c>
      <c r="B380" s="28">
        <v>5</v>
      </c>
      <c r="C380" s="28">
        <v>6</v>
      </c>
      <c r="D380" s="28">
        <v>9</v>
      </c>
      <c r="E380" s="28">
        <v>11</v>
      </c>
      <c r="F380" s="28" t="str">
        <f>IF(A379&lt;10,0&amp;A379,A379)&amp;","&amp;IF(B379&lt;10,0&amp;B379,B379)&amp;","&amp;IF(C379&lt;10,0&amp;C379,C379)&amp;","&amp;IF(D379&lt;10,0&amp;D379,D379)&amp;","&amp;IF(E379&lt;10,0&amp;E379,E379)</f>
        <v>03,05,06,09,10</v>
      </c>
      <c r="G380" s="28">
        <v>29822.41</v>
      </c>
      <c r="J380" s="28" t="s">
        <v>703</v>
      </c>
      <c r="K380" s="28">
        <v>29822.41</v>
      </c>
    </row>
    <row r="381" spans="1:11" x14ac:dyDescent="0.15">
      <c r="A381" s="28">
        <v>3</v>
      </c>
      <c r="B381" s="28">
        <v>5</v>
      </c>
      <c r="C381" s="28">
        <v>6</v>
      </c>
      <c r="D381" s="28">
        <v>10</v>
      </c>
      <c r="E381" s="28">
        <v>11</v>
      </c>
      <c r="F381" s="28" t="str">
        <f>IF(A380&lt;10,0&amp;A380,A380)&amp;","&amp;IF(B380&lt;10,0&amp;B380,B380)&amp;","&amp;IF(C380&lt;10,0&amp;C380,C380)&amp;","&amp;IF(D380&lt;10,0&amp;D380,D380)&amp;","&amp;IF(E380&lt;10,0&amp;E380,E380)</f>
        <v>03,05,06,09,11</v>
      </c>
      <c r="G381" s="28">
        <v>29859.66</v>
      </c>
      <c r="J381" s="28" t="s">
        <v>704</v>
      </c>
      <c r="K381" s="28">
        <v>29859.66</v>
      </c>
    </row>
    <row r="382" spans="1:11" x14ac:dyDescent="0.15">
      <c r="A382" s="28">
        <v>3</v>
      </c>
      <c r="B382" s="28">
        <v>5</v>
      </c>
      <c r="C382" s="28">
        <v>7</v>
      </c>
      <c r="D382" s="28">
        <v>8</v>
      </c>
      <c r="E382" s="28">
        <v>9</v>
      </c>
      <c r="F382" s="28" t="str">
        <f>IF(A381&lt;10,0&amp;A381,A381)&amp;","&amp;IF(B381&lt;10,0&amp;B381,B381)&amp;","&amp;IF(C381&lt;10,0&amp;C381,C381)&amp;","&amp;IF(D381&lt;10,0&amp;D381,D381)&amp;","&amp;IF(E381&lt;10,0&amp;E381,E381)</f>
        <v>03,05,06,10,11</v>
      </c>
      <c r="G382" s="28">
        <v>29822.41</v>
      </c>
      <c r="J382" s="28" t="s">
        <v>705</v>
      </c>
      <c r="K382" s="28">
        <v>29822.41</v>
      </c>
    </row>
    <row r="383" spans="1:11" x14ac:dyDescent="0.15">
      <c r="A383" s="28">
        <v>3</v>
      </c>
      <c r="B383" s="28">
        <v>5</v>
      </c>
      <c r="C383" s="28">
        <v>7</v>
      </c>
      <c r="D383" s="28">
        <v>8</v>
      </c>
      <c r="E383" s="28">
        <v>10</v>
      </c>
      <c r="F383" s="28" t="str">
        <f>IF(A382&lt;10,0&amp;A382,A382)&amp;","&amp;IF(B382&lt;10,0&amp;B382,B382)&amp;","&amp;IF(C382&lt;10,0&amp;C382,C382)&amp;","&amp;IF(D382&lt;10,0&amp;D382,D382)&amp;","&amp;IF(E382&lt;10,0&amp;E382,E382)</f>
        <v>03,05,07,08,09</v>
      </c>
      <c r="G383" s="28">
        <v>28161.300000000007</v>
      </c>
      <c r="J383" s="28" t="s">
        <v>706</v>
      </c>
      <c r="K383" s="28">
        <v>28161.300000000007</v>
      </c>
    </row>
    <row r="384" spans="1:11" x14ac:dyDescent="0.15">
      <c r="A384" s="28">
        <v>3</v>
      </c>
      <c r="B384" s="28">
        <v>5</v>
      </c>
      <c r="C384" s="28">
        <v>7</v>
      </c>
      <c r="D384" s="28">
        <v>8</v>
      </c>
      <c r="E384" s="28">
        <v>11</v>
      </c>
      <c r="F384" s="28" t="str">
        <f>IF(A383&lt;10,0&amp;A383,A383)&amp;","&amp;IF(B383&lt;10,0&amp;B383,B383)&amp;","&amp;IF(C383&lt;10,0&amp;C383,C383)&amp;","&amp;IF(D383&lt;10,0&amp;D383,D383)&amp;","&amp;IF(E383&lt;10,0&amp;E383,E383)</f>
        <v>03,05,07,08,10</v>
      </c>
      <c r="G384" s="28">
        <v>28124.050000000007</v>
      </c>
      <c r="J384" s="28" t="s">
        <v>707</v>
      </c>
      <c r="K384" s="28">
        <v>28124.050000000007</v>
      </c>
    </row>
    <row r="385" spans="1:11" x14ac:dyDescent="0.15">
      <c r="A385" s="28">
        <v>3</v>
      </c>
      <c r="B385" s="28">
        <v>5</v>
      </c>
      <c r="C385" s="28">
        <v>7</v>
      </c>
      <c r="D385" s="28">
        <v>9</v>
      </c>
      <c r="E385" s="28">
        <v>10</v>
      </c>
      <c r="F385" s="28" t="str">
        <f>IF(A384&lt;10,0&amp;A384,A384)&amp;","&amp;IF(B384&lt;10,0&amp;B384,B384)&amp;","&amp;IF(C384&lt;10,0&amp;C384,C384)&amp;","&amp;IF(D384&lt;10,0&amp;D384,D384)&amp;","&amp;IF(E384&lt;10,0&amp;E384,E384)</f>
        <v>03,05,07,08,11</v>
      </c>
      <c r="G385" s="28">
        <v>28161.300000000007</v>
      </c>
      <c r="J385" s="28" t="s">
        <v>708</v>
      </c>
      <c r="K385" s="28">
        <v>28161.300000000007</v>
      </c>
    </row>
    <row r="386" spans="1:11" x14ac:dyDescent="0.15">
      <c r="A386" s="28">
        <v>3</v>
      </c>
      <c r="B386" s="28">
        <v>5</v>
      </c>
      <c r="C386" s="28">
        <v>7</v>
      </c>
      <c r="D386" s="28">
        <v>9</v>
      </c>
      <c r="E386" s="28">
        <v>11</v>
      </c>
      <c r="F386" s="28" t="str">
        <f>IF(A385&lt;10,0&amp;A385,A385)&amp;","&amp;IF(B385&lt;10,0&amp;B385,B385)&amp;","&amp;IF(C385&lt;10,0&amp;C385,C385)&amp;","&amp;IF(D385&lt;10,0&amp;D385,D385)&amp;","&amp;IF(E385&lt;10,0&amp;E385,E385)</f>
        <v>03,05,07,09,10</v>
      </c>
      <c r="G386" s="28">
        <v>28161.300000000007</v>
      </c>
      <c r="J386" s="28" t="s">
        <v>709</v>
      </c>
      <c r="K386" s="28">
        <v>28161.300000000007</v>
      </c>
    </row>
    <row r="387" spans="1:11" x14ac:dyDescent="0.15">
      <c r="A387" s="28">
        <v>3</v>
      </c>
      <c r="B387" s="28">
        <v>5</v>
      </c>
      <c r="C387" s="28">
        <v>7</v>
      </c>
      <c r="D387" s="28">
        <v>10</v>
      </c>
      <c r="E387" s="28">
        <v>11</v>
      </c>
      <c r="F387" s="28" t="str">
        <f>IF(A386&lt;10,0&amp;A386,A386)&amp;","&amp;IF(B386&lt;10,0&amp;B386,B386)&amp;","&amp;IF(C386&lt;10,0&amp;C386,C386)&amp;","&amp;IF(D386&lt;10,0&amp;D386,D386)&amp;","&amp;IF(E386&lt;10,0&amp;E386,E386)</f>
        <v>03,05,07,09,11</v>
      </c>
      <c r="G387" s="28">
        <v>28845.050000000007</v>
      </c>
      <c r="J387" s="28" t="s">
        <v>710</v>
      </c>
      <c r="K387" s="28">
        <v>28845.050000000007</v>
      </c>
    </row>
    <row r="388" spans="1:11" x14ac:dyDescent="0.15">
      <c r="A388" s="28">
        <v>3</v>
      </c>
      <c r="B388" s="28">
        <v>5</v>
      </c>
      <c r="C388" s="28">
        <v>8</v>
      </c>
      <c r="D388" s="28">
        <v>9</v>
      </c>
      <c r="E388" s="28">
        <v>10</v>
      </c>
      <c r="F388" s="28" t="str">
        <f>IF(A387&lt;10,0&amp;A387,A387)&amp;","&amp;IF(B387&lt;10,0&amp;B387,B387)&amp;","&amp;IF(C387&lt;10,0&amp;C387,C387)&amp;","&amp;IF(D387&lt;10,0&amp;D387,D387)&amp;","&amp;IF(E387&lt;10,0&amp;E387,E387)</f>
        <v>03,05,07,10,11</v>
      </c>
      <c r="G388" s="28">
        <v>28161.300000000007</v>
      </c>
      <c r="J388" s="28" t="s">
        <v>711</v>
      </c>
      <c r="K388" s="28">
        <v>28161.300000000007</v>
      </c>
    </row>
    <row r="389" spans="1:11" x14ac:dyDescent="0.15">
      <c r="A389" s="28">
        <v>3</v>
      </c>
      <c r="B389" s="28">
        <v>5</v>
      </c>
      <c r="C389" s="28">
        <v>8</v>
      </c>
      <c r="D389" s="28">
        <v>9</v>
      </c>
      <c r="E389" s="28">
        <v>11</v>
      </c>
      <c r="F389" s="28" t="str">
        <f>IF(A388&lt;10,0&amp;A388,A388)&amp;","&amp;IF(B388&lt;10,0&amp;B388,B388)&amp;","&amp;IF(C388&lt;10,0&amp;C388,C388)&amp;","&amp;IF(D388&lt;10,0&amp;D388,D388)&amp;","&amp;IF(E388&lt;10,0&amp;E388,E388)</f>
        <v>03,05,08,09,10</v>
      </c>
      <c r="G389" s="28">
        <v>27179.09</v>
      </c>
      <c r="J389" s="28" t="s">
        <v>712</v>
      </c>
      <c r="K389" s="28">
        <v>27179.09</v>
      </c>
    </row>
    <row r="390" spans="1:11" x14ac:dyDescent="0.15">
      <c r="A390" s="28">
        <v>3</v>
      </c>
      <c r="B390" s="28">
        <v>5</v>
      </c>
      <c r="C390" s="28">
        <v>8</v>
      </c>
      <c r="D390" s="28">
        <v>10</v>
      </c>
      <c r="E390" s="28">
        <v>11</v>
      </c>
      <c r="F390" s="28" t="str">
        <f>IF(A389&lt;10,0&amp;A389,A389)&amp;","&amp;IF(B389&lt;10,0&amp;B389,B389)&amp;","&amp;IF(C389&lt;10,0&amp;C389,C389)&amp;","&amp;IF(D389&lt;10,0&amp;D389,D389)&amp;","&amp;IF(E389&lt;10,0&amp;E389,E389)</f>
        <v>03,05,08,09,11</v>
      </c>
      <c r="G390" s="28">
        <v>27216.34</v>
      </c>
      <c r="J390" s="28" t="s">
        <v>713</v>
      </c>
      <c r="K390" s="28">
        <v>27216.34</v>
      </c>
    </row>
    <row r="391" spans="1:11" x14ac:dyDescent="0.15">
      <c r="A391" s="28">
        <v>3</v>
      </c>
      <c r="B391" s="28">
        <v>5</v>
      </c>
      <c r="C391" s="28">
        <v>9</v>
      </c>
      <c r="D391" s="28">
        <v>10</v>
      </c>
      <c r="E391" s="28">
        <v>11</v>
      </c>
      <c r="F391" s="28" t="str">
        <f>IF(A390&lt;10,0&amp;A390,A390)&amp;","&amp;IF(B390&lt;10,0&amp;B390,B390)&amp;","&amp;IF(C390&lt;10,0&amp;C390,C390)&amp;","&amp;IF(D390&lt;10,0&amp;D390,D390)&amp;","&amp;IF(E390&lt;10,0&amp;E390,E390)</f>
        <v>03,05,08,10,11</v>
      </c>
      <c r="G391" s="28">
        <v>27179.09</v>
      </c>
      <c r="J391" s="28" t="s">
        <v>714</v>
      </c>
      <c r="K391" s="28">
        <v>27179.09</v>
      </c>
    </row>
    <row r="392" spans="1:11" x14ac:dyDescent="0.15">
      <c r="A392" s="28">
        <v>3</v>
      </c>
      <c r="B392" s="28">
        <v>6</v>
      </c>
      <c r="C392" s="28">
        <v>7</v>
      </c>
      <c r="D392" s="28">
        <v>8</v>
      </c>
      <c r="E392" s="28">
        <v>9</v>
      </c>
      <c r="F392" s="28" t="str">
        <f>IF(A391&lt;10,0&amp;A391,A391)&amp;","&amp;IF(B391&lt;10,0&amp;B391,B391)&amp;","&amp;IF(C391&lt;10,0&amp;C391,C391)&amp;","&amp;IF(D391&lt;10,0&amp;D391,D391)&amp;","&amp;IF(E391&lt;10,0&amp;E391,E391)</f>
        <v>03,05,09,10,11</v>
      </c>
      <c r="G392" s="28">
        <v>27888.710000000003</v>
      </c>
      <c r="J392" s="28" t="s">
        <v>715</v>
      </c>
      <c r="K392" s="28">
        <v>27888.710000000003</v>
      </c>
    </row>
    <row r="393" spans="1:11" x14ac:dyDescent="0.15">
      <c r="A393" s="28">
        <v>3</v>
      </c>
      <c r="B393" s="28">
        <v>6</v>
      </c>
      <c r="C393" s="28">
        <v>7</v>
      </c>
      <c r="D393" s="28">
        <v>8</v>
      </c>
      <c r="E393" s="28">
        <v>10</v>
      </c>
      <c r="F393" s="28" t="str">
        <f>IF(A392&lt;10,0&amp;A392,A392)&amp;","&amp;IF(B392&lt;10,0&amp;B392,B392)&amp;","&amp;IF(C392&lt;10,0&amp;C392,C392)&amp;","&amp;IF(D392&lt;10,0&amp;D392,D392)&amp;","&amp;IF(E392&lt;10,0&amp;E392,E392)</f>
        <v>03,06,07,08,09</v>
      </c>
      <c r="G393" s="28">
        <v>26213.350000000006</v>
      </c>
      <c r="J393" s="28" t="s">
        <v>716</v>
      </c>
      <c r="K393" s="28">
        <v>26213.350000000006</v>
      </c>
    </row>
    <row r="394" spans="1:11" x14ac:dyDescent="0.15">
      <c r="A394" s="28">
        <v>3</v>
      </c>
      <c r="B394" s="28">
        <v>6</v>
      </c>
      <c r="C394" s="28">
        <v>7</v>
      </c>
      <c r="D394" s="28">
        <v>8</v>
      </c>
      <c r="E394" s="28">
        <v>11</v>
      </c>
      <c r="F394" s="28" t="str">
        <f>IF(A393&lt;10,0&amp;A393,A393)&amp;","&amp;IF(B393&lt;10,0&amp;B393,B393)&amp;","&amp;IF(C393&lt;10,0&amp;C393,C393)&amp;","&amp;IF(D393&lt;10,0&amp;D393,D393)&amp;","&amp;IF(E393&lt;10,0&amp;E393,E393)</f>
        <v>03,06,07,08,10</v>
      </c>
      <c r="G394" s="28">
        <v>26220.95</v>
      </c>
      <c r="J394" s="28" t="s">
        <v>717</v>
      </c>
      <c r="K394" s="28">
        <v>26220.95</v>
      </c>
    </row>
    <row r="395" spans="1:11" x14ac:dyDescent="0.15">
      <c r="A395" s="28">
        <v>3</v>
      </c>
      <c r="B395" s="28">
        <v>6</v>
      </c>
      <c r="C395" s="28">
        <v>7</v>
      </c>
      <c r="D395" s="28">
        <v>9</v>
      </c>
      <c r="E395" s="28">
        <v>10</v>
      </c>
      <c r="F395" s="28" t="str">
        <f>IF(A394&lt;10,0&amp;A394,A394)&amp;","&amp;IF(B394&lt;10,0&amp;B394,B394)&amp;","&amp;IF(C394&lt;10,0&amp;C394,C394)&amp;","&amp;IF(D394&lt;10,0&amp;D394,D394)&amp;","&amp;IF(E394&lt;10,0&amp;E394,E394)</f>
        <v>03,06,07,08,11</v>
      </c>
      <c r="G395" s="28">
        <v>26213.350000000006</v>
      </c>
      <c r="J395" s="28" t="s">
        <v>718</v>
      </c>
      <c r="K395" s="28">
        <v>26213.350000000006</v>
      </c>
    </row>
    <row r="396" spans="1:11" x14ac:dyDescent="0.15">
      <c r="A396" s="28">
        <v>3</v>
      </c>
      <c r="B396" s="28">
        <v>6</v>
      </c>
      <c r="C396" s="28">
        <v>7</v>
      </c>
      <c r="D396" s="28">
        <v>9</v>
      </c>
      <c r="E396" s="28">
        <v>11</v>
      </c>
      <c r="F396" s="28" t="str">
        <f>IF(A395&lt;10,0&amp;A395,A395)&amp;","&amp;IF(B395&lt;10,0&amp;B395,B395)&amp;","&amp;IF(C395&lt;10,0&amp;C395,C395)&amp;","&amp;IF(D395&lt;10,0&amp;D395,D395)&amp;","&amp;IF(E395&lt;10,0&amp;E395,E395)</f>
        <v>03,06,07,09,10</v>
      </c>
      <c r="G396" s="28">
        <v>26213.350000000006</v>
      </c>
      <c r="J396" s="28" t="s">
        <v>719</v>
      </c>
      <c r="K396" s="28">
        <v>26213.350000000006</v>
      </c>
    </row>
    <row r="397" spans="1:11" x14ac:dyDescent="0.15">
      <c r="A397" s="28">
        <v>3</v>
      </c>
      <c r="B397" s="28">
        <v>6</v>
      </c>
      <c r="C397" s="28">
        <v>7</v>
      </c>
      <c r="D397" s="28">
        <v>10</v>
      </c>
      <c r="E397" s="28">
        <v>11</v>
      </c>
      <c r="F397" s="28" t="str">
        <f>IF(A396&lt;10,0&amp;A396,A396)&amp;","&amp;IF(B396&lt;10,0&amp;B396,B396)&amp;","&amp;IF(C396&lt;10,0&amp;C396,C396)&amp;","&amp;IF(D396&lt;10,0&amp;D396,D396)&amp;","&amp;IF(E396&lt;10,0&amp;E396,E396)</f>
        <v>03,06,07,09,11</v>
      </c>
      <c r="G397" s="28">
        <v>26250.600000000006</v>
      </c>
      <c r="J397" s="28" t="s">
        <v>720</v>
      </c>
      <c r="K397" s="28">
        <v>26250.600000000006</v>
      </c>
    </row>
    <row r="398" spans="1:11" x14ac:dyDescent="0.15">
      <c r="A398" s="28">
        <v>3</v>
      </c>
      <c r="B398" s="28">
        <v>6</v>
      </c>
      <c r="C398" s="28">
        <v>8</v>
      </c>
      <c r="D398" s="28">
        <v>9</v>
      </c>
      <c r="E398" s="28">
        <v>10</v>
      </c>
      <c r="F398" s="28" t="str">
        <f>IF(A397&lt;10,0&amp;A397,A397)&amp;","&amp;IF(B397&lt;10,0&amp;B397,B397)&amp;","&amp;IF(C397&lt;10,0&amp;C397,C397)&amp;","&amp;IF(D397&lt;10,0&amp;D397,D397)&amp;","&amp;IF(E397&lt;10,0&amp;E397,E397)</f>
        <v>03,06,07,10,11</v>
      </c>
      <c r="G398" s="28">
        <v>26213.350000000006</v>
      </c>
      <c r="J398" s="28" t="s">
        <v>721</v>
      </c>
      <c r="K398" s="28">
        <v>26213.350000000006</v>
      </c>
    </row>
    <row r="399" spans="1:11" x14ac:dyDescent="0.15">
      <c r="A399" s="28">
        <v>3</v>
      </c>
      <c r="B399" s="28">
        <v>6</v>
      </c>
      <c r="C399" s="28">
        <v>8</v>
      </c>
      <c r="D399" s="28">
        <v>9</v>
      </c>
      <c r="E399" s="28">
        <v>11</v>
      </c>
      <c r="F399" s="28" t="str">
        <f>IF(A398&lt;10,0&amp;A398,A398)&amp;","&amp;IF(B398&lt;10,0&amp;B398,B398)&amp;","&amp;IF(C398&lt;10,0&amp;C398,C398)&amp;","&amp;IF(D398&lt;10,0&amp;D398,D398)&amp;","&amp;IF(E398&lt;10,0&amp;E398,E398)</f>
        <v>03,06,08,09,10</v>
      </c>
      <c r="G399" s="28">
        <v>25275.990000000005</v>
      </c>
      <c r="J399" s="28" t="s">
        <v>722</v>
      </c>
      <c r="K399" s="28">
        <v>25275.990000000005</v>
      </c>
    </row>
    <row r="400" spans="1:11" x14ac:dyDescent="0.15">
      <c r="A400" s="28">
        <v>3</v>
      </c>
      <c r="B400" s="28">
        <v>6</v>
      </c>
      <c r="C400" s="28">
        <v>8</v>
      </c>
      <c r="D400" s="28">
        <v>10</v>
      </c>
      <c r="E400" s="28">
        <v>11</v>
      </c>
      <c r="F400" s="28" t="str">
        <f>IF(A399&lt;10,0&amp;A399,A399)&amp;","&amp;IF(B399&lt;10,0&amp;B399,B399)&amp;","&amp;IF(C399&lt;10,0&amp;C399,C399)&amp;","&amp;IF(D399&lt;10,0&amp;D399,D399)&amp;","&amp;IF(E399&lt;10,0&amp;E399,E399)</f>
        <v>03,06,08,09,11</v>
      </c>
      <c r="G400" s="28">
        <v>25268.39</v>
      </c>
      <c r="J400" s="28" t="s">
        <v>723</v>
      </c>
      <c r="K400" s="28">
        <v>25268.39</v>
      </c>
    </row>
    <row r="401" spans="1:11" x14ac:dyDescent="0.15">
      <c r="A401" s="28">
        <v>3</v>
      </c>
      <c r="B401" s="28">
        <v>6</v>
      </c>
      <c r="C401" s="28">
        <v>9</v>
      </c>
      <c r="D401" s="28">
        <v>10</v>
      </c>
      <c r="E401" s="28">
        <v>11</v>
      </c>
      <c r="F401" s="28" t="str">
        <f>IF(A400&lt;10,0&amp;A400,A400)&amp;","&amp;IF(B400&lt;10,0&amp;B400,B400)&amp;","&amp;IF(C400&lt;10,0&amp;C400,C400)&amp;","&amp;IF(D400&lt;10,0&amp;D400,D400)&amp;","&amp;IF(E400&lt;10,0&amp;E400,E400)</f>
        <v>03,06,08,10,11</v>
      </c>
      <c r="G401" s="28">
        <v>25275.990000000005</v>
      </c>
      <c r="J401" s="28" t="s">
        <v>724</v>
      </c>
      <c r="K401" s="28">
        <v>25275.990000000005</v>
      </c>
    </row>
    <row r="402" spans="1:11" x14ac:dyDescent="0.15">
      <c r="A402" s="28">
        <v>3</v>
      </c>
      <c r="B402" s="28">
        <v>7</v>
      </c>
      <c r="C402" s="28">
        <v>8</v>
      </c>
      <c r="D402" s="28">
        <v>9</v>
      </c>
      <c r="E402" s="28">
        <v>10</v>
      </c>
      <c r="F402" s="28" t="str">
        <f>IF(A401&lt;10,0&amp;A401,A401)&amp;","&amp;IF(B401&lt;10,0&amp;B401,B401)&amp;","&amp;IF(C401&lt;10,0&amp;C401,C401)&amp;","&amp;IF(D401&lt;10,0&amp;D401,D401)&amp;","&amp;IF(E401&lt;10,0&amp;E401,E401)</f>
        <v>03,06,09,10,11</v>
      </c>
      <c r="G402" s="28">
        <v>25303.86</v>
      </c>
      <c r="J402" s="28" t="s">
        <v>725</v>
      </c>
      <c r="K402" s="28">
        <v>25303.86</v>
      </c>
    </row>
    <row r="403" spans="1:11" x14ac:dyDescent="0.15">
      <c r="A403" s="28">
        <v>3</v>
      </c>
      <c r="B403" s="28">
        <v>7</v>
      </c>
      <c r="C403" s="28">
        <v>8</v>
      </c>
      <c r="D403" s="28">
        <v>9</v>
      </c>
      <c r="E403" s="28">
        <v>11</v>
      </c>
      <c r="F403" s="28" t="str">
        <f>IF(A402&lt;10,0&amp;A402,A402)&amp;","&amp;IF(B402&lt;10,0&amp;B402,B402)&amp;","&amp;IF(C402&lt;10,0&amp;C402,C402)&amp;","&amp;IF(D402&lt;10,0&amp;D402,D402)&amp;","&amp;IF(E402&lt;10,0&amp;E402,E402)</f>
        <v>03,07,08,09,10</v>
      </c>
      <c r="G403" s="28">
        <v>23674.190000000002</v>
      </c>
      <c r="J403" s="28" t="s">
        <v>726</v>
      </c>
      <c r="K403" s="28">
        <v>23674.190000000002</v>
      </c>
    </row>
    <row r="404" spans="1:11" x14ac:dyDescent="0.15">
      <c r="A404" s="28">
        <v>3</v>
      </c>
      <c r="B404" s="28">
        <v>7</v>
      </c>
      <c r="C404" s="28">
        <v>8</v>
      </c>
      <c r="D404" s="28">
        <v>10</v>
      </c>
      <c r="E404" s="28">
        <v>11</v>
      </c>
      <c r="F404" s="28" t="str">
        <f>IF(A403&lt;10,0&amp;A403,A403)&amp;","&amp;IF(B403&lt;10,0&amp;B403,B403)&amp;","&amp;IF(C403&lt;10,0&amp;C403,C403)&amp;","&amp;IF(D403&lt;10,0&amp;D403,D403)&amp;","&amp;IF(E403&lt;10,0&amp;E403,E403)</f>
        <v>03,07,08,09,11</v>
      </c>
      <c r="G404" s="28">
        <v>23711.440000000002</v>
      </c>
      <c r="J404" s="28" t="s">
        <v>727</v>
      </c>
      <c r="K404" s="28">
        <v>23711.440000000002</v>
      </c>
    </row>
    <row r="405" spans="1:11" x14ac:dyDescent="0.15">
      <c r="A405" s="28">
        <v>3</v>
      </c>
      <c r="B405" s="28">
        <v>7</v>
      </c>
      <c r="C405" s="28">
        <v>9</v>
      </c>
      <c r="D405" s="28">
        <v>10</v>
      </c>
      <c r="E405" s="28">
        <v>11</v>
      </c>
      <c r="F405" s="28" t="str">
        <f>IF(A404&lt;10,0&amp;A404,A404)&amp;","&amp;IF(B404&lt;10,0&amp;B404,B404)&amp;","&amp;IF(C404&lt;10,0&amp;C404,C404)&amp;","&amp;IF(D404&lt;10,0&amp;D404,D404)&amp;","&amp;IF(E404&lt;10,0&amp;E404,E404)</f>
        <v>03,07,08,10,11</v>
      </c>
      <c r="G405" s="28">
        <v>23674.190000000002</v>
      </c>
      <c r="J405" s="28" t="s">
        <v>728</v>
      </c>
      <c r="K405" s="28">
        <v>23674.190000000002</v>
      </c>
    </row>
    <row r="406" spans="1:11" x14ac:dyDescent="0.15">
      <c r="A406" s="28">
        <v>3</v>
      </c>
      <c r="B406" s="28">
        <v>8</v>
      </c>
      <c r="C406" s="28">
        <v>9</v>
      </c>
      <c r="D406" s="28">
        <v>10</v>
      </c>
      <c r="E406" s="28">
        <v>11</v>
      </c>
      <c r="F406" s="28" t="str">
        <f>IF(A405&lt;10,0&amp;A405,A405)&amp;","&amp;IF(B405&lt;10,0&amp;B405,B405)&amp;","&amp;IF(C405&lt;10,0&amp;C405,C405)&amp;","&amp;IF(D405&lt;10,0&amp;D405,D405)&amp;","&amp;IF(E405&lt;10,0&amp;E405,E405)</f>
        <v>03,07,09,10,11</v>
      </c>
      <c r="G406" s="28">
        <v>23746.910000000003</v>
      </c>
      <c r="J406" s="28" t="s">
        <v>729</v>
      </c>
      <c r="K406" s="28">
        <v>23746.910000000003</v>
      </c>
    </row>
    <row r="407" spans="1:11" x14ac:dyDescent="0.15">
      <c r="A407" s="28">
        <v>4</v>
      </c>
      <c r="B407" s="28">
        <v>5</v>
      </c>
      <c r="C407" s="28">
        <v>6</v>
      </c>
      <c r="D407" s="28">
        <v>7</v>
      </c>
      <c r="E407" s="28">
        <v>8</v>
      </c>
      <c r="F407" s="28" t="str">
        <f>IF(A406&lt;10,0&amp;A406,A406)&amp;","&amp;IF(B406&lt;10,0&amp;B406,B406)&amp;","&amp;IF(C406&lt;10,0&amp;C406,C406)&amp;","&amp;IF(D406&lt;10,0&amp;D406,D406)&amp;","&amp;IF(E406&lt;10,0&amp;E406,E406)</f>
        <v>03,08,09,10,11</v>
      </c>
      <c r="G407" s="28">
        <v>22756.260000000002</v>
      </c>
      <c r="J407" s="28" t="s">
        <v>730</v>
      </c>
      <c r="K407" s="28">
        <v>22756.260000000002</v>
      </c>
    </row>
    <row r="408" spans="1:11" x14ac:dyDescent="0.15">
      <c r="A408" s="28">
        <v>4</v>
      </c>
      <c r="B408" s="28">
        <v>5</v>
      </c>
      <c r="C408" s="28">
        <v>6</v>
      </c>
      <c r="D408" s="28">
        <v>7</v>
      </c>
      <c r="E408" s="28">
        <v>9</v>
      </c>
      <c r="F408" s="28" t="str">
        <f>IF(A407&lt;10,0&amp;A407,A407)&amp;","&amp;IF(B407&lt;10,0&amp;B407,B407)&amp;","&amp;IF(C407&lt;10,0&amp;C407,C407)&amp;","&amp;IF(D407&lt;10,0&amp;D407,D407)&amp;","&amp;IF(E407&lt;10,0&amp;E407,E407)</f>
        <v>04,05,06,07,08</v>
      </c>
      <c r="G408" s="28">
        <v>42965.025000000001</v>
      </c>
      <c r="J408" s="28" t="s">
        <v>731</v>
      </c>
      <c r="K408" s="28">
        <v>42965.025000000001</v>
      </c>
    </row>
    <row r="409" spans="1:11" x14ac:dyDescent="0.15">
      <c r="A409" s="28">
        <v>4</v>
      </c>
      <c r="B409" s="28">
        <v>5</v>
      </c>
      <c r="C409" s="28">
        <v>6</v>
      </c>
      <c r="D409" s="28">
        <v>7</v>
      </c>
      <c r="E409" s="28">
        <v>10</v>
      </c>
      <c r="F409" s="28" t="str">
        <f>IF(A408&lt;10,0&amp;A408,A408)&amp;","&amp;IF(B408&lt;10,0&amp;B408,B408)&amp;","&amp;IF(C408&lt;10,0&amp;C408,C408)&amp;","&amp;IF(D408&lt;10,0&amp;D408,D408)&amp;","&amp;IF(E408&lt;10,0&amp;E408,E408)</f>
        <v>04,05,06,07,09</v>
      </c>
      <c r="G409" s="28">
        <v>42956.425000000003</v>
      </c>
      <c r="J409" s="28" t="s">
        <v>732</v>
      </c>
      <c r="K409" s="28">
        <v>42956.425000000003</v>
      </c>
    </row>
    <row r="410" spans="1:11" x14ac:dyDescent="0.15">
      <c r="A410" s="28">
        <v>4</v>
      </c>
      <c r="B410" s="28">
        <v>5</v>
      </c>
      <c r="C410" s="28">
        <v>6</v>
      </c>
      <c r="D410" s="28">
        <v>7</v>
      </c>
      <c r="E410" s="28">
        <v>11</v>
      </c>
      <c r="F410" s="28" t="str">
        <f>IF(A409&lt;10,0&amp;A409,A409)&amp;","&amp;IF(B409&lt;10,0&amp;B409,B409)&amp;","&amp;IF(C409&lt;10,0&amp;C409,C409)&amp;","&amp;IF(D409&lt;10,0&amp;D409,D409)&amp;","&amp;IF(E409&lt;10,0&amp;E409,E409)</f>
        <v>04,05,06,07,10</v>
      </c>
      <c r="G410" s="28">
        <v>42964.025000000001</v>
      </c>
      <c r="J410" s="28" t="s">
        <v>733</v>
      </c>
      <c r="K410" s="28">
        <v>42964.025000000001</v>
      </c>
    </row>
    <row r="411" spans="1:11" x14ac:dyDescent="0.15">
      <c r="A411" s="28">
        <v>4</v>
      </c>
      <c r="B411" s="28">
        <v>5</v>
      </c>
      <c r="C411" s="28">
        <v>6</v>
      </c>
      <c r="D411" s="28">
        <v>8</v>
      </c>
      <c r="E411" s="28">
        <v>9</v>
      </c>
      <c r="F411" s="28" t="str">
        <f>IF(A410&lt;10,0&amp;A410,A410)&amp;","&amp;IF(B410&lt;10,0&amp;B410,B410)&amp;","&amp;IF(C410&lt;10,0&amp;C410,C410)&amp;","&amp;IF(D410&lt;10,0&amp;D410,D410)&amp;","&amp;IF(E410&lt;10,0&amp;E410,E410)</f>
        <v>04,05,06,07,11</v>
      </c>
      <c r="G411" s="28">
        <v>42956.425000000003</v>
      </c>
      <c r="J411" s="28" t="s">
        <v>734</v>
      </c>
      <c r="K411" s="28">
        <v>42956.425000000003</v>
      </c>
    </row>
    <row r="412" spans="1:11" x14ac:dyDescent="0.15">
      <c r="A412" s="28">
        <v>4</v>
      </c>
      <c r="B412" s="28">
        <v>5</v>
      </c>
      <c r="C412" s="28">
        <v>6</v>
      </c>
      <c r="D412" s="28">
        <v>8</v>
      </c>
      <c r="E412" s="28">
        <v>10</v>
      </c>
      <c r="F412" s="28" t="str">
        <f>IF(A411&lt;10,0&amp;A411,A411)&amp;","&amp;IF(B411&lt;10,0&amp;B411,B411)&amp;","&amp;IF(C411&lt;10,0&amp;C411,C411)&amp;","&amp;IF(D411&lt;10,0&amp;D411,D411)&amp;","&amp;IF(E411&lt;10,0&amp;E411,E411)</f>
        <v>04,05,06,08,09</v>
      </c>
      <c r="G412" s="28">
        <v>42010.625</v>
      </c>
      <c r="J412" s="28" t="s">
        <v>735</v>
      </c>
      <c r="K412" s="28">
        <v>42010.625</v>
      </c>
    </row>
    <row r="413" spans="1:11" x14ac:dyDescent="0.15">
      <c r="A413" s="28">
        <v>4</v>
      </c>
      <c r="B413" s="28">
        <v>5</v>
      </c>
      <c r="C413" s="28">
        <v>6</v>
      </c>
      <c r="D413" s="28">
        <v>8</v>
      </c>
      <c r="E413" s="28">
        <v>11</v>
      </c>
      <c r="F413" s="28" t="str">
        <f>IF(A412&lt;10,0&amp;A412,A412)&amp;","&amp;IF(B412&lt;10,0&amp;B412,B412)&amp;","&amp;IF(C412&lt;10,0&amp;C412,C412)&amp;","&amp;IF(D412&lt;10,0&amp;D412,D412)&amp;","&amp;IF(E412&lt;10,0&amp;E412,E412)</f>
        <v>04,05,06,08,10</v>
      </c>
      <c r="G413" s="28">
        <v>42129.325000000004</v>
      </c>
      <c r="J413" s="28" t="s">
        <v>736</v>
      </c>
      <c r="K413" s="28">
        <v>42129.325000000004</v>
      </c>
    </row>
    <row r="414" spans="1:11" x14ac:dyDescent="0.15">
      <c r="A414" s="28">
        <v>4</v>
      </c>
      <c r="B414" s="28">
        <v>5</v>
      </c>
      <c r="C414" s="28">
        <v>6</v>
      </c>
      <c r="D414" s="28">
        <v>9</v>
      </c>
      <c r="E414" s="28">
        <v>10</v>
      </c>
      <c r="F414" s="28" t="str">
        <f>IF(A413&lt;10,0&amp;A413,A413)&amp;","&amp;IF(B413&lt;10,0&amp;B413,B413)&amp;","&amp;IF(C413&lt;10,0&amp;C413,C413)&amp;","&amp;IF(D413&lt;10,0&amp;D413,D413)&amp;","&amp;IF(E413&lt;10,0&amp;E413,E413)</f>
        <v>04,05,06,08,11</v>
      </c>
      <c r="G414" s="28">
        <v>42010.625</v>
      </c>
      <c r="J414" s="28" t="s">
        <v>737</v>
      </c>
      <c r="K414" s="28">
        <v>42010.625</v>
      </c>
    </row>
    <row r="415" spans="1:11" x14ac:dyDescent="0.15">
      <c r="A415" s="28">
        <v>4</v>
      </c>
      <c r="B415" s="28">
        <v>5</v>
      </c>
      <c r="C415" s="28">
        <v>6</v>
      </c>
      <c r="D415" s="28">
        <v>9</v>
      </c>
      <c r="E415" s="28">
        <v>11</v>
      </c>
      <c r="F415" s="28" t="str">
        <f>IF(A414&lt;10,0&amp;A414,A414)&amp;","&amp;IF(B414&lt;10,0&amp;B414,B414)&amp;","&amp;IF(C414&lt;10,0&amp;C414,C414)&amp;","&amp;IF(D414&lt;10,0&amp;D414,D414)&amp;","&amp;IF(E414&lt;10,0&amp;E414,E414)</f>
        <v>04,05,06,09,10</v>
      </c>
      <c r="G415" s="28">
        <v>42010.625</v>
      </c>
      <c r="J415" s="28" t="s">
        <v>738</v>
      </c>
      <c r="K415" s="28">
        <v>42010.625</v>
      </c>
    </row>
    <row r="416" spans="1:11" x14ac:dyDescent="0.15">
      <c r="A416" s="28">
        <v>4</v>
      </c>
      <c r="B416" s="28">
        <v>5</v>
      </c>
      <c r="C416" s="28">
        <v>6</v>
      </c>
      <c r="D416" s="28">
        <v>10</v>
      </c>
      <c r="E416" s="28">
        <v>11</v>
      </c>
      <c r="F416" s="28" t="str">
        <f>IF(A415&lt;10,0&amp;A415,A415)&amp;","&amp;IF(B415&lt;10,0&amp;B415,B415)&amp;","&amp;IF(C415&lt;10,0&amp;C415,C415)&amp;","&amp;IF(D415&lt;10,0&amp;D415,D415)&amp;","&amp;IF(E415&lt;10,0&amp;E415,E415)</f>
        <v>04,05,06,09,11</v>
      </c>
      <c r="G416" s="28">
        <v>42003.025000000001</v>
      </c>
      <c r="J416" s="28" t="s">
        <v>739</v>
      </c>
      <c r="K416" s="28">
        <v>42003.025000000001</v>
      </c>
    </row>
    <row r="417" spans="1:11" x14ac:dyDescent="0.15">
      <c r="A417" s="28">
        <v>4</v>
      </c>
      <c r="B417" s="28">
        <v>5</v>
      </c>
      <c r="C417" s="28">
        <v>7</v>
      </c>
      <c r="D417" s="28">
        <v>8</v>
      </c>
      <c r="E417" s="28">
        <v>9</v>
      </c>
      <c r="F417" s="28" t="str">
        <f>IF(A416&lt;10,0&amp;A416,A416)&amp;","&amp;IF(B416&lt;10,0&amp;B416,B416)&amp;","&amp;IF(C416&lt;10,0&amp;C416,C416)&amp;","&amp;IF(D416&lt;10,0&amp;D416,D416)&amp;","&amp;IF(E416&lt;10,0&amp;E416,E416)</f>
        <v>04,05,06,10,11</v>
      </c>
      <c r="G417" s="28">
        <v>42010.625</v>
      </c>
      <c r="J417" s="28" t="s">
        <v>740</v>
      </c>
      <c r="K417" s="28">
        <v>42010.625</v>
      </c>
    </row>
    <row r="418" spans="1:11" x14ac:dyDescent="0.15">
      <c r="A418" s="28">
        <v>4</v>
      </c>
      <c r="B418" s="28">
        <v>5</v>
      </c>
      <c r="C418" s="28">
        <v>7</v>
      </c>
      <c r="D418" s="28">
        <v>8</v>
      </c>
      <c r="E418" s="28">
        <v>10</v>
      </c>
      <c r="F418" s="28" t="str">
        <f>IF(A417&lt;10,0&amp;A417,A417)&amp;","&amp;IF(B417&lt;10,0&amp;B417,B417)&amp;","&amp;IF(C417&lt;10,0&amp;C417,C417)&amp;","&amp;IF(D417&lt;10,0&amp;D417,D417)&amp;","&amp;IF(E417&lt;10,0&amp;E417,E417)</f>
        <v>04,05,07,08,09</v>
      </c>
      <c r="G418" s="28">
        <v>30591.940000000002</v>
      </c>
      <c r="J418" s="28" t="s">
        <v>741</v>
      </c>
      <c r="K418" s="28">
        <v>30591.940000000002</v>
      </c>
    </row>
    <row r="419" spans="1:11" x14ac:dyDescent="0.15">
      <c r="A419" s="28">
        <v>4</v>
      </c>
      <c r="B419" s="28">
        <v>5</v>
      </c>
      <c r="C419" s="28">
        <v>7</v>
      </c>
      <c r="D419" s="28">
        <v>8</v>
      </c>
      <c r="E419" s="28">
        <v>11</v>
      </c>
      <c r="F419" s="28" t="str">
        <f>IF(A418&lt;10,0&amp;A418,A418)&amp;","&amp;IF(B418&lt;10,0&amp;B418,B418)&amp;","&amp;IF(C418&lt;10,0&amp;C418,C418)&amp;","&amp;IF(D418&lt;10,0&amp;D418,D418)&amp;","&amp;IF(E418&lt;10,0&amp;E418,E418)</f>
        <v>04,05,07,08,10</v>
      </c>
      <c r="G419" s="28">
        <v>30599.54</v>
      </c>
      <c r="J419" s="28" t="s">
        <v>742</v>
      </c>
      <c r="K419" s="28">
        <v>30599.54</v>
      </c>
    </row>
    <row r="420" spans="1:11" x14ac:dyDescent="0.15">
      <c r="A420" s="28">
        <v>4</v>
      </c>
      <c r="B420" s="28">
        <v>5</v>
      </c>
      <c r="C420" s="28">
        <v>7</v>
      </c>
      <c r="D420" s="28">
        <v>9</v>
      </c>
      <c r="E420" s="28">
        <v>10</v>
      </c>
      <c r="F420" s="28" t="str">
        <f>IF(A419&lt;10,0&amp;A419,A419)&amp;","&amp;IF(B419&lt;10,0&amp;B419,B419)&amp;","&amp;IF(C419&lt;10,0&amp;C419,C419)&amp;","&amp;IF(D419&lt;10,0&amp;D419,D419)&amp;","&amp;IF(E419&lt;10,0&amp;E419,E419)</f>
        <v>04,05,07,08,11</v>
      </c>
      <c r="G420" s="28">
        <v>30591.940000000002</v>
      </c>
      <c r="J420" s="28" t="s">
        <v>743</v>
      </c>
      <c r="K420" s="28">
        <v>30591.940000000002</v>
      </c>
    </row>
    <row r="421" spans="1:11" x14ac:dyDescent="0.15">
      <c r="A421" s="28">
        <v>4</v>
      </c>
      <c r="B421" s="28">
        <v>5</v>
      </c>
      <c r="C421" s="28">
        <v>7</v>
      </c>
      <c r="D421" s="28">
        <v>9</v>
      </c>
      <c r="E421" s="28">
        <v>11</v>
      </c>
      <c r="F421" s="28" t="str">
        <f>IF(A420&lt;10,0&amp;A420,A420)&amp;","&amp;IF(B420&lt;10,0&amp;B420,B420)&amp;","&amp;IF(C420&lt;10,0&amp;C420,C420)&amp;","&amp;IF(D420&lt;10,0&amp;D420,D420)&amp;","&amp;IF(E420&lt;10,0&amp;E420,E420)</f>
        <v>04,05,07,09,10</v>
      </c>
      <c r="G421" s="28">
        <v>30591.940000000002</v>
      </c>
      <c r="J421" s="28" t="s">
        <v>744</v>
      </c>
      <c r="K421" s="28">
        <v>30591.940000000002</v>
      </c>
    </row>
    <row r="422" spans="1:11" x14ac:dyDescent="0.15">
      <c r="A422" s="28">
        <v>4</v>
      </c>
      <c r="B422" s="28">
        <v>5</v>
      </c>
      <c r="C422" s="28">
        <v>7</v>
      </c>
      <c r="D422" s="28">
        <v>10</v>
      </c>
      <c r="E422" s="28">
        <v>11</v>
      </c>
      <c r="F422" s="28" t="str">
        <f>IF(A421&lt;10,0&amp;A421,A421)&amp;","&amp;IF(B421&lt;10,0&amp;B421,B421)&amp;","&amp;IF(C421&lt;10,0&amp;C421,C421)&amp;","&amp;IF(D421&lt;10,0&amp;D421,D421)&amp;","&amp;IF(E421&lt;10,0&amp;E421,E421)</f>
        <v>04,05,07,09,11</v>
      </c>
      <c r="G422" s="28">
        <v>30629.190000000002</v>
      </c>
      <c r="J422" s="28" t="s">
        <v>745</v>
      </c>
      <c r="K422" s="28">
        <v>30629.190000000002</v>
      </c>
    </row>
    <row r="423" spans="1:11" x14ac:dyDescent="0.15">
      <c r="A423" s="28">
        <v>4</v>
      </c>
      <c r="B423" s="28">
        <v>5</v>
      </c>
      <c r="C423" s="28">
        <v>8</v>
      </c>
      <c r="D423" s="28">
        <v>9</v>
      </c>
      <c r="E423" s="28">
        <v>10</v>
      </c>
      <c r="F423" s="28" t="str">
        <f>IF(A422&lt;10,0&amp;A422,A422)&amp;","&amp;IF(B422&lt;10,0&amp;B422,B422)&amp;","&amp;IF(C422&lt;10,0&amp;C422,C422)&amp;","&amp;IF(D422&lt;10,0&amp;D422,D422)&amp;","&amp;IF(E422&lt;10,0&amp;E422,E422)</f>
        <v>04,05,07,10,11</v>
      </c>
      <c r="G423" s="28">
        <v>30591.940000000002</v>
      </c>
      <c r="J423" s="28" t="s">
        <v>746</v>
      </c>
      <c r="K423" s="28">
        <v>30591.940000000002</v>
      </c>
    </row>
    <row r="424" spans="1:11" x14ac:dyDescent="0.15">
      <c r="A424" s="28">
        <v>4</v>
      </c>
      <c r="B424" s="28">
        <v>5</v>
      </c>
      <c r="C424" s="28">
        <v>8</v>
      </c>
      <c r="D424" s="28">
        <v>9</v>
      </c>
      <c r="E424" s="28">
        <v>11</v>
      </c>
      <c r="F424" s="28" t="str">
        <f>IF(A423&lt;10,0&amp;A423,A423)&amp;","&amp;IF(B423&lt;10,0&amp;B423,B423)&amp;","&amp;IF(C423&lt;10,0&amp;C423,C423)&amp;","&amp;IF(D423&lt;10,0&amp;D423,D423)&amp;","&amp;IF(E423&lt;10,0&amp;E423,E423)</f>
        <v>04,05,08,09,10</v>
      </c>
      <c r="G424" s="28">
        <v>29654.58</v>
      </c>
      <c r="J424" s="28" t="s">
        <v>747</v>
      </c>
      <c r="K424" s="28">
        <v>29654.58</v>
      </c>
    </row>
    <row r="425" spans="1:11" x14ac:dyDescent="0.15">
      <c r="A425" s="28">
        <v>4</v>
      </c>
      <c r="B425" s="28">
        <v>5</v>
      </c>
      <c r="C425" s="28">
        <v>8</v>
      </c>
      <c r="D425" s="28">
        <v>10</v>
      </c>
      <c r="E425" s="28">
        <v>11</v>
      </c>
      <c r="F425" s="28" t="str">
        <f>IF(A424&lt;10,0&amp;A424,A424)&amp;","&amp;IF(B424&lt;10,0&amp;B424,B424)&amp;","&amp;IF(C424&lt;10,0&amp;C424,C424)&amp;","&amp;IF(D424&lt;10,0&amp;D424,D424)&amp;","&amp;IF(E424&lt;10,0&amp;E424,E424)</f>
        <v>04,05,08,09,11</v>
      </c>
      <c r="G425" s="28">
        <v>29646.98</v>
      </c>
      <c r="J425" s="28" t="s">
        <v>748</v>
      </c>
      <c r="K425" s="28">
        <v>29646.98</v>
      </c>
    </row>
    <row r="426" spans="1:11" x14ac:dyDescent="0.15">
      <c r="A426" s="28">
        <v>4</v>
      </c>
      <c r="B426" s="28">
        <v>5</v>
      </c>
      <c r="C426" s="28">
        <v>9</v>
      </c>
      <c r="D426" s="28">
        <v>10</v>
      </c>
      <c r="E426" s="28">
        <v>11</v>
      </c>
      <c r="F426" s="28" t="str">
        <f>IF(A425&lt;10,0&amp;A425,A425)&amp;","&amp;IF(B425&lt;10,0&amp;B425,B425)&amp;","&amp;IF(C425&lt;10,0&amp;C425,C425)&amp;","&amp;IF(D425&lt;10,0&amp;D425,D425)&amp;","&amp;IF(E425&lt;10,0&amp;E425,E425)</f>
        <v>04,05,08,10,11</v>
      </c>
      <c r="G426" s="28">
        <v>29654.58</v>
      </c>
      <c r="J426" s="28" t="s">
        <v>749</v>
      </c>
      <c r="K426" s="28">
        <v>29654.58</v>
      </c>
    </row>
    <row r="427" spans="1:11" x14ac:dyDescent="0.15">
      <c r="A427" s="28">
        <v>4</v>
      </c>
      <c r="B427" s="28">
        <v>6</v>
      </c>
      <c r="C427" s="28">
        <v>7</v>
      </c>
      <c r="D427" s="28">
        <v>8</v>
      </c>
      <c r="E427" s="28">
        <v>9</v>
      </c>
      <c r="F427" s="28" t="str">
        <f>IF(A426&lt;10,0&amp;A426,A426)&amp;","&amp;IF(B426&lt;10,0&amp;B426,B426)&amp;","&amp;IF(C426&lt;10,0&amp;C426,C426)&amp;","&amp;IF(D426&lt;10,0&amp;D426,D426)&amp;","&amp;IF(E426&lt;10,0&amp;E426,E426)</f>
        <v>04,05,09,10,11</v>
      </c>
      <c r="G427" s="28">
        <v>30319.350000000002</v>
      </c>
      <c r="J427" s="28" t="s">
        <v>750</v>
      </c>
      <c r="K427" s="28">
        <v>30319.350000000002</v>
      </c>
    </row>
    <row r="428" spans="1:11" x14ac:dyDescent="0.15">
      <c r="A428" s="28">
        <v>4</v>
      </c>
      <c r="B428" s="28">
        <v>6</v>
      </c>
      <c r="C428" s="28">
        <v>7</v>
      </c>
      <c r="D428" s="28">
        <v>8</v>
      </c>
      <c r="E428" s="28">
        <v>10</v>
      </c>
      <c r="F428" s="28" t="str">
        <f>IF(A427&lt;10,0&amp;A427,A427)&amp;","&amp;IF(B427&lt;10,0&amp;B427,B427)&amp;","&amp;IF(C427&lt;10,0&amp;C427,C427)&amp;","&amp;IF(D427&lt;10,0&amp;D427,D427)&amp;","&amp;IF(E427&lt;10,0&amp;E427,E427)</f>
        <v>04,06,07,08,09</v>
      </c>
      <c r="G428" s="28">
        <v>28688.84</v>
      </c>
      <c r="J428" s="28" t="s">
        <v>751</v>
      </c>
      <c r="K428" s="28">
        <v>28688.84</v>
      </c>
    </row>
    <row r="429" spans="1:11" x14ac:dyDescent="0.15">
      <c r="A429" s="28">
        <v>4</v>
      </c>
      <c r="B429" s="28">
        <v>6</v>
      </c>
      <c r="C429" s="28">
        <v>7</v>
      </c>
      <c r="D429" s="28">
        <v>8</v>
      </c>
      <c r="E429" s="28">
        <v>11</v>
      </c>
      <c r="F429" s="28" t="str">
        <f>IF(A428&lt;10,0&amp;A428,A428)&amp;","&amp;IF(B428&lt;10,0&amp;B428,B428)&amp;","&amp;IF(C428&lt;10,0&amp;C428,C428)&amp;","&amp;IF(D428&lt;10,0&amp;D428,D428)&amp;","&amp;IF(E428&lt;10,0&amp;E428,E428)</f>
        <v>04,06,07,08,10</v>
      </c>
      <c r="G429" s="28">
        <v>28807.54</v>
      </c>
      <c r="J429" s="28" t="s">
        <v>752</v>
      </c>
      <c r="K429" s="28">
        <v>28807.54</v>
      </c>
    </row>
    <row r="430" spans="1:11" x14ac:dyDescent="0.15">
      <c r="A430" s="28">
        <v>4</v>
      </c>
      <c r="B430" s="28">
        <v>6</v>
      </c>
      <c r="C430" s="28">
        <v>7</v>
      </c>
      <c r="D430" s="28">
        <v>9</v>
      </c>
      <c r="E430" s="28">
        <v>10</v>
      </c>
      <c r="F430" s="28" t="str">
        <f>IF(A429&lt;10,0&amp;A429,A429)&amp;","&amp;IF(B429&lt;10,0&amp;B429,B429)&amp;","&amp;IF(C429&lt;10,0&amp;C429,C429)&amp;","&amp;IF(D429&lt;10,0&amp;D429,D429)&amp;","&amp;IF(E429&lt;10,0&amp;E429,E429)</f>
        <v>04,06,07,08,11</v>
      </c>
      <c r="G430" s="28">
        <v>28688.84</v>
      </c>
      <c r="J430" s="28" t="s">
        <v>753</v>
      </c>
      <c r="K430" s="28">
        <v>28688.84</v>
      </c>
    </row>
    <row r="431" spans="1:11" x14ac:dyDescent="0.15">
      <c r="A431" s="28">
        <v>4</v>
      </c>
      <c r="B431" s="28">
        <v>6</v>
      </c>
      <c r="C431" s="28">
        <v>7</v>
      </c>
      <c r="D431" s="28">
        <v>9</v>
      </c>
      <c r="E431" s="28">
        <v>11</v>
      </c>
      <c r="F431" s="28" t="str">
        <f>IF(A430&lt;10,0&amp;A430,A430)&amp;","&amp;IF(B430&lt;10,0&amp;B430,B430)&amp;","&amp;IF(C430&lt;10,0&amp;C430,C430)&amp;","&amp;IF(D430&lt;10,0&amp;D430,D430)&amp;","&amp;IF(E430&lt;10,0&amp;E430,E430)</f>
        <v>04,06,07,09,10</v>
      </c>
      <c r="G431" s="28">
        <v>28688.84</v>
      </c>
      <c r="J431" s="28" t="s">
        <v>754</v>
      </c>
      <c r="K431" s="28">
        <v>28688.84</v>
      </c>
    </row>
    <row r="432" spans="1:11" x14ac:dyDescent="0.15">
      <c r="A432" s="28">
        <v>4</v>
      </c>
      <c r="B432" s="28">
        <v>6</v>
      </c>
      <c r="C432" s="28">
        <v>7</v>
      </c>
      <c r="D432" s="28">
        <v>10</v>
      </c>
      <c r="E432" s="28">
        <v>11</v>
      </c>
      <c r="F432" s="28" t="str">
        <f>IF(A431&lt;10,0&amp;A431,A431)&amp;","&amp;IF(B431&lt;10,0&amp;B431,B431)&amp;","&amp;IF(C431&lt;10,0&amp;C431,C431)&amp;","&amp;IF(D431&lt;10,0&amp;D431,D431)&amp;","&amp;IF(E431&lt;10,0&amp;E431,E431)</f>
        <v>04,06,07,09,11</v>
      </c>
      <c r="G432" s="28">
        <v>28681.24</v>
      </c>
      <c r="J432" s="28" t="s">
        <v>755</v>
      </c>
      <c r="K432" s="28">
        <v>28681.24</v>
      </c>
    </row>
    <row r="433" spans="1:11" x14ac:dyDescent="0.15">
      <c r="A433" s="28">
        <v>4</v>
      </c>
      <c r="B433" s="28">
        <v>6</v>
      </c>
      <c r="C433" s="28">
        <v>8</v>
      </c>
      <c r="D433" s="28">
        <v>9</v>
      </c>
      <c r="E433" s="28">
        <v>10</v>
      </c>
      <c r="F433" s="28" t="str">
        <f>IF(A432&lt;10,0&amp;A432,A432)&amp;","&amp;IF(B432&lt;10,0&amp;B432,B432)&amp;","&amp;IF(C432&lt;10,0&amp;C432,C432)&amp;","&amp;IF(D432&lt;10,0&amp;D432,D432)&amp;","&amp;IF(E432&lt;10,0&amp;E432,E432)</f>
        <v>04,06,07,10,11</v>
      </c>
      <c r="G433" s="28">
        <v>28688.84</v>
      </c>
      <c r="J433" s="28" t="s">
        <v>756</v>
      </c>
      <c r="K433" s="28">
        <v>28688.84</v>
      </c>
    </row>
    <row r="434" spans="1:11" x14ac:dyDescent="0.15">
      <c r="A434" s="28">
        <v>4</v>
      </c>
      <c r="B434" s="28">
        <v>6</v>
      </c>
      <c r="C434" s="28">
        <v>8</v>
      </c>
      <c r="D434" s="28">
        <v>9</v>
      </c>
      <c r="E434" s="28">
        <v>11</v>
      </c>
      <c r="F434" s="28" t="str">
        <f>IF(A433&lt;10,0&amp;A433,A433)&amp;","&amp;IF(B433&lt;10,0&amp;B433,B433)&amp;","&amp;IF(C433&lt;10,0&amp;C433,C433)&amp;","&amp;IF(D433&lt;10,0&amp;D433,D433)&amp;","&amp;IF(E433&lt;10,0&amp;E433,E433)</f>
        <v>04,06,08,09,10</v>
      </c>
      <c r="G434" s="28">
        <v>27862.58</v>
      </c>
      <c r="J434" s="28" t="s">
        <v>757</v>
      </c>
      <c r="K434" s="28">
        <v>27862.58</v>
      </c>
    </row>
    <row r="435" spans="1:11" x14ac:dyDescent="0.15">
      <c r="A435" s="28">
        <v>4</v>
      </c>
      <c r="B435" s="28">
        <v>6</v>
      </c>
      <c r="C435" s="28">
        <v>8</v>
      </c>
      <c r="D435" s="28">
        <v>10</v>
      </c>
      <c r="E435" s="28">
        <v>11</v>
      </c>
      <c r="F435" s="28" t="str">
        <f>IF(A434&lt;10,0&amp;A434,A434)&amp;","&amp;IF(B434&lt;10,0&amp;B434,B434)&amp;","&amp;IF(C434&lt;10,0&amp;C434,C434)&amp;","&amp;IF(D434&lt;10,0&amp;D434,D434)&amp;","&amp;IF(E434&lt;10,0&amp;E434,E434)</f>
        <v>04,06,08,09,11</v>
      </c>
      <c r="G435" s="28">
        <v>27743.88</v>
      </c>
      <c r="J435" s="28" t="s">
        <v>758</v>
      </c>
      <c r="K435" s="28">
        <v>27743.88</v>
      </c>
    </row>
    <row r="436" spans="1:11" x14ac:dyDescent="0.15">
      <c r="A436" s="28">
        <v>4</v>
      </c>
      <c r="B436" s="28">
        <v>6</v>
      </c>
      <c r="C436" s="28">
        <v>9</v>
      </c>
      <c r="D436" s="28">
        <v>10</v>
      </c>
      <c r="E436" s="28">
        <v>11</v>
      </c>
      <c r="F436" s="28" t="str">
        <f>IF(A435&lt;10,0&amp;A435,A435)&amp;","&amp;IF(B435&lt;10,0&amp;B435,B435)&amp;","&amp;IF(C435&lt;10,0&amp;C435,C435)&amp;","&amp;IF(D435&lt;10,0&amp;D435,D435)&amp;","&amp;IF(E435&lt;10,0&amp;E435,E435)</f>
        <v>04,06,08,10,11</v>
      </c>
      <c r="G436" s="28">
        <v>27862.58</v>
      </c>
      <c r="J436" s="28" t="s">
        <v>759</v>
      </c>
      <c r="K436" s="28">
        <v>27862.58</v>
      </c>
    </row>
    <row r="437" spans="1:11" x14ac:dyDescent="0.15">
      <c r="A437" s="28">
        <v>4</v>
      </c>
      <c r="B437" s="28">
        <v>7</v>
      </c>
      <c r="C437" s="28">
        <v>8</v>
      </c>
      <c r="D437" s="28">
        <v>9</v>
      </c>
      <c r="E437" s="28">
        <v>10</v>
      </c>
      <c r="F437" s="28" t="str">
        <f>IF(A436&lt;10,0&amp;A436,A436)&amp;","&amp;IF(B436&lt;10,0&amp;B436,B436)&amp;","&amp;IF(C436&lt;10,0&amp;C436,C436)&amp;","&amp;IF(D436&lt;10,0&amp;D436,D436)&amp;","&amp;IF(E436&lt;10,0&amp;E436,E436)</f>
        <v>04,06,09,10,11</v>
      </c>
      <c r="G437" s="28">
        <v>27779.35</v>
      </c>
      <c r="J437" s="28" t="s">
        <v>760</v>
      </c>
      <c r="K437" s="28">
        <v>27779.35</v>
      </c>
    </row>
    <row r="438" spans="1:11" x14ac:dyDescent="0.15">
      <c r="A438" s="28">
        <v>4</v>
      </c>
      <c r="B438" s="28">
        <v>7</v>
      </c>
      <c r="C438" s="28">
        <v>8</v>
      </c>
      <c r="D438" s="28">
        <v>9</v>
      </c>
      <c r="E438" s="28">
        <v>11</v>
      </c>
      <c r="F438" s="28" t="str">
        <f>IF(A437&lt;10,0&amp;A437,A437)&amp;","&amp;IF(B437&lt;10,0&amp;B437,B437)&amp;","&amp;IF(C437&lt;10,0&amp;C437,C437)&amp;","&amp;IF(D437&lt;10,0&amp;D437,D437)&amp;","&amp;IF(E437&lt;10,0&amp;E437,E437)</f>
        <v>04,07,08,09,10</v>
      </c>
      <c r="G438" s="28">
        <v>26149.680000000004</v>
      </c>
      <c r="J438" s="28" t="s">
        <v>761</v>
      </c>
      <c r="K438" s="28">
        <v>26149.680000000004</v>
      </c>
    </row>
    <row r="439" spans="1:11" x14ac:dyDescent="0.15">
      <c r="A439" s="28">
        <v>4</v>
      </c>
      <c r="B439" s="28">
        <v>7</v>
      </c>
      <c r="C439" s="28">
        <v>8</v>
      </c>
      <c r="D439" s="28">
        <v>10</v>
      </c>
      <c r="E439" s="28">
        <v>11</v>
      </c>
      <c r="F439" s="28" t="str">
        <f>IF(A438&lt;10,0&amp;A438,A438)&amp;","&amp;IF(B438&lt;10,0&amp;B438,B438)&amp;","&amp;IF(C438&lt;10,0&amp;C438,C438)&amp;","&amp;IF(D438&lt;10,0&amp;D438,D438)&amp;","&amp;IF(E438&lt;10,0&amp;E438,E438)</f>
        <v>04,07,08,09,11</v>
      </c>
      <c r="G439" s="28">
        <v>26142.080000000002</v>
      </c>
      <c r="J439" s="28" t="s">
        <v>762</v>
      </c>
      <c r="K439" s="28">
        <v>26142.080000000002</v>
      </c>
    </row>
    <row r="440" spans="1:11" x14ac:dyDescent="0.15">
      <c r="A440" s="28">
        <v>4</v>
      </c>
      <c r="B440" s="28">
        <v>7</v>
      </c>
      <c r="C440" s="28">
        <v>9</v>
      </c>
      <c r="D440" s="28">
        <v>10</v>
      </c>
      <c r="E440" s="28">
        <v>11</v>
      </c>
      <c r="F440" s="28" t="str">
        <f>IF(A439&lt;10,0&amp;A439,A439)&amp;","&amp;IF(B439&lt;10,0&amp;B439,B439)&amp;","&amp;IF(C439&lt;10,0&amp;C439,C439)&amp;","&amp;IF(D439&lt;10,0&amp;D439,D439)&amp;","&amp;IF(E439&lt;10,0&amp;E439,E439)</f>
        <v>04,07,08,10,11</v>
      </c>
      <c r="G440" s="28">
        <v>26149.680000000004</v>
      </c>
      <c r="J440" s="28" t="s">
        <v>763</v>
      </c>
      <c r="K440" s="28">
        <v>26149.680000000004</v>
      </c>
    </row>
    <row r="441" spans="1:11" x14ac:dyDescent="0.15">
      <c r="A441" s="28">
        <v>4</v>
      </c>
      <c r="B441" s="28">
        <v>8</v>
      </c>
      <c r="C441" s="28">
        <v>9</v>
      </c>
      <c r="D441" s="28">
        <v>10</v>
      </c>
      <c r="E441" s="28">
        <v>11</v>
      </c>
      <c r="F441" s="28" t="str">
        <f>IF(A440&lt;10,0&amp;A440,A440)&amp;","&amp;IF(B440&lt;10,0&amp;B440,B440)&amp;","&amp;IF(C440&lt;10,0&amp;C440,C440)&amp;","&amp;IF(D440&lt;10,0&amp;D440,D440)&amp;","&amp;IF(E440&lt;10,0&amp;E440,E440)</f>
        <v>04,07,09,10,11</v>
      </c>
      <c r="G441" s="28">
        <v>26177.550000000003</v>
      </c>
      <c r="J441" s="28" t="s">
        <v>764</v>
      </c>
      <c r="K441" s="28">
        <v>26177.550000000003</v>
      </c>
    </row>
    <row r="442" spans="1:11" x14ac:dyDescent="0.15">
      <c r="A442" s="28">
        <v>5</v>
      </c>
      <c r="B442" s="28">
        <v>6</v>
      </c>
      <c r="C442" s="28">
        <v>7</v>
      </c>
      <c r="D442" s="28">
        <v>8</v>
      </c>
      <c r="E442" s="28">
        <v>9</v>
      </c>
      <c r="F442" s="28" t="str">
        <f>IF(A441&lt;10,0&amp;A441,A441)&amp;","&amp;IF(B441&lt;10,0&amp;B441,B441)&amp;","&amp;IF(C441&lt;10,0&amp;C441,C441)&amp;","&amp;IF(D441&lt;10,0&amp;D441,D441)&amp;","&amp;IF(E441&lt;10,0&amp;E441,E441)</f>
        <v>04,08,09,10,11</v>
      </c>
      <c r="G442" s="28">
        <v>25231.75</v>
      </c>
      <c r="J442" s="28" t="s">
        <v>765</v>
      </c>
      <c r="K442" s="28">
        <v>25231.75</v>
      </c>
    </row>
    <row r="443" spans="1:11" x14ac:dyDescent="0.15">
      <c r="A443" s="28">
        <v>5</v>
      </c>
      <c r="B443" s="28">
        <v>6</v>
      </c>
      <c r="C443" s="28">
        <v>7</v>
      </c>
      <c r="D443" s="28">
        <v>8</v>
      </c>
      <c r="E443" s="28">
        <v>10</v>
      </c>
      <c r="F443" s="28" t="str">
        <f>IF(A442&lt;10,0&amp;A442,A442)&amp;","&amp;IF(B442&lt;10,0&amp;B442,B442)&amp;","&amp;IF(C442&lt;10,0&amp;C442,C442)&amp;","&amp;IF(D442&lt;10,0&amp;D442,D442)&amp;","&amp;IF(E442&lt;10,0&amp;E442,E442)</f>
        <v>05,06,07,08,09</v>
      </c>
      <c r="G443" s="28">
        <v>28787.390000000003</v>
      </c>
      <c r="J443" s="28" t="s">
        <v>766</v>
      </c>
      <c r="K443" s="28">
        <v>28787.390000000003</v>
      </c>
    </row>
    <row r="444" spans="1:11" x14ac:dyDescent="0.15">
      <c r="A444" s="28">
        <v>5</v>
      </c>
      <c r="B444" s="28">
        <v>6</v>
      </c>
      <c r="C444" s="28">
        <v>7</v>
      </c>
      <c r="D444" s="28">
        <v>8</v>
      </c>
      <c r="E444" s="28">
        <v>11</v>
      </c>
      <c r="F444" s="28" t="str">
        <f>IF(A443&lt;10,0&amp;A443,A443)&amp;","&amp;IF(B443&lt;10,0&amp;B443,B443)&amp;","&amp;IF(C443&lt;10,0&amp;C443,C443)&amp;","&amp;IF(D443&lt;10,0&amp;D443,D443)&amp;","&amp;IF(E443&lt;10,0&amp;E443,E443)</f>
        <v>05,06,07,08,10</v>
      </c>
      <c r="G444" s="28">
        <v>28794.99</v>
      </c>
      <c r="J444" s="28" t="s">
        <v>767</v>
      </c>
      <c r="K444" s="28">
        <v>28794.99</v>
      </c>
    </row>
    <row r="445" spans="1:11" x14ac:dyDescent="0.15">
      <c r="A445" s="28">
        <v>5</v>
      </c>
      <c r="B445" s="28">
        <v>6</v>
      </c>
      <c r="C445" s="28">
        <v>7</v>
      </c>
      <c r="D445" s="28">
        <v>9</v>
      </c>
      <c r="E445" s="28">
        <v>10</v>
      </c>
      <c r="F445" s="28" t="str">
        <f>IF(A444&lt;10,0&amp;A444,A444)&amp;","&amp;IF(B444&lt;10,0&amp;B444,B444)&amp;","&amp;IF(C444&lt;10,0&amp;C444,C444)&amp;","&amp;IF(D444&lt;10,0&amp;D444,D444)&amp;","&amp;IF(E444&lt;10,0&amp;E444,E444)</f>
        <v>05,06,07,08,11</v>
      </c>
      <c r="G445" s="28">
        <v>28787.390000000003</v>
      </c>
      <c r="J445" s="28" t="s">
        <v>768</v>
      </c>
      <c r="K445" s="28">
        <v>28787.390000000003</v>
      </c>
    </row>
    <row r="446" spans="1:11" x14ac:dyDescent="0.15">
      <c r="A446" s="28">
        <v>5</v>
      </c>
      <c r="B446" s="28">
        <v>6</v>
      </c>
      <c r="C446" s="28">
        <v>7</v>
      </c>
      <c r="D446" s="28">
        <v>9</v>
      </c>
      <c r="E446" s="28">
        <v>11</v>
      </c>
      <c r="F446" s="28" t="str">
        <f>IF(A445&lt;10,0&amp;A445,A445)&amp;","&amp;IF(B445&lt;10,0&amp;B445,B445)&amp;","&amp;IF(C445&lt;10,0&amp;C445,C445)&amp;","&amp;IF(D445&lt;10,0&amp;D445,D445)&amp;","&amp;IF(E445&lt;10,0&amp;E445,E445)</f>
        <v>05,06,07,09,10</v>
      </c>
      <c r="G446" s="28">
        <v>28787.390000000003</v>
      </c>
      <c r="J446" s="28" t="s">
        <v>769</v>
      </c>
      <c r="K446" s="28">
        <v>28787.390000000003</v>
      </c>
    </row>
    <row r="447" spans="1:11" x14ac:dyDescent="0.15">
      <c r="A447" s="28">
        <v>5</v>
      </c>
      <c r="B447" s="28">
        <v>6</v>
      </c>
      <c r="C447" s="28">
        <v>7</v>
      </c>
      <c r="D447" s="28">
        <v>10</v>
      </c>
      <c r="E447" s="28">
        <v>11</v>
      </c>
      <c r="F447" s="28" t="str">
        <f>IF(A446&lt;10,0&amp;A446,A446)&amp;","&amp;IF(B446&lt;10,0&amp;B446,B446)&amp;","&amp;IF(C446&lt;10,0&amp;C446,C446)&amp;","&amp;IF(D446&lt;10,0&amp;D446,D446)&amp;","&amp;IF(E446&lt;10,0&amp;E446,E446)</f>
        <v>05,06,07,09,11</v>
      </c>
      <c r="G447" s="28">
        <v>28824.640000000003</v>
      </c>
      <c r="J447" s="28" t="s">
        <v>770</v>
      </c>
      <c r="K447" s="28">
        <v>28824.640000000003</v>
      </c>
    </row>
    <row r="448" spans="1:11" x14ac:dyDescent="0.15">
      <c r="A448" s="28">
        <v>5</v>
      </c>
      <c r="B448" s="28">
        <v>6</v>
      </c>
      <c r="C448" s="28">
        <v>8</v>
      </c>
      <c r="D448" s="28">
        <v>9</v>
      </c>
      <c r="E448" s="28">
        <v>10</v>
      </c>
      <c r="F448" s="28" t="str">
        <f>IF(A447&lt;10,0&amp;A447,A447)&amp;","&amp;IF(B447&lt;10,0&amp;B447,B447)&amp;","&amp;IF(C447&lt;10,0&amp;C447,C447)&amp;","&amp;IF(D447&lt;10,0&amp;D447,D447)&amp;","&amp;IF(E447&lt;10,0&amp;E447,E447)</f>
        <v>05,06,07,10,11</v>
      </c>
      <c r="G448" s="28">
        <v>28787.390000000003</v>
      </c>
      <c r="J448" s="28" t="s">
        <v>771</v>
      </c>
      <c r="K448" s="28">
        <v>28787.390000000003</v>
      </c>
    </row>
    <row r="449" spans="1:11" x14ac:dyDescent="0.15">
      <c r="A449" s="28">
        <v>5</v>
      </c>
      <c r="B449" s="28">
        <v>6</v>
      </c>
      <c r="C449" s="28">
        <v>8</v>
      </c>
      <c r="D449" s="28">
        <v>9</v>
      </c>
      <c r="E449" s="28">
        <v>11</v>
      </c>
      <c r="F449" s="28" t="str">
        <f>IF(A448&lt;10,0&amp;A448,A448)&amp;","&amp;IF(B448&lt;10,0&amp;B448,B448)&amp;","&amp;IF(C448&lt;10,0&amp;C448,C448)&amp;","&amp;IF(D448&lt;10,0&amp;D448,D448)&amp;","&amp;IF(E448&lt;10,0&amp;E448,E448)</f>
        <v>05,06,08,09,10</v>
      </c>
      <c r="G449" s="28">
        <v>27850.030000000002</v>
      </c>
      <c r="J449" s="28" t="s">
        <v>772</v>
      </c>
      <c r="K449" s="28">
        <v>27850.030000000002</v>
      </c>
    </row>
    <row r="450" spans="1:11" x14ac:dyDescent="0.15">
      <c r="A450" s="28">
        <v>5</v>
      </c>
      <c r="B450" s="28">
        <v>6</v>
      </c>
      <c r="C450" s="28">
        <v>8</v>
      </c>
      <c r="D450" s="28">
        <v>10</v>
      </c>
      <c r="E450" s="28">
        <v>11</v>
      </c>
      <c r="F450" s="28" t="str">
        <f>IF(A449&lt;10,0&amp;A449,A449)&amp;","&amp;IF(B449&lt;10,0&amp;B449,B449)&amp;","&amp;IF(C449&lt;10,0&amp;C449,C449)&amp;","&amp;IF(D449&lt;10,0&amp;D449,D449)&amp;","&amp;IF(E449&lt;10,0&amp;E449,E449)</f>
        <v>05,06,08,09,11</v>
      </c>
      <c r="G450" s="28">
        <v>27842.43</v>
      </c>
      <c r="J450" s="28" t="s">
        <v>773</v>
      </c>
      <c r="K450" s="28">
        <v>27842.43</v>
      </c>
    </row>
    <row r="451" spans="1:11" x14ac:dyDescent="0.15">
      <c r="A451" s="28">
        <v>5</v>
      </c>
      <c r="B451" s="28">
        <v>6</v>
      </c>
      <c r="C451" s="28">
        <v>9</v>
      </c>
      <c r="D451" s="28">
        <v>10</v>
      </c>
      <c r="E451" s="28">
        <v>11</v>
      </c>
      <c r="F451" s="28" t="str">
        <f>IF(A450&lt;10,0&amp;A450,A450)&amp;","&amp;IF(B450&lt;10,0&amp;B450,B450)&amp;","&amp;IF(C450&lt;10,0&amp;C450,C450)&amp;","&amp;IF(D450&lt;10,0&amp;D450,D450)&amp;","&amp;IF(E450&lt;10,0&amp;E450,E450)</f>
        <v>05,06,08,10,11</v>
      </c>
      <c r="G451" s="28">
        <v>27850.030000000002</v>
      </c>
      <c r="J451" s="28" t="s">
        <v>774</v>
      </c>
      <c r="K451" s="28">
        <v>27850.030000000002</v>
      </c>
    </row>
    <row r="452" spans="1:11" x14ac:dyDescent="0.15">
      <c r="A452" s="28">
        <v>5</v>
      </c>
      <c r="B452" s="28">
        <v>7</v>
      </c>
      <c r="C452" s="28">
        <v>8</v>
      </c>
      <c r="D452" s="28">
        <v>9</v>
      </c>
      <c r="E452" s="28">
        <v>10</v>
      </c>
      <c r="F452" s="28" t="str">
        <f>IF(A451&lt;10,0&amp;A451,A451)&amp;","&amp;IF(B451&lt;10,0&amp;B451,B451)&amp;","&amp;IF(C451&lt;10,0&amp;C451,C451)&amp;","&amp;IF(D451&lt;10,0&amp;D451,D451)&amp;","&amp;IF(E451&lt;10,0&amp;E451,E451)</f>
        <v>05,06,09,10,11</v>
      </c>
      <c r="G452" s="28">
        <v>28514.800000000003</v>
      </c>
      <c r="J452" s="28" t="s">
        <v>775</v>
      </c>
      <c r="K452" s="28">
        <v>28514.800000000003</v>
      </c>
    </row>
    <row r="453" spans="1:11" x14ac:dyDescent="0.15">
      <c r="A453" s="28">
        <v>5</v>
      </c>
      <c r="B453" s="28">
        <v>7</v>
      </c>
      <c r="C453" s="28">
        <v>8</v>
      </c>
      <c r="D453" s="28">
        <v>9</v>
      </c>
      <c r="E453" s="28">
        <v>11</v>
      </c>
      <c r="F453" s="28" t="str">
        <f>IF(A452&lt;10,0&amp;A452,A452)&amp;","&amp;IF(B452&lt;10,0&amp;B452,B452)&amp;","&amp;IF(C452&lt;10,0&amp;C452,C452)&amp;","&amp;IF(D452&lt;10,0&amp;D452,D452)&amp;","&amp;IF(E452&lt;10,0&amp;E452,E452)</f>
        <v>05,07,08,09,10</v>
      </c>
      <c r="G453" s="28">
        <v>26142.080000000002</v>
      </c>
      <c r="J453" s="28" t="s">
        <v>776</v>
      </c>
      <c r="K453" s="28">
        <v>26142.080000000002</v>
      </c>
    </row>
    <row r="454" spans="1:11" x14ac:dyDescent="0.15">
      <c r="A454" s="28">
        <v>5</v>
      </c>
      <c r="B454" s="28">
        <v>7</v>
      </c>
      <c r="C454" s="28">
        <v>8</v>
      </c>
      <c r="D454" s="28">
        <v>10</v>
      </c>
      <c r="E454" s="28">
        <v>11</v>
      </c>
      <c r="F454" s="28" t="str">
        <f>IF(A453&lt;10,0&amp;A453,A453)&amp;","&amp;IF(B453&lt;10,0&amp;B453,B453)&amp;","&amp;IF(C453&lt;10,0&amp;C453,C453)&amp;","&amp;IF(D453&lt;10,0&amp;D453,D453)&amp;","&amp;IF(E453&lt;10,0&amp;E453,E453)</f>
        <v>05,07,08,09,11</v>
      </c>
      <c r="G454" s="28">
        <v>26179.33</v>
      </c>
      <c r="J454" s="28" t="s">
        <v>777</v>
      </c>
      <c r="K454" s="28">
        <v>26179.33</v>
      </c>
    </row>
    <row r="455" spans="1:11" x14ac:dyDescent="0.15">
      <c r="A455" s="28">
        <v>5</v>
      </c>
      <c r="B455" s="28">
        <v>7</v>
      </c>
      <c r="C455" s="28">
        <v>9</v>
      </c>
      <c r="D455" s="28">
        <v>10</v>
      </c>
      <c r="E455" s="28">
        <v>11</v>
      </c>
      <c r="F455" s="28" t="str">
        <f>IF(A454&lt;10,0&amp;A454,A454)&amp;","&amp;IF(B454&lt;10,0&amp;B454,B454)&amp;","&amp;IF(C454&lt;10,0&amp;C454,C454)&amp;","&amp;IF(D454&lt;10,0&amp;D454,D454)&amp;","&amp;IF(E454&lt;10,0&amp;E454,E454)</f>
        <v>05,07,08,10,11</v>
      </c>
      <c r="G455" s="28">
        <v>26142.080000000002</v>
      </c>
      <c r="J455" s="28" t="s">
        <v>778</v>
      </c>
      <c r="K455" s="28">
        <v>26142.080000000002</v>
      </c>
    </row>
    <row r="456" spans="1:11" x14ac:dyDescent="0.15">
      <c r="A456" s="28">
        <v>5</v>
      </c>
      <c r="B456" s="28">
        <v>8</v>
      </c>
      <c r="C456" s="28">
        <v>9</v>
      </c>
      <c r="D456" s="28">
        <v>10</v>
      </c>
      <c r="E456" s="28">
        <v>11</v>
      </c>
      <c r="F456" s="28" t="str">
        <f>IF(A455&lt;10,0&amp;A455,A455)&amp;","&amp;IF(B455&lt;10,0&amp;B455,B455)&amp;","&amp;IF(C455&lt;10,0&amp;C455,C455)&amp;","&amp;IF(D455&lt;10,0&amp;D455,D455)&amp;","&amp;IF(E455&lt;10,0&amp;E455,E455)</f>
        <v>05,07,09,10,11</v>
      </c>
      <c r="G456" s="28">
        <v>26851.700000000004</v>
      </c>
      <c r="J456" s="28" t="s">
        <v>779</v>
      </c>
      <c r="K456" s="28">
        <v>26851.700000000004</v>
      </c>
    </row>
    <row r="457" spans="1:11" x14ac:dyDescent="0.15">
      <c r="A457" s="28">
        <v>6</v>
      </c>
      <c r="B457" s="28">
        <v>7</v>
      </c>
      <c r="C457" s="28">
        <v>8</v>
      </c>
      <c r="D457" s="28">
        <v>9</v>
      </c>
      <c r="E457" s="28">
        <v>10</v>
      </c>
      <c r="F457" s="28" t="str">
        <f>IF(A456&lt;10,0&amp;A456,A456)&amp;","&amp;IF(B456&lt;10,0&amp;B456,B456)&amp;","&amp;IF(C456&lt;10,0&amp;C456,C456)&amp;","&amp;IF(D456&lt;10,0&amp;D456,D456)&amp;","&amp;IF(E456&lt;10,0&amp;E456,E456)</f>
        <v>05,08,09,10,11</v>
      </c>
      <c r="G457" s="28">
        <v>25861.050000000003</v>
      </c>
      <c r="J457" s="28" t="s">
        <v>780</v>
      </c>
      <c r="K457" s="28">
        <v>25861.050000000003</v>
      </c>
    </row>
    <row r="458" spans="1:11" x14ac:dyDescent="0.15">
      <c r="A458" s="28">
        <v>6</v>
      </c>
      <c r="B458" s="28">
        <v>7</v>
      </c>
      <c r="C458" s="28">
        <v>8</v>
      </c>
      <c r="D458" s="28">
        <v>9</v>
      </c>
      <c r="E458" s="28">
        <v>11</v>
      </c>
      <c r="F458" s="28" t="str">
        <f>IF(A457&lt;10,0&amp;A457,A457)&amp;","&amp;IF(B457&lt;10,0&amp;B457,B457)&amp;","&amp;IF(C457&lt;10,0&amp;C457,C457)&amp;","&amp;IF(D457&lt;10,0&amp;D457,D457)&amp;","&amp;IF(E457&lt;10,0&amp;E457,E457)</f>
        <v>06,07,08,09,10</v>
      </c>
      <c r="G458" s="28">
        <v>32645.8</v>
      </c>
      <c r="J458" s="28" t="s">
        <v>781</v>
      </c>
      <c r="K458" s="28">
        <v>32645.8</v>
      </c>
    </row>
    <row r="459" spans="1:11" x14ac:dyDescent="0.15">
      <c r="A459" s="28">
        <v>6</v>
      </c>
      <c r="B459" s="28">
        <v>7</v>
      </c>
      <c r="C459" s="28">
        <v>8</v>
      </c>
      <c r="D459" s="28">
        <v>10</v>
      </c>
      <c r="E459" s="28">
        <v>11</v>
      </c>
      <c r="F459" s="28" t="str">
        <f>IF(A458&lt;10,0&amp;A458,A458)&amp;","&amp;IF(B458&lt;10,0&amp;B458,B458)&amp;","&amp;IF(C458&lt;10,0&amp;C458,C458)&amp;","&amp;IF(D458&lt;10,0&amp;D458,D458)&amp;","&amp;IF(E458&lt;10,0&amp;E458,E458)</f>
        <v>06,07,08,09,11</v>
      </c>
      <c r="G459" s="28">
        <v>25504.920000000002</v>
      </c>
      <c r="J459" s="28" t="s">
        <v>782</v>
      </c>
      <c r="K459" s="28">
        <v>25504.920000000002</v>
      </c>
    </row>
    <row r="460" spans="1:11" x14ac:dyDescent="0.15">
      <c r="A460" s="28">
        <v>6</v>
      </c>
      <c r="B460" s="28">
        <v>7</v>
      </c>
      <c r="C460" s="28">
        <v>9</v>
      </c>
      <c r="D460" s="28">
        <v>10</v>
      </c>
      <c r="E460" s="28">
        <v>11</v>
      </c>
      <c r="F460" s="28" t="str">
        <f>IF(A459&lt;10,0&amp;A459,A459)&amp;","&amp;IF(B459&lt;10,0&amp;B459,B459)&amp;","&amp;IF(C459&lt;10,0&amp;C459,C459)&amp;","&amp;IF(D459&lt;10,0&amp;D459,D459)&amp;","&amp;IF(E459&lt;10,0&amp;E459,E459)</f>
        <v>06,07,08,10,11</v>
      </c>
      <c r="G460" s="28">
        <v>25512.52</v>
      </c>
      <c r="J460" s="28" t="s">
        <v>783</v>
      </c>
      <c r="K460" s="28">
        <v>25512.52</v>
      </c>
    </row>
    <row r="461" spans="1:11" x14ac:dyDescent="0.15">
      <c r="A461" s="28">
        <v>6</v>
      </c>
      <c r="B461" s="28">
        <v>8</v>
      </c>
      <c r="C461" s="28">
        <v>9</v>
      </c>
      <c r="D461" s="28">
        <v>10</v>
      </c>
      <c r="E461" s="28">
        <v>11</v>
      </c>
      <c r="F461" s="28" t="str">
        <f>IF(A460&lt;10,0&amp;A460,A460)&amp;","&amp;IF(B460&lt;10,0&amp;B460,B460)&amp;","&amp;IF(C460&lt;10,0&amp;C460,C460)&amp;","&amp;IF(D460&lt;10,0&amp;D460,D460)&amp;","&amp;IF(E460&lt;10,0&amp;E460,E460)</f>
        <v>06,07,09,10,11</v>
      </c>
      <c r="G461" s="28">
        <v>24266.850000000002</v>
      </c>
      <c r="J461" s="28" t="s">
        <v>784</v>
      </c>
      <c r="K461" s="28">
        <v>24266.850000000002</v>
      </c>
    </row>
    <row r="462" spans="1:11" x14ac:dyDescent="0.15">
      <c r="A462" s="28">
        <v>7</v>
      </c>
      <c r="B462" s="28">
        <v>8</v>
      </c>
      <c r="C462" s="28">
        <v>9</v>
      </c>
      <c r="D462" s="28">
        <v>10</v>
      </c>
      <c r="E462" s="28">
        <v>11</v>
      </c>
      <c r="F462" s="28" t="str">
        <f>IF(A461&lt;10,0&amp;A461,A461)&amp;","&amp;IF(B461&lt;10,0&amp;B461,B461)&amp;","&amp;IF(C461&lt;10,0&amp;C461,C461)&amp;","&amp;IF(D461&lt;10,0&amp;D461,D461)&amp;","&amp;IF(E461&lt;10,0&amp;E461,E461)</f>
        <v>06,08,09,10,11</v>
      </c>
      <c r="G462" s="28">
        <v>23321.05</v>
      </c>
      <c r="J462" s="28" t="s">
        <v>785</v>
      </c>
      <c r="K462" s="28">
        <v>23321.05</v>
      </c>
    </row>
    <row r="463" spans="1:11" x14ac:dyDescent="0.15">
      <c r="F463" s="28" t="str">
        <f>IF(A462&lt;10,0&amp;A462,A462)&amp;","&amp;IF(B462&lt;10,0&amp;B462,B462)&amp;","&amp;IF(C462&lt;10,0&amp;C462,C462)&amp;","&amp;IF(D462&lt;10,0&amp;D462,D462)&amp;","&amp;IF(E462&lt;10,0&amp;E462,E462)</f>
        <v>07,08,09,10,11</v>
      </c>
      <c r="G463" s="28">
        <v>32419.17</v>
      </c>
      <c r="J463" s="28" t="s">
        <v>786</v>
      </c>
      <c r="K463" s="28">
        <v>32419.17</v>
      </c>
    </row>
  </sheetData>
  <phoneticPr fontId="1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223"/>
  <sheetViews>
    <sheetView topLeftCell="D1" zoomScaleNormal="100" workbookViewId="0">
      <pane xSplit="2" ySplit="1" topLeftCell="F2" activePane="bottomRight" state="frozen"/>
      <selection activeCell="D1" sqref="D1"/>
      <selection pane="topRight" activeCell="F1" sqref="F1"/>
      <selection pane="bottomLeft" activeCell="D2" sqref="D2"/>
      <selection pane="bottomRight" activeCell="F35" sqref="F35"/>
    </sheetView>
  </sheetViews>
  <sheetFormatPr defaultColWidth="9" defaultRowHeight="13.5" x14ac:dyDescent="0.15"/>
  <cols>
    <col min="1" max="1" width="4.5" style="6" hidden="1" customWidth="1"/>
    <col min="2" max="2" width="12.75" style="6" hidden="1" customWidth="1"/>
    <col min="3" max="3" width="0.125" style="6" hidden="1" customWidth="1"/>
    <col min="4" max="4" width="9.5" style="6" bestFit="1" customWidth="1"/>
    <col min="5" max="5" width="12.125" style="6" customWidth="1"/>
    <col min="6" max="6" width="43" style="7" customWidth="1"/>
    <col min="7" max="7" width="9.25" style="6" customWidth="1"/>
    <col min="8" max="8" width="7.125" style="6" customWidth="1"/>
    <col min="9" max="9" width="8.375" style="6" customWidth="1"/>
    <col min="10" max="10" width="14.625" style="22" customWidth="1"/>
    <col min="11" max="11" width="11.875" style="22" customWidth="1"/>
    <col min="12" max="13" width="16.25" style="6" customWidth="1"/>
    <col min="14" max="22" width="10" style="11" hidden="1" customWidth="1"/>
    <col min="23" max="23" width="11.125" style="11" hidden="1" customWidth="1"/>
    <col min="24" max="24" width="6.625" style="6" hidden="1" customWidth="1"/>
    <col min="25" max="25" width="10.75" customWidth="1"/>
    <col min="26" max="26" width="16.375" style="6" customWidth="1"/>
    <col min="27" max="27" width="9.625" style="11" hidden="1" customWidth="1"/>
    <col min="28" max="28" width="9.875" customWidth="1"/>
    <col min="29" max="29" width="10.75" style="6" customWidth="1"/>
    <col min="30" max="30" width="10.75" style="23" customWidth="1"/>
    <col min="31" max="31" width="13.625" style="6" customWidth="1"/>
    <col min="32" max="32" width="33.875" style="6" bestFit="1" customWidth="1"/>
    <col min="33" max="16384" width="9" style="6"/>
  </cols>
  <sheetData>
    <row r="1" spans="1:35" x14ac:dyDescent="0.15">
      <c r="A1" s="6">
        <v>1</v>
      </c>
      <c r="B1" s="6">
        <v>5050</v>
      </c>
      <c r="C1" s="6" t="s">
        <v>5</v>
      </c>
      <c r="D1" s="6" t="s">
        <v>0</v>
      </c>
      <c r="E1" s="6" t="s">
        <v>1</v>
      </c>
      <c r="F1" s="7" t="s">
        <v>16</v>
      </c>
      <c r="G1" s="6" t="s">
        <v>7</v>
      </c>
      <c r="H1" s="6" t="s">
        <v>17</v>
      </c>
      <c r="I1" s="6" t="s">
        <v>18</v>
      </c>
      <c r="J1" s="22" t="s">
        <v>214</v>
      </c>
      <c r="K1" s="22" t="s">
        <v>14</v>
      </c>
      <c r="L1" s="6" t="s">
        <v>19</v>
      </c>
      <c r="M1" s="6" t="s">
        <v>20</v>
      </c>
      <c r="N1" s="5" t="s">
        <v>124</v>
      </c>
      <c r="O1" s="5" t="s">
        <v>125</v>
      </c>
      <c r="P1" s="5" t="s">
        <v>126</v>
      </c>
      <c r="Q1" s="5" t="s">
        <v>127</v>
      </c>
      <c r="R1" s="5" t="s">
        <v>128</v>
      </c>
      <c r="S1" s="5" t="s">
        <v>129</v>
      </c>
      <c r="T1" s="5" t="s">
        <v>130</v>
      </c>
      <c r="U1" s="5" t="s">
        <v>131</v>
      </c>
      <c r="V1" s="5" t="s">
        <v>132</v>
      </c>
      <c r="W1" s="5" t="s">
        <v>133</v>
      </c>
      <c r="X1" s="6" t="s">
        <v>6</v>
      </c>
      <c r="Y1" t="s">
        <v>148</v>
      </c>
      <c r="Z1" s="5" t="s">
        <v>200</v>
      </c>
      <c r="AA1" s="5" t="s">
        <v>134</v>
      </c>
      <c r="AB1" t="s">
        <v>135</v>
      </c>
      <c r="AC1" s="6" t="s">
        <v>108</v>
      </c>
      <c r="AD1" s="29" t="s">
        <v>243</v>
      </c>
      <c r="AE1" s="6" t="s">
        <v>15</v>
      </c>
    </row>
    <row r="2" spans="1:35" ht="36" customHeight="1" x14ac:dyDescent="0.15">
      <c r="A2" s="1">
        <v>2</v>
      </c>
      <c r="B2" s="6" t="s">
        <v>8</v>
      </c>
      <c r="C2" s="6">
        <v>20180517001</v>
      </c>
      <c r="D2" s="6" t="s">
        <v>23</v>
      </c>
      <c r="E2" s="6" t="s">
        <v>25</v>
      </c>
      <c r="F2" s="7" t="str">
        <f>'5Of11Source'!$J$2</f>
        <v>01 02 03 04 05 06 07 08 09 10 11,01 02 03 04 05 06 07 08 09 10 11,01 02 03 04 05 06 07 08 09 10 11</v>
      </c>
      <c r="G2" s="20">
        <f>'5Of11Source'!F2:F4</f>
        <v>2</v>
      </c>
      <c r="H2" s="6">
        <v>1</v>
      </c>
      <c r="I2" s="6">
        <f t="shared" ref="I2:I38" si="0">AC2*G2*2</f>
        <v>3960</v>
      </c>
      <c r="J2" s="22">
        <f t="shared" ref="J2:J65" si="1">SUM(N2:W2)</f>
        <v>134.64000000000001</v>
      </c>
      <c r="K2" s="22">
        <f>'5Of11Source'!I2:I4</f>
        <v>3821.4</v>
      </c>
      <c r="L2" s="6">
        <f>AE2-I2+K2</f>
        <v>999999861.39999998</v>
      </c>
      <c r="M2" s="5" t="str">
        <f>'5Of11Source'!P$2</f>
        <v>03,06,07,08,10</v>
      </c>
      <c r="N2" s="20">
        <f>IF(ISNUMBER(agent!$O$6*(K2/Z2)*Y2),TRUNC(agent!$O$6*(K2/Z2)*Y2,3),"没有上级")</f>
        <v>3.96</v>
      </c>
      <c r="O2" s="20">
        <f>IF(ISNUMBER(agent!$O$9*(K2/Z2)*Y2),TRUNC(agent!$O$9*(K2/Z2)*Y2,3),"没有上级")</f>
        <v>23.76</v>
      </c>
      <c r="P2" s="20">
        <f>IF(ISNUMBER(agent!$O$12*(K2/Z2)*Y2),TRUNC(agent!$O$12*(K2/Z2)*Y2,3),"没有上级")</f>
        <v>7.92</v>
      </c>
      <c r="Q2" s="20">
        <f>IF(ISNUMBER(agent!$O$15*(K2/Z2)*Y2),TRUNC(agent!$O$15*(K2/Z2)*Y2,3),"没有上级")</f>
        <v>15.84</v>
      </c>
      <c r="R2" s="20">
        <f>IF(ISNUMBER(agent!$O$18*(K2/Z2)*Y2),TRUNC(agent!$O$18*(K2/Z2)*Y2,3),"没有上级")</f>
        <v>11.88</v>
      </c>
      <c r="S2" s="20">
        <f>IF(ISNUMBER(agent!$O$21*(K2/Z2)*Y2),TRUNC(agent!$O$21*(K2/Z2)*Y2,3),"没有上级")</f>
        <v>3.96</v>
      </c>
      <c r="T2" s="20">
        <f>IF(ISNUMBER(agent!$O$24*(K2/Z2)*Y2),TRUNC(agent!$O$24*(K2/Z2)*Y2,3),"没有上级")</f>
        <v>27.72</v>
      </c>
      <c r="U2" s="20">
        <f>IF(ISNUMBER(agent!$O$27*(K2/Z2)*Y2),TRUNC(agent!$O$27*(K2/Z2)*Y2,3),"没有上级")</f>
        <v>11.88</v>
      </c>
      <c r="V2" s="20">
        <f>IF(ISNUMBER(agent!$O$30*(K2/Z2)*Y2),TRUNC(agent!$O$30*(K2/Z2)*Y2,3),"没有上级")</f>
        <v>15.84</v>
      </c>
      <c r="W2" s="20">
        <f>IF(ISNUMBER(agent!$O$33*(K2/Z2)*Y2),TRUNC(agent!$O$33*(K2/Z2)*Y2,3),"没有上级")</f>
        <v>11.88</v>
      </c>
      <c r="X2" s="6" t="s">
        <v>9</v>
      </c>
      <c r="Y2">
        <f>TRUNC(1.98,3)</f>
        <v>1.98</v>
      </c>
      <c r="Z2" s="6">
        <f>TRUNC(AB2-(9.9-agent!L$3)*10*Y2,3)</f>
        <v>1910.7</v>
      </c>
      <c r="AA2" s="11">
        <f>'5Of11Source'!X$2</f>
        <v>0</v>
      </c>
      <c r="AB2">
        <f>TRUNC(AD2+Y2*99,4)</f>
        <v>1978.02</v>
      </c>
      <c r="AC2" s="6">
        <f>'5Of11Source'!E2:E4</f>
        <v>990</v>
      </c>
      <c r="AD2" s="23">
        <v>1782</v>
      </c>
      <c r="AE2" s="6">
        <v>1000000000</v>
      </c>
    </row>
    <row r="3" spans="1:35" x14ac:dyDescent="0.15">
      <c r="A3" s="6">
        <v>7</v>
      </c>
      <c r="D3" s="6" t="s">
        <v>23</v>
      </c>
      <c r="E3" s="6" t="s">
        <v>32</v>
      </c>
      <c r="F3" s="7" t="str">
        <f>'5Of11Source'!$J$5</f>
        <v>01 02 03,04 05 06,07 08 09,02 05 07</v>
      </c>
      <c r="G3" s="20">
        <f>'5Of11Source'!F5</f>
        <v>5</v>
      </c>
      <c r="H3" s="20">
        <v>1</v>
      </c>
      <c r="I3" s="6">
        <f t="shared" si="0"/>
        <v>40</v>
      </c>
      <c r="J3" s="22">
        <f t="shared" si="1"/>
        <v>0</v>
      </c>
      <c r="K3" s="22">
        <f>'5Of11Source'!I5</f>
        <v>0</v>
      </c>
      <c r="L3" s="6">
        <f t="shared" ref="L3:L38" si="2">$L2-$I3+$K3</f>
        <v>999999821.39999998</v>
      </c>
      <c r="M3" s="24" t="str">
        <f>M2</f>
        <v>03,06,07,08,10</v>
      </c>
      <c r="N3" s="23">
        <f>IF(ISNUMBER(agent!$O$6*(K3/Z3)*Y3),TRUNC(agent!$O$6*(K3/Z3)*Y3,3),"没有上级")</f>
        <v>0</v>
      </c>
      <c r="O3" s="23">
        <f>IF(ISNUMBER(agent!$O$9*(K3/Z3)*Y3),TRUNC(agent!$O$9*(K3/Z3)*Y3,3),"没有上级")</f>
        <v>0</v>
      </c>
      <c r="P3" s="23">
        <f>IF(ISNUMBER(agent!$O$12*(K3/Z3)*Y3),TRUNC(agent!$O$12*(K3/Z3)*Y3,3),"没有上级")</f>
        <v>0</v>
      </c>
      <c r="Q3" s="23">
        <f>IF(ISNUMBER(agent!$O$15*(K3/Z3)*Y3),TRUNC(agent!$O$15*(K3/Z3)*Y3,3),"没有上级")</f>
        <v>0</v>
      </c>
      <c r="R3" s="23">
        <f>IF(ISNUMBER(agent!$O$18*(K3/Z3)*Y3),TRUNC(agent!$O$18*(K3/Z3)*Y3,3),"没有上级")</f>
        <v>0</v>
      </c>
      <c r="S3" s="23">
        <f>IF(ISNUMBER(agent!$O$21*(K3/Z3)*Y3),TRUNC(agent!$O$21*(K3/Z3)*Y3,3),"没有上级")</f>
        <v>0</v>
      </c>
      <c r="T3" s="23">
        <f>IF(ISNUMBER(agent!$O$24*(K3/Z3)*Y3),TRUNC(agent!$O$24*(K3/Z3)*Y3,3),"没有上级")</f>
        <v>0</v>
      </c>
      <c r="U3" s="23">
        <f>IF(ISNUMBER(agent!$O$27*(K3/Z3)*Y3),TRUNC(agent!$O$27*(K3/Z3)*Y3,3),"没有上级")</f>
        <v>0</v>
      </c>
      <c r="V3" s="23">
        <f>IF(ISNUMBER(agent!$O$30*(K3/Z3)*Y3),TRUNC(agent!$O$30*(K3/Z3)*Y3,3),"没有上级")</f>
        <v>0</v>
      </c>
      <c r="W3" s="23">
        <f>IF(ISNUMBER(agent!$O$33*(K3/Z3)*Y3),TRUNC(agent!$O$33*(K3/Z3)*Y3,3),"没有上级")</f>
        <v>0</v>
      </c>
      <c r="X3" s="6" t="s">
        <v>10</v>
      </c>
      <c r="Y3">
        <f>TRUNC(1.98,3)</f>
        <v>1.98</v>
      </c>
      <c r="Z3" s="20">
        <f>TRUNC(AB3-(9.9-agent!L$3)*10*Y3,3)</f>
        <v>1910.7</v>
      </c>
      <c r="AA3" s="11">
        <f>'5Of11Source'!X$2</f>
        <v>0</v>
      </c>
      <c r="AB3">
        <f t="shared" ref="AB3:AB13" si="3">TRUNC(AD3+Y3*99,4)</f>
        <v>1978.02</v>
      </c>
      <c r="AC3" s="6">
        <f>'5Of11Source'!E5</f>
        <v>4</v>
      </c>
      <c r="AD3" s="23">
        <v>1782</v>
      </c>
      <c r="AF3" s="5" t="s">
        <v>136</v>
      </c>
      <c r="AH3" s="7"/>
    </row>
    <row r="4" spans="1:35" ht="27" x14ac:dyDescent="0.15">
      <c r="A4" s="6">
        <v>9</v>
      </c>
      <c r="D4" s="6" t="s">
        <v>23</v>
      </c>
      <c r="E4" s="6" t="s">
        <v>35</v>
      </c>
      <c r="F4" s="7" t="str">
        <f>'5Of11Source'!$J$6</f>
        <v>01 02 03 04 05 06 07 08 09 10 11</v>
      </c>
      <c r="G4" s="20">
        <f>'5Of11Source'!F6</f>
        <v>3</v>
      </c>
      <c r="H4" s="20">
        <v>1</v>
      </c>
      <c r="I4" s="6">
        <f t="shared" si="0"/>
        <v>990</v>
      </c>
      <c r="J4" s="22">
        <f t="shared" si="1"/>
        <v>33.558</v>
      </c>
      <c r="K4" s="22">
        <f>'5Of11Source'!I6</f>
        <v>955.15499999999997</v>
      </c>
      <c r="L4" s="6">
        <f t="shared" si="2"/>
        <v>999999786.55499995</v>
      </c>
      <c r="M4" s="24" t="str">
        <f>M3</f>
        <v>03,06,07,08,10</v>
      </c>
      <c r="N4" s="23">
        <f>IF(ISNUMBER(agent!$O$6*(K4/Z4)*Y4),TRUNC(agent!$O$6*(K4/Z4)*Y4,3),"没有上级")</f>
        <v>0.98699999999999999</v>
      </c>
      <c r="O4" s="23">
        <f>IF(ISNUMBER(agent!$O$9*(K4/Z4)*Y4),TRUNC(agent!$O$9*(K4/Z4)*Y4,3),"没有上级")</f>
        <v>5.9219999999999997</v>
      </c>
      <c r="P4" s="23">
        <f>IF(ISNUMBER(agent!$O$12*(K4/Z4)*Y4),TRUNC(agent!$O$12*(K4/Z4)*Y4,3),"没有上级")</f>
        <v>1.974</v>
      </c>
      <c r="Q4" s="23">
        <f>IF(ISNUMBER(agent!$O$15*(K4/Z4)*Y4),TRUNC(agent!$O$15*(K4/Z4)*Y4,3),"没有上级")</f>
        <v>3.948</v>
      </c>
      <c r="R4" s="23">
        <f>IF(ISNUMBER(agent!$O$18*(K4/Z4)*Y4),TRUNC(agent!$O$18*(K4/Z4)*Y4,3),"没有上级")</f>
        <v>2.9609999999999999</v>
      </c>
      <c r="S4" s="23">
        <f>IF(ISNUMBER(agent!$O$21*(K4/Z4)*Y4),TRUNC(agent!$O$21*(K4/Z4)*Y4,3),"没有上级")</f>
        <v>0.98699999999999999</v>
      </c>
      <c r="T4" s="23">
        <f>IF(ISNUMBER(agent!$O$24*(K4/Z4)*Y4),TRUNC(agent!$O$24*(K4/Z4)*Y4,3),"没有上级")</f>
        <v>6.9089999999999998</v>
      </c>
      <c r="U4" s="23">
        <f>IF(ISNUMBER(agent!$O$27*(K4/Z4)*Y4),TRUNC(agent!$O$27*(K4/Z4)*Y4,3),"没有上级")</f>
        <v>2.9609999999999999</v>
      </c>
      <c r="V4" s="23">
        <f>IF(ISNUMBER(agent!$O$30*(K4/Z4)*Y4),TRUNC(agent!$O$30*(K4/Z4)*Y4,3),"没有上级")</f>
        <v>3.948</v>
      </c>
      <c r="W4" s="23">
        <f>IF(ISNUMBER(agent!$O$33*(K4/Z4)*Y4),TRUNC(agent!$O$33*(K4/Z4)*Y4,3),"没有上级")</f>
        <v>2.9609999999999999</v>
      </c>
      <c r="Y4">
        <f>TRUNC(0.329857,3)</f>
        <v>0.32900000000000001</v>
      </c>
      <c r="Z4" s="20">
        <f>TRUNC(AB4-(9.9-agent!L$3)*10*Y4,3)</f>
        <v>318.38499999999999</v>
      </c>
      <c r="AA4" s="11">
        <f>'5Of11Source'!X$2</f>
        <v>0</v>
      </c>
      <c r="AB4">
        <f t="shared" si="3"/>
        <v>329.57100000000003</v>
      </c>
      <c r="AC4" s="28">
        <f>'5Of11Source'!E6</f>
        <v>165</v>
      </c>
      <c r="AD4" s="23">
        <v>297</v>
      </c>
      <c r="AF4" s="5" t="s">
        <v>137</v>
      </c>
      <c r="AG4" s="5" t="s">
        <v>145</v>
      </c>
      <c r="AH4" s="9" t="s">
        <v>146</v>
      </c>
      <c r="AI4" s="5" t="s">
        <v>147</v>
      </c>
    </row>
    <row r="5" spans="1:35" x14ac:dyDescent="0.15">
      <c r="A5" s="6">
        <v>10</v>
      </c>
      <c r="D5" s="6" t="s">
        <v>23</v>
      </c>
      <c r="E5" s="6" t="s">
        <v>36</v>
      </c>
      <c r="F5" s="7" t="str">
        <f>'5Of11Source'!$D$7</f>
        <v>01 02 03,06 07 08,09 10 11,05 02 07</v>
      </c>
      <c r="G5" s="20">
        <f>'5Of11Source'!F7</f>
        <v>4</v>
      </c>
      <c r="H5" s="20">
        <v>1</v>
      </c>
      <c r="I5" s="6">
        <f t="shared" si="0"/>
        <v>32</v>
      </c>
      <c r="J5" s="22">
        <f t="shared" si="1"/>
        <v>0</v>
      </c>
      <c r="K5" s="22">
        <f>'5Of11Source'!I7</f>
        <v>0</v>
      </c>
      <c r="L5" s="6">
        <f t="shared" si="2"/>
        <v>999999754.55499995</v>
      </c>
      <c r="M5" s="24" t="str">
        <f>M4</f>
        <v>03,06,07,08,10</v>
      </c>
      <c r="N5" s="23">
        <f>IF(ISNUMBER(agent!$O$6*(K5/Z5)*Y5),TRUNC(agent!$O$6*(K5/Z5)*Y5,3),"没有上级")</f>
        <v>0</v>
      </c>
      <c r="O5" s="23">
        <f>IF(ISNUMBER(agent!$O$9*(K5/Z5)*Y5),TRUNC(agent!$O$9*(K5/Z5)*Y5,3),"没有上级")</f>
        <v>0</v>
      </c>
      <c r="P5" s="23">
        <f>IF(ISNUMBER(agent!$O$12*(K5/Z5)*Y5),TRUNC(agent!$O$12*(K5/Z5)*Y5,3),"没有上级")</f>
        <v>0</v>
      </c>
      <c r="Q5" s="23">
        <f>IF(ISNUMBER(agent!$O$15*(K5/Z5)*Y5),TRUNC(agent!$O$15*(K5/Z5)*Y5,3),"没有上级")</f>
        <v>0</v>
      </c>
      <c r="R5" s="23">
        <f>IF(ISNUMBER(agent!$O$18*(K5/Z5)*Y5),TRUNC(agent!$O$18*(K5/Z5)*Y5,3),"没有上级")</f>
        <v>0</v>
      </c>
      <c r="S5" s="23">
        <f>IF(ISNUMBER(agent!$O$21*(K5/Z5)*Y5),TRUNC(agent!$O$21*(K5/Z5)*Y5,3),"没有上级")</f>
        <v>0</v>
      </c>
      <c r="T5" s="23">
        <f>IF(ISNUMBER(agent!$O$24*(K5/Z5)*Y5),TRUNC(agent!$O$24*(K5/Z5)*Y5,3),"没有上级")</f>
        <v>0</v>
      </c>
      <c r="U5" s="23">
        <f>IF(ISNUMBER(agent!$O$27*(K5/Z5)*Y5),TRUNC(agent!$O$27*(K5/Z5)*Y5,3),"没有上级")</f>
        <v>0</v>
      </c>
      <c r="V5" s="23">
        <f>IF(ISNUMBER(agent!$O$30*(K5/Z5)*Y5),TRUNC(agent!$O$30*(K5/Z5)*Y5,3),"没有上级")</f>
        <v>0</v>
      </c>
      <c r="W5" s="23">
        <f>IF(ISNUMBER(agent!$O$33*(K5/Z5)*Y5),TRUNC(agent!$O$33*(K5/Z5)*Y5,3),"没有上级")</f>
        <v>0</v>
      </c>
      <c r="Y5">
        <f>TRUNC(0.329857,3)</f>
        <v>0.32900000000000001</v>
      </c>
      <c r="Z5" s="20">
        <f>TRUNC(AB5-(9.9-agent!L$3)*10*Y5,3)</f>
        <v>318.38499999999999</v>
      </c>
      <c r="AA5" s="11">
        <f>'5Of11Source'!X$2</f>
        <v>0</v>
      </c>
      <c r="AB5">
        <f t="shared" si="3"/>
        <v>329.57100000000003</v>
      </c>
      <c r="AC5" s="28">
        <f>'5Of11Source'!E7</f>
        <v>4</v>
      </c>
      <c r="AD5" s="23">
        <v>297</v>
      </c>
      <c r="AF5" s="5" t="s">
        <v>138</v>
      </c>
      <c r="AG5" s="6">
        <f>TRUNC(0.154,3)</f>
        <v>0.154</v>
      </c>
      <c r="AH5" s="7">
        <f>TRUNC(AI5-(9.9-agent!$L$3)*AG5,3)</f>
        <v>212.72200000000001</v>
      </c>
      <c r="AI5" s="6">
        <f t="shared" ref="AI5:AI10" si="4">TRUNC(AD45+AG5*99,4)</f>
        <v>213.24600000000001</v>
      </c>
    </row>
    <row r="6" spans="1:35" x14ac:dyDescent="0.15">
      <c r="A6" s="6">
        <v>11</v>
      </c>
      <c r="D6" s="6" t="s">
        <v>23</v>
      </c>
      <c r="E6" s="6" t="s">
        <v>38</v>
      </c>
      <c r="F6" s="7" t="str">
        <f>'5Of11Source'!$J$8</f>
        <v>07,01 02 03 04 05 06 08 09 10 11</v>
      </c>
      <c r="G6" s="20">
        <f>'5Of11Source'!F8</f>
        <v>2</v>
      </c>
      <c r="H6" s="20">
        <v>1</v>
      </c>
      <c r="I6" s="6">
        <f t="shared" si="0"/>
        <v>180</v>
      </c>
      <c r="J6" s="22">
        <f t="shared" si="1"/>
        <v>0</v>
      </c>
      <c r="K6" s="22">
        <f>'5Of11Source'!I8</f>
        <v>0</v>
      </c>
      <c r="L6" s="6">
        <f t="shared" si="2"/>
        <v>999999574.55499995</v>
      </c>
      <c r="M6" s="24" t="str">
        <f>M5</f>
        <v>03,06,07,08,10</v>
      </c>
      <c r="N6" s="23">
        <f>IF(ISNUMBER(agent!$O$6*(K6/Z6)*Y6),TRUNC(agent!$O$6*(K6/Z6)*Y6,3),"没有上级")</f>
        <v>0</v>
      </c>
      <c r="O6" s="23">
        <f>IF(ISNUMBER(agent!$O$9*(K6/Z6)*Y6),TRUNC(agent!$O$9*(K6/Z6)*Y6,3),"没有上级")</f>
        <v>0</v>
      </c>
      <c r="P6" s="23">
        <f>IF(ISNUMBER(agent!$O$12*(K6/Z6)*Y6),TRUNC(agent!$O$12*(K6/Z6)*Y6,3),"没有上级")</f>
        <v>0</v>
      </c>
      <c r="Q6" s="23">
        <f>IF(ISNUMBER(agent!$O$15*(K6/Z6)*Y6),TRUNC(agent!$O$15*(K6/Z6)*Y6,3),"没有上级")</f>
        <v>0</v>
      </c>
      <c r="R6" s="23">
        <f>IF(ISNUMBER(agent!$O$18*(K6/Z6)*Y6),TRUNC(agent!$O$18*(K6/Z6)*Y6,3),"没有上级")</f>
        <v>0</v>
      </c>
      <c r="S6" s="23">
        <f>IF(ISNUMBER(agent!$O$21*(K6/Z6)*Y6),TRUNC(agent!$O$21*(K6/Z6)*Y6,3),"没有上级")</f>
        <v>0</v>
      </c>
      <c r="T6" s="23">
        <f>IF(ISNUMBER(agent!$O$24*(K6/Z6)*Y6),TRUNC(agent!$O$24*(K6/Z6)*Y6,3),"没有上级")</f>
        <v>0</v>
      </c>
      <c r="U6" s="23">
        <f>IF(ISNUMBER(agent!$O$27*(K6/Z6)*Y6),TRUNC(agent!$O$27*(K6/Z6)*Y6,3),"没有上级")</f>
        <v>0</v>
      </c>
      <c r="V6" s="23">
        <f>IF(ISNUMBER(agent!$O$30*(K6/Z6)*Y6),TRUNC(agent!$O$30*(K6/Z6)*Y6,3),"没有上级")</f>
        <v>0</v>
      </c>
      <c r="W6" s="23">
        <f>IF(ISNUMBER(agent!$O$33*(K6/Z6)*Y6),TRUNC(agent!$O$33*(K6/Z6)*Y6,3),"没有上级")</f>
        <v>0</v>
      </c>
      <c r="Y6">
        <f>TRUNC(0.329857,3)</f>
        <v>0.32900000000000001</v>
      </c>
      <c r="Z6" s="20">
        <f>TRUNC(AB6-(9.9-agent!L$3)*10*Y6,3)</f>
        <v>318.38499999999999</v>
      </c>
      <c r="AA6" s="11">
        <f>'5Of11Source'!X$2</f>
        <v>0</v>
      </c>
      <c r="AB6">
        <f t="shared" si="3"/>
        <v>329.57100000000003</v>
      </c>
      <c r="AC6" s="6">
        <f>'5Of11Source'!E8</f>
        <v>45</v>
      </c>
      <c r="AD6" s="23">
        <v>297</v>
      </c>
      <c r="AF6" s="5" t="s">
        <v>139</v>
      </c>
      <c r="AG6" s="11">
        <f>TRUNC(0.01242857,3)</f>
        <v>1.2E-2</v>
      </c>
      <c r="AH6" s="17">
        <f>TRUNC(AI6-(9.9-agent!$L$3)*AG6,3)</f>
        <v>100.14700000000001</v>
      </c>
      <c r="AI6" s="23">
        <f t="shared" si="4"/>
        <v>100.188</v>
      </c>
    </row>
    <row r="7" spans="1:35" ht="27" x14ac:dyDescent="0.15">
      <c r="A7" s="6">
        <v>12</v>
      </c>
      <c r="D7" s="6" t="s">
        <v>41</v>
      </c>
      <c r="E7" s="6" t="s">
        <v>43</v>
      </c>
      <c r="F7" s="7" t="str">
        <f>'5Of11Source'!$J$10</f>
        <v>01 02 03 04 05 06 07 08 09 10 11,01 02 03 04 05 06 07 08 09 10 11</v>
      </c>
      <c r="G7" s="20">
        <f>'5Of11Source'!F10</f>
        <v>5</v>
      </c>
      <c r="H7" s="20">
        <v>1</v>
      </c>
      <c r="I7" s="6">
        <f t="shared" si="0"/>
        <v>1100</v>
      </c>
      <c r="J7" s="22">
        <f t="shared" si="1"/>
        <v>37.4</v>
      </c>
      <c r="K7" s="22">
        <f>'5Of11Source'!I10</f>
        <v>1061.5</v>
      </c>
      <c r="L7" s="6">
        <f t="shared" si="2"/>
        <v>999999536.05499995</v>
      </c>
      <c r="M7" s="24" t="str">
        <f>M6</f>
        <v>03,06,07,08,10</v>
      </c>
      <c r="N7" s="23">
        <f>IF(ISNUMBER(agent!$O$6*(K7/Z7)*Y7),TRUNC(agent!$O$6*(K7/Z7)*Y7,3),"没有上级")</f>
        <v>1.1000000000000001</v>
      </c>
      <c r="O7" s="23">
        <f>IF(ISNUMBER(agent!$O$9*(K7/Z7)*Y7),TRUNC(agent!$O$9*(K7/Z7)*Y7,3),"没有上级")</f>
        <v>6.6</v>
      </c>
      <c r="P7" s="23">
        <f>IF(ISNUMBER(agent!$O$12*(K7/Z7)*Y7),TRUNC(agent!$O$12*(K7/Z7)*Y7,3),"没有上级")</f>
        <v>2.2000000000000002</v>
      </c>
      <c r="Q7" s="23">
        <f>IF(ISNUMBER(agent!$O$15*(K7/Z7)*Y7),TRUNC(agent!$O$15*(K7/Z7)*Y7,3),"没有上级")</f>
        <v>4.4000000000000004</v>
      </c>
      <c r="R7" s="23">
        <f>IF(ISNUMBER(agent!$O$18*(K7/Z7)*Y7),TRUNC(agent!$O$18*(K7/Z7)*Y7,3),"没有上级")</f>
        <v>3.3</v>
      </c>
      <c r="S7" s="23">
        <f>IF(ISNUMBER(agent!$O$21*(K7/Z7)*Y7),TRUNC(agent!$O$21*(K7/Z7)*Y7,3),"没有上级")</f>
        <v>1.1000000000000001</v>
      </c>
      <c r="T7" s="23">
        <f>IF(ISNUMBER(agent!$O$24*(K7/Z7)*Y7),TRUNC(agent!$O$24*(K7/Z7)*Y7,3),"没有上级")</f>
        <v>7.7</v>
      </c>
      <c r="U7" s="23">
        <f>IF(ISNUMBER(agent!$O$27*(K7/Z7)*Y7),TRUNC(agent!$O$27*(K7/Z7)*Y7,3),"没有上级")</f>
        <v>3.3</v>
      </c>
      <c r="V7" s="23">
        <f>IF(ISNUMBER(agent!$O$30*(K7/Z7)*Y7),TRUNC(agent!$O$30*(K7/Z7)*Y7,3),"没有上级")</f>
        <v>4.4000000000000004</v>
      </c>
      <c r="W7" s="23">
        <f>IF(ISNUMBER(agent!$O$33*(K7/Z7)*Y7),TRUNC(agent!$O$33*(K7/Z7)*Y7,3),"没有上级")</f>
        <v>3.3</v>
      </c>
      <c r="X7" s="6" t="s">
        <v>12</v>
      </c>
      <c r="Y7">
        <f>TRUNC(0.22,3)</f>
        <v>0.22</v>
      </c>
      <c r="Z7" s="20">
        <f>TRUNC(AB7-(9.9-agent!L$3)*10*Y7,3)</f>
        <v>212.3</v>
      </c>
      <c r="AA7" s="11">
        <f>'5Of11Source'!X$2</f>
        <v>0</v>
      </c>
      <c r="AB7">
        <f t="shared" si="3"/>
        <v>219.78</v>
      </c>
      <c r="AC7" s="8">
        <f>'5Of11Source'!E10</f>
        <v>110</v>
      </c>
      <c r="AD7" s="23">
        <v>198</v>
      </c>
      <c r="AF7" s="5" t="s">
        <v>140</v>
      </c>
      <c r="AG7" s="11">
        <f>TRUNC(0.0047,3)</f>
        <v>4.0000000000000001E-3</v>
      </c>
      <c r="AH7" s="17">
        <f>TRUNC(AI7-(9.9-agent!$L$3)*AG7,3)</f>
        <v>99.382000000000005</v>
      </c>
      <c r="AI7" s="23">
        <f t="shared" si="4"/>
        <v>99.396000000000001</v>
      </c>
    </row>
    <row r="8" spans="1:35" x14ac:dyDescent="0.15">
      <c r="A8" s="6">
        <v>13</v>
      </c>
      <c r="D8" s="6" t="s">
        <v>41</v>
      </c>
      <c r="E8" s="6" t="s">
        <v>45</v>
      </c>
      <c r="F8" s="7" t="str">
        <f>'5Of11Source'!$J$12</f>
        <v>01 02,02 05,05 02,07 08,09 10</v>
      </c>
      <c r="G8" s="20">
        <f>'5Of11Source'!F12</f>
        <v>3</v>
      </c>
      <c r="H8" s="20">
        <v>1</v>
      </c>
      <c r="I8" s="6">
        <f t="shared" si="0"/>
        <v>30</v>
      </c>
      <c r="J8" s="22">
        <f t="shared" si="1"/>
        <v>0</v>
      </c>
      <c r="K8" s="22">
        <f>'5Of11Source'!I12</f>
        <v>0</v>
      </c>
      <c r="L8" s="6">
        <f t="shared" si="2"/>
        <v>999999506.05499995</v>
      </c>
      <c r="M8" s="24" t="str">
        <f t="shared" ref="M8:M38" si="5">M7</f>
        <v>03,06,07,08,10</v>
      </c>
      <c r="N8" s="23">
        <f>IF(ISNUMBER(agent!$O$6*(K8/Z8)*Y8),TRUNC(agent!$O$6*(K8/Z8)*Y8,3),"没有上级")</f>
        <v>0</v>
      </c>
      <c r="O8" s="23">
        <f>IF(ISNUMBER(agent!$O$9*(K8/Z8)*Y8),TRUNC(agent!$O$9*(K8/Z8)*Y8,3),"没有上级")</f>
        <v>0</v>
      </c>
      <c r="P8" s="23">
        <f>IF(ISNUMBER(agent!$O$12*(K8/Z8)*Y8),TRUNC(agent!$O$12*(K8/Z8)*Y8,3),"没有上级")</f>
        <v>0</v>
      </c>
      <c r="Q8" s="23">
        <f>IF(ISNUMBER(agent!$O$15*(K8/Z8)*Y8),TRUNC(agent!$O$15*(K8/Z8)*Y8,3),"没有上级")</f>
        <v>0</v>
      </c>
      <c r="R8" s="23">
        <f>IF(ISNUMBER(agent!$O$18*(K8/Z8)*Y8),TRUNC(agent!$O$18*(K8/Z8)*Y8,3),"没有上级")</f>
        <v>0</v>
      </c>
      <c r="S8" s="23">
        <f>IF(ISNUMBER(agent!$O$21*(K8/Z8)*Y8),TRUNC(agent!$O$21*(K8/Z8)*Y8,3),"没有上级")</f>
        <v>0</v>
      </c>
      <c r="T8" s="23">
        <f>IF(ISNUMBER(agent!$O$24*(K8/Z8)*Y8),TRUNC(agent!$O$24*(K8/Z8)*Y8,3),"没有上级")</f>
        <v>0</v>
      </c>
      <c r="U8" s="23">
        <f>IF(ISNUMBER(agent!$O$27*(K8/Z8)*Y8),TRUNC(agent!$O$27*(K8/Z8)*Y8,3),"没有上级")</f>
        <v>0</v>
      </c>
      <c r="V8" s="23">
        <f>IF(ISNUMBER(agent!$O$30*(K8/Z8)*Y8),TRUNC(agent!$O$30*(K8/Z8)*Y8,3),"没有上级")</f>
        <v>0</v>
      </c>
      <c r="W8" s="23">
        <f>IF(ISNUMBER(agent!$O$33*(K8/Z8)*Y8),TRUNC(agent!$O$33*(K8/Z8)*Y8,3),"没有上级")</f>
        <v>0</v>
      </c>
      <c r="Y8">
        <f>TRUNC(0.22,3)</f>
        <v>0.22</v>
      </c>
      <c r="Z8" s="20">
        <f>TRUNC(AB8-(9.9-agent!L$3)*10*Y8,3)</f>
        <v>212.3</v>
      </c>
      <c r="AA8" s="11">
        <f>'5Of11Source'!X$2</f>
        <v>0</v>
      </c>
      <c r="AB8">
        <f t="shared" si="3"/>
        <v>219.78</v>
      </c>
      <c r="AC8" s="8">
        <f>'5Of11Source'!E12</f>
        <v>5</v>
      </c>
      <c r="AD8" s="23">
        <v>198</v>
      </c>
      <c r="AF8" s="5" t="s">
        <v>141</v>
      </c>
      <c r="AG8" s="11">
        <f>TRUNC(0.006142857,3)</f>
        <v>6.0000000000000001E-3</v>
      </c>
      <c r="AH8" s="17">
        <f>TRUNC(AI8-(9.9-agent!$L$3)*AG8,3)</f>
        <v>99.572999999999993</v>
      </c>
      <c r="AI8" s="23">
        <f t="shared" si="4"/>
        <v>99.593999999999994</v>
      </c>
    </row>
    <row r="9" spans="1:35" x14ac:dyDescent="0.15">
      <c r="A9" s="6">
        <v>14</v>
      </c>
      <c r="D9" s="6" t="s">
        <v>41</v>
      </c>
      <c r="E9" s="6" t="s">
        <v>47</v>
      </c>
      <c r="F9" s="7" t="str">
        <f>'5Of11Source'!$J$13</f>
        <v>01 02 03 04 05 06 07 08 09 10 11</v>
      </c>
      <c r="G9" s="20">
        <f>'5Of11Source'!F13</f>
        <v>1</v>
      </c>
      <c r="H9" s="20">
        <v>1</v>
      </c>
      <c r="I9" s="6">
        <f t="shared" si="0"/>
        <v>110</v>
      </c>
      <c r="J9" s="22">
        <f t="shared" si="1"/>
        <v>3.74</v>
      </c>
      <c r="K9" s="22">
        <f>'5Of11Source'!I13</f>
        <v>106.15</v>
      </c>
      <c r="L9" s="6">
        <f t="shared" si="2"/>
        <v>999999502.20499992</v>
      </c>
      <c r="M9" s="24" t="str">
        <f t="shared" si="5"/>
        <v>03,06,07,08,10</v>
      </c>
      <c r="N9" s="23">
        <f>IF(ISNUMBER(agent!$O$6*(K9/Z9)*Y9),TRUNC(agent!$O$6*(K9/Z9)*Y9,3),"没有上级")</f>
        <v>0.11</v>
      </c>
      <c r="O9" s="23">
        <f>IF(ISNUMBER(agent!$O$9*(K9/Z9)*Y9),TRUNC(agent!$O$9*(K9/Z9)*Y9,3),"没有上级")</f>
        <v>0.66</v>
      </c>
      <c r="P9" s="23">
        <f>IF(ISNUMBER(agent!$O$12*(K9/Z9)*Y9),TRUNC(agent!$O$12*(K9/Z9)*Y9,3),"没有上级")</f>
        <v>0.22</v>
      </c>
      <c r="Q9" s="23">
        <f>IF(ISNUMBER(agent!$O$15*(K9/Z9)*Y9),TRUNC(agent!$O$15*(K9/Z9)*Y9,3),"没有上级")</f>
        <v>0.44</v>
      </c>
      <c r="R9" s="23">
        <f>IF(ISNUMBER(agent!$O$18*(K9/Z9)*Y9),TRUNC(agent!$O$18*(K9/Z9)*Y9,3),"没有上级")</f>
        <v>0.33</v>
      </c>
      <c r="S9" s="23">
        <f>IF(ISNUMBER(agent!$O$21*(K9/Z9)*Y9),TRUNC(agent!$O$21*(K9/Z9)*Y9,3),"没有上级")</f>
        <v>0.11</v>
      </c>
      <c r="T9" s="23">
        <f>IF(ISNUMBER(agent!$O$24*(K9/Z9)*Y9),TRUNC(agent!$O$24*(K9/Z9)*Y9,3),"没有上级")</f>
        <v>0.77</v>
      </c>
      <c r="U9" s="23">
        <f>IF(ISNUMBER(agent!$O$27*(K9/Z9)*Y9),TRUNC(agent!$O$27*(K9/Z9)*Y9,3),"没有上级")</f>
        <v>0.33</v>
      </c>
      <c r="V9" s="23">
        <f>IF(ISNUMBER(agent!$O$30*(K9/Z9)*Y9),TRUNC(agent!$O$30*(K9/Z9)*Y9,3),"没有上级")</f>
        <v>0.44</v>
      </c>
      <c r="W9" s="23">
        <f>IF(ISNUMBER(agent!$O$33*(K9/Z9)*Y9),TRUNC(agent!$O$33*(K9/Z9)*Y9,3),"没有上级")</f>
        <v>0.33</v>
      </c>
      <c r="Y9">
        <f>TRUNC(0.11,3)</f>
        <v>0.11</v>
      </c>
      <c r="Z9" s="20">
        <f>TRUNC(AB9-(9.9-agent!L$3)*10*Y9,3)</f>
        <v>106.15</v>
      </c>
      <c r="AA9" s="11">
        <f>'5Of11Source'!X$2</f>
        <v>0</v>
      </c>
      <c r="AB9">
        <f t="shared" si="3"/>
        <v>109.89</v>
      </c>
      <c r="AC9" s="6">
        <f>'5Of11Source'!E13</f>
        <v>55</v>
      </c>
      <c r="AD9" s="23">
        <v>99</v>
      </c>
      <c r="AF9" s="5" t="s">
        <v>142</v>
      </c>
      <c r="AG9" s="11">
        <f>TRUNC(0.0307,3)</f>
        <v>0.03</v>
      </c>
      <c r="AH9" s="17">
        <f>TRUNC(AI9-(9.9-agent!$L$3)*AG9,3)</f>
        <v>9.468</v>
      </c>
      <c r="AI9" s="23">
        <f t="shared" si="4"/>
        <v>9.57</v>
      </c>
    </row>
    <row r="10" spans="1:35" x14ac:dyDescent="0.15">
      <c r="A10" s="6">
        <v>15</v>
      </c>
      <c r="D10" s="6" t="s">
        <v>41</v>
      </c>
      <c r="E10" s="6" t="s">
        <v>51</v>
      </c>
      <c r="F10" s="7" t="str">
        <f>'5Of11Source'!$J$14</f>
        <v>01 02,02 01,05 02,07 08,09 10,11 07</v>
      </c>
      <c r="G10" s="20">
        <f>'5Of11Source'!F14</f>
        <v>2</v>
      </c>
      <c r="H10" s="20">
        <v>1</v>
      </c>
      <c r="I10" s="6">
        <f t="shared" si="0"/>
        <v>20</v>
      </c>
      <c r="J10" s="22">
        <f t="shared" si="1"/>
        <v>0</v>
      </c>
      <c r="K10" s="22">
        <f>'5Of11Source'!I14</f>
        <v>0</v>
      </c>
      <c r="L10" s="6">
        <f t="shared" si="2"/>
        <v>999999482.20499992</v>
      </c>
      <c r="M10" s="24" t="str">
        <f t="shared" si="5"/>
        <v>03,06,07,08,10</v>
      </c>
      <c r="N10" s="23">
        <f>IF(ISNUMBER(agent!$O$6*(K10/Z10)*Y10),TRUNC(agent!$O$6*(K10/Z10)*Y10,3),"没有上级")</f>
        <v>0</v>
      </c>
      <c r="O10" s="23">
        <f>IF(ISNUMBER(agent!$O$9*(K10/Z10)*Y10),TRUNC(agent!$O$9*(K10/Z10)*Y10,3),"没有上级")</f>
        <v>0</v>
      </c>
      <c r="P10" s="23">
        <f>IF(ISNUMBER(agent!$O$12*(K10/Z10)*Y10),TRUNC(agent!$O$12*(K10/Z10)*Y10,3),"没有上级")</f>
        <v>0</v>
      </c>
      <c r="Q10" s="23">
        <f>IF(ISNUMBER(agent!$O$15*(K10/Z10)*Y10),TRUNC(agent!$O$15*(K10/Z10)*Y10,3),"没有上级")</f>
        <v>0</v>
      </c>
      <c r="R10" s="23">
        <f>IF(ISNUMBER(agent!$O$18*(K10/Z10)*Y10),TRUNC(agent!$O$18*(K10/Z10)*Y10,3),"没有上级")</f>
        <v>0</v>
      </c>
      <c r="S10" s="23">
        <f>IF(ISNUMBER(agent!$O$21*(K10/Z10)*Y10),TRUNC(agent!$O$21*(K10/Z10)*Y10,3),"没有上级")</f>
        <v>0</v>
      </c>
      <c r="T10" s="23">
        <f>IF(ISNUMBER(agent!$O$24*(K10/Z10)*Y10),TRUNC(agent!$O$24*(K10/Z10)*Y10,3),"没有上级")</f>
        <v>0</v>
      </c>
      <c r="U10" s="23">
        <f>IF(ISNUMBER(agent!$O$27*(K10/Z10)*Y10),TRUNC(agent!$O$27*(K10/Z10)*Y10,3),"没有上级")</f>
        <v>0</v>
      </c>
      <c r="V10" s="23">
        <f>IF(ISNUMBER(agent!$O$30*(K10/Z10)*Y10),TRUNC(agent!$O$30*(K10/Z10)*Y10,3),"没有上级")</f>
        <v>0</v>
      </c>
      <c r="W10" s="23">
        <f>IF(ISNUMBER(agent!$O$33*(K10/Z10)*Y10),TRUNC(agent!$O$33*(K10/Z10)*Y10,3),"没有上级")</f>
        <v>0</v>
      </c>
      <c r="Y10">
        <f>TRUNC(0.11,3)</f>
        <v>0.11</v>
      </c>
      <c r="Z10" s="20">
        <f>TRUNC(AB10-(9.9-agent!L$3)*10*Y10,3)</f>
        <v>106.15</v>
      </c>
      <c r="AA10" s="11">
        <f>'5Of11Source'!X$2</f>
        <v>0</v>
      </c>
      <c r="AB10">
        <f t="shared" si="3"/>
        <v>109.89</v>
      </c>
      <c r="AC10" s="28">
        <f>'5Of11Source'!E14</f>
        <v>5</v>
      </c>
      <c r="AD10" s="23">
        <v>99</v>
      </c>
      <c r="AF10" s="5" t="s">
        <v>143</v>
      </c>
      <c r="AG10" s="11">
        <f>TRUNC(0.924,3)</f>
        <v>0.92400000000000004</v>
      </c>
      <c r="AH10" s="17">
        <f>TRUNC(AI10-(9.9-agent!$L$3)*AG10,3)</f>
        <v>108.134</v>
      </c>
      <c r="AI10" s="23">
        <f t="shared" si="4"/>
        <v>111.276</v>
      </c>
    </row>
    <row r="11" spans="1:35" x14ac:dyDescent="0.15">
      <c r="A11" s="6">
        <v>16</v>
      </c>
      <c r="D11" s="6" t="s">
        <v>41</v>
      </c>
      <c r="E11" s="6" t="s">
        <v>49</v>
      </c>
      <c r="F11" s="7" t="str">
        <f>'5Of11Source'!$J$15</f>
        <v>01,02 03 04 05 06 07 08 09 10 11</v>
      </c>
      <c r="G11" s="20">
        <f>'5Of11Source'!F15</f>
        <v>3</v>
      </c>
      <c r="H11" s="20">
        <v>1</v>
      </c>
      <c r="I11" s="6">
        <f t="shared" si="0"/>
        <v>60</v>
      </c>
      <c r="J11" s="22">
        <f t="shared" si="1"/>
        <v>0</v>
      </c>
      <c r="K11" s="22">
        <f>'5Of11Source'!I15</f>
        <v>0</v>
      </c>
      <c r="L11" s="6">
        <f t="shared" si="2"/>
        <v>999999422.20499992</v>
      </c>
      <c r="M11" s="24" t="str">
        <f t="shared" si="5"/>
        <v>03,06,07,08,10</v>
      </c>
      <c r="N11" s="23">
        <f>IF(ISNUMBER(agent!$O$6*(K11/Z11)*Y11),TRUNC(agent!$O$6*(K11/Z11)*Y11,3),"没有上级")</f>
        <v>0</v>
      </c>
      <c r="O11" s="23">
        <f>IF(ISNUMBER(agent!$O$9*(K11/Z11)*Y11),TRUNC(agent!$O$9*(K11/Z11)*Y11,3),"没有上级")</f>
        <v>0</v>
      </c>
      <c r="P11" s="23">
        <f>IF(ISNUMBER(agent!$O$12*(K11/Z11)*Y11),TRUNC(agent!$O$12*(K11/Z11)*Y11,3),"没有上级")</f>
        <v>0</v>
      </c>
      <c r="Q11" s="23">
        <f>IF(ISNUMBER(agent!$O$15*(K11/Z11)*Y11),TRUNC(agent!$O$15*(K11/Z11)*Y11,3),"没有上级")</f>
        <v>0</v>
      </c>
      <c r="R11" s="23">
        <f>IF(ISNUMBER(agent!$O$18*(K11/Z11)*Y11),TRUNC(agent!$O$18*(K11/Z11)*Y11,3),"没有上级")</f>
        <v>0</v>
      </c>
      <c r="S11" s="23">
        <f>IF(ISNUMBER(agent!$O$21*(K11/Z11)*Y11),TRUNC(agent!$O$21*(K11/Z11)*Y11,3),"没有上级")</f>
        <v>0</v>
      </c>
      <c r="T11" s="23">
        <f>IF(ISNUMBER(agent!$O$24*(K11/Z11)*Y11),TRUNC(agent!$O$24*(K11/Z11)*Y11,3),"没有上级")</f>
        <v>0</v>
      </c>
      <c r="U11" s="23">
        <f>IF(ISNUMBER(agent!$O$27*(K11/Z11)*Y11),TRUNC(agent!$O$27*(K11/Z11)*Y11,3),"没有上级")</f>
        <v>0</v>
      </c>
      <c r="V11" s="23">
        <f>IF(ISNUMBER(agent!$O$30*(K11/Z11)*Y11),TRUNC(agent!$O$30*(K11/Z11)*Y11,3),"没有上级")</f>
        <v>0</v>
      </c>
      <c r="W11" s="23">
        <f>IF(ISNUMBER(agent!$O$33*(K11/Z11)*Y11),TRUNC(agent!$O$33*(K11/Z11)*Y11,3),"没有上级")</f>
        <v>0</v>
      </c>
      <c r="X11" s="6" t="s">
        <v>10</v>
      </c>
      <c r="Y11">
        <f>TRUNC(0.11,3)</f>
        <v>0.11</v>
      </c>
      <c r="Z11" s="20">
        <f>TRUNC(AB11-(9.9-agent!L$3)*10*Y11,3)</f>
        <v>106.15</v>
      </c>
      <c r="AA11" s="11">
        <f>'5Of11Source'!X$2</f>
        <v>0</v>
      </c>
      <c r="AB11">
        <f t="shared" si="3"/>
        <v>109.89</v>
      </c>
      <c r="AC11" s="28">
        <f>'5Of11Source'!E15</f>
        <v>10</v>
      </c>
      <c r="AD11" s="23">
        <v>99</v>
      </c>
      <c r="AF11" s="5" t="s">
        <v>144</v>
      </c>
      <c r="AG11" s="11"/>
      <c r="AH11" s="10"/>
      <c r="AI11" s="11"/>
    </row>
    <row r="12" spans="1:35" x14ac:dyDescent="0.15">
      <c r="A12" s="6">
        <v>18</v>
      </c>
      <c r="D12" s="6" t="s">
        <v>56</v>
      </c>
      <c r="E12" s="6" t="s">
        <v>58</v>
      </c>
      <c r="F12" s="7" t="str">
        <f>'5Of11Source'!$J$17</f>
        <v>01 02 03 04 05 06 07 08 09 10 11</v>
      </c>
      <c r="G12" s="20">
        <f>'5Of11Source'!F17</f>
        <v>5</v>
      </c>
      <c r="H12" s="20">
        <v>1</v>
      </c>
      <c r="I12" s="6">
        <f t="shared" si="0"/>
        <v>110</v>
      </c>
      <c r="J12" s="22">
        <f t="shared" si="1"/>
        <v>3.57</v>
      </c>
      <c r="K12" s="22">
        <f>'5Of11Source'!I17</f>
        <v>105.82499999999999</v>
      </c>
      <c r="L12" s="6">
        <f t="shared" si="2"/>
        <v>999999418.02999997</v>
      </c>
      <c r="M12" s="24" t="str">
        <f t="shared" si="5"/>
        <v>03,06,07,08,10</v>
      </c>
      <c r="N12" s="23">
        <f>IF(ISNUMBER(agent!$O$6*(K12/Z12)*Y12),TRUNC(agent!$O$6*(K12/Z12)*Y12,3),"没有上级")</f>
        <v>0.105</v>
      </c>
      <c r="O12" s="23">
        <f>IF(ISNUMBER(agent!$O$9*(K12/Z12)*Y12),TRUNC(agent!$O$9*(K12/Z12)*Y12,3),"没有上级")</f>
        <v>0.63</v>
      </c>
      <c r="P12" s="23">
        <f>IF(ISNUMBER(agent!$O$12*(K12/Z12)*Y12),TRUNC(agent!$O$12*(K12/Z12)*Y12,3),"没有上级")</f>
        <v>0.21</v>
      </c>
      <c r="Q12" s="23">
        <f>IF(ISNUMBER(agent!$O$15*(K12/Z12)*Y12),TRUNC(agent!$O$15*(K12/Z12)*Y12,3),"没有上级")</f>
        <v>0.42</v>
      </c>
      <c r="R12" s="23">
        <f>IF(ISNUMBER(agent!$O$18*(K12/Z12)*Y12),TRUNC(agent!$O$18*(K12/Z12)*Y12,3),"没有上级")</f>
        <v>0.315</v>
      </c>
      <c r="S12" s="23">
        <f>IF(ISNUMBER(agent!$O$21*(K12/Z12)*Y12),TRUNC(agent!$O$21*(K12/Z12)*Y12,3),"没有上级")</f>
        <v>0.105</v>
      </c>
      <c r="T12" s="23">
        <f>IF(ISNUMBER(agent!$O$24*(K12/Z12)*Y12),TRUNC(agent!$O$24*(K12/Z12)*Y12,3),"没有上级")</f>
        <v>0.73499999999999999</v>
      </c>
      <c r="U12" s="23">
        <f>IF(ISNUMBER(agent!$O$27*(K12/Z12)*Y12),TRUNC(agent!$O$27*(K12/Z12)*Y12,3),"没有上级")</f>
        <v>0.315</v>
      </c>
      <c r="V12" s="23">
        <f>IF(ISNUMBER(agent!$O$30*(K12/Z12)*Y12),TRUNC(agent!$O$30*(K12/Z12)*Y12,3),"没有上级")</f>
        <v>0.42</v>
      </c>
      <c r="W12" s="23">
        <f>IF(ISNUMBER(agent!$O$33*(K12/Z12)*Y12),TRUNC(agent!$O$33*(K12/Z12)*Y12,3),"没有上级")</f>
        <v>0.315</v>
      </c>
      <c r="Y12">
        <f>TRUNC(0.0072857,3)</f>
        <v>7.0000000000000001E-3</v>
      </c>
      <c r="Z12" s="20">
        <f>TRUNC(AB12-(9.9-agent!L$3)*10*Y12,3)</f>
        <v>7.0549999999999997</v>
      </c>
      <c r="AA12" s="11">
        <f>'5Of11Source'!X$2</f>
        <v>0</v>
      </c>
      <c r="AB12">
        <f t="shared" si="3"/>
        <v>7.2930000000000001</v>
      </c>
      <c r="AC12" s="28">
        <f>'5Of11Source'!E17</f>
        <v>11</v>
      </c>
      <c r="AD12" s="23">
        <v>6.6</v>
      </c>
      <c r="AF12" s="19" t="str">
        <f>3&amp;"/"&amp;9</f>
        <v>3/9</v>
      </c>
      <c r="AG12" s="11">
        <f>TRUNC(0.033,3)</f>
        <v>3.3000000000000002E-2</v>
      </c>
      <c r="AH12" s="17">
        <f>TRUNC(AI12-(9.9-agent!$L$3)*AG12,3)</f>
        <v>3.1539999999999999</v>
      </c>
      <c r="AI12" s="23">
        <f>TRUNC(AD52+AG12*99,4)</f>
        <v>3.2669999999999999</v>
      </c>
    </row>
    <row r="13" spans="1:35" ht="15.75" customHeight="1" x14ac:dyDescent="0.15">
      <c r="A13" s="6">
        <v>19</v>
      </c>
      <c r="D13" s="6" t="s">
        <v>60</v>
      </c>
      <c r="E13" s="6" t="s">
        <v>61</v>
      </c>
      <c r="F13" s="7" t="str">
        <f>'5Of11Source'!$J$18</f>
        <v>01 02 03 04 05 06 07 08 09 10 11,01 02 03 04 05 06 07 08 09 10 11,01 02 03 04 05 06 07 08 09 10 11</v>
      </c>
      <c r="G13" s="20">
        <f>'5Of11Source'!F18</f>
        <v>2</v>
      </c>
      <c r="H13" s="20">
        <v>1</v>
      </c>
      <c r="I13" s="6">
        <f t="shared" si="0"/>
        <v>132</v>
      </c>
      <c r="J13" s="22">
        <f t="shared" si="1"/>
        <v>4.4880000000000004</v>
      </c>
      <c r="K13" s="22">
        <f>'5Of11Source'!I18</f>
        <v>127.38</v>
      </c>
      <c r="L13" s="6">
        <f t="shared" si="2"/>
        <v>999999413.40999997</v>
      </c>
      <c r="M13" s="24" t="str">
        <f t="shared" si="5"/>
        <v>03,06,07,08,10</v>
      </c>
      <c r="N13" s="23">
        <f>IF(ISNUMBER(agent!$O$6*(K13/Z13)*Y13),TRUNC(agent!$O$6*(K13/Z13)*Y13,3),"没有上级")</f>
        <v>0.13200000000000001</v>
      </c>
      <c r="O13" s="23">
        <f>IF(ISNUMBER(agent!$O$9*(K13/Z13)*Y13),TRUNC(agent!$O$9*(K13/Z13)*Y13,3),"没有上级")</f>
        <v>0.79200000000000004</v>
      </c>
      <c r="P13" s="23">
        <f>IF(ISNUMBER(agent!$O$12*(K13/Z13)*Y13),TRUNC(agent!$O$12*(K13/Z13)*Y13,3),"没有上级")</f>
        <v>0.26400000000000001</v>
      </c>
      <c r="Q13" s="23">
        <f>IF(ISNUMBER(agent!$O$15*(K13/Z13)*Y13),TRUNC(agent!$O$15*(K13/Z13)*Y13,3),"没有上级")</f>
        <v>0.52800000000000002</v>
      </c>
      <c r="R13" s="23">
        <f>IF(ISNUMBER(agent!$O$18*(K13/Z13)*Y13),TRUNC(agent!$O$18*(K13/Z13)*Y13,3),"没有上级")</f>
        <v>0.39600000000000002</v>
      </c>
      <c r="S13" s="23">
        <f>IF(ISNUMBER(agent!$O$21*(K13/Z13)*Y13),TRUNC(agent!$O$21*(K13/Z13)*Y13,3),"没有上级")</f>
        <v>0.13200000000000001</v>
      </c>
      <c r="T13" s="23">
        <f>IF(ISNUMBER(agent!$O$24*(K13/Z13)*Y13),TRUNC(agent!$O$24*(K13/Z13)*Y13,3),"没有上级")</f>
        <v>0.92400000000000004</v>
      </c>
      <c r="U13" s="23">
        <f>IF(ISNUMBER(agent!$O$27*(K13/Z13)*Y13),TRUNC(agent!$O$27*(K13/Z13)*Y13,3),"没有上级")</f>
        <v>0.39600000000000002</v>
      </c>
      <c r="V13" s="23">
        <f>IF(ISNUMBER(agent!$O$30*(K13/Z13)*Y13),TRUNC(agent!$O$30*(K13/Z13)*Y13,3),"没有上级")</f>
        <v>0.52800000000000002</v>
      </c>
      <c r="W13" s="23">
        <f>IF(ISNUMBER(agent!$O$33*(K13/Z13)*Y13),TRUNC(agent!$O$33*(K13/Z13)*Y13,3),"没有上级")</f>
        <v>0.39600000000000002</v>
      </c>
      <c r="Y13">
        <f>TRUNC(0.022,3)</f>
        <v>2.1999999999999999E-2</v>
      </c>
      <c r="Z13" s="20">
        <f>TRUNC(AB13-(9.9-agent!L$3)*10*Y13,3)</f>
        <v>21.23</v>
      </c>
      <c r="AA13" s="11">
        <f>'5Of11Source'!X$2</f>
        <v>0</v>
      </c>
      <c r="AB13">
        <f t="shared" si="3"/>
        <v>21.978000000000002</v>
      </c>
      <c r="AC13" s="28">
        <f>SUM('5Of11Source'!E18:E20)</f>
        <v>33</v>
      </c>
      <c r="AD13" s="23">
        <v>19.8</v>
      </c>
      <c r="AF13" s="18" t="str">
        <f>4&amp;"/"&amp;8</f>
        <v>4/8</v>
      </c>
      <c r="AG13" s="11">
        <f>TRUNC(0.01457,3)</f>
        <v>1.4E-2</v>
      </c>
      <c r="AH13" s="17">
        <f>TRUNC(AI13-(9.9-agent!$L$3)*AG13,3)</f>
        <v>5.298</v>
      </c>
      <c r="AI13" s="23">
        <f>TRUNC(AD53+AG13*99,4)</f>
        <v>5.3460000000000001</v>
      </c>
    </row>
    <row r="14" spans="1:35" x14ac:dyDescent="0.15">
      <c r="A14" s="6">
        <v>20</v>
      </c>
      <c r="D14" s="6" t="s">
        <v>63</v>
      </c>
      <c r="E14" s="6" t="s">
        <v>65</v>
      </c>
      <c r="F14" s="7" t="str">
        <f>'5Of11Source'!$J$21</f>
        <v>5单0双 4单1双 3单2双 2单3双 1单4双 0单5双</v>
      </c>
      <c r="G14" s="20">
        <f>'5Of11Source'!F21</f>
        <v>5</v>
      </c>
      <c r="H14" s="20">
        <v>1</v>
      </c>
      <c r="I14" s="6">
        <f t="shared" si="0"/>
        <v>60</v>
      </c>
      <c r="J14" s="22">
        <f t="shared" si="1"/>
        <v>1.02</v>
      </c>
      <c r="K14" s="22">
        <f>'5Of11Source'!I21</f>
        <v>29.65</v>
      </c>
      <c r="L14" s="6">
        <f t="shared" si="2"/>
        <v>999999383.05999994</v>
      </c>
      <c r="M14" s="24" t="str">
        <f t="shared" si="5"/>
        <v>03,06,07,08,10</v>
      </c>
      <c r="N14" s="23">
        <f>IF(ISNUMBER(agent!$O$6*(K14/Z14)*Y14),TRUNC(agent!$O$6*(K14/Z14)*Y14,3),"没有上级")</f>
        <v>0.03</v>
      </c>
      <c r="O14" s="23">
        <f>IF(ISNUMBER(agent!$O$9*(K14/Z14)*Y14),TRUNC(agent!$O$9*(K14/Z14)*Y14,3),"没有上级")</f>
        <v>0.18</v>
      </c>
      <c r="P14" s="23">
        <f>IF(ISNUMBER(agent!$O$12*(K14/Z14)*Y14),TRUNC(agent!$O$12*(K14/Z14)*Y14,3),"没有上级")</f>
        <v>0.06</v>
      </c>
      <c r="Q14" s="23">
        <f>IF(ISNUMBER(agent!$O$15*(K14/Z14)*Y14),TRUNC(agent!$O$15*(K14/Z14)*Y14,3),"没有上级")</f>
        <v>0.12</v>
      </c>
      <c r="R14" s="23">
        <f>IF(ISNUMBER(agent!$O$18*(K14/Z14)*Y14),TRUNC(agent!$O$18*(K14/Z14)*Y14,3),"没有上级")</f>
        <v>0.09</v>
      </c>
      <c r="S14" s="23">
        <f>IF(ISNUMBER(agent!$O$21*(K14/Z14)*Y14),TRUNC(agent!$O$21*(K14/Z14)*Y14,3),"没有上级")</f>
        <v>0.03</v>
      </c>
      <c r="T14" s="23">
        <f>IF(ISNUMBER(agent!$O$24*(K14/Z14)*Y14),TRUNC(agent!$O$24*(K14/Z14)*Y14,3),"没有上级")</f>
        <v>0.21</v>
      </c>
      <c r="U14" s="23">
        <f>IF(ISNUMBER(agent!$O$27*(K14/Z14)*Y14),TRUNC(agent!$O$27*(K14/Z14)*Y14,3),"没有上级")</f>
        <v>0.09</v>
      </c>
      <c r="V14" s="23">
        <f>IF(ISNUMBER(agent!$O$30*(K14/Z14)*Y14),TRUNC(agent!$O$30*(K14/Z14)*Y14,3),"没有上级")</f>
        <v>0.12</v>
      </c>
      <c r="W14" s="23">
        <f>IF(ISNUMBER(agent!$O$33*(K14/Z14)*Y14),TRUNC(agent!$O$33*(K14/Z14)*Y14,3),"没有上级")</f>
        <v>0.09</v>
      </c>
      <c r="Y14">
        <f>SUM('5Of11Source'!U15:U20)</f>
        <v>6.0000000000000001E-3</v>
      </c>
      <c r="Z14" s="21">
        <f>'5Of11Source'!K21</f>
        <v>5.93</v>
      </c>
      <c r="AA14" s="11">
        <f>'5Of11Source'!X$2</f>
        <v>0</v>
      </c>
      <c r="AC14" s="28">
        <f>'5Of11Source'!E21</f>
        <v>6</v>
      </c>
      <c r="AF14" s="18" t="str">
        <f>5&amp;"/"&amp;7</f>
        <v>5/7</v>
      </c>
      <c r="AG14" s="11">
        <f>TRUNC(0.010142857,3)</f>
        <v>0.01</v>
      </c>
      <c r="AH14" s="17">
        <f>TRUNC(AI14-(9.9-agent!$L$3)*AG14,3)</f>
        <v>10.856</v>
      </c>
      <c r="AI14" s="23">
        <f>TRUNC(AD54+AG14*99,4)</f>
        <v>10.89</v>
      </c>
    </row>
    <row r="15" spans="1:35" x14ac:dyDescent="0.15">
      <c r="A15" s="6">
        <v>21</v>
      </c>
      <c r="D15" s="6" t="s">
        <v>63</v>
      </c>
      <c r="E15" s="6" t="s">
        <v>68</v>
      </c>
      <c r="F15" s="7" t="str">
        <f>'5Of11Source'!$J$22</f>
        <v>03 04 05 06 07 08 09</v>
      </c>
      <c r="G15" s="20">
        <f>'5Of11Source'!F22</f>
        <v>2</v>
      </c>
      <c r="H15" s="20">
        <v>1</v>
      </c>
      <c r="I15" s="6">
        <f t="shared" si="0"/>
        <v>28</v>
      </c>
      <c r="J15" s="22">
        <f t="shared" si="1"/>
        <v>0.67999999999999994</v>
      </c>
      <c r="K15" s="22">
        <f>'5Of11Source'!I22</f>
        <v>19.78</v>
      </c>
      <c r="L15" s="6">
        <f t="shared" si="2"/>
        <v>999999374.83999991</v>
      </c>
      <c r="M15" s="24" t="str">
        <f t="shared" si="5"/>
        <v>03,06,07,08,10</v>
      </c>
      <c r="N15" s="23">
        <f>IF(ISNUMBER(agent!$O$6*(K15/Z15)*Y15),TRUNC(agent!$O$6*(K15/Z15)*Y15,3),"没有上级")</f>
        <v>0.02</v>
      </c>
      <c r="O15" s="23">
        <f>IF(ISNUMBER(agent!$O$9*(K15/Z15)*Y15),TRUNC(agent!$O$9*(K15/Z15)*Y15,3),"没有上级")</f>
        <v>0.12</v>
      </c>
      <c r="P15" s="23">
        <f>IF(ISNUMBER(agent!$O$12*(K15/Z15)*Y15),TRUNC(agent!$O$12*(K15/Z15)*Y15,3),"没有上级")</f>
        <v>0.04</v>
      </c>
      <c r="Q15" s="23">
        <f>IF(ISNUMBER(agent!$O$15*(K15/Z15)*Y15),TRUNC(agent!$O$15*(K15/Z15)*Y15,3),"没有上级")</f>
        <v>0.08</v>
      </c>
      <c r="R15" s="23">
        <f>IF(ISNUMBER(agent!$O$18*(K15/Z15)*Y15),TRUNC(agent!$O$18*(K15/Z15)*Y15,3),"没有上级")</f>
        <v>0.06</v>
      </c>
      <c r="S15" s="23">
        <f>IF(ISNUMBER(agent!$O$21*(K15/Z15)*Y15),TRUNC(agent!$O$21*(K15/Z15)*Y15,3),"没有上级")</f>
        <v>0.02</v>
      </c>
      <c r="T15" s="23">
        <f>IF(ISNUMBER(agent!$O$24*(K15/Z15)*Y15),TRUNC(agent!$O$24*(K15/Z15)*Y15,3),"没有上级")</f>
        <v>0.14000000000000001</v>
      </c>
      <c r="U15" s="23">
        <f>IF(ISNUMBER(agent!$O$27*(K15/Z15)*Y15),TRUNC(agent!$O$27*(K15/Z15)*Y15,3),"没有上级")</f>
        <v>0.06</v>
      </c>
      <c r="V15" s="23">
        <f>IF(ISNUMBER(agent!$O$30*(K15/Z15)*Y15),TRUNC(agent!$O$30*(K15/Z15)*Y15,3),"没有上级")</f>
        <v>0.08</v>
      </c>
      <c r="W15" s="23">
        <f>IF(ISNUMBER(agent!$O$33*(K15/Z15)*Y15),TRUNC(agent!$O$33*(K15/Z15)*Y15,3),"没有上级")</f>
        <v>0.06</v>
      </c>
      <c r="X15" s="6" t="s">
        <v>12</v>
      </c>
      <c r="Y15">
        <f>SUM('5Of11Source'!U22:U25)</f>
        <v>0.01</v>
      </c>
      <c r="Z15" s="21">
        <f>'5Of11Source'!K22</f>
        <v>9.89</v>
      </c>
      <c r="AA15" s="11">
        <f>'5Of11Source'!X$2</f>
        <v>0</v>
      </c>
      <c r="AC15" s="28">
        <f>'5Of11Source'!E22</f>
        <v>7</v>
      </c>
      <c r="AF15" s="6">
        <v>6</v>
      </c>
      <c r="AG15" s="11">
        <f>TRUNC(0.0092857,3)</f>
        <v>8.9999999999999993E-3</v>
      </c>
      <c r="AH15" s="17">
        <f>TRUNC(AI15-(9.9-agent!$L$3)*AG15,3)</f>
        <v>30.56</v>
      </c>
      <c r="AI15" s="23">
        <f>TRUNC(AD55+AG15*99,4)</f>
        <v>30.591000000000001</v>
      </c>
    </row>
    <row r="16" spans="1:35" x14ac:dyDescent="0.15">
      <c r="A16" s="6">
        <v>22</v>
      </c>
      <c r="D16" s="6" t="s">
        <v>70</v>
      </c>
      <c r="E16" s="6" t="s">
        <v>72</v>
      </c>
      <c r="F16" s="7" t="str">
        <f>'5Of11Source'!$J$23</f>
        <v>01 02 03 04 05 06 07 08 09 10 11</v>
      </c>
      <c r="G16" s="20">
        <f>'5Of11Source'!F23</f>
        <v>1</v>
      </c>
      <c r="H16" s="20">
        <v>1</v>
      </c>
      <c r="I16" s="6">
        <f t="shared" si="0"/>
        <v>22</v>
      </c>
      <c r="J16" s="22">
        <f t="shared" si="1"/>
        <v>0.67999999999999994</v>
      </c>
      <c r="K16" s="22">
        <f>'5Of11Source'!I23</f>
        <v>21.099999999999998</v>
      </c>
      <c r="L16" s="6">
        <f t="shared" si="2"/>
        <v>999999373.93999994</v>
      </c>
      <c r="M16" s="24" t="str">
        <f t="shared" si="5"/>
        <v>03,06,07,08,10</v>
      </c>
      <c r="N16" s="23">
        <f>IF(ISNUMBER(agent!$O$6*(K16/Z16)*Y16),TRUNC(agent!$O$6*(K16/Z16)*Y16,3),"没有上级")</f>
        <v>0.02</v>
      </c>
      <c r="O16" s="23">
        <f>IF(ISNUMBER(agent!$O$9*(K16/Z16)*Y16),TRUNC(agent!$O$9*(K16/Z16)*Y16,3),"没有上级")</f>
        <v>0.12</v>
      </c>
      <c r="P16" s="23">
        <f>IF(ISNUMBER(agent!$O$12*(K16/Z16)*Y16),TRUNC(agent!$O$12*(K16/Z16)*Y16,3),"没有上级")</f>
        <v>0.04</v>
      </c>
      <c r="Q16" s="23">
        <f>IF(ISNUMBER(agent!$O$15*(K16/Z16)*Y16),TRUNC(agent!$O$15*(K16/Z16)*Y16,3),"没有上级")</f>
        <v>0.08</v>
      </c>
      <c r="R16" s="23">
        <f>IF(ISNUMBER(agent!$O$18*(K16/Z16)*Y16),TRUNC(agent!$O$18*(K16/Z16)*Y16,3),"没有上级")</f>
        <v>0.06</v>
      </c>
      <c r="S16" s="23">
        <f>IF(ISNUMBER(agent!$O$21*(K16/Z16)*Y16),TRUNC(agent!$O$21*(K16/Z16)*Y16,3),"没有上级")</f>
        <v>0.02</v>
      </c>
      <c r="T16" s="23">
        <f>IF(ISNUMBER(agent!$O$24*(K16/Z16)*Y16),TRUNC(agent!$O$24*(K16/Z16)*Y16,3),"没有上级")</f>
        <v>0.14000000000000001</v>
      </c>
      <c r="U16" s="23">
        <f>IF(ISNUMBER(agent!$O$27*(K16/Z16)*Y16),TRUNC(agent!$O$27*(K16/Z16)*Y16,3),"没有上级")</f>
        <v>0.06</v>
      </c>
      <c r="V16" s="23">
        <f>IF(ISNUMBER(agent!$O$30*(K16/Z16)*Y16),TRUNC(agent!$O$30*(K16/Z16)*Y16,3),"没有上级")</f>
        <v>0.08</v>
      </c>
      <c r="W16" s="23">
        <f>IF(ISNUMBER(agent!$O$33*(K16/Z16)*Y16),TRUNC(agent!$O$33*(K16/Z16)*Y16,3),"没有上级")</f>
        <v>0.06</v>
      </c>
      <c r="Y16">
        <f>TRUNC(0.0042857,3)</f>
        <v>4.0000000000000001E-3</v>
      </c>
      <c r="Z16" s="20">
        <f>TRUNC(AB16-(9.9-agent!L$3)*10*Y16,3)</f>
        <v>4.22</v>
      </c>
      <c r="AA16" s="11">
        <f>'5Of11Source'!X$2</f>
        <v>0</v>
      </c>
      <c r="AB16">
        <f t="shared" ref="AB16:AB38" si="6">TRUNC(AD16+Y16*99,4)</f>
        <v>4.3559999999999999</v>
      </c>
      <c r="AC16" s="28">
        <f>'5Of11Source'!E23</f>
        <v>11</v>
      </c>
      <c r="AD16" s="23">
        <v>3.96</v>
      </c>
    </row>
    <row r="17" spans="1:31" x14ac:dyDescent="0.15">
      <c r="A17" s="6">
        <v>23</v>
      </c>
      <c r="D17" s="6" t="s">
        <v>70</v>
      </c>
      <c r="E17" s="6" t="s">
        <v>74</v>
      </c>
      <c r="F17" s="7" t="str">
        <f>'5Of11Source'!$J$24</f>
        <v>01 02 03 04 05 06 07 08 09 10 11</v>
      </c>
      <c r="G17" s="20">
        <f>'5Of11Source'!F24</f>
        <v>2</v>
      </c>
      <c r="H17" s="20">
        <v>1</v>
      </c>
      <c r="I17" s="6">
        <f t="shared" si="0"/>
        <v>220</v>
      </c>
      <c r="J17" s="22">
        <f t="shared" si="1"/>
        <v>7.48</v>
      </c>
      <c r="K17" s="22">
        <f>'5Of11Source'!I24</f>
        <v>212.3</v>
      </c>
      <c r="L17" s="6">
        <f t="shared" si="2"/>
        <v>999999366.23999989</v>
      </c>
      <c r="M17" s="24" t="str">
        <f t="shared" si="5"/>
        <v>03,06,07,08,10</v>
      </c>
      <c r="N17" s="23">
        <f>IF(ISNUMBER(agent!$O$6*(K17/Z17)*Y17),TRUNC(agent!$O$6*(K17/Z17)*Y17,3),"没有上级")</f>
        <v>0.22</v>
      </c>
      <c r="O17" s="23">
        <f>IF(ISNUMBER(agent!$O$9*(K17/Z17)*Y17),TRUNC(agent!$O$9*(K17/Z17)*Y17,3),"没有上级")</f>
        <v>1.32</v>
      </c>
      <c r="P17" s="23">
        <f>IF(ISNUMBER(agent!$O$12*(K17/Z17)*Y17),TRUNC(agent!$O$12*(K17/Z17)*Y17,3),"没有上级")</f>
        <v>0.44</v>
      </c>
      <c r="Q17" s="23">
        <f>IF(ISNUMBER(agent!$O$15*(K17/Z17)*Y17),TRUNC(agent!$O$15*(K17/Z17)*Y17,3),"没有上级")</f>
        <v>0.88</v>
      </c>
      <c r="R17" s="23">
        <f>IF(ISNUMBER(agent!$O$18*(K17/Z17)*Y17),TRUNC(agent!$O$18*(K17/Z17)*Y17,3),"没有上级")</f>
        <v>0.66</v>
      </c>
      <c r="S17" s="23">
        <f>IF(ISNUMBER(agent!$O$21*(K17/Z17)*Y17),TRUNC(agent!$O$21*(K17/Z17)*Y17,3),"没有上级")</f>
        <v>0.22</v>
      </c>
      <c r="T17" s="23">
        <f>IF(ISNUMBER(agent!$O$24*(K17/Z17)*Y17),TRUNC(agent!$O$24*(K17/Z17)*Y17,3),"没有上级")</f>
        <v>1.54</v>
      </c>
      <c r="U17" s="23">
        <f>IF(ISNUMBER(agent!$O$27*(K17/Z17)*Y17),TRUNC(agent!$O$27*(K17/Z17)*Y17,3),"没有上级")</f>
        <v>0.66</v>
      </c>
      <c r="V17" s="23">
        <f>IF(ISNUMBER(agent!$O$30*(K17/Z17)*Y17),TRUNC(agent!$O$30*(K17/Z17)*Y17,3),"没有上级")</f>
        <v>0.88</v>
      </c>
      <c r="W17" s="23">
        <f>IF(ISNUMBER(agent!$O$33*(K17/Z17)*Y17),TRUNC(agent!$O$33*(K17/Z17)*Y17,3),"没有上级")</f>
        <v>0.66</v>
      </c>
      <c r="Y17">
        <f>TRUNC(0.011,3)</f>
        <v>1.0999999999999999E-2</v>
      </c>
      <c r="Z17" s="20">
        <f>TRUNC(AB17-(9.9-agent!L$3)*10*Y17,3)</f>
        <v>10.615</v>
      </c>
      <c r="AA17" s="11">
        <f>'5Of11Source'!X$2</f>
        <v>0</v>
      </c>
      <c r="AB17">
        <f t="shared" si="6"/>
        <v>10.989000000000001</v>
      </c>
      <c r="AC17" s="28">
        <f>'5Of11Source'!E24</f>
        <v>55</v>
      </c>
      <c r="AD17" s="23">
        <v>9.9</v>
      </c>
    </row>
    <row r="18" spans="1:31" x14ac:dyDescent="0.15">
      <c r="A18" s="6">
        <v>24</v>
      </c>
      <c r="D18" s="6" t="s">
        <v>70</v>
      </c>
      <c r="E18" s="6" t="s">
        <v>76</v>
      </c>
      <c r="F18" s="7" t="str">
        <f>'5Of11Source'!$J$25</f>
        <v>01 02 03 04 05 06 07 08 09 10 11</v>
      </c>
      <c r="G18" s="20">
        <f>'5Of11Source'!F25</f>
        <v>3</v>
      </c>
      <c r="H18" s="20">
        <v>1</v>
      </c>
      <c r="I18" s="6">
        <f t="shared" si="0"/>
        <v>990</v>
      </c>
      <c r="J18" s="22">
        <f t="shared" si="1"/>
        <v>33.660000000000004</v>
      </c>
      <c r="K18" s="22">
        <f>'5Of11Source'!I25</f>
        <v>955.34999999999991</v>
      </c>
      <c r="L18" s="6">
        <f t="shared" si="2"/>
        <v>999999331.58999991</v>
      </c>
      <c r="M18" s="24" t="str">
        <f t="shared" si="5"/>
        <v>03,06,07,08,10</v>
      </c>
      <c r="N18" s="23">
        <f>IF(ISNUMBER(agent!$O$6*(K18/Z18)*Y18),TRUNC(agent!$O$6*(K18/Z18)*Y18,3),"没有上级")</f>
        <v>0.99</v>
      </c>
      <c r="O18" s="23">
        <f>IF(ISNUMBER(agent!$O$9*(K18/Z18)*Y18),TRUNC(agent!$O$9*(K18/Z18)*Y18,3),"没有上级")</f>
        <v>5.94</v>
      </c>
      <c r="P18" s="23">
        <f>IF(ISNUMBER(agent!$O$12*(K18/Z18)*Y18),TRUNC(agent!$O$12*(K18/Z18)*Y18,3),"没有上级")</f>
        <v>1.98</v>
      </c>
      <c r="Q18" s="23">
        <f>IF(ISNUMBER(agent!$O$15*(K18/Z18)*Y18),TRUNC(agent!$O$15*(K18/Z18)*Y18,3),"没有上级")</f>
        <v>3.96</v>
      </c>
      <c r="R18" s="23">
        <f>IF(ISNUMBER(agent!$O$18*(K18/Z18)*Y18),TRUNC(agent!$O$18*(K18/Z18)*Y18,3),"没有上级")</f>
        <v>2.97</v>
      </c>
      <c r="S18" s="23">
        <f>IF(ISNUMBER(agent!$O$21*(K18/Z18)*Y18),TRUNC(agent!$O$21*(K18/Z18)*Y18,3),"没有上级")</f>
        <v>0.99</v>
      </c>
      <c r="T18" s="23">
        <f>IF(ISNUMBER(agent!$O$24*(K18/Z18)*Y18),TRUNC(agent!$O$24*(K18/Z18)*Y18,3),"没有上级")</f>
        <v>6.93</v>
      </c>
      <c r="U18" s="23">
        <f>IF(ISNUMBER(agent!$O$27*(K18/Z18)*Y18),TRUNC(agent!$O$27*(K18/Z18)*Y18,3),"没有上级")</f>
        <v>2.97</v>
      </c>
      <c r="V18" s="23">
        <f>IF(ISNUMBER(agent!$O$30*(K18/Z18)*Y18),TRUNC(agent!$O$30*(K18/Z18)*Y18,3),"没有上级")</f>
        <v>3.96</v>
      </c>
      <c r="W18" s="23">
        <f>IF(ISNUMBER(agent!$O$33*(K18/Z18)*Y18),TRUNC(agent!$O$33*(K18/Z18)*Y18,3),"没有上级")</f>
        <v>2.97</v>
      </c>
      <c r="Y18">
        <f>TRUNC(0.033,3)</f>
        <v>3.3000000000000002E-2</v>
      </c>
      <c r="Z18" s="20">
        <f>TRUNC(AB18-(9.9-agent!L$3)*10*Y18,3)</f>
        <v>31.844999999999999</v>
      </c>
      <c r="AA18" s="11">
        <f>'5Of11Source'!X$2</f>
        <v>0</v>
      </c>
      <c r="AB18">
        <f t="shared" si="6"/>
        <v>32.966999999999999</v>
      </c>
      <c r="AC18" s="28">
        <f>'5Of11Source'!E25</f>
        <v>165</v>
      </c>
      <c r="AD18" s="23">
        <v>29.7</v>
      </c>
      <c r="AE18" s="6">
        <f>AE2-SUM(I2:I38)+SUM(K2:K38)</f>
        <v>999995936.95000005</v>
      </c>
    </row>
    <row r="19" spans="1:31" x14ac:dyDescent="0.15">
      <c r="A19" s="6">
        <v>25</v>
      </c>
      <c r="D19" s="6" t="s">
        <v>70</v>
      </c>
      <c r="E19" s="6" t="s">
        <v>78</v>
      </c>
      <c r="F19" s="7" t="str">
        <f>'5Of11Source'!$J$26</f>
        <v>01 02 03 04 05 06 07 08 09 10 11</v>
      </c>
      <c r="G19" s="20">
        <f>'5Of11Source'!F26</f>
        <v>5</v>
      </c>
      <c r="H19" s="20">
        <v>1</v>
      </c>
      <c r="I19" s="6">
        <f t="shared" si="0"/>
        <v>3300</v>
      </c>
      <c r="J19" s="22">
        <f t="shared" si="1"/>
        <v>112.20000000000002</v>
      </c>
      <c r="K19" s="22">
        <f>'5Of11Source'!I26</f>
        <v>3184.5</v>
      </c>
      <c r="L19" s="6">
        <f t="shared" si="2"/>
        <v>999999216.08999991</v>
      </c>
      <c r="M19" s="24" t="str">
        <f t="shared" si="5"/>
        <v>03,06,07,08,10</v>
      </c>
      <c r="N19" s="23">
        <f>IF(ISNUMBER(agent!$O$6*(K19/Z19)*Y19),TRUNC(agent!$O$6*(K19/Z19)*Y19,3),"没有上级")</f>
        <v>3.3</v>
      </c>
      <c r="O19" s="23">
        <f>IF(ISNUMBER(agent!$O$9*(K19/Z19)*Y19),TRUNC(agent!$O$9*(K19/Z19)*Y19,3),"没有上级")</f>
        <v>19.8</v>
      </c>
      <c r="P19" s="23">
        <f>IF(ISNUMBER(agent!$O$12*(K19/Z19)*Y19),TRUNC(agent!$O$12*(K19/Z19)*Y19,3),"没有上级")</f>
        <v>6.6</v>
      </c>
      <c r="Q19" s="23">
        <f>IF(ISNUMBER(agent!$O$15*(K19/Z19)*Y19),TRUNC(agent!$O$15*(K19/Z19)*Y19,3),"没有上级")</f>
        <v>13.2</v>
      </c>
      <c r="R19" s="23">
        <f>IF(ISNUMBER(agent!$O$18*(K19/Z19)*Y19),TRUNC(agent!$O$18*(K19/Z19)*Y19,3),"没有上级")</f>
        <v>9.9</v>
      </c>
      <c r="S19" s="23">
        <f>IF(ISNUMBER(agent!$O$21*(K19/Z19)*Y19),TRUNC(agent!$O$21*(K19/Z19)*Y19,3),"没有上级")</f>
        <v>3.3</v>
      </c>
      <c r="T19" s="23">
        <f>IF(ISNUMBER(agent!$O$24*(K19/Z19)*Y19),TRUNC(agent!$O$24*(K19/Z19)*Y19,3),"没有上级")</f>
        <v>23.1</v>
      </c>
      <c r="U19" s="23">
        <f>IF(ISNUMBER(agent!$O$27*(K19/Z19)*Y19),TRUNC(agent!$O$27*(K19/Z19)*Y19,3),"没有上级")</f>
        <v>9.9</v>
      </c>
      <c r="V19" s="23">
        <f>IF(ISNUMBER(agent!$O$30*(K19/Z19)*Y19),TRUNC(agent!$O$30*(K19/Z19)*Y19,3),"没有上级")</f>
        <v>13.2</v>
      </c>
      <c r="W19" s="23">
        <f>IF(ISNUMBER(agent!$O$33*(K19/Z19)*Y19),TRUNC(agent!$O$33*(K19/Z19)*Y19,3),"没有上级")</f>
        <v>9.9</v>
      </c>
      <c r="X19" s="6" t="s">
        <v>10</v>
      </c>
      <c r="Y19">
        <f>TRUNC(0.132,3)</f>
        <v>0.13200000000000001</v>
      </c>
      <c r="Z19" s="20">
        <f>TRUNC(AB19-(9.9-agent!L$3)*10*Y19,3)</f>
        <v>127.38</v>
      </c>
      <c r="AA19" s="11">
        <f>'5Of11Source'!X$2</f>
        <v>0</v>
      </c>
      <c r="AB19">
        <f t="shared" si="6"/>
        <v>131.86799999999999</v>
      </c>
      <c r="AC19" s="28">
        <f>'5Of11Source'!E26</f>
        <v>330</v>
      </c>
      <c r="AD19" s="23">
        <v>118.8</v>
      </c>
    </row>
    <row r="20" spans="1:31" x14ac:dyDescent="0.15">
      <c r="A20" s="6">
        <v>28</v>
      </c>
      <c r="D20" s="6" t="s">
        <v>70</v>
      </c>
      <c r="E20" s="6" t="s">
        <v>80</v>
      </c>
      <c r="F20" s="7" t="str">
        <f>'5Of11Source'!$J$27</f>
        <v>01 02 03 04 05 06 07 08 09 10 11</v>
      </c>
      <c r="G20" s="20">
        <f>'5Of11Source'!F27</f>
        <v>4</v>
      </c>
      <c r="H20" s="20">
        <v>1</v>
      </c>
      <c r="I20" s="6">
        <f t="shared" si="0"/>
        <v>3695.9999999999995</v>
      </c>
      <c r="J20" s="22">
        <f t="shared" si="1"/>
        <v>125.664</v>
      </c>
      <c r="K20" s="22">
        <f>'5Of11Source'!I27</f>
        <v>3566.64</v>
      </c>
      <c r="L20" s="6">
        <f t="shared" si="2"/>
        <v>999999086.7299999</v>
      </c>
      <c r="M20" s="24" t="str">
        <f t="shared" si="5"/>
        <v>03,06,07,08,10</v>
      </c>
      <c r="N20" s="23">
        <f>IF(ISNUMBER(agent!$O$6*(K20/Z20)*Y20),TRUNC(agent!$O$6*(K20/Z20)*Y20,3),"没有上级")</f>
        <v>3.6960000000000002</v>
      </c>
      <c r="O20" s="23">
        <f>IF(ISNUMBER(agent!$O$9*(K20/Z20)*Y20),TRUNC(agent!$O$9*(K20/Z20)*Y20,3),"没有上级")</f>
        <v>22.175999999999998</v>
      </c>
      <c r="P20" s="23">
        <f>IF(ISNUMBER(agent!$O$12*(K20/Z20)*Y20),TRUNC(agent!$O$12*(K20/Z20)*Y20,3),"没有上级")</f>
        <v>7.3920000000000003</v>
      </c>
      <c r="Q20" s="23">
        <f>IF(ISNUMBER(agent!$O$15*(K20/Z20)*Y20),TRUNC(agent!$O$15*(K20/Z20)*Y20,3),"没有上级")</f>
        <v>14.784000000000001</v>
      </c>
      <c r="R20" s="23">
        <f>IF(ISNUMBER(agent!$O$18*(K20/Z20)*Y20),TRUNC(agent!$O$18*(K20/Z20)*Y20,3),"没有上级")</f>
        <v>11.087999999999999</v>
      </c>
      <c r="S20" s="23">
        <f>IF(ISNUMBER(agent!$O$21*(K20/Z20)*Y20),TRUNC(agent!$O$21*(K20/Z20)*Y20,3),"没有上级")</f>
        <v>3.6960000000000002</v>
      </c>
      <c r="T20" s="23">
        <f>IF(ISNUMBER(agent!$O$24*(K20/Z20)*Y20),TRUNC(agent!$O$24*(K20/Z20)*Y20,3),"没有上级")</f>
        <v>25.872</v>
      </c>
      <c r="U20" s="23">
        <f>IF(ISNUMBER(agent!$O$27*(K20/Z20)*Y20),TRUNC(agent!$O$27*(K20/Z20)*Y20,3),"没有上级")</f>
        <v>11.087999999999999</v>
      </c>
      <c r="V20" s="23">
        <f>IF(ISNUMBER(agent!$O$30*(K20/Z20)*Y20),TRUNC(agent!$O$30*(K20/Z20)*Y20,3),"没有上级")</f>
        <v>14.784000000000001</v>
      </c>
      <c r="W20" s="23">
        <f>IF(ISNUMBER(agent!$O$33*(K20/Z20)*Y20),TRUNC(agent!$O$33*(K20/Z20)*Y20,3),"没有上级")</f>
        <v>11.087999999999999</v>
      </c>
      <c r="Y20">
        <f>TRUNC(0.924,3)</f>
        <v>0.92400000000000004</v>
      </c>
      <c r="Z20" s="20">
        <f>TRUNC(AB20-(9.9-agent!L$3)*10*Y20,3)</f>
        <v>891.66</v>
      </c>
      <c r="AA20" s="11">
        <f>'5Of11Source'!X$2</f>
        <v>0</v>
      </c>
      <c r="AB20">
        <f t="shared" si="6"/>
        <v>923.07600000000002</v>
      </c>
      <c r="AC20" s="28">
        <f>'5Of11Source'!E27</f>
        <v>461.99999999999994</v>
      </c>
      <c r="AD20" s="23">
        <v>831.6</v>
      </c>
    </row>
    <row r="21" spans="1:31" x14ac:dyDescent="0.15">
      <c r="A21" s="6">
        <v>29</v>
      </c>
      <c r="D21" s="6" t="s">
        <v>70</v>
      </c>
      <c r="E21" s="6" t="s">
        <v>82</v>
      </c>
      <c r="F21" s="7" t="str">
        <f>'5Of11Source'!$J$28</f>
        <v>01 02 03 04 05 06 07 08 09 10 11</v>
      </c>
      <c r="G21" s="20">
        <f>'5Of11Source'!F28</f>
        <v>4</v>
      </c>
      <c r="H21" s="20">
        <v>1</v>
      </c>
      <c r="I21" s="6">
        <f t="shared" si="0"/>
        <v>3695.9999999999995</v>
      </c>
      <c r="J21" s="22">
        <f t="shared" si="1"/>
        <v>125.664</v>
      </c>
      <c r="K21" s="22">
        <f>'5Of11Source'!I28</f>
        <v>3566.6400000000003</v>
      </c>
      <c r="L21" s="6">
        <f t="shared" si="2"/>
        <v>999998957.36999989</v>
      </c>
      <c r="M21" s="24" t="str">
        <f t="shared" si="5"/>
        <v>03,06,07,08,10</v>
      </c>
      <c r="N21" s="23">
        <f>IF(ISNUMBER(agent!$O$6*(K21/Z21)*Y21),TRUNC(agent!$O$6*(K21/Z21)*Y21,3),"没有上级")</f>
        <v>3.6960000000000002</v>
      </c>
      <c r="O21" s="23">
        <f>IF(ISNUMBER(agent!$O$9*(K21/Z21)*Y21),TRUNC(agent!$O$9*(K21/Z21)*Y21,3),"没有上级")</f>
        <v>22.175999999999998</v>
      </c>
      <c r="P21" s="23">
        <f>IF(ISNUMBER(agent!$O$12*(K21/Z21)*Y21),TRUNC(agent!$O$12*(K21/Z21)*Y21,3),"没有上级")</f>
        <v>7.3920000000000003</v>
      </c>
      <c r="Q21" s="23">
        <f>IF(ISNUMBER(agent!$O$15*(K21/Z21)*Y21),TRUNC(agent!$O$15*(K21/Z21)*Y21,3),"没有上级")</f>
        <v>14.784000000000001</v>
      </c>
      <c r="R21" s="23">
        <f>IF(ISNUMBER(agent!$O$18*(K21/Z21)*Y21),TRUNC(agent!$O$18*(K21/Z21)*Y21,3),"没有上级")</f>
        <v>11.087999999999999</v>
      </c>
      <c r="S21" s="23">
        <f>IF(ISNUMBER(agent!$O$21*(K21/Z21)*Y21),TRUNC(agent!$O$21*(K21/Z21)*Y21,3),"没有上级")</f>
        <v>3.6960000000000002</v>
      </c>
      <c r="T21" s="23">
        <f>IF(ISNUMBER(agent!$O$24*(K21/Z21)*Y21),TRUNC(agent!$O$24*(K21/Z21)*Y21,3),"没有上级")</f>
        <v>25.872</v>
      </c>
      <c r="U21" s="23">
        <f>IF(ISNUMBER(agent!$O$27*(K21/Z21)*Y21),TRUNC(agent!$O$27*(K21/Z21)*Y21,3),"没有上级")</f>
        <v>11.087999999999999</v>
      </c>
      <c r="V21" s="23">
        <f>IF(ISNUMBER(agent!$O$30*(K21/Z21)*Y21),TRUNC(agent!$O$30*(K21/Z21)*Y21,3),"没有上级")</f>
        <v>14.784000000000001</v>
      </c>
      <c r="W21" s="23">
        <f>IF(ISNUMBER(agent!$O$33*(K21/Z21)*Y21),TRUNC(agent!$O$33*(K21/Z21)*Y21,3),"没有上级")</f>
        <v>11.087999999999999</v>
      </c>
      <c r="Y21">
        <f>TRUNC(0.154,3)</f>
        <v>0.154</v>
      </c>
      <c r="Z21" s="20">
        <f>TRUNC(AB21-(9.9-agent!L$3)*10*Y21,3)</f>
        <v>148.61000000000001</v>
      </c>
      <c r="AA21" s="11">
        <f>'5Of11Source'!X$2</f>
        <v>0</v>
      </c>
      <c r="AB21">
        <f t="shared" si="6"/>
        <v>153.846</v>
      </c>
      <c r="AC21" s="28">
        <f>'5Of11Source'!E28</f>
        <v>461.99999999999994</v>
      </c>
      <c r="AD21" s="23">
        <v>138.6</v>
      </c>
    </row>
    <row r="22" spans="1:31" x14ac:dyDescent="0.15">
      <c r="A22" s="6">
        <v>30</v>
      </c>
      <c r="D22" s="6" t="s">
        <v>70</v>
      </c>
      <c r="E22" s="6" t="s">
        <v>84</v>
      </c>
      <c r="F22" s="7" t="str">
        <f>'5Of11Source'!$J$29</f>
        <v>01 02 03 04 05 06 07 08 09 10 11</v>
      </c>
      <c r="G22" s="20">
        <f>'5Of11Source'!F29</f>
        <v>3</v>
      </c>
      <c r="H22" s="20">
        <v>1</v>
      </c>
      <c r="I22" s="6">
        <f t="shared" si="0"/>
        <v>1980</v>
      </c>
      <c r="J22" s="22">
        <f t="shared" si="1"/>
        <v>67.320000000000007</v>
      </c>
      <c r="K22" s="22">
        <f>'5Of11Source'!I29</f>
        <v>1910.7</v>
      </c>
      <c r="L22" s="6">
        <f t="shared" si="2"/>
        <v>999998888.06999993</v>
      </c>
      <c r="M22" s="24" t="str">
        <f t="shared" si="5"/>
        <v>03,06,07,08,10</v>
      </c>
      <c r="N22" s="23">
        <f>IF(ISNUMBER(agent!$O$6*(K22/Z22)*Y22),TRUNC(agent!$O$6*(K22/Z22)*Y22,3),"没有上级")</f>
        <v>1.98</v>
      </c>
      <c r="O22" s="23">
        <f>IF(ISNUMBER(agent!$O$9*(K22/Z22)*Y22),TRUNC(agent!$O$9*(K22/Z22)*Y22,3),"没有上级")</f>
        <v>11.88</v>
      </c>
      <c r="P22" s="23">
        <f>IF(ISNUMBER(agent!$O$12*(K22/Z22)*Y22),TRUNC(agent!$O$12*(K22/Z22)*Y22,3),"没有上级")</f>
        <v>3.96</v>
      </c>
      <c r="Q22" s="23">
        <f>IF(ISNUMBER(agent!$O$15*(K22/Z22)*Y22),TRUNC(agent!$O$15*(K22/Z22)*Y22,3),"没有上级")</f>
        <v>7.92</v>
      </c>
      <c r="R22" s="23">
        <f>IF(ISNUMBER(agent!$O$18*(K22/Z22)*Y22),TRUNC(agent!$O$18*(K22/Z22)*Y22,3),"没有上级")</f>
        <v>5.94</v>
      </c>
      <c r="S22" s="23">
        <f>IF(ISNUMBER(agent!$O$21*(K22/Z22)*Y22),TRUNC(agent!$O$21*(K22/Z22)*Y22,3),"没有上级")</f>
        <v>1.98</v>
      </c>
      <c r="T22" s="23">
        <f>IF(ISNUMBER(agent!$O$24*(K22/Z22)*Y22),TRUNC(agent!$O$24*(K22/Z22)*Y22,3),"没有上级")</f>
        <v>13.86</v>
      </c>
      <c r="U22" s="23">
        <f>IF(ISNUMBER(agent!$O$27*(K22/Z22)*Y22),TRUNC(agent!$O$27*(K22/Z22)*Y22,3),"没有上级")</f>
        <v>5.94</v>
      </c>
      <c r="V22" s="23">
        <f>IF(ISNUMBER(agent!$O$30*(K22/Z22)*Y22),TRUNC(agent!$O$30*(K22/Z22)*Y22,3),"没有上级")</f>
        <v>7.92</v>
      </c>
      <c r="W22" s="23">
        <f>IF(ISNUMBER(agent!$O$33*(K22/Z22)*Y22),TRUNC(agent!$O$33*(K22/Z22)*Y22,3),"没有上级")</f>
        <v>5.94</v>
      </c>
      <c r="Y22">
        <f>TRUNC(0.044,3)</f>
        <v>4.3999999999999997E-2</v>
      </c>
      <c r="Z22" s="20">
        <f>TRUNC(AB22-(9.9-agent!L$3)*10*Y22,3)</f>
        <v>42.46</v>
      </c>
      <c r="AA22" s="11">
        <f>'5Of11Source'!X$2</f>
        <v>0</v>
      </c>
      <c r="AB22">
        <f t="shared" si="6"/>
        <v>43.956000000000003</v>
      </c>
      <c r="AC22" s="28">
        <f>'5Of11Source'!E29</f>
        <v>330</v>
      </c>
      <c r="AD22" s="23">
        <v>39.6</v>
      </c>
    </row>
    <row r="23" spans="1:31" x14ac:dyDescent="0.15">
      <c r="A23" s="6">
        <v>31</v>
      </c>
      <c r="D23" s="6" t="s">
        <v>70</v>
      </c>
      <c r="E23" s="6" t="s">
        <v>86</v>
      </c>
      <c r="F23" s="7" t="str">
        <f>'5Of11Source'!$J$30</f>
        <v>01 02 03 04 05 06 07 08 09 10 11</v>
      </c>
      <c r="G23" s="20">
        <f>'5Of11Source'!F30</f>
        <v>3</v>
      </c>
      <c r="H23" s="20">
        <v>1</v>
      </c>
      <c r="I23" s="6">
        <f t="shared" si="0"/>
        <v>990</v>
      </c>
      <c r="J23" s="22">
        <f t="shared" si="1"/>
        <v>32.64</v>
      </c>
      <c r="K23" s="22">
        <f>'5Of11Source'!I30</f>
        <v>953.40000000000009</v>
      </c>
      <c r="L23" s="6">
        <f t="shared" si="2"/>
        <v>999998851.46999991</v>
      </c>
      <c r="M23" s="24" t="str">
        <f t="shared" si="5"/>
        <v>03,06,07,08,10</v>
      </c>
      <c r="N23" s="23">
        <f>IF(ISNUMBER(agent!$O$6*(K23/Z23)*Y23),TRUNC(agent!$O$6*(K23/Z23)*Y23,3),"没有上级")</f>
        <v>0.96</v>
      </c>
      <c r="O23" s="23">
        <f>IF(ISNUMBER(agent!$O$9*(K23/Z23)*Y23),TRUNC(agent!$O$9*(K23/Z23)*Y23,3),"没有上级")</f>
        <v>5.76</v>
      </c>
      <c r="P23" s="23">
        <f>IF(ISNUMBER(agent!$O$12*(K23/Z23)*Y23),TRUNC(agent!$O$12*(K23/Z23)*Y23,3),"没有上级")</f>
        <v>1.92</v>
      </c>
      <c r="Q23" s="23">
        <f>IF(ISNUMBER(agent!$O$15*(K23/Z23)*Y23),TRUNC(agent!$O$15*(K23/Z23)*Y23,3),"没有上级")</f>
        <v>3.84</v>
      </c>
      <c r="R23" s="23">
        <f>IF(ISNUMBER(agent!$O$18*(K23/Z23)*Y23),TRUNC(agent!$O$18*(K23/Z23)*Y23,3),"没有上级")</f>
        <v>2.88</v>
      </c>
      <c r="S23" s="23">
        <f>IF(ISNUMBER(agent!$O$21*(K23/Z23)*Y23),TRUNC(agent!$O$21*(K23/Z23)*Y23,3),"没有上级")</f>
        <v>0.96</v>
      </c>
      <c r="T23" s="23">
        <f>IF(ISNUMBER(agent!$O$24*(K23/Z23)*Y23),TRUNC(agent!$O$24*(K23/Z23)*Y23,3),"没有上级")</f>
        <v>6.72</v>
      </c>
      <c r="U23" s="23">
        <f>IF(ISNUMBER(agent!$O$27*(K23/Z23)*Y23),TRUNC(agent!$O$27*(K23/Z23)*Y23,3),"没有上级")</f>
        <v>2.88</v>
      </c>
      <c r="V23" s="23">
        <f>IF(ISNUMBER(agent!$O$30*(K23/Z23)*Y23),TRUNC(agent!$O$30*(K23/Z23)*Y23,3),"没有上级")</f>
        <v>3.84</v>
      </c>
      <c r="W23" s="23">
        <f>IF(ISNUMBER(agent!$O$33*(K23/Z23)*Y23),TRUNC(agent!$O$33*(K23/Z23)*Y23,3),"没有上级")</f>
        <v>2.88</v>
      </c>
      <c r="X23" s="6" t="s">
        <v>12</v>
      </c>
      <c r="Y23">
        <f>TRUNC(0.01642857,3)</f>
        <v>1.6E-2</v>
      </c>
      <c r="Z23" s="20">
        <f>TRUNC(AB23-(9.9-agent!L$3)*10*Y23,3)</f>
        <v>15.89</v>
      </c>
      <c r="AA23" s="11">
        <f>'5Of11Source'!X$2</f>
        <v>0</v>
      </c>
      <c r="AB23">
        <f t="shared" si="6"/>
        <v>16.434000000000001</v>
      </c>
      <c r="AC23" s="28">
        <f>'5Of11Source'!E30</f>
        <v>165</v>
      </c>
      <c r="AD23" s="23">
        <v>14.85</v>
      </c>
    </row>
    <row r="24" spans="1:31" x14ac:dyDescent="0.15">
      <c r="A24" s="6">
        <v>32</v>
      </c>
      <c r="D24" s="6" t="s">
        <v>96</v>
      </c>
      <c r="E24" s="6" t="s">
        <v>72</v>
      </c>
      <c r="F24" s="7" t="str">
        <f>'5Of11Source'!$J$31</f>
        <v>01,02,03,04,05,06,07,08,09,10,11</v>
      </c>
      <c r="G24" s="20">
        <f>'5Of11Source'!F31</f>
        <v>4</v>
      </c>
      <c r="H24" s="20">
        <v>1</v>
      </c>
      <c r="I24" s="6">
        <f t="shared" si="0"/>
        <v>88</v>
      </c>
      <c r="J24" s="22">
        <f t="shared" si="1"/>
        <v>2.7199999999999998</v>
      </c>
      <c r="K24" s="22">
        <f>'5Of11Source'!I31</f>
        <v>84.399999999999991</v>
      </c>
      <c r="L24" s="6">
        <f t="shared" si="2"/>
        <v>999998847.86999989</v>
      </c>
      <c r="M24" s="24" t="str">
        <f t="shared" si="5"/>
        <v>03,06,07,08,10</v>
      </c>
      <c r="N24" s="23">
        <f>IF(ISNUMBER(agent!$O$6*(K24/Z24)*Y24),TRUNC(agent!$O$6*(K24/Z24)*Y24,3),"没有上级")</f>
        <v>0.08</v>
      </c>
      <c r="O24" s="23">
        <f>IF(ISNUMBER(agent!$O$9*(K24/Z24)*Y24),TRUNC(agent!$O$9*(K24/Z24)*Y24,3),"没有上级")</f>
        <v>0.48</v>
      </c>
      <c r="P24" s="23">
        <f>IF(ISNUMBER(agent!$O$12*(K24/Z24)*Y24),TRUNC(agent!$O$12*(K24/Z24)*Y24,3),"没有上级")</f>
        <v>0.16</v>
      </c>
      <c r="Q24" s="23">
        <f>IF(ISNUMBER(agent!$O$15*(K24/Z24)*Y24),TRUNC(agent!$O$15*(K24/Z24)*Y24,3),"没有上级")</f>
        <v>0.32</v>
      </c>
      <c r="R24" s="23">
        <f>IF(ISNUMBER(agent!$O$18*(K24/Z24)*Y24),TRUNC(agent!$O$18*(K24/Z24)*Y24,3),"没有上级")</f>
        <v>0.24</v>
      </c>
      <c r="S24" s="23">
        <f>IF(ISNUMBER(agent!$O$21*(K24/Z24)*Y24),TRUNC(agent!$O$21*(K24/Z24)*Y24,3),"没有上级")</f>
        <v>0.08</v>
      </c>
      <c r="T24" s="23">
        <f>IF(ISNUMBER(agent!$O$24*(K24/Z24)*Y24),TRUNC(agent!$O$24*(K24/Z24)*Y24,3),"没有上级")</f>
        <v>0.56000000000000005</v>
      </c>
      <c r="U24" s="23">
        <f>IF(ISNUMBER(agent!$O$27*(K24/Z24)*Y24),TRUNC(agent!$O$27*(K24/Z24)*Y24,3),"没有上级")</f>
        <v>0.24</v>
      </c>
      <c r="V24" s="23">
        <f>IF(ISNUMBER(agent!$O$30*(K24/Z24)*Y24),TRUNC(agent!$O$30*(K24/Z24)*Y24,3),"没有上级")</f>
        <v>0.32</v>
      </c>
      <c r="W24" s="23">
        <f>IF(ISNUMBER(agent!$O$33*(K24/Z24)*Y24),TRUNC(agent!$O$33*(K24/Z24)*Y24,3),"没有上级")</f>
        <v>0.24</v>
      </c>
      <c r="Y24">
        <f>TRUNC(0.0042857,3)</f>
        <v>4.0000000000000001E-3</v>
      </c>
      <c r="Z24" s="20">
        <f>TRUNC(AB24-(9.9-agent!L$3)*10*Y24,3)</f>
        <v>4.22</v>
      </c>
      <c r="AA24" s="11">
        <f>'5Of11Source'!X$2</f>
        <v>0</v>
      </c>
      <c r="AB24">
        <f t="shared" si="6"/>
        <v>4.3559999999999999</v>
      </c>
      <c r="AC24" s="28">
        <f>'5Of11Source'!E31</f>
        <v>11</v>
      </c>
      <c r="AD24" s="23">
        <v>3.96</v>
      </c>
    </row>
    <row r="25" spans="1:31" x14ac:dyDescent="0.15">
      <c r="A25" s="6">
        <v>33</v>
      </c>
      <c r="D25" s="6" t="s">
        <v>96</v>
      </c>
      <c r="E25" s="6" t="s">
        <v>74</v>
      </c>
      <c r="F25" s="7" t="str">
        <f>'5Of11Source'!$J$32</f>
        <v>01 09,03 04,05 06,07 08,09 10</v>
      </c>
      <c r="G25" s="20">
        <f>'5Of11Source'!F32</f>
        <v>5</v>
      </c>
      <c r="H25" s="20">
        <v>1</v>
      </c>
      <c r="I25" s="6">
        <f t="shared" si="0"/>
        <v>50</v>
      </c>
      <c r="J25" s="22">
        <f t="shared" si="1"/>
        <v>0</v>
      </c>
      <c r="K25" s="22">
        <f>'5Of11Source'!I32</f>
        <v>0</v>
      </c>
      <c r="L25" s="6">
        <f t="shared" si="2"/>
        <v>999998797.86999989</v>
      </c>
      <c r="M25" s="24" t="str">
        <f t="shared" si="5"/>
        <v>03,06,07,08,10</v>
      </c>
      <c r="N25" s="23">
        <f>IF(ISNUMBER(agent!$O$6*(K25/Z25)*Y25),TRUNC(agent!$O$6*(K25/Z25)*Y25,3),"没有上级")</f>
        <v>0</v>
      </c>
      <c r="O25" s="23">
        <f>IF(ISNUMBER(agent!$O$9*(K25/Z25)*Y25),TRUNC(agent!$O$9*(K25/Z25)*Y25,3),"没有上级")</f>
        <v>0</v>
      </c>
      <c r="P25" s="23">
        <f>IF(ISNUMBER(agent!$O$12*(K25/Z25)*Y25),TRUNC(agent!$O$12*(K25/Z25)*Y25,3),"没有上级")</f>
        <v>0</v>
      </c>
      <c r="Q25" s="23">
        <f>IF(ISNUMBER(agent!$O$15*(K25/Z25)*Y25),TRUNC(agent!$O$15*(K25/Z25)*Y25,3),"没有上级")</f>
        <v>0</v>
      </c>
      <c r="R25" s="23">
        <f>IF(ISNUMBER(agent!$O$18*(K25/Z25)*Y25),TRUNC(agent!$O$18*(K25/Z25)*Y25,3),"没有上级")</f>
        <v>0</v>
      </c>
      <c r="S25" s="23">
        <f>IF(ISNUMBER(agent!$O$21*(K25/Z25)*Y25),TRUNC(agent!$O$21*(K25/Z25)*Y25,3),"没有上级")</f>
        <v>0</v>
      </c>
      <c r="T25" s="23">
        <f>IF(ISNUMBER(agent!$O$24*(K25/Z25)*Y25),TRUNC(agent!$O$24*(K25/Z25)*Y25,3),"没有上级")</f>
        <v>0</v>
      </c>
      <c r="U25" s="23">
        <f>IF(ISNUMBER(agent!$O$27*(K25/Z25)*Y25),TRUNC(agent!$O$27*(K25/Z25)*Y25,3),"没有上级")</f>
        <v>0</v>
      </c>
      <c r="V25" s="23">
        <f>IF(ISNUMBER(agent!$O$30*(K25/Z25)*Y25),TRUNC(agent!$O$30*(K25/Z25)*Y25,3),"没有上级")</f>
        <v>0</v>
      </c>
      <c r="W25" s="23">
        <f>IF(ISNUMBER(agent!$O$33*(K25/Z25)*Y25),TRUNC(agent!$O$33*(K25/Z25)*Y25,3),"没有上级")</f>
        <v>0</v>
      </c>
      <c r="Y25">
        <f>TRUNC(0.011,3)</f>
        <v>1.0999999999999999E-2</v>
      </c>
      <c r="Z25" s="20">
        <f>TRUNC(AB25-(9.9-agent!L$3)*10*Y25,3)</f>
        <v>10.615</v>
      </c>
      <c r="AA25" s="11">
        <f>'5Of11Source'!X$2</f>
        <v>0</v>
      </c>
      <c r="AB25">
        <f t="shared" si="6"/>
        <v>10.989000000000001</v>
      </c>
      <c r="AC25" s="28">
        <f>'5Of11Source'!E32</f>
        <v>5</v>
      </c>
      <c r="AD25" s="23">
        <v>9.9</v>
      </c>
    </row>
    <row r="26" spans="1:31" x14ac:dyDescent="0.15">
      <c r="A26" s="6">
        <v>34</v>
      </c>
      <c r="D26" s="6" t="s">
        <v>96</v>
      </c>
      <c r="E26" s="6" t="s">
        <v>76</v>
      </c>
      <c r="F26" s="7" t="str">
        <f>'5Of11Source'!$J$33</f>
        <v>01 02 03,04 05 06,07 08 09,10 11 01</v>
      </c>
      <c r="G26" s="20">
        <f>'5Of11Source'!F33</f>
        <v>5</v>
      </c>
      <c r="H26" s="20">
        <v>1</v>
      </c>
      <c r="I26" s="6">
        <f t="shared" si="0"/>
        <v>40</v>
      </c>
      <c r="J26" s="22">
        <f t="shared" si="1"/>
        <v>0</v>
      </c>
      <c r="K26" s="22">
        <f>'5Of11Source'!I33</f>
        <v>0</v>
      </c>
      <c r="L26" s="6">
        <f t="shared" si="2"/>
        <v>999998757.86999989</v>
      </c>
      <c r="M26" s="24" t="str">
        <f t="shared" si="5"/>
        <v>03,06,07,08,10</v>
      </c>
      <c r="N26" s="23">
        <f>IF(ISNUMBER(agent!$O$6*(K26/Z26)*Y26),TRUNC(agent!$O$6*(K26/Z26)*Y26,3),"没有上级")</f>
        <v>0</v>
      </c>
      <c r="O26" s="23">
        <f>IF(ISNUMBER(agent!$O$9*(K26/Z26)*Y26),TRUNC(agent!$O$9*(K26/Z26)*Y26,3),"没有上级")</f>
        <v>0</v>
      </c>
      <c r="P26" s="23">
        <f>IF(ISNUMBER(agent!$O$12*(K26/Z26)*Y26),TRUNC(agent!$O$12*(K26/Z26)*Y26,3),"没有上级")</f>
        <v>0</v>
      </c>
      <c r="Q26" s="23">
        <f>IF(ISNUMBER(agent!$O$15*(K26/Z26)*Y26),TRUNC(agent!$O$15*(K26/Z26)*Y26,3),"没有上级")</f>
        <v>0</v>
      </c>
      <c r="R26" s="23">
        <f>IF(ISNUMBER(agent!$O$18*(K26/Z26)*Y26),TRUNC(agent!$O$18*(K26/Z26)*Y26,3),"没有上级")</f>
        <v>0</v>
      </c>
      <c r="S26" s="23">
        <f>IF(ISNUMBER(agent!$O$21*(K26/Z26)*Y26),TRUNC(agent!$O$21*(K26/Z26)*Y26,3),"没有上级")</f>
        <v>0</v>
      </c>
      <c r="T26" s="23">
        <f>IF(ISNUMBER(agent!$O$24*(K26/Z26)*Y26),TRUNC(agent!$O$24*(K26/Z26)*Y26,3),"没有上级")</f>
        <v>0</v>
      </c>
      <c r="U26" s="23">
        <f>IF(ISNUMBER(agent!$O$27*(K26/Z26)*Y26),TRUNC(agent!$O$27*(K26/Z26)*Y26,3),"没有上级")</f>
        <v>0</v>
      </c>
      <c r="V26" s="23">
        <f>IF(ISNUMBER(agent!$O$30*(K26/Z26)*Y26),TRUNC(agent!$O$30*(K26/Z26)*Y26,3),"没有上级")</f>
        <v>0</v>
      </c>
      <c r="W26" s="23">
        <f>IF(ISNUMBER(agent!$O$33*(K26/Z26)*Y26),TRUNC(agent!$O$33*(K26/Z26)*Y26,3),"没有上级")</f>
        <v>0</v>
      </c>
      <c r="Y26">
        <f>TRUNC(0.033,3)</f>
        <v>3.3000000000000002E-2</v>
      </c>
      <c r="Z26" s="20">
        <f>TRUNC(AB26-(9.9-agent!L$3)*10*Y26,3)</f>
        <v>31.844999999999999</v>
      </c>
      <c r="AA26" s="11">
        <f>'5Of11Source'!X$2</f>
        <v>0</v>
      </c>
      <c r="AB26">
        <f t="shared" si="6"/>
        <v>32.966999999999999</v>
      </c>
      <c r="AC26" s="28">
        <f>'5Of11Source'!E33</f>
        <v>4</v>
      </c>
      <c r="AD26" s="23">
        <v>29.7</v>
      </c>
    </row>
    <row r="27" spans="1:31" x14ac:dyDescent="0.15">
      <c r="A27" s="6">
        <v>35</v>
      </c>
      <c r="D27" s="6" t="s">
        <v>96</v>
      </c>
      <c r="E27" s="6" t="s">
        <v>78</v>
      </c>
      <c r="F27" s="7" t="str">
        <f>'5Of11Source'!$J$34</f>
        <v>01 02 03 04,09 10 11 05,06 07 08 09</v>
      </c>
      <c r="G27" s="20">
        <f>'5Of11Source'!F34</f>
        <v>5</v>
      </c>
      <c r="H27" s="20">
        <v>1</v>
      </c>
      <c r="I27" s="6">
        <f t="shared" si="0"/>
        <v>30</v>
      </c>
      <c r="J27" s="22">
        <f t="shared" si="1"/>
        <v>0</v>
      </c>
      <c r="K27" s="22">
        <f>'5Of11Source'!I34</f>
        <v>0</v>
      </c>
      <c r="L27" s="6">
        <f t="shared" si="2"/>
        <v>999998727.86999989</v>
      </c>
      <c r="M27" s="24" t="str">
        <f t="shared" si="5"/>
        <v>03,06,07,08,10</v>
      </c>
      <c r="N27" s="23">
        <f>IF(ISNUMBER(agent!$O$6*(K27/Z27)*Y27),TRUNC(agent!$O$6*(K27/Z27)*Y27,3),"没有上级")</f>
        <v>0</v>
      </c>
      <c r="O27" s="23">
        <f>IF(ISNUMBER(agent!$O$9*(K27/Z27)*Y27),TRUNC(agent!$O$9*(K27/Z27)*Y27,3),"没有上级")</f>
        <v>0</v>
      </c>
      <c r="P27" s="23">
        <f>IF(ISNUMBER(agent!$O$12*(K27/Z27)*Y27),TRUNC(agent!$O$12*(K27/Z27)*Y27,3),"没有上级")</f>
        <v>0</v>
      </c>
      <c r="Q27" s="23">
        <f>IF(ISNUMBER(agent!$O$15*(K27/Z27)*Y27),TRUNC(agent!$O$15*(K27/Z27)*Y27,3),"没有上级")</f>
        <v>0</v>
      </c>
      <c r="R27" s="23">
        <f>IF(ISNUMBER(agent!$O$18*(K27/Z27)*Y27),TRUNC(agent!$O$18*(K27/Z27)*Y27,3),"没有上级")</f>
        <v>0</v>
      </c>
      <c r="S27" s="23">
        <f>IF(ISNUMBER(agent!$O$21*(K27/Z27)*Y27),TRUNC(agent!$O$21*(K27/Z27)*Y27,3),"没有上级")</f>
        <v>0</v>
      </c>
      <c r="T27" s="23">
        <f>IF(ISNUMBER(agent!$O$24*(K27/Z27)*Y27),TRUNC(agent!$O$24*(K27/Z27)*Y27,3),"没有上级")</f>
        <v>0</v>
      </c>
      <c r="U27" s="23">
        <f>IF(ISNUMBER(agent!$O$27*(K27/Z27)*Y27),TRUNC(agent!$O$27*(K27/Z27)*Y27,3),"没有上级")</f>
        <v>0</v>
      </c>
      <c r="V27" s="23">
        <f>IF(ISNUMBER(agent!$O$30*(K27/Z27)*Y27),TRUNC(agent!$O$30*(K27/Z27)*Y27,3),"没有上级")</f>
        <v>0</v>
      </c>
      <c r="W27" s="23">
        <f>IF(ISNUMBER(agent!$O$33*(K27/Z27)*Y27),TRUNC(agent!$O$33*(K27/Z27)*Y27,3),"没有上级")</f>
        <v>0</v>
      </c>
      <c r="Y27">
        <f>TRUNC(0.132,3)</f>
        <v>0.13200000000000001</v>
      </c>
      <c r="Z27" s="20">
        <f>TRUNC(AB27-(9.9-agent!L$3)*10*Y27,3)</f>
        <v>127.38</v>
      </c>
      <c r="AA27" s="11">
        <f>'5Of11Source'!X$2</f>
        <v>0</v>
      </c>
      <c r="AB27">
        <f t="shared" si="6"/>
        <v>131.86799999999999</v>
      </c>
      <c r="AC27" s="28">
        <f>'5Of11Source'!E34</f>
        <v>3</v>
      </c>
      <c r="AD27" s="23">
        <v>118.8</v>
      </c>
    </row>
    <row r="28" spans="1:31" x14ac:dyDescent="0.15">
      <c r="A28" s="6">
        <v>36</v>
      </c>
      <c r="D28" s="6" t="s">
        <v>96</v>
      </c>
      <c r="E28" s="6" t="s">
        <v>80</v>
      </c>
      <c r="F28" s="7" t="str">
        <f>'5Of11Source'!$J$35</f>
        <v>01 02 06 04 08,06 07 08 09 10</v>
      </c>
      <c r="G28" s="20">
        <f>'5Of11Source'!F35</f>
        <v>8</v>
      </c>
      <c r="H28" s="20">
        <v>1</v>
      </c>
      <c r="I28" s="6">
        <f t="shared" si="0"/>
        <v>32</v>
      </c>
      <c r="J28" s="22">
        <f t="shared" si="1"/>
        <v>0</v>
      </c>
      <c r="K28" s="22">
        <f>'5Of11Source'!I35</f>
        <v>0</v>
      </c>
      <c r="L28" s="6">
        <f t="shared" si="2"/>
        <v>999998695.86999989</v>
      </c>
      <c r="M28" s="24" t="str">
        <f t="shared" si="5"/>
        <v>03,06,07,08,10</v>
      </c>
      <c r="N28" s="23">
        <f>IF(ISNUMBER(agent!$O$6*(K28/Z28)*Y28),TRUNC(agent!$O$6*(K28/Z28)*Y28,3),"没有上级")</f>
        <v>0</v>
      </c>
      <c r="O28" s="23">
        <f>IF(ISNUMBER(agent!$O$9*(K28/Z28)*Y28),TRUNC(agent!$O$9*(K28/Z28)*Y28,3),"没有上级")</f>
        <v>0</v>
      </c>
      <c r="P28" s="23">
        <f>IF(ISNUMBER(agent!$O$12*(K28/Z28)*Y28),TRUNC(agent!$O$12*(K28/Z28)*Y28,3),"没有上级")</f>
        <v>0</v>
      </c>
      <c r="Q28" s="23">
        <f>IF(ISNUMBER(agent!$O$15*(K28/Z28)*Y28),TRUNC(agent!$O$15*(K28/Z28)*Y28,3),"没有上级")</f>
        <v>0</v>
      </c>
      <c r="R28" s="23">
        <f>IF(ISNUMBER(agent!$O$18*(K28/Z28)*Y28),TRUNC(agent!$O$18*(K28/Z28)*Y28,3),"没有上级")</f>
        <v>0</v>
      </c>
      <c r="S28" s="23">
        <f>IF(ISNUMBER(agent!$O$21*(K28/Z28)*Y28),TRUNC(agent!$O$21*(K28/Z28)*Y28,3),"没有上级")</f>
        <v>0</v>
      </c>
      <c r="T28" s="23">
        <f>IF(ISNUMBER(agent!$O$24*(K28/Z28)*Y28),TRUNC(agent!$O$24*(K28/Z28)*Y28,3),"没有上级")</f>
        <v>0</v>
      </c>
      <c r="U28" s="23">
        <f>IF(ISNUMBER(agent!$O$27*(K28/Z28)*Y28),TRUNC(agent!$O$27*(K28/Z28)*Y28,3),"没有上级")</f>
        <v>0</v>
      </c>
      <c r="V28" s="23">
        <f>IF(ISNUMBER(agent!$O$30*(K28/Z28)*Y28),TRUNC(agent!$O$30*(K28/Z28)*Y28,3),"没有上级")</f>
        <v>0</v>
      </c>
      <c r="W28" s="23">
        <f>IF(ISNUMBER(agent!$O$33*(K28/Z28)*Y28),TRUNC(agent!$O$33*(K28/Z28)*Y28,3),"没有上级")</f>
        <v>0</v>
      </c>
      <c r="Y28">
        <f>TRUNC(0.924,3)</f>
        <v>0.92400000000000004</v>
      </c>
      <c r="Z28" s="20">
        <f>TRUNC(AB28-(9.9-agent!L$3)*10*Y28,3)</f>
        <v>891.66</v>
      </c>
      <c r="AA28" s="11">
        <f>'5Of11Source'!X$2</f>
        <v>0</v>
      </c>
      <c r="AB28">
        <f t="shared" si="6"/>
        <v>923.07600000000002</v>
      </c>
      <c r="AC28" s="28">
        <f>'5Of11Source'!E35</f>
        <v>2</v>
      </c>
      <c r="AD28" s="23">
        <v>831.6</v>
      </c>
    </row>
    <row r="29" spans="1:31" x14ac:dyDescent="0.15">
      <c r="A29" s="6">
        <v>37</v>
      </c>
      <c r="D29" s="6" t="s">
        <v>96</v>
      </c>
      <c r="E29" s="6" t="s">
        <v>82</v>
      </c>
      <c r="F29" s="7" t="str">
        <f>'5Of11Source'!$J$36</f>
        <v>01 02 08 04 05 06,07 08 09 10 11 02</v>
      </c>
      <c r="G29" s="20">
        <f>'5Of11Source'!F36</f>
        <v>2</v>
      </c>
      <c r="H29" s="20">
        <v>1</v>
      </c>
      <c r="I29" s="6">
        <f t="shared" si="0"/>
        <v>8</v>
      </c>
      <c r="J29" s="22">
        <f t="shared" si="1"/>
        <v>0</v>
      </c>
      <c r="K29" s="22">
        <f>'5Of11Source'!I36</f>
        <v>0</v>
      </c>
      <c r="L29" s="6">
        <f t="shared" si="2"/>
        <v>999998687.86999989</v>
      </c>
      <c r="M29" s="24" t="str">
        <f t="shared" si="5"/>
        <v>03,06,07,08,10</v>
      </c>
      <c r="N29" s="23">
        <f>IF(ISNUMBER(agent!$O$6*(K29/Z29)*Y29),TRUNC(agent!$O$6*(K29/Z29)*Y29,3),"没有上级")</f>
        <v>0</v>
      </c>
      <c r="O29" s="23">
        <f>IF(ISNUMBER(agent!$O$9*(K29/Z29)*Y29),TRUNC(agent!$O$9*(K29/Z29)*Y29,3),"没有上级")</f>
        <v>0</v>
      </c>
      <c r="P29" s="23">
        <f>IF(ISNUMBER(agent!$O$12*(K29/Z29)*Y29),TRUNC(agent!$O$12*(K29/Z29)*Y29,3),"没有上级")</f>
        <v>0</v>
      </c>
      <c r="Q29" s="23">
        <f>IF(ISNUMBER(agent!$O$15*(K29/Z29)*Y29),TRUNC(agent!$O$15*(K29/Z29)*Y29,3),"没有上级")</f>
        <v>0</v>
      </c>
      <c r="R29" s="23">
        <f>IF(ISNUMBER(agent!$O$18*(K29/Z29)*Y29),TRUNC(agent!$O$18*(K29/Z29)*Y29,3),"没有上级")</f>
        <v>0</v>
      </c>
      <c r="S29" s="23">
        <f>IF(ISNUMBER(agent!$O$21*(K29/Z29)*Y29),TRUNC(agent!$O$21*(K29/Z29)*Y29,3),"没有上级")</f>
        <v>0</v>
      </c>
      <c r="T29" s="23">
        <f>IF(ISNUMBER(agent!$O$24*(K29/Z29)*Y29),TRUNC(agent!$O$24*(K29/Z29)*Y29,3),"没有上级")</f>
        <v>0</v>
      </c>
      <c r="U29" s="23">
        <f>IF(ISNUMBER(agent!$O$27*(K29/Z29)*Y29),TRUNC(agent!$O$27*(K29/Z29)*Y29,3),"没有上级")</f>
        <v>0</v>
      </c>
      <c r="V29" s="23">
        <f>IF(ISNUMBER(agent!$O$30*(K29/Z29)*Y29),TRUNC(agent!$O$30*(K29/Z29)*Y29,3),"没有上级")</f>
        <v>0</v>
      </c>
      <c r="W29" s="23">
        <f>IF(ISNUMBER(agent!$O$33*(K29/Z29)*Y29),TRUNC(agent!$O$33*(K29/Z29)*Y29,3),"没有上级")</f>
        <v>0</v>
      </c>
      <c r="Y29">
        <f>TRUNC(0.154,3)</f>
        <v>0.154</v>
      </c>
      <c r="Z29" s="20">
        <f>TRUNC(AB29-(9.9-agent!L$3)*10*Y29,3)</f>
        <v>148.61000000000001</v>
      </c>
      <c r="AA29" s="11">
        <f>'5Of11Source'!X$2</f>
        <v>0</v>
      </c>
      <c r="AB29">
        <f t="shared" si="6"/>
        <v>153.846</v>
      </c>
      <c r="AC29" s="28">
        <f>'5Of11Source'!E36</f>
        <v>2</v>
      </c>
      <c r="AD29" s="23">
        <v>138.6</v>
      </c>
    </row>
    <row r="30" spans="1:31" x14ac:dyDescent="0.15">
      <c r="A30" s="6">
        <v>38</v>
      </c>
      <c r="D30" s="6" t="s">
        <v>96</v>
      </c>
      <c r="E30" s="6" t="s">
        <v>84</v>
      </c>
      <c r="F30" s="7" t="str">
        <f>'5Of11Source'!$J$37</f>
        <v>01 02 03 04 05 06 07,11 10 09 08 07 06 05</v>
      </c>
      <c r="G30" s="20">
        <f>'5Of11Source'!F37</f>
        <v>2</v>
      </c>
      <c r="H30" s="20">
        <v>1</v>
      </c>
      <c r="I30" s="6">
        <f t="shared" si="0"/>
        <v>8</v>
      </c>
      <c r="J30" s="22">
        <f t="shared" si="1"/>
        <v>0</v>
      </c>
      <c r="K30" s="22">
        <f>'5Of11Source'!I37</f>
        <v>0</v>
      </c>
      <c r="L30" s="6">
        <f t="shared" si="2"/>
        <v>999998679.86999989</v>
      </c>
      <c r="M30" s="24" t="str">
        <f t="shared" si="5"/>
        <v>03,06,07,08,10</v>
      </c>
      <c r="N30" s="23">
        <f>IF(ISNUMBER(agent!$O$6*(K30/Z30)*Y30),TRUNC(agent!$O$6*(K30/Z30)*Y30,3),"没有上级")</f>
        <v>0</v>
      </c>
      <c r="O30" s="23">
        <f>IF(ISNUMBER(agent!$O$9*(K30/Z30)*Y30),TRUNC(agent!$O$9*(K30/Z30)*Y30,3),"没有上级")</f>
        <v>0</v>
      </c>
      <c r="P30" s="23">
        <f>IF(ISNUMBER(agent!$O$12*(K30/Z30)*Y30),TRUNC(agent!$O$12*(K30/Z30)*Y30,3),"没有上级")</f>
        <v>0</v>
      </c>
      <c r="Q30" s="23">
        <f>IF(ISNUMBER(agent!$O$15*(K30/Z30)*Y30),TRUNC(agent!$O$15*(K30/Z30)*Y30,3),"没有上级")</f>
        <v>0</v>
      </c>
      <c r="R30" s="23">
        <f>IF(ISNUMBER(agent!$O$18*(K30/Z30)*Y30),TRUNC(agent!$O$18*(K30/Z30)*Y30,3),"没有上级")</f>
        <v>0</v>
      </c>
      <c r="S30" s="23">
        <f>IF(ISNUMBER(agent!$O$21*(K30/Z30)*Y30),TRUNC(agent!$O$21*(K30/Z30)*Y30,3),"没有上级")</f>
        <v>0</v>
      </c>
      <c r="T30" s="23">
        <f>IF(ISNUMBER(agent!$O$24*(K30/Z30)*Y30),TRUNC(agent!$O$24*(K30/Z30)*Y30,3),"没有上级")</f>
        <v>0</v>
      </c>
      <c r="U30" s="23">
        <f>IF(ISNUMBER(agent!$O$27*(K30/Z30)*Y30),TRUNC(agent!$O$27*(K30/Z30)*Y30,3),"没有上级")</f>
        <v>0</v>
      </c>
      <c r="V30" s="23">
        <f>IF(ISNUMBER(agent!$O$30*(K30/Z30)*Y30),TRUNC(agent!$O$30*(K30/Z30)*Y30,3),"没有上级")</f>
        <v>0</v>
      </c>
      <c r="W30" s="23">
        <f>IF(ISNUMBER(agent!$O$33*(K30/Z30)*Y30),TRUNC(agent!$O$33*(K30/Z30)*Y30,3),"没有上级")</f>
        <v>0</v>
      </c>
      <c r="X30" s="6" t="s">
        <v>13</v>
      </c>
      <c r="Y30">
        <f>TRUNC(0.044,3)</f>
        <v>4.3999999999999997E-2</v>
      </c>
      <c r="Z30" s="20">
        <f>TRUNC(AB30-(9.9-agent!L$3)*10*Y30,3)</f>
        <v>42.46</v>
      </c>
      <c r="AA30" s="11">
        <f>'5Of11Source'!X$2</f>
        <v>0</v>
      </c>
      <c r="AB30">
        <f t="shared" si="6"/>
        <v>43.956000000000003</v>
      </c>
      <c r="AC30" s="28">
        <f>'5Of11Source'!E37</f>
        <v>2</v>
      </c>
      <c r="AD30" s="23">
        <v>39.6</v>
      </c>
    </row>
    <row r="31" spans="1:31" ht="27" x14ac:dyDescent="0.15">
      <c r="A31" s="6">
        <v>39</v>
      </c>
      <c r="D31" s="6" t="s">
        <v>96</v>
      </c>
      <c r="E31" s="6" t="s">
        <v>86</v>
      </c>
      <c r="F31" s="7" t="str">
        <f>'5Of11Source'!$J$38</f>
        <v>01 02 03 04 05 06 07 08,11 10 09 08 07 06 05 04</v>
      </c>
      <c r="G31" s="20">
        <f>'5Of11Source'!F38</f>
        <v>3</v>
      </c>
      <c r="H31" s="20">
        <v>1</v>
      </c>
      <c r="I31" s="6">
        <f t="shared" si="0"/>
        <v>12</v>
      </c>
      <c r="J31" s="22">
        <f t="shared" si="1"/>
        <v>0</v>
      </c>
      <c r="K31" s="22">
        <f>'5Of11Source'!I38</f>
        <v>0</v>
      </c>
      <c r="L31" s="6">
        <f t="shared" si="2"/>
        <v>999998667.86999989</v>
      </c>
      <c r="M31" s="24" t="str">
        <f t="shared" si="5"/>
        <v>03,06,07,08,10</v>
      </c>
      <c r="N31" s="23">
        <f>IF(ISNUMBER(agent!$O$6*(K31/Z31)*Y31),TRUNC(agent!$O$6*(K31/Z31)*Y31,3),"没有上级")</f>
        <v>0</v>
      </c>
      <c r="O31" s="23">
        <f>IF(ISNUMBER(agent!$O$9*(K31/Z31)*Y31),TRUNC(agent!$O$9*(K31/Z31)*Y31,3),"没有上级")</f>
        <v>0</v>
      </c>
      <c r="P31" s="23">
        <f>IF(ISNUMBER(agent!$O$12*(K31/Z31)*Y31),TRUNC(agent!$O$12*(K31/Z31)*Y31,3),"没有上级")</f>
        <v>0</v>
      </c>
      <c r="Q31" s="23">
        <f>IF(ISNUMBER(agent!$O$15*(K31/Z31)*Y31),TRUNC(agent!$O$15*(K31/Z31)*Y31,3),"没有上级")</f>
        <v>0</v>
      </c>
      <c r="R31" s="23">
        <f>IF(ISNUMBER(agent!$O$18*(K31/Z31)*Y31),TRUNC(agent!$O$18*(K31/Z31)*Y31,3),"没有上级")</f>
        <v>0</v>
      </c>
      <c r="S31" s="23">
        <f>IF(ISNUMBER(agent!$O$21*(K31/Z31)*Y31),TRUNC(agent!$O$21*(K31/Z31)*Y31,3),"没有上级")</f>
        <v>0</v>
      </c>
      <c r="T31" s="23">
        <f>IF(ISNUMBER(agent!$O$24*(K31/Z31)*Y31),TRUNC(agent!$O$24*(K31/Z31)*Y31,3),"没有上级")</f>
        <v>0</v>
      </c>
      <c r="U31" s="23">
        <f>IF(ISNUMBER(agent!$O$27*(K31/Z31)*Y31),TRUNC(agent!$O$27*(K31/Z31)*Y31,3),"没有上级")</f>
        <v>0</v>
      </c>
      <c r="V31" s="23">
        <f>IF(ISNUMBER(agent!$O$30*(K31/Z31)*Y31),TRUNC(agent!$O$30*(K31/Z31)*Y31,3),"没有上级")</f>
        <v>0</v>
      </c>
      <c r="W31" s="23">
        <f>IF(ISNUMBER(agent!$O$33*(K31/Z31)*Y31),TRUNC(agent!$O$33*(K31/Z31)*Y31,3),"没有上级")</f>
        <v>0</v>
      </c>
      <c r="Y31">
        <f>TRUNC(0.01642857,3)</f>
        <v>1.6E-2</v>
      </c>
      <c r="Z31" s="20">
        <f>TRUNC(AB31-(9.9-agent!L$3)*10*Y31,3)</f>
        <v>15.89</v>
      </c>
      <c r="AA31" s="11">
        <f>'5Of11Source'!X$2</f>
        <v>0</v>
      </c>
      <c r="AB31">
        <f t="shared" si="6"/>
        <v>16.434000000000001</v>
      </c>
      <c r="AC31" s="28">
        <f>'5Of11Source'!E38</f>
        <v>2</v>
      </c>
      <c r="AD31" s="23">
        <v>14.85</v>
      </c>
    </row>
    <row r="32" spans="1:31" x14ac:dyDescent="0.15">
      <c r="A32" s="6">
        <v>40</v>
      </c>
      <c r="D32" s="6" t="s">
        <v>103</v>
      </c>
      <c r="E32" s="6" t="s">
        <v>74</v>
      </c>
      <c r="F32" s="7" t="str">
        <f>'5Of11Source'!$J$39</f>
        <v>01,02 03 04 05 06 07 08 09 10 11</v>
      </c>
      <c r="G32" s="20">
        <f>'5Of11Source'!F39</f>
        <v>1</v>
      </c>
      <c r="H32" s="20">
        <v>1</v>
      </c>
      <c r="I32" s="6">
        <f t="shared" si="0"/>
        <v>20</v>
      </c>
      <c r="J32" s="22">
        <f t="shared" si="1"/>
        <v>0</v>
      </c>
      <c r="K32" s="22">
        <f>'5Of11Source'!I39</f>
        <v>0</v>
      </c>
      <c r="L32" s="6">
        <f t="shared" si="2"/>
        <v>999998647.86999989</v>
      </c>
      <c r="M32" s="24" t="str">
        <f t="shared" si="5"/>
        <v>03,06,07,08,10</v>
      </c>
      <c r="N32" s="23">
        <f>IF(ISNUMBER(agent!$O$6*(K32/Z32)*Y32),TRUNC(agent!$O$6*(K32/Z32)*Y32,3),"没有上级")</f>
        <v>0</v>
      </c>
      <c r="O32" s="23">
        <f>IF(ISNUMBER(agent!$O$9*(K32/Z32)*Y32),TRUNC(agent!$O$9*(K32/Z32)*Y32,3),"没有上级")</f>
        <v>0</v>
      </c>
      <c r="P32" s="23">
        <f>IF(ISNUMBER(agent!$O$12*(K32/Z32)*Y32),TRUNC(agent!$O$12*(K32/Z32)*Y32,3),"没有上级")</f>
        <v>0</v>
      </c>
      <c r="Q32" s="23">
        <f>IF(ISNUMBER(agent!$O$15*(K32/Z32)*Y32),TRUNC(agent!$O$15*(K32/Z32)*Y32,3),"没有上级")</f>
        <v>0</v>
      </c>
      <c r="R32" s="23">
        <f>IF(ISNUMBER(agent!$O$18*(K32/Z32)*Y32),TRUNC(agent!$O$18*(K32/Z32)*Y32,3),"没有上级")</f>
        <v>0</v>
      </c>
      <c r="S32" s="23">
        <f>IF(ISNUMBER(agent!$O$21*(K32/Z32)*Y32),TRUNC(agent!$O$21*(K32/Z32)*Y32,3),"没有上级")</f>
        <v>0</v>
      </c>
      <c r="T32" s="23">
        <f>IF(ISNUMBER(agent!$O$24*(K32/Z32)*Y32),TRUNC(agent!$O$24*(K32/Z32)*Y32,3),"没有上级")</f>
        <v>0</v>
      </c>
      <c r="U32" s="23">
        <f>IF(ISNUMBER(agent!$O$27*(K32/Z32)*Y32),TRUNC(agent!$O$27*(K32/Z32)*Y32,3),"没有上级")</f>
        <v>0</v>
      </c>
      <c r="V32" s="23">
        <f>IF(ISNUMBER(agent!$O$30*(K32/Z32)*Y32),TRUNC(agent!$O$30*(K32/Z32)*Y32,3),"没有上级")</f>
        <v>0</v>
      </c>
      <c r="W32" s="23">
        <f>IF(ISNUMBER(agent!$O$33*(K32/Z32)*Y32),TRUNC(agent!$O$33*(K32/Z32)*Y32,3),"没有上级")</f>
        <v>0</v>
      </c>
      <c r="X32" s="6" t="s">
        <v>10</v>
      </c>
      <c r="Y32">
        <f>TRUNC(0.011,3)</f>
        <v>1.0999999999999999E-2</v>
      </c>
      <c r="Z32" s="20">
        <f>TRUNC(AB32-(9.9-agent!L$3)*10*Y32,3)</f>
        <v>10.615</v>
      </c>
      <c r="AA32" s="11">
        <f>'5Of11Source'!X$2</f>
        <v>0</v>
      </c>
      <c r="AB32">
        <f t="shared" si="6"/>
        <v>10.989000000000001</v>
      </c>
      <c r="AC32" s="28">
        <f>'5Of11Source'!E40</f>
        <v>10</v>
      </c>
      <c r="AD32" s="23">
        <v>9.9</v>
      </c>
    </row>
    <row r="33" spans="1:35" x14ac:dyDescent="0.15">
      <c r="A33" s="6">
        <v>43</v>
      </c>
      <c r="D33" s="6" t="s">
        <v>103</v>
      </c>
      <c r="E33" s="6" t="s">
        <v>76</v>
      </c>
      <c r="F33" s="7" t="str">
        <f>'5Of11Source'!$J$41</f>
        <v>02,01 03 04 05 06 07 08 09 10 11</v>
      </c>
      <c r="G33" s="20">
        <f>'5Of11Source'!F41</f>
        <v>3</v>
      </c>
      <c r="H33" s="20">
        <v>1</v>
      </c>
      <c r="I33" s="6">
        <f t="shared" si="0"/>
        <v>270</v>
      </c>
      <c r="J33" s="22">
        <f t="shared" si="1"/>
        <v>0</v>
      </c>
      <c r="K33" s="22">
        <f>'5Of11Source'!I41</f>
        <v>0</v>
      </c>
      <c r="L33" s="6">
        <f t="shared" si="2"/>
        <v>999998377.86999989</v>
      </c>
      <c r="M33" s="24" t="str">
        <f t="shared" si="5"/>
        <v>03,06,07,08,10</v>
      </c>
      <c r="N33" s="23">
        <f>IF(ISNUMBER(agent!$O$6*(K33/Z33)*Y33),TRUNC(agent!$O$6*(K33/Z33)*Y33,3),"没有上级")</f>
        <v>0</v>
      </c>
      <c r="O33" s="23">
        <f>IF(ISNUMBER(agent!$O$9*(K33/Z33)*Y33),TRUNC(agent!$O$9*(K33/Z33)*Y33,3),"没有上级")</f>
        <v>0</v>
      </c>
      <c r="P33" s="23">
        <f>IF(ISNUMBER(agent!$O$12*(K33/Z33)*Y33),TRUNC(agent!$O$12*(K33/Z33)*Y33,3),"没有上级")</f>
        <v>0</v>
      </c>
      <c r="Q33" s="23">
        <f>IF(ISNUMBER(agent!$O$15*(K33/Z33)*Y33),TRUNC(agent!$O$15*(K33/Z33)*Y33,3),"没有上级")</f>
        <v>0</v>
      </c>
      <c r="R33" s="23">
        <f>IF(ISNUMBER(agent!$O$18*(K33/Z33)*Y33),TRUNC(agent!$O$18*(K33/Z33)*Y33,3),"没有上级")</f>
        <v>0</v>
      </c>
      <c r="S33" s="23">
        <f>IF(ISNUMBER(agent!$O$21*(K33/Z33)*Y33),TRUNC(agent!$O$21*(K33/Z33)*Y33,3),"没有上级")</f>
        <v>0</v>
      </c>
      <c r="T33" s="23">
        <f>IF(ISNUMBER(agent!$O$24*(K33/Z33)*Y33),TRUNC(agent!$O$24*(K33/Z33)*Y33,3),"没有上级")</f>
        <v>0</v>
      </c>
      <c r="U33" s="23">
        <f>IF(ISNUMBER(agent!$O$27*(K33/Z33)*Y33),TRUNC(agent!$O$27*(K33/Z33)*Y33,3),"没有上级")</f>
        <v>0</v>
      </c>
      <c r="V33" s="23">
        <f>IF(ISNUMBER(agent!$O$30*(K33/Z33)*Y33),TRUNC(agent!$O$30*(K33/Z33)*Y33,3),"没有上级")</f>
        <v>0</v>
      </c>
      <c r="W33" s="23">
        <f>IF(ISNUMBER(agent!$O$33*(K33/Z33)*Y33),TRUNC(agent!$O$33*(K33/Z33)*Y33,3),"没有上级")</f>
        <v>0</v>
      </c>
      <c r="Y33">
        <f>TRUNC(0.033,3)</f>
        <v>3.3000000000000002E-2</v>
      </c>
      <c r="Z33" s="20">
        <f>TRUNC(AB33-(9.9-agent!L$3)*10*Y33,3)</f>
        <v>31.844999999999999</v>
      </c>
      <c r="AA33" s="11">
        <f>'5Of11Source'!X$2</f>
        <v>0</v>
      </c>
      <c r="AB33">
        <f t="shared" si="6"/>
        <v>32.966999999999999</v>
      </c>
      <c r="AC33" s="28">
        <f>'5Of11Source'!E42</f>
        <v>45</v>
      </c>
      <c r="AD33" s="23">
        <v>29.7</v>
      </c>
    </row>
    <row r="34" spans="1:35" x14ac:dyDescent="0.15">
      <c r="A34" s="6">
        <v>44</v>
      </c>
      <c r="D34" s="6" t="s">
        <v>103</v>
      </c>
      <c r="E34" s="6" t="s">
        <v>78</v>
      </c>
      <c r="F34" s="7" t="str">
        <f>'5Of11Source'!$J$43</f>
        <v>03,01 02 04 05 06 07 08 09 10 11</v>
      </c>
      <c r="G34" s="20">
        <f>'5Of11Source'!F43</f>
        <v>4</v>
      </c>
      <c r="H34" s="20">
        <v>1</v>
      </c>
      <c r="I34" s="6">
        <f t="shared" si="0"/>
        <v>960</v>
      </c>
      <c r="J34" s="22">
        <f t="shared" si="1"/>
        <v>71.808000000000007</v>
      </c>
      <c r="K34" s="22">
        <f>'5Of11Source'!I43</f>
        <v>2038.08</v>
      </c>
      <c r="L34" s="6">
        <f t="shared" si="2"/>
        <v>999999455.94999993</v>
      </c>
      <c r="M34" s="24" t="str">
        <f t="shared" si="5"/>
        <v>03,06,07,08,10</v>
      </c>
      <c r="N34" s="23">
        <f>IF(ISNUMBER(agent!$O$6*(K34/Z34)*Y34),TRUNC(agent!$O$6*(K34/Z34)*Y34,3),"没有上级")</f>
        <v>2.1120000000000001</v>
      </c>
      <c r="O34" s="23">
        <f>IF(ISNUMBER(agent!$O$9*(K34/Z34)*Y34),TRUNC(agent!$O$9*(K34/Z34)*Y34,3),"没有上级")</f>
        <v>12.672000000000001</v>
      </c>
      <c r="P34" s="23">
        <f>IF(ISNUMBER(agent!$O$12*(K34/Z34)*Y34),TRUNC(agent!$O$12*(K34/Z34)*Y34,3),"没有上级")</f>
        <v>4.2240000000000002</v>
      </c>
      <c r="Q34" s="23">
        <f>IF(ISNUMBER(agent!$O$15*(K34/Z34)*Y34),TRUNC(agent!$O$15*(K34/Z34)*Y34,3),"没有上级")</f>
        <v>8.4480000000000004</v>
      </c>
      <c r="R34" s="23">
        <f>IF(ISNUMBER(agent!$O$18*(K34/Z34)*Y34),TRUNC(agent!$O$18*(K34/Z34)*Y34,3),"没有上级")</f>
        <v>6.3360000000000003</v>
      </c>
      <c r="S34" s="23">
        <f>IF(ISNUMBER(agent!$O$21*(K34/Z34)*Y34),TRUNC(agent!$O$21*(K34/Z34)*Y34,3),"没有上级")</f>
        <v>2.1120000000000001</v>
      </c>
      <c r="T34" s="23">
        <f>IF(ISNUMBER(agent!$O$24*(K34/Z34)*Y34),TRUNC(agent!$O$24*(K34/Z34)*Y34,3),"没有上级")</f>
        <v>14.784000000000001</v>
      </c>
      <c r="U34" s="23">
        <f>IF(ISNUMBER(agent!$O$27*(K34/Z34)*Y34),TRUNC(agent!$O$27*(K34/Z34)*Y34,3),"没有上级")</f>
        <v>6.3360000000000003</v>
      </c>
      <c r="V34" s="23">
        <f>IF(ISNUMBER(agent!$O$30*(K34/Z34)*Y34),TRUNC(agent!$O$30*(K34/Z34)*Y34,3),"没有上级")</f>
        <v>8.4480000000000004</v>
      </c>
      <c r="W34" s="23">
        <f>IF(ISNUMBER(agent!$O$33*(K34/Z34)*Y34),TRUNC(agent!$O$33*(K34/Z34)*Y34,3),"没有上级")</f>
        <v>6.3360000000000003</v>
      </c>
      <c r="Y34">
        <f>TRUNC(0.132,3)</f>
        <v>0.13200000000000001</v>
      </c>
      <c r="Z34" s="20">
        <f>TRUNC(AB34-(9.9-agent!L$3)*10*Y34,3)</f>
        <v>127.38</v>
      </c>
      <c r="AA34" s="11">
        <f>'5Of11Source'!X$2</f>
        <v>0</v>
      </c>
      <c r="AB34">
        <f t="shared" si="6"/>
        <v>131.86799999999999</v>
      </c>
      <c r="AC34" s="28">
        <f>'5Of11Source'!E44</f>
        <v>120</v>
      </c>
      <c r="AD34" s="23">
        <v>118.8</v>
      </c>
    </row>
    <row r="35" spans="1:35" x14ac:dyDescent="0.15">
      <c r="A35" s="6">
        <v>45</v>
      </c>
      <c r="D35" s="6" t="s">
        <v>103</v>
      </c>
      <c r="E35" s="6" t="s">
        <v>80</v>
      </c>
      <c r="F35" s="7" t="str">
        <f>'5Of11Source'!$J$45</f>
        <v>04,01 02 03 07 09 10 05 06 08 11</v>
      </c>
      <c r="G35" s="20">
        <f>'5Of11Source'!F45</f>
        <v>5</v>
      </c>
      <c r="H35" s="20">
        <v>1</v>
      </c>
      <c r="I35" s="6">
        <f t="shared" si="0"/>
        <v>2099.9999999999995</v>
      </c>
      <c r="J35" s="22">
        <f t="shared" si="1"/>
        <v>0</v>
      </c>
      <c r="K35" s="22">
        <f>'5Of11Source'!I45</f>
        <v>0</v>
      </c>
      <c r="L35" s="6">
        <f t="shared" si="2"/>
        <v>999997355.94999993</v>
      </c>
      <c r="M35" s="24" t="str">
        <f t="shared" si="5"/>
        <v>03,06,07,08,10</v>
      </c>
      <c r="N35" s="23">
        <f>IF(ISNUMBER(agent!$O$6*(K35/Z35)*Y35),TRUNC(agent!$O$6*(K35/Z35)*Y35,3),"没有上级")</f>
        <v>0</v>
      </c>
      <c r="O35" s="23">
        <f>IF(ISNUMBER(agent!$O$9*(K35/Z35)*Y35),TRUNC(agent!$O$9*(K35/Z35)*Y35,3),"没有上级")</f>
        <v>0</v>
      </c>
      <c r="P35" s="23">
        <f>IF(ISNUMBER(agent!$O$12*(K35/Z35)*Y35),TRUNC(agent!$O$12*(K35/Z35)*Y35,3),"没有上级")</f>
        <v>0</v>
      </c>
      <c r="Q35" s="23">
        <f>IF(ISNUMBER(agent!$O$15*(K35/Z35)*Y35),TRUNC(agent!$O$15*(K35/Z35)*Y35,3),"没有上级")</f>
        <v>0</v>
      </c>
      <c r="R35" s="23">
        <f>IF(ISNUMBER(agent!$O$18*(K35/Z35)*Y35),TRUNC(agent!$O$18*(K35/Z35)*Y35,3),"没有上级")</f>
        <v>0</v>
      </c>
      <c r="S35" s="23">
        <f>IF(ISNUMBER(agent!$O$21*(K35/Z35)*Y35),TRUNC(agent!$O$21*(K35/Z35)*Y35,3),"没有上级")</f>
        <v>0</v>
      </c>
      <c r="T35" s="23">
        <f>IF(ISNUMBER(agent!$O$24*(K35/Z35)*Y35),TRUNC(agent!$O$24*(K35/Z35)*Y35,3),"没有上级")</f>
        <v>0</v>
      </c>
      <c r="U35" s="23">
        <f>IF(ISNUMBER(agent!$O$27*(K35/Z35)*Y35),TRUNC(agent!$O$27*(K35/Z35)*Y35,3),"没有上级")</f>
        <v>0</v>
      </c>
      <c r="V35" s="23">
        <f>IF(ISNUMBER(agent!$O$30*(K35/Z35)*Y35),TRUNC(agent!$O$30*(K35/Z35)*Y35,3),"没有上级")</f>
        <v>0</v>
      </c>
      <c r="W35" s="23">
        <f>IF(ISNUMBER(agent!$O$33*(K35/Z35)*Y35),TRUNC(agent!$O$33*(K35/Z35)*Y35,3),"没有上级")</f>
        <v>0</v>
      </c>
      <c r="Y35">
        <f>TRUNC(0.924,3)</f>
        <v>0.92400000000000004</v>
      </c>
      <c r="Z35" s="20">
        <f>TRUNC(AB35-(9.9-agent!L$3)*10*Y35,3)</f>
        <v>891.66</v>
      </c>
      <c r="AA35" s="11">
        <f>'5Of11Source'!X$2</f>
        <v>0</v>
      </c>
      <c r="AB35">
        <f t="shared" si="6"/>
        <v>923.07600000000002</v>
      </c>
      <c r="AC35" s="28">
        <f>'5Of11Source'!E46</f>
        <v>209.99999999999997</v>
      </c>
      <c r="AD35" s="23">
        <v>831.6</v>
      </c>
    </row>
    <row r="36" spans="1:35" x14ac:dyDescent="0.15">
      <c r="A36" s="6">
        <v>46</v>
      </c>
      <c r="D36" s="6" t="s">
        <v>103</v>
      </c>
      <c r="E36" s="6" t="s">
        <v>82</v>
      </c>
      <c r="F36" s="7" t="str">
        <f>'5Of11Source'!$J$47</f>
        <v>05,01 02 03 04 06 07 08 09 10 11</v>
      </c>
      <c r="G36" s="20">
        <f>'5Of11Source'!F47</f>
        <v>5</v>
      </c>
      <c r="H36" s="20">
        <v>1</v>
      </c>
      <c r="I36" s="6">
        <f t="shared" si="0"/>
        <v>2520</v>
      </c>
      <c r="J36" s="22">
        <f t="shared" si="1"/>
        <v>0</v>
      </c>
      <c r="K36" s="22">
        <f>'5Of11Source'!I47</f>
        <v>0</v>
      </c>
      <c r="L36" s="6">
        <f t="shared" si="2"/>
        <v>999994835.94999993</v>
      </c>
      <c r="M36" s="24" t="str">
        <f t="shared" si="5"/>
        <v>03,06,07,08,10</v>
      </c>
      <c r="N36" s="23">
        <f>IF(ISNUMBER(agent!$O$6*(K36/Z36)*Y36),TRUNC(agent!$O$6*(K36/Z36)*Y36,3),"没有上级")</f>
        <v>0</v>
      </c>
      <c r="O36" s="23">
        <f>IF(ISNUMBER(agent!$O$9*(K36/Z36)*Y36),TRUNC(agent!$O$9*(K36/Z36)*Y36,3),"没有上级")</f>
        <v>0</v>
      </c>
      <c r="P36" s="23">
        <f>IF(ISNUMBER(agent!$O$12*(K36/Z36)*Y36),TRUNC(agent!$O$12*(K36/Z36)*Y36,3),"没有上级")</f>
        <v>0</v>
      </c>
      <c r="Q36" s="23">
        <f>IF(ISNUMBER(agent!$O$15*(K36/Z36)*Y36),TRUNC(agent!$O$15*(K36/Z36)*Y36,3),"没有上级")</f>
        <v>0</v>
      </c>
      <c r="R36" s="23">
        <f>IF(ISNUMBER(agent!$O$18*(K36/Z36)*Y36),TRUNC(agent!$O$18*(K36/Z36)*Y36,3),"没有上级")</f>
        <v>0</v>
      </c>
      <c r="S36" s="23">
        <f>IF(ISNUMBER(agent!$O$21*(K36/Z36)*Y36),TRUNC(agent!$O$21*(K36/Z36)*Y36,3),"没有上级")</f>
        <v>0</v>
      </c>
      <c r="T36" s="23">
        <f>IF(ISNUMBER(agent!$O$24*(K36/Z36)*Y36),TRUNC(agent!$O$24*(K36/Z36)*Y36,3),"没有上级")</f>
        <v>0</v>
      </c>
      <c r="U36" s="23">
        <f>IF(ISNUMBER(agent!$O$27*(K36/Z36)*Y36),TRUNC(agent!$O$27*(K36/Z36)*Y36,3),"没有上级")</f>
        <v>0</v>
      </c>
      <c r="V36" s="23">
        <f>IF(ISNUMBER(agent!$O$30*(K36/Z36)*Y36),TRUNC(agent!$O$30*(K36/Z36)*Y36,3),"没有上级")</f>
        <v>0</v>
      </c>
      <c r="W36" s="23">
        <f>IF(ISNUMBER(agent!$O$33*(K36/Z36)*Y36),TRUNC(agent!$O$33*(K36/Z36)*Y36,3),"没有上级")</f>
        <v>0</v>
      </c>
      <c r="X36" s="6" t="s">
        <v>12</v>
      </c>
      <c r="Y36">
        <f>TRUNC(0.154,3)</f>
        <v>0.154</v>
      </c>
      <c r="Z36" s="20">
        <f>TRUNC(AB36-(9.9-agent!L$3)*10*Y36,3)</f>
        <v>148.61000000000001</v>
      </c>
      <c r="AA36" s="11">
        <f>'5Of11Source'!X$2</f>
        <v>0</v>
      </c>
      <c r="AB36">
        <f t="shared" si="6"/>
        <v>153.846</v>
      </c>
      <c r="AC36" s="28">
        <f>'5Of11Source'!E48</f>
        <v>252</v>
      </c>
      <c r="AD36" s="23">
        <v>138.6</v>
      </c>
    </row>
    <row r="37" spans="1:35" x14ac:dyDescent="0.15">
      <c r="A37" s="6">
        <v>47</v>
      </c>
      <c r="D37" s="6" t="s">
        <v>103</v>
      </c>
      <c r="E37" s="6" t="s">
        <v>84</v>
      </c>
      <c r="F37" s="7" t="str">
        <f>'5Of11Source'!$J$49</f>
        <v>06,01 02 03 04 05 07 08 09 10 11</v>
      </c>
      <c r="G37" s="20">
        <f>'5Of11Source'!F49</f>
        <v>4</v>
      </c>
      <c r="H37" s="20">
        <v>1</v>
      </c>
      <c r="I37" s="6">
        <f t="shared" si="0"/>
        <v>1679.9999999999998</v>
      </c>
      <c r="J37" s="22">
        <f t="shared" si="1"/>
        <v>89.76</v>
      </c>
      <c r="K37" s="22">
        <f>'5Of11Source'!I49</f>
        <v>2547.6</v>
      </c>
      <c r="L37" s="6">
        <f t="shared" si="2"/>
        <v>999995703.54999995</v>
      </c>
      <c r="M37" s="24" t="str">
        <f t="shared" si="5"/>
        <v>03,06,07,08,10</v>
      </c>
      <c r="N37" s="23">
        <f>IF(ISNUMBER(agent!$O$6*(K37/Z37)*Y37),TRUNC(agent!$O$6*(K37/Z37)*Y37,3),"没有上级")</f>
        <v>2.64</v>
      </c>
      <c r="O37" s="23">
        <f>IF(ISNUMBER(agent!$O$9*(K37/Z37)*Y37),TRUNC(agent!$O$9*(K37/Z37)*Y37,3),"没有上级")</f>
        <v>15.84</v>
      </c>
      <c r="P37" s="23">
        <f>IF(ISNUMBER(agent!$O$12*(K37/Z37)*Y37),TRUNC(agent!$O$12*(K37/Z37)*Y37,3),"没有上级")</f>
        <v>5.28</v>
      </c>
      <c r="Q37" s="23">
        <f>IF(ISNUMBER(agent!$O$15*(K37/Z37)*Y37),TRUNC(agent!$O$15*(K37/Z37)*Y37,3),"没有上级")</f>
        <v>10.56</v>
      </c>
      <c r="R37" s="23">
        <f>IF(ISNUMBER(agent!$O$18*(K37/Z37)*Y37),TRUNC(agent!$O$18*(K37/Z37)*Y37,3),"没有上级")</f>
        <v>7.92</v>
      </c>
      <c r="S37" s="23">
        <f>IF(ISNUMBER(agent!$O$21*(K37/Z37)*Y37),TRUNC(agent!$O$21*(K37/Z37)*Y37,3),"没有上级")</f>
        <v>2.64</v>
      </c>
      <c r="T37" s="23">
        <f>IF(ISNUMBER(agent!$O$24*(K37/Z37)*Y37),TRUNC(agent!$O$24*(K37/Z37)*Y37,3),"没有上级")</f>
        <v>18.48</v>
      </c>
      <c r="U37" s="23">
        <f>IF(ISNUMBER(agent!$O$27*(K37/Z37)*Y37),TRUNC(agent!$O$27*(K37/Z37)*Y37,3),"没有上级")</f>
        <v>7.92</v>
      </c>
      <c r="V37" s="23">
        <f>IF(ISNUMBER(agent!$O$30*(K37/Z37)*Y37),TRUNC(agent!$O$30*(K37/Z37)*Y37,3),"没有上级")</f>
        <v>10.56</v>
      </c>
      <c r="W37" s="23">
        <f>IF(ISNUMBER(agent!$O$33*(K37/Z37)*Y37),TRUNC(agent!$O$33*(K37/Z37)*Y37,3),"没有上级")</f>
        <v>7.92</v>
      </c>
      <c r="Y37">
        <f>TRUNC(0.044,3)</f>
        <v>4.3999999999999997E-2</v>
      </c>
      <c r="Z37" s="20">
        <f>TRUNC(AB37-(9.9-agent!L$3)*10*Y37,3)</f>
        <v>42.46</v>
      </c>
      <c r="AA37" s="11">
        <f>'5Of11Source'!X$2</f>
        <v>0</v>
      </c>
      <c r="AB37">
        <f t="shared" si="6"/>
        <v>43.956000000000003</v>
      </c>
      <c r="AC37" s="28">
        <f>'5Of11Source'!E50</f>
        <v>209.99999999999997</v>
      </c>
      <c r="AD37" s="23">
        <v>39.6</v>
      </c>
    </row>
    <row r="38" spans="1:35" x14ac:dyDescent="0.15">
      <c r="A38" s="6">
        <v>48</v>
      </c>
      <c r="D38" s="6" t="s">
        <v>103</v>
      </c>
      <c r="E38" s="6" t="s">
        <v>86</v>
      </c>
      <c r="F38" s="7" t="str">
        <f>'5Of11Source'!$J$51</f>
        <v>07,01 02 03 04 05 06 09 10 08 11</v>
      </c>
      <c r="G38" s="20">
        <f>'5Of11Source'!F51</f>
        <v>3</v>
      </c>
      <c r="H38" s="20">
        <v>1</v>
      </c>
      <c r="I38" s="6">
        <f t="shared" si="0"/>
        <v>720</v>
      </c>
      <c r="J38" s="22">
        <f t="shared" si="1"/>
        <v>32.64</v>
      </c>
      <c r="K38" s="22">
        <f>'5Of11Source'!I51</f>
        <v>953.40000000000009</v>
      </c>
      <c r="L38" s="6">
        <f t="shared" si="2"/>
        <v>999995936.94999993</v>
      </c>
      <c r="M38" s="24" t="str">
        <f t="shared" si="5"/>
        <v>03,06,07,08,10</v>
      </c>
      <c r="N38" s="23">
        <f>IF(ISNUMBER(agent!$O$6*(K38/Z38)*Y38),TRUNC(agent!$O$6*(K38/Z38)*Y38,3),"没有上级")</f>
        <v>0.96</v>
      </c>
      <c r="O38" s="23">
        <f>IF(ISNUMBER(agent!$O$9*(K38/Z38)*Y38),TRUNC(agent!$O$9*(K38/Z38)*Y38,3),"没有上级")</f>
        <v>5.76</v>
      </c>
      <c r="P38" s="23">
        <f>IF(ISNUMBER(agent!$O$12*(K38/Z38)*Y38),TRUNC(agent!$O$12*(K38/Z38)*Y38,3),"没有上级")</f>
        <v>1.92</v>
      </c>
      <c r="Q38" s="23">
        <f>IF(ISNUMBER(agent!$O$15*(K38/Z38)*Y38),TRUNC(agent!$O$15*(K38/Z38)*Y38,3),"没有上级")</f>
        <v>3.84</v>
      </c>
      <c r="R38" s="23">
        <f>IF(ISNUMBER(agent!$O$18*(K38/Z38)*Y38),TRUNC(agent!$O$18*(K38/Z38)*Y38,3),"没有上级")</f>
        <v>2.88</v>
      </c>
      <c r="S38" s="23">
        <f>IF(ISNUMBER(agent!$O$21*(K38/Z38)*Y38),TRUNC(agent!$O$21*(K38/Z38)*Y38,3),"没有上级")</f>
        <v>0.96</v>
      </c>
      <c r="T38" s="23">
        <f>IF(ISNUMBER(agent!$O$24*(K38/Z38)*Y38),TRUNC(agent!$O$24*(K38/Z38)*Y38,3),"没有上级")</f>
        <v>6.72</v>
      </c>
      <c r="U38" s="23">
        <f>IF(ISNUMBER(agent!$O$27*(K38/Z38)*Y38),TRUNC(agent!$O$27*(K38/Z38)*Y38,3),"没有上级")</f>
        <v>2.88</v>
      </c>
      <c r="V38" s="23">
        <f>IF(ISNUMBER(agent!$O$30*(K38/Z38)*Y38),TRUNC(agent!$O$30*(K38/Z38)*Y38,3),"没有上级")</f>
        <v>3.84</v>
      </c>
      <c r="W38" s="23">
        <f>IF(ISNUMBER(agent!$O$33*(K38/Z38)*Y38),TRUNC(agent!$O$33*(K38/Z38)*Y38,3),"没有上级")</f>
        <v>2.88</v>
      </c>
      <c r="Y38">
        <f>TRUNC(0.01642857,3)</f>
        <v>1.6E-2</v>
      </c>
      <c r="Z38" s="20">
        <f>TRUNC(AB38-(9.9-agent!L$3)*10*Y38,3)</f>
        <v>15.89</v>
      </c>
      <c r="AA38" s="11">
        <f>'5Of11Source'!X$2</f>
        <v>0</v>
      </c>
      <c r="AB38">
        <f t="shared" si="6"/>
        <v>16.434000000000001</v>
      </c>
      <c r="AC38" s="28">
        <f>'5Of11Source'!E52</f>
        <v>120</v>
      </c>
      <c r="AD38" s="23">
        <v>14.85</v>
      </c>
    </row>
    <row r="39" spans="1:35" s="30" customFormat="1" x14ac:dyDescent="0.15">
      <c r="D39" s="30" t="s">
        <v>23</v>
      </c>
      <c r="E39" s="30" t="s">
        <v>25</v>
      </c>
      <c r="F39" s="30" t="str">
        <f>'5Of11Source'!$J$2</f>
        <v>01 02 03 04 05 06 07 08 09 10 11,01 02 03 04 05 06 07 08 09 10 11,01 02 03 04 05 06 07 08 09 10 11</v>
      </c>
      <c r="G39" s="30">
        <f>'5Of11Source'!F39:F41</f>
        <v>1</v>
      </c>
      <c r="H39" s="30">
        <v>1</v>
      </c>
      <c r="I39" s="30">
        <f>I2</f>
        <v>3960</v>
      </c>
      <c r="J39" s="30">
        <f t="shared" si="1"/>
        <v>2068.6979999999999</v>
      </c>
      <c r="K39" s="30">
        <f>'5Of11Source'!I53</f>
        <v>58714.68</v>
      </c>
      <c r="L39" s="30">
        <f>L38-I39+K39</f>
        <v>1000050691.6299999</v>
      </c>
      <c r="M39" s="30" t="str">
        <f>'5Of11Source'!P$2</f>
        <v>03,06,07,08,10</v>
      </c>
      <c r="N39" s="30">
        <f>IF(ISNUMBER(agent!$O$6*(K39/Z39)*Y39),TRUNC(agent!$O$6*(K39/Z39)*Y39,3),"没有上级")</f>
        <v>60.844000000000001</v>
      </c>
      <c r="O39" s="30">
        <f>IF(ISNUMBER(agent!$O$9*(K39/Z39)*Y39),TRUNC(agent!$O$9*(K39/Z39)*Y39,3),"没有上级")</f>
        <v>365.065</v>
      </c>
      <c r="P39" s="30">
        <f>IF(ISNUMBER(agent!$O$12*(K39/Z39)*Y39),TRUNC(agent!$O$12*(K39/Z39)*Y39,3),"没有上级")</f>
        <v>121.688</v>
      </c>
      <c r="Q39" s="30">
        <f>IF(ISNUMBER(agent!$O$15*(K39/Z39)*Y39),TRUNC(agent!$O$15*(K39/Z39)*Y39,3),"没有上级")</f>
        <v>243.376</v>
      </c>
      <c r="R39" s="30">
        <f>IF(ISNUMBER(agent!$O$18*(K39/Z39)*Y39),TRUNC(agent!$O$18*(K39/Z39)*Y39,3),"没有上级")</f>
        <v>182.53200000000001</v>
      </c>
      <c r="S39" s="30">
        <f>IF(ISNUMBER(agent!$O$21*(K39/Z39)*Y39),TRUNC(agent!$O$21*(K39/Z39)*Y39,3),"没有上级")</f>
        <v>60.844000000000001</v>
      </c>
      <c r="T39" s="30">
        <f>IF(ISNUMBER(agent!$O$24*(K39/Z39)*Y39),TRUNC(agent!$O$24*(K39/Z39)*Y39,3),"没有上级")</f>
        <v>425.90899999999999</v>
      </c>
      <c r="U39" s="30">
        <f>IF(ISNUMBER(agent!$O$27*(K39/Z39)*Y39),TRUNC(agent!$O$27*(K39/Z39)*Y39,3),"没有上级")</f>
        <v>182.53200000000001</v>
      </c>
      <c r="V39" s="30">
        <f>IF(ISNUMBER(agent!$O$30*(K39/Z39)*Y39),TRUNC(agent!$O$30*(K39/Z39)*Y39,3),"没有上级")</f>
        <v>243.376</v>
      </c>
      <c r="W39" s="30">
        <f>IF(ISNUMBER(agent!$O$33*(K39/Z39)*Y39),TRUNC(agent!$O$33*(K39/Z39)*Y39,3),"没有上级")</f>
        <v>182.53200000000001</v>
      </c>
      <c r="X39" s="30" t="s">
        <v>9</v>
      </c>
      <c r="Y39" s="30">
        <f>TRUNC(1.98,3)</f>
        <v>1.98</v>
      </c>
      <c r="Z39" s="30">
        <f>TRUNC(AB39-(9.9-agent!L$3)*10*Y39,3)</f>
        <v>1910.7</v>
      </c>
      <c r="AA39" s="30">
        <f>'5Of11Source'!X$2</f>
        <v>0</v>
      </c>
      <c r="AB39" s="30">
        <f>TRUNC(AD39+Y39*99,4)</f>
        <v>1978.02</v>
      </c>
      <c r="AC39" s="28">
        <f>'5Of11Source'!E53</f>
        <v>45</v>
      </c>
      <c r="AD39" s="30">
        <v>1782</v>
      </c>
      <c r="AE39" s="30">
        <v>1000000000</v>
      </c>
    </row>
    <row r="40" spans="1:35" x14ac:dyDescent="0.15">
      <c r="D40" s="28" t="s">
        <v>23</v>
      </c>
      <c r="E40" s="28" t="s">
        <v>32</v>
      </c>
      <c r="F40" s="27" t="str">
        <f>'5Of11Source'!$J$5</f>
        <v>01 02 03,04 05 06,07 08 09,02 05 07</v>
      </c>
      <c r="G40" s="28">
        <f>'5Of11Source'!F42</f>
        <v>0</v>
      </c>
      <c r="H40" s="28">
        <v>1</v>
      </c>
      <c r="I40" s="30">
        <f t="shared" ref="I40:I103" si="7">I3</f>
        <v>40</v>
      </c>
      <c r="J40" s="22">
        <f t="shared" si="1"/>
        <v>5154.3900000000003</v>
      </c>
      <c r="K40" s="22">
        <f>'5Of11Source'!I56</f>
        <v>146293.95000000001</v>
      </c>
      <c r="L40" s="28">
        <f t="shared" ref="L40:L75" si="8">$L39-$I40+$K40</f>
        <v>1000196945.5799999</v>
      </c>
      <c r="M40" s="29" t="str">
        <f>M39</f>
        <v>03,06,07,08,10</v>
      </c>
      <c r="N40" s="28">
        <f>IF(ISNUMBER(agent!$O$6*(K40/Z40)*Y40),TRUNC(agent!$O$6*(K40/Z40)*Y40,3),"没有上级")</f>
        <v>151.59899999999999</v>
      </c>
      <c r="O40" s="28">
        <f>IF(ISNUMBER(agent!$O$9*(K40/Z40)*Y40),TRUNC(agent!$O$9*(K40/Z40)*Y40,3),"没有上级")</f>
        <v>909.59900000000005</v>
      </c>
      <c r="P40" s="28">
        <f>IF(ISNUMBER(agent!$O$12*(K40/Z40)*Y40),TRUNC(agent!$O$12*(K40/Z40)*Y40,3),"没有上级")</f>
        <v>303.19900000000001</v>
      </c>
      <c r="Q40" s="28">
        <f>IF(ISNUMBER(agent!$O$15*(K40/Z40)*Y40),TRUNC(agent!$O$15*(K40/Z40)*Y40,3),"没有上级")</f>
        <v>606.399</v>
      </c>
      <c r="R40" s="28">
        <f>IF(ISNUMBER(agent!$O$18*(K40/Z40)*Y40),TRUNC(agent!$O$18*(K40/Z40)*Y40,3),"没有上级")</f>
        <v>454.79899999999998</v>
      </c>
      <c r="S40" s="28">
        <f>IF(ISNUMBER(agent!$O$21*(K40/Z40)*Y40),TRUNC(agent!$O$21*(K40/Z40)*Y40,3),"没有上级")</f>
        <v>151.59899999999999</v>
      </c>
      <c r="T40" s="28">
        <f>IF(ISNUMBER(agent!$O$24*(K40/Z40)*Y40),TRUNC(agent!$O$24*(K40/Z40)*Y40,3),"没有上级")</f>
        <v>1061.1990000000001</v>
      </c>
      <c r="U40" s="28">
        <f>IF(ISNUMBER(agent!$O$27*(K40/Z40)*Y40),TRUNC(agent!$O$27*(K40/Z40)*Y40,3),"没有上级")</f>
        <v>454.79899999999998</v>
      </c>
      <c r="V40" s="28">
        <f>IF(ISNUMBER(agent!$O$30*(K40/Z40)*Y40),TRUNC(agent!$O$30*(K40/Z40)*Y40,3),"没有上级")</f>
        <v>606.399</v>
      </c>
      <c r="W40" s="28">
        <f>IF(ISNUMBER(agent!$O$33*(K40/Z40)*Y40),TRUNC(agent!$O$33*(K40/Z40)*Y40,3),"没有上级")</f>
        <v>454.79899999999998</v>
      </c>
      <c r="X40" s="28" t="s">
        <v>10</v>
      </c>
      <c r="Y40">
        <f>TRUNC(1.98,3)</f>
        <v>1.98</v>
      </c>
      <c r="Z40" s="28">
        <f>TRUNC(AB40-(9.9-agent!L$3)*10*Y40,3)</f>
        <v>1910.7</v>
      </c>
      <c r="AA40" s="28">
        <f>'5Of11Source'!X$2</f>
        <v>0</v>
      </c>
      <c r="AB40">
        <f t="shared" ref="AB40:AB50" si="9">TRUNC(AD40+Y40*99,4)</f>
        <v>1978.02</v>
      </c>
      <c r="AC40" s="28">
        <f>'5Of11Source'!E56</f>
        <v>4</v>
      </c>
      <c r="AD40" s="28">
        <v>1782</v>
      </c>
      <c r="AE40" s="28"/>
      <c r="AF40" s="29" t="s">
        <v>136</v>
      </c>
      <c r="AG40" s="28"/>
      <c r="AH40" s="27"/>
      <c r="AI40" s="28"/>
    </row>
    <row r="41" spans="1:35" ht="27" x14ac:dyDescent="0.15">
      <c r="D41" s="28" t="s">
        <v>23</v>
      </c>
      <c r="E41" s="28" t="s">
        <v>35</v>
      </c>
      <c r="F41" s="27" t="str">
        <f>'5Of11Source'!$J$6</f>
        <v>01 02 03 04 05 06 07 08 09 10 11</v>
      </c>
      <c r="G41" s="28">
        <f>'5Of11Source'!F43</f>
        <v>4</v>
      </c>
      <c r="H41" s="28">
        <v>1</v>
      </c>
      <c r="I41" s="30">
        <f t="shared" si="7"/>
        <v>990</v>
      </c>
      <c r="J41" s="22">
        <f t="shared" si="1"/>
        <v>3083.0909999999999</v>
      </c>
      <c r="K41" s="22">
        <f>'5Of11Source'!I57</f>
        <v>87753.57</v>
      </c>
      <c r="L41" s="28">
        <f t="shared" si="8"/>
        <v>1000283709.15</v>
      </c>
      <c r="M41" s="29" t="str">
        <f>M40</f>
        <v>03,06,07,08,10</v>
      </c>
      <c r="N41" s="28">
        <f>IF(ISNUMBER(agent!$O$6*(K41/Z41)*Y41),TRUNC(agent!$O$6*(K41/Z41)*Y41,3),"没有上级")</f>
        <v>90.679000000000002</v>
      </c>
      <c r="O41" s="28">
        <f>IF(ISNUMBER(agent!$O$9*(K41/Z41)*Y41),TRUNC(agent!$O$9*(K41/Z41)*Y41,3),"没有上级")</f>
        <v>544.07500000000005</v>
      </c>
      <c r="P41" s="28">
        <f>IF(ISNUMBER(agent!$O$12*(K41/Z41)*Y41),TRUNC(agent!$O$12*(K41/Z41)*Y41,3),"没有上级")</f>
        <v>181.358</v>
      </c>
      <c r="Q41" s="28">
        <f>IF(ISNUMBER(agent!$O$15*(K41/Z41)*Y41),TRUNC(agent!$O$15*(K41/Z41)*Y41,3),"没有上级")</f>
        <v>362.71699999999998</v>
      </c>
      <c r="R41" s="28">
        <f>IF(ISNUMBER(agent!$O$18*(K41/Z41)*Y41),TRUNC(agent!$O$18*(K41/Z41)*Y41,3),"没有上级")</f>
        <v>272.03699999999998</v>
      </c>
      <c r="S41" s="28">
        <f>IF(ISNUMBER(agent!$O$21*(K41/Z41)*Y41),TRUNC(agent!$O$21*(K41/Z41)*Y41,3),"没有上级")</f>
        <v>90.679000000000002</v>
      </c>
      <c r="T41" s="28">
        <f>IF(ISNUMBER(agent!$O$24*(K41/Z41)*Y41),TRUNC(agent!$O$24*(K41/Z41)*Y41,3),"没有上级")</f>
        <v>634.755</v>
      </c>
      <c r="U41" s="28">
        <f>IF(ISNUMBER(agent!$O$27*(K41/Z41)*Y41),TRUNC(agent!$O$27*(K41/Z41)*Y41,3),"没有上级")</f>
        <v>272.03699999999998</v>
      </c>
      <c r="V41" s="28">
        <f>IF(ISNUMBER(agent!$O$30*(K41/Z41)*Y41),TRUNC(agent!$O$30*(K41/Z41)*Y41,3),"没有上级")</f>
        <v>362.71699999999998</v>
      </c>
      <c r="W41" s="28">
        <f>IF(ISNUMBER(agent!$O$33*(K41/Z41)*Y41),TRUNC(agent!$O$33*(K41/Z41)*Y41,3),"没有上级")</f>
        <v>272.03699999999998</v>
      </c>
      <c r="X41" s="28"/>
      <c r="Y41">
        <f>TRUNC(0.329857,3)</f>
        <v>0.32900000000000001</v>
      </c>
      <c r="Z41" s="28">
        <f>TRUNC(AB41-(9.9-agent!L$3)*10*Y41,3)</f>
        <v>318.38499999999999</v>
      </c>
      <c r="AA41" s="28">
        <f>'5Of11Source'!X$2</f>
        <v>0</v>
      </c>
      <c r="AB41">
        <f t="shared" si="9"/>
        <v>329.57100000000003</v>
      </c>
      <c r="AC41" s="28">
        <f>'5Of11Source'!E57</f>
        <v>165</v>
      </c>
      <c r="AD41" s="28">
        <v>297</v>
      </c>
      <c r="AE41" s="28"/>
      <c r="AF41" s="29" t="s">
        <v>137</v>
      </c>
      <c r="AG41" s="29" t="s">
        <v>145</v>
      </c>
      <c r="AH41" s="25" t="s">
        <v>146</v>
      </c>
      <c r="AI41" s="29" t="s">
        <v>147</v>
      </c>
    </row>
    <row r="42" spans="1:35" x14ac:dyDescent="0.15">
      <c r="D42" s="28" t="s">
        <v>23</v>
      </c>
      <c r="E42" s="28" t="s">
        <v>36</v>
      </c>
      <c r="F42" s="27" t="str">
        <f>'5Of11Source'!$D$7</f>
        <v>01 02 03,06 07 08,09 10 11,05 02 07</v>
      </c>
      <c r="G42" s="28">
        <f>'5Of11Source'!F44</f>
        <v>0</v>
      </c>
      <c r="H42" s="28">
        <v>1</v>
      </c>
      <c r="I42" s="30">
        <f t="shared" si="7"/>
        <v>32</v>
      </c>
      <c r="J42" s="22">
        <f t="shared" si="1"/>
        <v>3871.973</v>
      </c>
      <c r="K42" s="22">
        <f>'5Of11Source'!I58</f>
        <v>110207.36000000002</v>
      </c>
      <c r="L42" s="28">
        <f t="shared" si="8"/>
        <v>1000393884.51</v>
      </c>
      <c r="M42" s="29" t="str">
        <f>M41</f>
        <v>03,06,07,08,10</v>
      </c>
      <c r="N42" s="28">
        <f>IF(ISNUMBER(agent!$O$6*(K42/Z42)*Y42),TRUNC(agent!$O$6*(K42/Z42)*Y42,3),"没有上级")</f>
        <v>113.881</v>
      </c>
      <c r="O42" s="28">
        <f>IF(ISNUMBER(agent!$O$9*(K42/Z42)*Y42),TRUNC(agent!$O$9*(K42/Z42)*Y42,3),"没有上级")</f>
        <v>683.29</v>
      </c>
      <c r="P42" s="28">
        <f>IF(ISNUMBER(agent!$O$12*(K42/Z42)*Y42),TRUNC(agent!$O$12*(K42/Z42)*Y42,3),"没有上级")</f>
        <v>227.76300000000001</v>
      </c>
      <c r="Q42" s="28">
        <f>IF(ISNUMBER(agent!$O$15*(K42/Z42)*Y42),TRUNC(agent!$O$15*(K42/Z42)*Y42,3),"没有上级")</f>
        <v>455.52600000000001</v>
      </c>
      <c r="R42" s="28">
        <f>IF(ISNUMBER(agent!$O$18*(K42/Z42)*Y42),TRUNC(agent!$O$18*(K42/Z42)*Y42,3),"没有上级")</f>
        <v>341.64499999999998</v>
      </c>
      <c r="S42" s="28">
        <f>IF(ISNUMBER(agent!$O$21*(K42/Z42)*Y42),TRUNC(agent!$O$21*(K42/Z42)*Y42,3),"没有上级")</f>
        <v>113.881</v>
      </c>
      <c r="T42" s="28">
        <f>IF(ISNUMBER(agent!$O$24*(K42/Z42)*Y42),TRUNC(agent!$O$24*(K42/Z42)*Y42,3),"没有上级")</f>
        <v>797.17100000000005</v>
      </c>
      <c r="U42" s="28">
        <f>IF(ISNUMBER(agent!$O$27*(K42/Z42)*Y42),TRUNC(agent!$O$27*(K42/Z42)*Y42,3),"没有上级")</f>
        <v>341.64499999999998</v>
      </c>
      <c r="V42" s="28">
        <f>IF(ISNUMBER(agent!$O$30*(K42/Z42)*Y42),TRUNC(agent!$O$30*(K42/Z42)*Y42,3),"没有上级")</f>
        <v>455.52600000000001</v>
      </c>
      <c r="W42" s="28">
        <f>IF(ISNUMBER(agent!$O$33*(K42/Z42)*Y42),TRUNC(agent!$O$33*(K42/Z42)*Y42,3),"没有上级")</f>
        <v>341.64499999999998</v>
      </c>
      <c r="X42" s="28"/>
      <c r="Y42">
        <f>TRUNC(0.329857,3)</f>
        <v>0.32900000000000001</v>
      </c>
      <c r="Z42" s="28">
        <f>TRUNC(AB42-(9.9-agent!L$3)*10*Y42,3)</f>
        <v>318.38499999999999</v>
      </c>
      <c r="AA42" s="28">
        <f>'5Of11Source'!X$2</f>
        <v>0</v>
      </c>
      <c r="AB42">
        <f t="shared" si="9"/>
        <v>329.57100000000003</v>
      </c>
      <c r="AC42" s="28">
        <f>'5Of11Source'!E58</f>
        <v>4</v>
      </c>
      <c r="AD42" s="28">
        <v>297</v>
      </c>
      <c r="AE42" s="28"/>
      <c r="AF42" s="29" t="s">
        <v>138</v>
      </c>
      <c r="AG42" s="28">
        <f>TRUNC(0.154,3)</f>
        <v>0.154</v>
      </c>
      <c r="AH42" s="27">
        <f>TRUNC(AI42-(9.9-agent!$L$3)*AG42,3)</f>
        <v>212.72200000000001</v>
      </c>
      <c r="AI42" s="28">
        <f t="shared" ref="AI42:AI47" si="10">TRUNC(AD82+AG42*99,4)</f>
        <v>213.24600000000001</v>
      </c>
    </row>
    <row r="43" spans="1:35" x14ac:dyDescent="0.15">
      <c r="D43" s="28" t="s">
        <v>23</v>
      </c>
      <c r="E43" s="28" t="s">
        <v>38</v>
      </c>
      <c r="F43" s="27" t="str">
        <f>'5Of11Source'!$J$8</f>
        <v>07,01 02 03 04 05 06 08 09 10 11</v>
      </c>
      <c r="G43" s="28">
        <f>'5Of11Source'!F45</f>
        <v>5</v>
      </c>
      <c r="H43" s="28">
        <v>1</v>
      </c>
      <c r="I43" s="30">
        <f t="shared" si="7"/>
        <v>180</v>
      </c>
      <c r="J43" s="22">
        <f t="shared" si="1"/>
        <v>0</v>
      </c>
      <c r="K43" s="22">
        <f>'5Of11Source'!I59</f>
        <v>0</v>
      </c>
      <c r="L43" s="28">
        <f t="shared" si="8"/>
        <v>1000393704.51</v>
      </c>
      <c r="M43" s="29" t="str">
        <f>M42</f>
        <v>03,06,07,08,10</v>
      </c>
      <c r="N43" s="28">
        <f>IF(ISNUMBER(agent!$O$6*(K43/Z43)*Y43),TRUNC(agent!$O$6*(K43/Z43)*Y43,3),"没有上级")</f>
        <v>0</v>
      </c>
      <c r="O43" s="28">
        <f>IF(ISNUMBER(agent!$O$9*(K43/Z43)*Y43),TRUNC(agent!$O$9*(K43/Z43)*Y43,3),"没有上级")</f>
        <v>0</v>
      </c>
      <c r="P43" s="28">
        <f>IF(ISNUMBER(agent!$O$12*(K43/Z43)*Y43),TRUNC(agent!$O$12*(K43/Z43)*Y43,3),"没有上级")</f>
        <v>0</v>
      </c>
      <c r="Q43" s="28">
        <f>IF(ISNUMBER(agent!$O$15*(K43/Z43)*Y43),TRUNC(agent!$O$15*(K43/Z43)*Y43,3),"没有上级")</f>
        <v>0</v>
      </c>
      <c r="R43" s="28">
        <f>IF(ISNUMBER(agent!$O$18*(K43/Z43)*Y43),TRUNC(agent!$O$18*(K43/Z43)*Y43,3),"没有上级")</f>
        <v>0</v>
      </c>
      <c r="S43" s="28">
        <f>IF(ISNUMBER(agent!$O$21*(K43/Z43)*Y43),TRUNC(agent!$O$21*(K43/Z43)*Y43,3),"没有上级")</f>
        <v>0</v>
      </c>
      <c r="T43" s="28">
        <f>IF(ISNUMBER(agent!$O$24*(K43/Z43)*Y43),TRUNC(agent!$O$24*(K43/Z43)*Y43,3),"没有上级")</f>
        <v>0</v>
      </c>
      <c r="U43" s="28">
        <f>IF(ISNUMBER(agent!$O$27*(K43/Z43)*Y43),TRUNC(agent!$O$27*(K43/Z43)*Y43,3),"没有上级")</f>
        <v>0</v>
      </c>
      <c r="V43" s="28">
        <f>IF(ISNUMBER(agent!$O$30*(K43/Z43)*Y43),TRUNC(agent!$O$30*(K43/Z43)*Y43,3),"没有上级")</f>
        <v>0</v>
      </c>
      <c r="W43" s="28">
        <f>IF(ISNUMBER(agent!$O$33*(K43/Z43)*Y43),TRUNC(agent!$O$33*(K43/Z43)*Y43,3),"没有上级")</f>
        <v>0</v>
      </c>
      <c r="X43" s="28"/>
      <c r="Y43">
        <f>TRUNC(0.329857,3)</f>
        <v>0.32900000000000001</v>
      </c>
      <c r="Z43" s="28">
        <f>TRUNC(AB43-(9.9-agent!L$3)*10*Y43,3)</f>
        <v>318.38499999999999</v>
      </c>
      <c r="AA43" s="28">
        <f>'5Of11Source'!X$2</f>
        <v>0</v>
      </c>
      <c r="AB43">
        <f t="shared" si="9"/>
        <v>329.57100000000003</v>
      </c>
      <c r="AC43" s="28">
        <f>'5Of11Source'!E59</f>
        <v>45</v>
      </c>
      <c r="AD43" s="28">
        <v>297</v>
      </c>
      <c r="AE43" s="28"/>
      <c r="AF43" s="29" t="s">
        <v>139</v>
      </c>
      <c r="AG43" s="28">
        <f>TRUNC(0.01242857,3)</f>
        <v>1.2E-2</v>
      </c>
      <c r="AH43" s="27">
        <f>TRUNC(AI43-(9.9-agent!$L$3)*AG43,3)</f>
        <v>100.14700000000001</v>
      </c>
      <c r="AI43" s="28">
        <f t="shared" si="10"/>
        <v>100.188</v>
      </c>
    </row>
    <row r="44" spans="1:35" ht="27" x14ac:dyDescent="0.15">
      <c r="D44" s="28" t="s">
        <v>41</v>
      </c>
      <c r="E44" s="28" t="s">
        <v>43</v>
      </c>
      <c r="F44" s="27" t="str">
        <f>'5Of11Source'!$J$10</f>
        <v>01 02 03 04 05 06 07 08 09 10 11,01 02 03 04 05 06 07 08 09 10 11</v>
      </c>
      <c r="G44" s="28">
        <f>'5Of11Source'!F47</f>
        <v>5</v>
      </c>
      <c r="H44" s="28">
        <v>1</v>
      </c>
      <c r="I44" s="30">
        <f t="shared" si="7"/>
        <v>1100</v>
      </c>
      <c r="J44" s="22">
        <f t="shared" si="1"/>
        <v>4853.51</v>
      </c>
      <c r="K44" s="22">
        <f>'5Of11Source'!I61</f>
        <v>137754.20000000001</v>
      </c>
      <c r="L44" s="28">
        <f t="shared" si="8"/>
        <v>1000530358.71</v>
      </c>
      <c r="M44" s="29" t="str">
        <f>M43</f>
        <v>03,06,07,08,10</v>
      </c>
      <c r="N44" s="28">
        <f>IF(ISNUMBER(agent!$O$6*(K44/Z44)*Y44),TRUNC(agent!$O$6*(K44/Z44)*Y44,3),"没有上级")</f>
        <v>142.75</v>
      </c>
      <c r="O44" s="28">
        <f>IF(ISNUMBER(agent!$O$9*(K44/Z44)*Y44),TRUNC(agent!$O$9*(K44/Z44)*Y44,3),"没有上级")</f>
        <v>856.50199999999995</v>
      </c>
      <c r="P44" s="28">
        <f>IF(ISNUMBER(agent!$O$12*(K44/Z44)*Y44),TRUNC(agent!$O$12*(K44/Z44)*Y44,3),"没有上级")</f>
        <v>285.5</v>
      </c>
      <c r="Q44" s="28">
        <f>IF(ISNUMBER(agent!$O$15*(K44/Z44)*Y44),TRUNC(agent!$O$15*(K44/Z44)*Y44,3),"没有上级")</f>
        <v>571.00099999999998</v>
      </c>
      <c r="R44" s="28">
        <f>IF(ISNUMBER(agent!$O$18*(K44/Z44)*Y44),TRUNC(agent!$O$18*(K44/Z44)*Y44,3),"没有上级")</f>
        <v>428.25099999999998</v>
      </c>
      <c r="S44" s="28">
        <f>IF(ISNUMBER(agent!$O$21*(K44/Z44)*Y44),TRUNC(agent!$O$21*(K44/Z44)*Y44,3),"没有上级")</f>
        <v>142.75</v>
      </c>
      <c r="T44" s="28">
        <f>IF(ISNUMBER(agent!$O$24*(K44/Z44)*Y44),TRUNC(agent!$O$24*(K44/Z44)*Y44,3),"没有上级")</f>
        <v>999.25300000000004</v>
      </c>
      <c r="U44" s="28">
        <f>IF(ISNUMBER(agent!$O$27*(K44/Z44)*Y44),TRUNC(agent!$O$27*(K44/Z44)*Y44,3),"没有上级")</f>
        <v>428.25099999999998</v>
      </c>
      <c r="V44" s="28">
        <f>IF(ISNUMBER(agent!$O$30*(K44/Z44)*Y44),TRUNC(agent!$O$30*(K44/Z44)*Y44,3),"没有上级")</f>
        <v>571.00099999999998</v>
      </c>
      <c r="W44" s="28">
        <f>IF(ISNUMBER(agent!$O$33*(K44/Z44)*Y44),TRUNC(agent!$O$33*(K44/Z44)*Y44,3),"没有上级")</f>
        <v>428.25099999999998</v>
      </c>
      <c r="X44" s="28" t="s">
        <v>12</v>
      </c>
      <c r="Y44">
        <f>TRUNC(0.22,3)</f>
        <v>0.22</v>
      </c>
      <c r="Z44" s="28">
        <f>TRUNC(AB44-(9.9-agent!L$3)*10*Y44,3)</f>
        <v>212.3</v>
      </c>
      <c r="AA44" s="28">
        <f>'5Of11Source'!X$2</f>
        <v>0</v>
      </c>
      <c r="AB44">
        <f t="shared" si="9"/>
        <v>219.78</v>
      </c>
      <c r="AC44" s="28">
        <f>'5Of11Source'!E61</f>
        <v>121</v>
      </c>
      <c r="AD44" s="28">
        <v>198</v>
      </c>
      <c r="AE44" s="28"/>
      <c r="AF44" s="29" t="s">
        <v>140</v>
      </c>
      <c r="AG44" s="28">
        <f>TRUNC(0.0047,3)</f>
        <v>4.0000000000000001E-3</v>
      </c>
      <c r="AH44" s="27">
        <f>TRUNC(AI44-(9.9-agent!$L$3)*AG44,3)</f>
        <v>99.382000000000005</v>
      </c>
      <c r="AI44" s="28">
        <f t="shared" si="10"/>
        <v>99.396000000000001</v>
      </c>
    </row>
    <row r="45" spans="1:35" x14ac:dyDescent="0.15">
      <c r="D45" s="28" t="s">
        <v>41</v>
      </c>
      <c r="E45" s="28" t="s">
        <v>45</v>
      </c>
      <c r="F45" s="27" t="str">
        <f>'5Of11Source'!$J$12</f>
        <v>01 02,02 05,05 02,07 08,09 10</v>
      </c>
      <c r="G45" s="28">
        <f>'5Of11Source'!F49</f>
        <v>4</v>
      </c>
      <c r="H45" s="28">
        <v>1</v>
      </c>
      <c r="I45" s="30">
        <f t="shared" si="7"/>
        <v>30</v>
      </c>
      <c r="J45" s="22">
        <f t="shared" si="1"/>
        <v>2916.0439999999999</v>
      </c>
      <c r="K45" s="22">
        <f>'5Of11Source'!I63</f>
        <v>82764.270000000019</v>
      </c>
      <c r="L45" s="28">
        <f t="shared" si="8"/>
        <v>1000613092.98</v>
      </c>
      <c r="M45" s="29" t="str">
        <f t="shared" ref="M45:M75" si="11">M44</f>
        <v>03,06,07,08,10</v>
      </c>
      <c r="N45" s="28">
        <f>IF(ISNUMBER(agent!$O$6*(K45/Z45)*Y45),TRUNC(agent!$O$6*(K45/Z45)*Y45,3),"没有上级")</f>
        <v>85.766000000000005</v>
      </c>
      <c r="O45" s="28">
        <f>IF(ISNUMBER(agent!$O$9*(K45/Z45)*Y45),TRUNC(agent!$O$9*(K45/Z45)*Y45,3),"没有上级")</f>
        <v>514.596</v>
      </c>
      <c r="P45" s="28">
        <f>IF(ISNUMBER(agent!$O$12*(K45/Z45)*Y45),TRUNC(agent!$O$12*(K45/Z45)*Y45,3),"没有上级")</f>
        <v>171.53200000000001</v>
      </c>
      <c r="Q45" s="28">
        <f>IF(ISNUMBER(agent!$O$15*(K45/Z45)*Y45),TRUNC(agent!$O$15*(K45/Z45)*Y45,3),"没有上级")</f>
        <v>343.06400000000002</v>
      </c>
      <c r="R45" s="28">
        <f>IF(ISNUMBER(agent!$O$18*(K45/Z45)*Y45),TRUNC(agent!$O$18*(K45/Z45)*Y45,3),"没有上级")</f>
        <v>257.298</v>
      </c>
      <c r="S45" s="28">
        <f>IF(ISNUMBER(agent!$O$21*(K45/Z45)*Y45),TRUNC(agent!$O$21*(K45/Z45)*Y45,3),"没有上级")</f>
        <v>85.766000000000005</v>
      </c>
      <c r="T45" s="28">
        <f>IF(ISNUMBER(agent!$O$24*(K45/Z45)*Y45),TRUNC(agent!$O$24*(K45/Z45)*Y45,3),"没有上级")</f>
        <v>600.36199999999997</v>
      </c>
      <c r="U45" s="28">
        <f>IF(ISNUMBER(agent!$O$27*(K45/Z45)*Y45),TRUNC(agent!$O$27*(K45/Z45)*Y45,3),"没有上级")</f>
        <v>257.298</v>
      </c>
      <c r="V45" s="28">
        <f>IF(ISNUMBER(agent!$O$30*(K45/Z45)*Y45),TRUNC(agent!$O$30*(K45/Z45)*Y45,3),"没有上级")</f>
        <v>343.06400000000002</v>
      </c>
      <c r="W45" s="28">
        <f>IF(ISNUMBER(agent!$O$33*(K45/Z45)*Y45),TRUNC(agent!$O$33*(K45/Z45)*Y45,3),"没有上级")</f>
        <v>257.298</v>
      </c>
      <c r="X45" s="28"/>
      <c r="Y45">
        <f>TRUNC(0.22,3)</f>
        <v>0.22</v>
      </c>
      <c r="Z45" s="28">
        <f>TRUNC(AB45-(9.9-agent!L$3)*10*Y45,3)</f>
        <v>212.3</v>
      </c>
      <c r="AA45" s="28">
        <f>'5Of11Source'!X$2</f>
        <v>0</v>
      </c>
      <c r="AB45">
        <f t="shared" si="9"/>
        <v>219.78</v>
      </c>
      <c r="AC45" s="28">
        <f>'5Of11Source'!E63</f>
        <v>5</v>
      </c>
      <c r="AD45" s="28">
        <v>198</v>
      </c>
      <c r="AE45" s="28"/>
      <c r="AF45" s="29" t="s">
        <v>141</v>
      </c>
      <c r="AG45" s="28">
        <f>TRUNC(0.006142857,3)</f>
        <v>6.0000000000000001E-3</v>
      </c>
      <c r="AH45" s="27">
        <f>TRUNC(AI45-(9.9-agent!$L$3)*AG45,3)</f>
        <v>99.572999999999993</v>
      </c>
      <c r="AI45" s="28">
        <f t="shared" si="10"/>
        <v>99.593999999999994</v>
      </c>
    </row>
    <row r="46" spans="1:35" x14ac:dyDescent="0.15">
      <c r="D46" s="28" t="s">
        <v>41</v>
      </c>
      <c r="E46" s="28" t="s">
        <v>47</v>
      </c>
      <c r="F46" s="27" t="str">
        <f>'5Of11Source'!$J$13</f>
        <v>01 02 03 04 05 06 07 08 09 10 11</v>
      </c>
      <c r="G46" s="28">
        <f>'5Of11Source'!F50</f>
        <v>0</v>
      </c>
      <c r="H46" s="28">
        <v>1</v>
      </c>
      <c r="I46" s="30">
        <f t="shared" si="7"/>
        <v>110</v>
      </c>
      <c r="J46" s="22">
        <f t="shared" si="1"/>
        <v>940.84799999999996</v>
      </c>
      <c r="K46" s="22">
        <f>'5Of11Source'!I64</f>
        <v>26703.590000000004</v>
      </c>
      <c r="L46" s="28">
        <f t="shared" si="8"/>
        <v>1000639686.5700001</v>
      </c>
      <c r="M46" s="29" t="str">
        <f t="shared" si="11"/>
        <v>03,06,07,08,10</v>
      </c>
      <c r="N46" s="28">
        <f>IF(ISNUMBER(agent!$O$6*(K46/Z46)*Y46),TRUNC(agent!$O$6*(K46/Z46)*Y46,3),"没有上级")</f>
        <v>27.672000000000001</v>
      </c>
      <c r="O46" s="28">
        <f>IF(ISNUMBER(agent!$O$9*(K46/Z46)*Y46),TRUNC(agent!$O$9*(K46/Z46)*Y46,3),"没有上级")</f>
        <v>166.03200000000001</v>
      </c>
      <c r="P46" s="28">
        <f>IF(ISNUMBER(agent!$O$12*(K46/Z46)*Y46),TRUNC(agent!$O$12*(K46/Z46)*Y46,3),"没有上级")</f>
        <v>55.344000000000001</v>
      </c>
      <c r="Q46" s="28">
        <f>IF(ISNUMBER(agent!$O$15*(K46/Z46)*Y46),TRUNC(agent!$O$15*(K46/Z46)*Y46,3),"没有上级")</f>
        <v>110.688</v>
      </c>
      <c r="R46" s="28">
        <f>IF(ISNUMBER(agent!$O$18*(K46/Z46)*Y46),TRUNC(agent!$O$18*(K46/Z46)*Y46,3),"没有上级")</f>
        <v>83.016000000000005</v>
      </c>
      <c r="S46" s="28">
        <f>IF(ISNUMBER(agent!$O$21*(K46/Z46)*Y46),TRUNC(agent!$O$21*(K46/Z46)*Y46,3),"没有上级")</f>
        <v>27.672000000000001</v>
      </c>
      <c r="T46" s="28">
        <f>IF(ISNUMBER(agent!$O$24*(K46/Z46)*Y46),TRUNC(agent!$O$24*(K46/Z46)*Y46,3),"没有上级")</f>
        <v>193.70400000000001</v>
      </c>
      <c r="U46" s="28">
        <f>IF(ISNUMBER(agent!$O$27*(K46/Z46)*Y46),TRUNC(agent!$O$27*(K46/Z46)*Y46,3),"没有上级")</f>
        <v>83.016000000000005</v>
      </c>
      <c r="V46" s="28">
        <f>IF(ISNUMBER(agent!$O$30*(K46/Z46)*Y46),TRUNC(agent!$O$30*(K46/Z46)*Y46,3),"没有上级")</f>
        <v>110.688</v>
      </c>
      <c r="W46" s="28">
        <f>IF(ISNUMBER(agent!$O$33*(K46/Z46)*Y46),TRUNC(agent!$O$33*(K46/Z46)*Y46,3),"没有上级")</f>
        <v>83.016000000000005</v>
      </c>
      <c r="X46" s="28"/>
      <c r="Y46">
        <f>TRUNC(0.11,3)</f>
        <v>0.11</v>
      </c>
      <c r="Z46" s="28">
        <f>TRUNC(AB46-(9.9-agent!L$3)*10*Y46,3)</f>
        <v>106.15</v>
      </c>
      <c r="AA46" s="28">
        <f>'5Of11Source'!X$2</f>
        <v>0</v>
      </c>
      <c r="AB46">
        <f t="shared" si="9"/>
        <v>109.89</v>
      </c>
      <c r="AC46" s="28">
        <f>'5Of11Source'!E64</f>
        <v>55</v>
      </c>
      <c r="AD46" s="28">
        <v>99</v>
      </c>
      <c r="AE46" s="28"/>
      <c r="AF46" s="29" t="s">
        <v>142</v>
      </c>
      <c r="AG46" s="28">
        <f>TRUNC(0.0307,3)</f>
        <v>0.03</v>
      </c>
      <c r="AH46" s="27">
        <f>TRUNC(AI46-(9.9-agent!$L$3)*AG46,3)</f>
        <v>9.468</v>
      </c>
      <c r="AI46" s="28">
        <f t="shared" si="10"/>
        <v>9.57</v>
      </c>
    </row>
    <row r="47" spans="1:35" x14ac:dyDescent="0.15">
      <c r="D47" s="28" t="s">
        <v>41</v>
      </c>
      <c r="E47" s="28" t="s">
        <v>51</v>
      </c>
      <c r="F47" s="27" t="str">
        <f>'5Of11Source'!$J$14</f>
        <v>01 02,02 01,05 02,07 08,09 10,11 07</v>
      </c>
      <c r="G47" s="28">
        <f>'5Of11Source'!F51</f>
        <v>3</v>
      </c>
      <c r="H47" s="28">
        <v>1</v>
      </c>
      <c r="I47" s="30">
        <f t="shared" si="7"/>
        <v>20</v>
      </c>
      <c r="J47" s="22">
        <f t="shared" si="1"/>
        <v>1874.7500000000002</v>
      </c>
      <c r="K47" s="22">
        <f>'5Of11Source'!I65</f>
        <v>53210.080000000002</v>
      </c>
      <c r="L47" s="28">
        <f t="shared" si="8"/>
        <v>1000692876.6500001</v>
      </c>
      <c r="M47" s="29" t="str">
        <f t="shared" si="11"/>
        <v>03,06,07,08,10</v>
      </c>
      <c r="N47" s="28">
        <f>IF(ISNUMBER(agent!$O$6*(K47/Z47)*Y47),TRUNC(agent!$O$6*(K47/Z47)*Y47,3),"没有上级")</f>
        <v>55.139000000000003</v>
      </c>
      <c r="O47" s="28">
        <f>IF(ISNUMBER(agent!$O$9*(K47/Z47)*Y47),TRUNC(agent!$O$9*(K47/Z47)*Y47,3),"没有上级")</f>
        <v>330.839</v>
      </c>
      <c r="P47" s="28">
        <f>IF(ISNUMBER(agent!$O$12*(K47/Z47)*Y47),TRUNC(agent!$O$12*(K47/Z47)*Y47,3),"没有上级")</f>
        <v>110.279</v>
      </c>
      <c r="Q47" s="28">
        <f>IF(ISNUMBER(agent!$O$15*(K47/Z47)*Y47),TRUNC(agent!$O$15*(K47/Z47)*Y47,3),"没有上级")</f>
        <v>220.559</v>
      </c>
      <c r="R47" s="28">
        <f>IF(ISNUMBER(agent!$O$18*(K47/Z47)*Y47),TRUNC(agent!$O$18*(K47/Z47)*Y47,3),"没有上级")</f>
        <v>165.41900000000001</v>
      </c>
      <c r="S47" s="28">
        <f>IF(ISNUMBER(agent!$O$21*(K47/Z47)*Y47),TRUNC(agent!$O$21*(K47/Z47)*Y47,3),"没有上级")</f>
        <v>55.139000000000003</v>
      </c>
      <c r="T47" s="28">
        <f>IF(ISNUMBER(agent!$O$24*(K47/Z47)*Y47),TRUNC(agent!$O$24*(K47/Z47)*Y47,3),"没有上级")</f>
        <v>385.97899999999998</v>
      </c>
      <c r="U47" s="28">
        <f>IF(ISNUMBER(agent!$O$27*(K47/Z47)*Y47),TRUNC(agent!$O$27*(K47/Z47)*Y47,3),"没有上级")</f>
        <v>165.41900000000001</v>
      </c>
      <c r="V47" s="28">
        <f>IF(ISNUMBER(agent!$O$30*(K47/Z47)*Y47),TRUNC(agent!$O$30*(K47/Z47)*Y47,3),"没有上级")</f>
        <v>220.559</v>
      </c>
      <c r="W47" s="28">
        <f>IF(ISNUMBER(agent!$O$33*(K47/Z47)*Y47),TRUNC(agent!$O$33*(K47/Z47)*Y47,3),"没有上级")</f>
        <v>165.41900000000001</v>
      </c>
      <c r="X47" s="28"/>
      <c r="Y47">
        <f>TRUNC(0.11,3)</f>
        <v>0.11</v>
      </c>
      <c r="Z47" s="28">
        <f>TRUNC(AB47-(9.9-agent!L$3)*10*Y47,3)</f>
        <v>106.15</v>
      </c>
      <c r="AA47" s="28">
        <f>'5Of11Source'!X$2</f>
        <v>0</v>
      </c>
      <c r="AB47">
        <f t="shared" si="9"/>
        <v>109.89</v>
      </c>
      <c r="AC47" s="28">
        <f>'5Of11Source'!E65</f>
        <v>5</v>
      </c>
      <c r="AD47" s="28">
        <v>99</v>
      </c>
      <c r="AE47" s="28"/>
      <c r="AF47" s="29" t="s">
        <v>143</v>
      </c>
      <c r="AG47" s="28">
        <f>TRUNC(0.924,3)</f>
        <v>0.92400000000000004</v>
      </c>
      <c r="AH47" s="27">
        <f>TRUNC(AI47-(9.9-agent!$L$3)*AG47,3)</f>
        <v>108.134</v>
      </c>
      <c r="AI47" s="28">
        <f t="shared" si="10"/>
        <v>111.276</v>
      </c>
    </row>
    <row r="48" spans="1:35" x14ac:dyDescent="0.15">
      <c r="D48" s="28" t="s">
        <v>41</v>
      </c>
      <c r="E48" s="28" t="s">
        <v>49</v>
      </c>
      <c r="F48" s="27" t="str">
        <f>'5Of11Source'!$J$15</f>
        <v>01,02 03 04 05 06 07 08 09 10 11</v>
      </c>
      <c r="G48" s="28">
        <f>'5Of11Source'!F52</f>
        <v>0</v>
      </c>
      <c r="H48" s="28">
        <v>1</v>
      </c>
      <c r="I48" s="30">
        <f t="shared" si="7"/>
        <v>60</v>
      </c>
      <c r="J48" s="22">
        <f t="shared" si="1"/>
        <v>2811.3330000000001</v>
      </c>
      <c r="K48" s="22">
        <f>'5Of11Source'!I66</f>
        <v>79792.320000000007</v>
      </c>
      <c r="L48" s="28">
        <f t="shared" si="8"/>
        <v>1000772608.9700001</v>
      </c>
      <c r="M48" s="29" t="str">
        <f t="shared" si="11"/>
        <v>03,06,07,08,10</v>
      </c>
      <c r="N48" s="28">
        <f>IF(ISNUMBER(agent!$O$6*(K48/Z48)*Y48),TRUNC(agent!$O$6*(K48/Z48)*Y48,3),"没有上级")</f>
        <v>82.686000000000007</v>
      </c>
      <c r="O48" s="28">
        <f>IF(ISNUMBER(agent!$O$9*(K48/Z48)*Y48),TRUNC(agent!$O$9*(K48/Z48)*Y48,3),"没有上级")</f>
        <v>496.11799999999999</v>
      </c>
      <c r="P48" s="28">
        <f>IF(ISNUMBER(agent!$O$12*(K48/Z48)*Y48),TRUNC(agent!$O$12*(K48/Z48)*Y48,3),"没有上级")</f>
        <v>165.37200000000001</v>
      </c>
      <c r="Q48" s="28">
        <f>IF(ISNUMBER(agent!$O$15*(K48/Z48)*Y48),TRUNC(agent!$O$15*(K48/Z48)*Y48,3),"没有上级")</f>
        <v>330.745</v>
      </c>
      <c r="R48" s="28">
        <f>IF(ISNUMBER(agent!$O$18*(K48/Z48)*Y48),TRUNC(agent!$O$18*(K48/Z48)*Y48,3),"没有上级")</f>
        <v>248.059</v>
      </c>
      <c r="S48" s="28">
        <f>IF(ISNUMBER(agent!$O$21*(K48/Z48)*Y48),TRUNC(agent!$O$21*(K48/Z48)*Y48,3),"没有上级")</f>
        <v>82.686000000000007</v>
      </c>
      <c r="T48" s="28">
        <f>IF(ISNUMBER(agent!$O$24*(K48/Z48)*Y48),TRUNC(agent!$O$24*(K48/Z48)*Y48,3),"没有上级")</f>
        <v>578.80399999999997</v>
      </c>
      <c r="U48" s="28">
        <f>IF(ISNUMBER(agent!$O$27*(K48/Z48)*Y48),TRUNC(agent!$O$27*(K48/Z48)*Y48,3),"没有上级")</f>
        <v>248.059</v>
      </c>
      <c r="V48" s="28">
        <f>IF(ISNUMBER(agent!$O$30*(K48/Z48)*Y48),TRUNC(agent!$O$30*(K48/Z48)*Y48,3),"没有上级")</f>
        <v>330.745</v>
      </c>
      <c r="W48" s="28">
        <f>IF(ISNUMBER(agent!$O$33*(K48/Z48)*Y48),TRUNC(agent!$O$33*(K48/Z48)*Y48,3),"没有上级")</f>
        <v>248.059</v>
      </c>
      <c r="X48" s="28" t="s">
        <v>10</v>
      </c>
      <c r="Y48">
        <f>TRUNC(0.11,3)</f>
        <v>0.11</v>
      </c>
      <c r="Z48" s="28">
        <f>TRUNC(AB48-(9.9-agent!L$3)*10*Y48,3)</f>
        <v>106.15</v>
      </c>
      <c r="AA48" s="28">
        <f>'5Of11Source'!X$2</f>
        <v>0</v>
      </c>
      <c r="AB48">
        <f t="shared" si="9"/>
        <v>109.89</v>
      </c>
      <c r="AC48" s="28">
        <f>'5Of11Source'!E66</f>
        <v>10</v>
      </c>
      <c r="AD48" s="28">
        <v>99</v>
      </c>
      <c r="AE48" s="28"/>
      <c r="AF48" s="29" t="s">
        <v>144</v>
      </c>
      <c r="AG48" s="28"/>
      <c r="AH48" s="27"/>
      <c r="AI48" s="28"/>
    </row>
    <row r="49" spans="4:35" x14ac:dyDescent="0.15">
      <c r="D49" s="28" t="s">
        <v>56</v>
      </c>
      <c r="E49" s="28" t="s">
        <v>58</v>
      </c>
      <c r="F49" s="27" t="str">
        <f>'5Of11Source'!$J$17</f>
        <v>01 02 03 04 05 06 07 08 09 10 11</v>
      </c>
      <c r="G49" s="28">
        <f>'5Of11Source'!F54</f>
        <v>0</v>
      </c>
      <c r="H49" s="28">
        <v>1</v>
      </c>
      <c r="I49" s="30">
        <f t="shared" si="7"/>
        <v>110</v>
      </c>
      <c r="J49" s="22">
        <f t="shared" si="1"/>
        <v>13512.655999999999</v>
      </c>
      <c r="K49" s="22">
        <f>'5Of11Source'!I68</f>
        <v>400553.85000000003</v>
      </c>
      <c r="L49" s="28">
        <f t="shared" si="8"/>
        <v>1001173052.8200002</v>
      </c>
      <c r="M49" s="29" t="str">
        <f t="shared" si="11"/>
        <v>03,06,07,08,10</v>
      </c>
      <c r="N49" s="28">
        <f>IF(ISNUMBER(agent!$O$6*(K49/Z49)*Y49),TRUNC(agent!$O$6*(K49/Z49)*Y49,3),"没有上级")</f>
        <v>397.43099999999998</v>
      </c>
      <c r="O49" s="28">
        <f>IF(ISNUMBER(agent!$O$9*(K49/Z49)*Y49),TRUNC(agent!$O$9*(K49/Z49)*Y49,3),"没有上级")</f>
        <v>2384.587</v>
      </c>
      <c r="P49" s="28">
        <f>IF(ISNUMBER(agent!$O$12*(K49/Z49)*Y49),TRUNC(agent!$O$12*(K49/Z49)*Y49,3),"没有上级")</f>
        <v>794.86199999999997</v>
      </c>
      <c r="Q49" s="28">
        <f>IF(ISNUMBER(agent!$O$15*(K49/Z49)*Y49),TRUNC(agent!$O$15*(K49/Z49)*Y49,3),"没有上级")</f>
        <v>1589.7239999999999</v>
      </c>
      <c r="R49" s="28">
        <f>IF(ISNUMBER(agent!$O$18*(K49/Z49)*Y49),TRUNC(agent!$O$18*(K49/Z49)*Y49,3),"没有上级")</f>
        <v>1192.2929999999999</v>
      </c>
      <c r="S49" s="28">
        <f>IF(ISNUMBER(agent!$O$21*(K49/Z49)*Y49),TRUNC(agent!$O$21*(K49/Z49)*Y49,3),"没有上级")</f>
        <v>397.43099999999998</v>
      </c>
      <c r="T49" s="28">
        <f>IF(ISNUMBER(agent!$O$24*(K49/Z49)*Y49),TRUNC(agent!$O$24*(K49/Z49)*Y49,3),"没有上级")</f>
        <v>2782.018</v>
      </c>
      <c r="U49" s="28">
        <f>IF(ISNUMBER(agent!$O$27*(K49/Z49)*Y49),TRUNC(agent!$O$27*(K49/Z49)*Y49,3),"没有上级")</f>
        <v>1192.2929999999999</v>
      </c>
      <c r="V49" s="28">
        <f>IF(ISNUMBER(agent!$O$30*(K49/Z49)*Y49),TRUNC(agent!$O$30*(K49/Z49)*Y49,3),"没有上级")</f>
        <v>1589.7239999999999</v>
      </c>
      <c r="W49" s="28">
        <f>IF(ISNUMBER(agent!$O$33*(K49/Z49)*Y49),TRUNC(agent!$O$33*(K49/Z49)*Y49,3),"没有上级")</f>
        <v>1192.2929999999999</v>
      </c>
      <c r="X49" s="28"/>
      <c r="Y49">
        <f>TRUNC(0.0072857,3)</f>
        <v>7.0000000000000001E-3</v>
      </c>
      <c r="Z49" s="28">
        <f>TRUNC(AB49-(9.9-agent!L$3)*10*Y49,3)</f>
        <v>7.0549999999999997</v>
      </c>
      <c r="AA49" s="28">
        <f>'5Of11Source'!X$2</f>
        <v>0</v>
      </c>
      <c r="AB49">
        <f t="shared" si="9"/>
        <v>7.2930000000000001</v>
      </c>
      <c r="AC49" s="28">
        <f>'5Of11Source'!E68</f>
        <v>11</v>
      </c>
      <c r="AD49" s="28">
        <v>6.6</v>
      </c>
      <c r="AE49" s="28"/>
      <c r="AF49" s="19" t="str">
        <f>3&amp;"/"&amp;9</f>
        <v>3/9</v>
      </c>
      <c r="AG49" s="28">
        <f>TRUNC(0.033,3)</f>
        <v>3.3000000000000002E-2</v>
      </c>
      <c r="AH49" s="27">
        <f>TRUNC(AI49-(9.9-agent!$L$3)*AG49,3)</f>
        <v>3.1539999999999999</v>
      </c>
      <c r="AI49" s="28">
        <f>TRUNC(AD89+AG49*99,4)</f>
        <v>3.2669999999999999</v>
      </c>
    </row>
    <row r="50" spans="4:35" ht="40.5" x14ac:dyDescent="0.15">
      <c r="D50" s="28" t="s">
        <v>60</v>
      </c>
      <c r="E50" s="28" t="s">
        <v>61</v>
      </c>
      <c r="F50" s="27" t="str">
        <f>'5Of11Source'!$J$18</f>
        <v>01 02 03 04 05 06 07 08 09 10 11,01 02 03 04 05 06 07 08 09 10 11,01 02 03 04 05 06 07 08 09 10 11</v>
      </c>
      <c r="G50" s="28">
        <f>'5Of11Source'!F55</f>
        <v>0</v>
      </c>
      <c r="H50" s="28">
        <v>1</v>
      </c>
      <c r="I50" s="30">
        <f t="shared" si="7"/>
        <v>132</v>
      </c>
      <c r="J50" s="22">
        <f t="shared" si="1"/>
        <v>5652.9810000000007</v>
      </c>
      <c r="K50" s="22">
        <f>'5Of11Source'!I69</f>
        <v>160445.04000000004</v>
      </c>
      <c r="L50" s="28">
        <f t="shared" si="8"/>
        <v>1001333365.8600001</v>
      </c>
      <c r="M50" s="29" t="str">
        <f t="shared" si="11"/>
        <v>03,06,07,08,10</v>
      </c>
      <c r="N50" s="28">
        <f>IF(ISNUMBER(agent!$O$6*(K50/Z50)*Y50),TRUNC(agent!$O$6*(K50/Z50)*Y50,3),"没有上级")</f>
        <v>166.26400000000001</v>
      </c>
      <c r="O50" s="28">
        <f>IF(ISNUMBER(agent!$O$9*(K50/Z50)*Y50),TRUNC(agent!$O$9*(K50/Z50)*Y50,3),"没有上级")</f>
        <v>997.58500000000004</v>
      </c>
      <c r="P50" s="28">
        <f>IF(ISNUMBER(agent!$O$12*(K50/Z50)*Y50),TRUNC(agent!$O$12*(K50/Z50)*Y50,3),"没有上级")</f>
        <v>332.52800000000002</v>
      </c>
      <c r="Q50" s="28">
        <f>IF(ISNUMBER(agent!$O$15*(K50/Z50)*Y50),TRUNC(agent!$O$15*(K50/Z50)*Y50,3),"没有上级")</f>
        <v>665.05700000000002</v>
      </c>
      <c r="R50" s="28">
        <f>IF(ISNUMBER(agent!$O$18*(K50/Z50)*Y50),TRUNC(agent!$O$18*(K50/Z50)*Y50,3),"没有上级")</f>
        <v>498.79199999999997</v>
      </c>
      <c r="S50" s="28">
        <f>IF(ISNUMBER(agent!$O$21*(K50/Z50)*Y50),TRUNC(agent!$O$21*(K50/Z50)*Y50,3),"没有上级")</f>
        <v>166.26400000000001</v>
      </c>
      <c r="T50" s="28">
        <f>IF(ISNUMBER(agent!$O$24*(K50/Z50)*Y50),TRUNC(agent!$O$24*(K50/Z50)*Y50,3),"没有上级")</f>
        <v>1163.8499999999999</v>
      </c>
      <c r="U50" s="28">
        <f>IF(ISNUMBER(agent!$O$27*(K50/Z50)*Y50),TRUNC(agent!$O$27*(K50/Z50)*Y50,3),"没有上级")</f>
        <v>498.79199999999997</v>
      </c>
      <c r="V50" s="28">
        <f>IF(ISNUMBER(agent!$O$30*(K50/Z50)*Y50),TRUNC(agent!$O$30*(K50/Z50)*Y50,3),"没有上级")</f>
        <v>665.05700000000002</v>
      </c>
      <c r="W50" s="28">
        <f>IF(ISNUMBER(agent!$O$33*(K50/Z50)*Y50),TRUNC(agent!$O$33*(K50/Z50)*Y50,3),"没有上级")</f>
        <v>498.79199999999997</v>
      </c>
      <c r="X50" s="28"/>
      <c r="Y50">
        <f>TRUNC(0.022,3)</f>
        <v>2.1999999999999999E-2</v>
      </c>
      <c r="Z50" s="28">
        <f>TRUNC(AB50-(9.9-agent!L$3)*10*Y50,3)</f>
        <v>21.23</v>
      </c>
      <c r="AA50" s="28">
        <f>'5Of11Source'!X$2</f>
        <v>0</v>
      </c>
      <c r="AB50">
        <f t="shared" si="9"/>
        <v>21.978000000000002</v>
      </c>
      <c r="AC50" s="28">
        <f>'5Of11Source'!E69</f>
        <v>33</v>
      </c>
      <c r="AD50" s="28">
        <v>19.8</v>
      </c>
      <c r="AE50" s="28"/>
      <c r="AF50" s="18" t="str">
        <f>4&amp;"/"&amp;8</f>
        <v>4/8</v>
      </c>
      <c r="AG50" s="28">
        <f>TRUNC(0.01457,3)</f>
        <v>1.4E-2</v>
      </c>
      <c r="AH50" s="27">
        <f>TRUNC(AI50-(9.9-agent!$L$3)*AG50,3)</f>
        <v>5.298</v>
      </c>
      <c r="AI50" s="28">
        <f>TRUNC(AD90+AG50*99,4)</f>
        <v>5.3460000000000001</v>
      </c>
    </row>
    <row r="51" spans="4:35" x14ac:dyDescent="0.15">
      <c r="D51" s="28" t="s">
        <v>63</v>
      </c>
      <c r="E51" s="28" t="s">
        <v>65</v>
      </c>
      <c r="F51" s="27" t="str">
        <f>'5Of11Source'!$J$21</f>
        <v>5单0双 4单1双 3单2双 2单3双 1单4双 0单5双</v>
      </c>
      <c r="G51" s="28">
        <f>'5Of11Source'!F58</f>
        <v>4</v>
      </c>
      <c r="H51" s="28">
        <v>1</v>
      </c>
      <c r="I51" s="30">
        <f t="shared" si="7"/>
        <v>60</v>
      </c>
      <c r="J51" s="22">
        <f t="shared" si="1"/>
        <v>1.02</v>
      </c>
      <c r="K51" s="22">
        <f>'5Of11Source'!I72</f>
        <v>29.65</v>
      </c>
      <c r="L51" s="28">
        <f t="shared" si="8"/>
        <v>1001333335.5100001</v>
      </c>
      <c r="M51" s="29" t="str">
        <f t="shared" si="11"/>
        <v>03,06,07,08,10</v>
      </c>
      <c r="N51" s="28">
        <f>IF(ISNUMBER(agent!$O$6*(K51/Z51)*Y51),TRUNC(agent!$O$6*(K51/Z51)*Y51,3),"没有上级")</f>
        <v>0.03</v>
      </c>
      <c r="O51" s="28">
        <f>IF(ISNUMBER(agent!$O$9*(K51/Z51)*Y51),TRUNC(agent!$O$9*(K51/Z51)*Y51,3),"没有上级")</f>
        <v>0.18</v>
      </c>
      <c r="P51" s="28">
        <f>IF(ISNUMBER(agent!$O$12*(K51/Z51)*Y51),TRUNC(agent!$O$12*(K51/Z51)*Y51,3),"没有上级")</f>
        <v>0.06</v>
      </c>
      <c r="Q51" s="28">
        <f>IF(ISNUMBER(agent!$O$15*(K51/Z51)*Y51),TRUNC(agent!$O$15*(K51/Z51)*Y51,3),"没有上级")</f>
        <v>0.12</v>
      </c>
      <c r="R51" s="28">
        <f>IF(ISNUMBER(agent!$O$18*(K51/Z51)*Y51),TRUNC(agent!$O$18*(K51/Z51)*Y51,3),"没有上级")</f>
        <v>0.09</v>
      </c>
      <c r="S51" s="28">
        <f>IF(ISNUMBER(agent!$O$21*(K51/Z51)*Y51),TRUNC(agent!$O$21*(K51/Z51)*Y51,3),"没有上级")</f>
        <v>0.03</v>
      </c>
      <c r="T51" s="28">
        <f>IF(ISNUMBER(agent!$O$24*(K51/Z51)*Y51),TRUNC(agent!$O$24*(K51/Z51)*Y51,3),"没有上级")</f>
        <v>0.21</v>
      </c>
      <c r="U51" s="28">
        <f>IF(ISNUMBER(agent!$O$27*(K51/Z51)*Y51),TRUNC(agent!$O$27*(K51/Z51)*Y51,3),"没有上级")</f>
        <v>0.09</v>
      </c>
      <c r="V51" s="28">
        <f>IF(ISNUMBER(agent!$O$30*(K51/Z51)*Y51),TRUNC(agent!$O$30*(K51/Z51)*Y51,3),"没有上级")</f>
        <v>0.12</v>
      </c>
      <c r="W51" s="28">
        <f>IF(ISNUMBER(agent!$O$33*(K51/Z51)*Y51),TRUNC(agent!$O$33*(K51/Z51)*Y51,3),"没有上级")</f>
        <v>0.09</v>
      </c>
      <c r="X51" s="28"/>
      <c r="Y51">
        <f>SUM('5Of11Source'!U66:U71)</f>
        <v>6.0000000000000001E-3</v>
      </c>
      <c r="Z51" s="26">
        <f>'5Of11Source'!K72</f>
        <v>5.93</v>
      </c>
      <c r="AA51" s="28">
        <f>'5Of11Source'!X$2</f>
        <v>0</v>
      </c>
      <c r="AC51" s="28">
        <f>'5Of11Source'!E72</f>
        <v>6</v>
      </c>
      <c r="AD51" s="28"/>
      <c r="AE51" s="28"/>
      <c r="AF51" s="18" t="str">
        <f>5&amp;"/"&amp;7</f>
        <v>5/7</v>
      </c>
      <c r="AG51" s="28">
        <f>TRUNC(0.010142857,3)</f>
        <v>0.01</v>
      </c>
      <c r="AH51" s="27">
        <f>TRUNC(AI51-(9.9-agent!$L$3)*AG51,3)</f>
        <v>10.856</v>
      </c>
      <c r="AI51" s="28">
        <f>TRUNC(AD91+AG51*99,4)</f>
        <v>10.89</v>
      </c>
    </row>
    <row r="52" spans="4:35" x14ac:dyDescent="0.15">
      <c r="D52" s="28" t="s">
        <v>63</v>
      </c>
      <c r="E52" s="28" t="s">
        <v>68</v>
      </c>
      <c r="F52" s="27" t="str">
        <f>'5Of11Source'!$J$22</f>
        <v>03 04 05 06 07 08 09</v>
      </c>
      <c r="G52" s="28">
        <f>'5Of11Source'!F59</f>
        <v>2</v>
      </c>
      <c r="H52" s="28">
        <v>1</v>
      </c>
      <c r="I52" s="30">
        <f t="shared" si="7"/>
        <v>28</v>
      </c>
      <c r="J52" s="22">
        <f t="shared" si="1"/>
        <v>2.2440000000000002</v>
      </c>
      <c r="K52" s="22">
        <f>'5Of11Source'!I73</f>
        <v>63.69</v>
      </c>
      <c r="L52" s="28">
        <f t="shared" si="8"/>
        <v>1001333371.2000002</v>
      </c>
      <c r="M52" s="29" t="str">
        <f t="shared" si="11"/>
        <v>03,06,07,08,10</v>
      </c>
      <c r="N52" s="28">
        <f>IF(ISNUMBER(agent!$O$6*(K52/Z52)*Y52),TRUNC(agent!$O$6*(K52/Z52)*Y52,3),"没有上级")</f>
        <v>6.6000000000000003E-2</v>
      </c>
      <c r="O52" s="28">
        <f>IF(ISNUMBER(agent!$O$9*(K52/Z52)*Y52),TRUNC(agent!$O$9*(K52/Z52)*Y52,3),"没有上级")</f>
        <v>0.39600000000000002</v>
      </c>
      <c r="P52" s="28">
        <f>IF(ISNUMBER(agent!$O$12*(K52/Z52)*Y52),TRUNC(agent!$O$12*(K52/Z52)*Y52,3),"没有上级")</f>
        <v>0.13200000000000001</v>
      </c>
      <c r="Q52" s="28">
        <f>IF(ISNUMBER(agent!$O$15*(K52/Z52)*Y52),TRUNC(agent!$O$15*(K52/Z52)*Y52,3),"没有上级")</f>
        <v>0.26400000000000001</v>
      </c>
      <c r="R52" s="28">
        <f>IF(ISNUMBER(agent!$O$18*(K52/Z52)*Y52),TRUNC(agent!$O$18*(K52/Z52)*Y52,3),"没有上级")</f>
        <v>0.19800000000000001</v>
      </c>
      <c r="S52" s="28">
        <f>IF(ISNUMBER(agent!$O$21*(K52/Z52)*Y52),TRUNC(agent!$O$21*(K52/Z52)*Y52,3),"没有上级")</f>
        <v>6.6000000000000003E-2</v>
      </c>
      <c r="T52" s="28">
        <f>IF(ISNUMBER(agent!$O$24*(K52/Z52)*Y52),TRUNC(agent!$O$24*(K52/Z52)*Y52,3),"没有上级")</f>
        <v>0.46200000000000002</v>
      </c>
      <c r="U52" s="28">
        <f>IF(ISNUMBER(agent!$O$27*(K52/Z52)*Y52),TRUNC(agent!$O$27*(K52/Z52)*Y52,3),"没有上级")</f>
        <v>0.19800000000000001</v>
      </c>
      <c r="V52" s="28">
        <f>IF(ISNUMBER(agent!$O$30*(K52/Z52)*Y52),TRUNC(agent!$O$30*(K52/Z52)*Y52,3),"没有上级")</f>
        <v>0.26400000000000001</v>
      </c>
      <c r="W52" s="28">
        <f>IF(ISNUMBER(agent!$O$33*(K52/Z52)*Y52),TRUNC(agent!$O$33*(K52/Z52)*Y52,3),"没有上级")</f>
        <v>0.19800000000000001</v>
      </c>
      <c r="X52" s="28" t="s">
        <v>12</v>
      </c>
      <c r="Y52">
        <f>SUM('5Of11Source'!U73:U76)</f>
        <v>3.3000000000000002E-2</v>
      </c>
      <c r="Z52" s="26">
        <f>'5Of11Source'!K73</f>
        <v>31.844999999999999</v>
      </c>
      <c r="AA52" s="28">
        <f>'5Of11Source'!X$2</f>
        <v>0</v>
      </c>
      <c r="AC52" s="28">
        <f>'5Of11Source'!E73</f>
        <v>7</v>
      </c>
      <c r="AD52" s="28"/>
      <c r="AE52" s="28"/>
      <c r="AF52" s="28">
        <v>6</v>
      </c>
      <c r="AG52" s="28">
        <f>TRUNC(0.0092857,3)</f>
        <v>8.9999999999999993E-3</v>
      </c>
      <c r="AH52" s="27">
        <f>TRUNC(AI52-(9.9-agent!$L$3)*AG52,3)</f>
        <v>30.56</v>
      </c>
      <c r="AI52" s="28">
        <f>TRUNC(AD92+AG52*99,4)</f>
        <v>30.591000000000001</v>
      </c>
    </row>
    <row r="53" spans="4:35" x14ac:dyDescent="0.15">
      <c r="D53" s="28" t="s">
        <v>70</v>
      </c>
      <c r="E53" s="28" t="s">
        <v>72</v>
      </c>
      <c r="F53" s="27" t="str">
        <f>'5Of11Source'!$J$23</f>
        <v>01 02 03 04 05 06 07 08 09 10 11</v>
      </c>
      <c r="G53" s="28">
        <f>'5Of11Source'!F60</f>
        <v>0</v>
      </c>
      <c r="H53" s="28">
        <v>1</v>
      </c>
      <c r="I53" s="30">
        <f t="shared" si="7"/>
        <v>22</v>
      </c>
      <c r="J53" s="22">
        <f t="shared" si="1"/>
        <v>4148.3640000000005</v>
      </c>
      <c r="K53" s="22">
        <f>'5Of11Source'!I74</f>
        <v>128721.50000000001</v>
      </c>
      <c r="L53" s="28">
        <f t="shared" si="8"/>
        <v>1001462070.7000002</v>
      </c>
      <c r="M53" s="29" t="str">
        <f t="shared" si="11"/>
        <v>03,06,07,08,10</v>
      </c>
      <c r="N53" s="28">
        <f>IF(ISNUMBER(agent!$O$6*(K53/Z53)*Y53),TRUNC(agent!$O$6*(K53/Z53)*Y53,3),"没有上级")</f>
        <v>122.01</v>
      </c>
      <c r="O53" s="28">
        <f>IF(ISNUMBER(agent!$O$9*(K53/Z53)*Y53),TRUNC(agent!$O$9*(K53/Z53)*Y53,3),"没有上级")</f>
        <v>732.06500000000005</v>
      </c>
      <c r="P53" s="28">
        <f>IF(ISNUMBER(agent!$O$12*(K53/Z53)*Y53),TRUNC(agent!$O$12*(K53/Z53)*Y53,3),"没有上级")</f>
        <v>244.02099999999999</v>
      </c>
      <c r="Q53" s="28">
        <f>IF(ISNUMBER(agent!$O$15*(K53/Z53)*Y53),TRUNC(agent!$O$15*(K53/Z53)*Y53,3),"没有上级")</f>
        <v>488.04300000000001</v>
      </c>
      <c r="R53" s="28">
        <f>IF(ISNUMBER(agent!$O$18*(K53/Z53)*Y53),TRUNC(agent!$O$18*(K53/Z53)*Y53,3),"没有上级")</f>
        <v>366.03199999999998</v>
      </c>
      <c r="S53" s="28">
        <f>IF(ISNUMBER(agent!$O$21*(K53/Z53)*Y53),TRUNC(agent!$O$21*(K53/Z53)*Y53,3),"没有上级")</f>
        <v>122.01</v>
      </c>
      <c r="T53" s="28">
        <f>IF(ISNUMBER(agent!$O$24*(K53/Z53)*Y53),TRUNC(agent!$O$24*(K53/Z53)*Y53,3),"没有上级")</f>
        <v>854.07600000000002</v>
      </c>
      <c r="U53" s="28">
        <f>IF(ISNUMBER(agent!$O$27*(K53/Z53)*Y53),TRUNC(agent!$O$27*(K53/Z53)*Y53,3),"没有上级")</f>
        <v>366.03199999999998</v>
      </c>
      <c r="V53" s="28">
        <f>IF(ISNUMBER(agent!$O$30*(K53/Z53)*Y53),TRUNC(agent!$O$30*(K53/Z53)*Y53,3),"没有上级")</f>
        <v>488.04300000000001</v>
      </c>
      <c r="W53" s="28">
        <f>IF(ISNUMBER(agent!$O$33*(K53/Z53)*Y53),TRUNC(agent!$O$33*(K53/Z53)*Y53,3),"没有上级")</f>
        <v>366.03199999999998</v>
      </c>
      <c r="X53" s="28"/>
      <c r="Y53">
        <f>TRUNC(0.0042857,3)</f>
        <v>4.0000000000000001E-3</v>
      </c>
      <c r="Z53" s="28">
        <f>TRUNC(AB53-(9.9-agent!L$3)*10*Y53,3)</f>
        <v>4.22</v>
      </c>
      <c r="AA53" s="28">
        <f>'5Of11Source'!X$2</f>
        <v>0</v>
      </c>
      <c r="AB53">
        <f t="shared" ref="AB53:AB75" si="12">TRUNC(AD53+Y53*99,4)</f>
        <v>4.3559999999999999</v>
      </c>
      <c r="AC53" s="28">
        <f>'5Of11Source'!E74</f>
        <v>11</v>
      </c>
      <c r="AD53" s="28">
        <v>3.96</v>
      </c>
      <c r="AE53" s="28"/>
      <c r="AF53" s="28"/>
      <c r="AG53" s="28"/>
      <c r="AH53" s="28"/>
      <c r="AI53" s="28"/>
    </row>
    <row r="54" spans="4:35" x14ac:dyDescent="0.15">
      <c r="D54" s="28" t="s">
        <v>70</v>
      </c>
      <c r="E54" s="28" t="s">
        <v>74</v>
      </c>
      <c r="F54" s="27" t="str">
        <f>'5Of11Source'!$J$24</f>
        <v>01 02 03 04 05 06 07 08 09 10 11</v>
      </c>
      <c r="G54" s="28">
        <f>'5Of11Source'!F61</f>
        <v>5</v>
      </c>
      <c r="H54" s="28">
        <v>1</v>
      </c>
      <c r="I54" s="30">
        <f t="shared" si="7"/>
        <v>220</v>
      </c>
      <c r="J54" s="22">
        <f t="shared" si="1"/>
        <v>18071.612000000001</v>
      </c>
      <c r="K54" s="22">
        <f>'5Of11Source'!I75</f>
        <v>512915</v>
      </c>
      <c r="L54" s="28">
        <f t="shared" si="8"/>
        <v>1001974765.7000002</v>
      </c>
      <c r="M54" s="29" t="str">
        <f t="shared" si="11"/>
        <v>03,06,07,08,10</v>
      </c>
      <c r="N54" s="28">
        <f>IF(ISNUMBER(agent!$O$6*(K54/Z54)*Y54),TRUNC(agent!$O$6*(K54/Z54)*Y54,3),"没有上级")</f>
        <v>531.51800000000003</v>
      </c>
      <c r="O54" s="28">
        <f>IF(ISNUMBER(agent!$O$9*(K54/Z54)*Y54),TRUNC(agent!$O$9*(K54/Z54)*Y54,3),"没有上级")</f>
        <v>3189.1080000000002</v>
      </c>
      <c r="P54" s="28">
        <f>IF(ISNUMBER(agent!$O$12*(K54/Z54)*Y54),TRUNC(agent!$O$12*(K54/Z54)*Y54,3),"没有上级")</f>
        <v>1063.0360000000001</v>
      </c>
      <c r="Q54" s="28">
        <f>IF(ISNUMBER(agent!$O$15*(K54/Z54)*Y54),TRUNC(agent!$O$15*(K54/Z54)*Y54,3),"没有上级")</f>
        <v>2126.0720000000001</v>
      </c>
      <c r="R54" s="28">
        <f>IF(ISNUMBER(agent!$O$18*(K54/Z54)*Y54),TRUNC(agent!$O$18*(K54/Z54)*Y54,3),"没有上级")</f>
        <v>1594.5540000000001</v>
      </c>
      <c r="S54" s="28">
        <f>IF(ISNUMBER(agent!$O$21*(K54/Z54)*Y54),TRUNC(agent!$O$21*(K54/Z54)*Y54,3),"没有上级")</f>
        <v>531.51800000000003</v>
      </c>
      <c r="T54" s="28">
        <f>IF(ISNUMBER(agent!$O$24*(K54/Z54)*Y54),TRUNC(agent!$O$24*(K54/Z54)*Y54,3),"没有上级")</f>
        <v>3720.6260000000002</v>
      </c>
      <c r="U54" s="28">
        <f>IF(ISNUMBER(agent!$O$27*(K54/Z54)*Y54),TRUNC(agent!$O$27*(K54/Z54)*Y54,3),"没有上级")</f>
        <v>1594.5540000000001</v>
      </c>
      <c r="V54" s="28">
        <f>IF(ISNUMBER(agent!$O$30*(K54/Z54)*Y54),TRUNC(agent!$O$30*(K54/Z54)*Y54,3),"没有上级")</f>
        <v>2126.0720000000001</v>
      </c>
      <c r="W54" s="28">
        <f>IF(ISNUMBER(agent!$O$33*(K54/Z54)*Y54),TRUNC(agent!$O$33*(K54/Z54)*Y54,3),"没有上级")</f>
        <v>1594.5540000000001</v>
      </c>
      <c r="X54" s="28"/>
      <c r="Y54">
        <f>TRUNC(0.011,3)</f>
        <v>1.0999999999999999E-2</v>
      </c>
      <c r="Z54" s="28">
        <f>TRUNC(AB54-(9.9-agent!L$3)*10*Y54,3)</f>
        <v>10.615</v>
      </c>
      <c r="AA54" s="28">
        <f>'5Of11Source'!X$2</f>
        <v>0</v>
      </c>
      <c r="AB54">
        <f t="shared" si="12"/>
        <v>10.989000000000001</v>
      </c>
      <c r="AC54" s="28">
        <f>'5Of11Source'!E75</f>
        <v>55</v>
      </c>
      <c r="AD54" s="28">
        <v>9.9</v>
      </c>
      <c r="AE54" s="28"/>
      <c r="AF54" s="28"/>
      <c r="AG54" s="28"/>
      <c r="AH54" s="28"/>
      <c r="AI54" s="28"/>
    </row>
    <row r="55" spans="4:35" x14ac:dyDescent="0.15">
      <c r="D55" s="28" t="s">
        <v>70</v>
      </c>
      <c r="E55" s="28" t="s">
        <v>76</v>
      </c>
      <c r="F55" s="27" t="str">
        <f>'5Of11Source'!$J$25</f>
        <v>01 02 03 04 05 06 07 08 09 10 11</v>
      </c>
      <c r="G55" s="28">
        <f>'5Of11Source'!F62</f>
        <v>0</v>
      </c>
      <c r="H55" s="28">
        <v>1</v>
      </c>
      <c r="I55" s="30">
        <f t="shared" si="7"/>
        <v>990</v>
      </c>
      <c r="J55" s="22">
        <f t="shared" si="1"/>
        <v>27099.383999999998</v>
      </c>
      <c r="K55" s="22">
        <f>'5Of11Source'!I76</f>
        <v>769144.5</v>
      </c>
      <c r="L55" s="28">
        <f t="shared" si="8"/>
        <v>1002742920.2000002</v>
      </c>
      <c r="M55" s="29" t="str">
        <f t="shared" si="11"/>
        <v>03,06,07,08,10</v>
      </c>
      <c r="N55" s="28">
        <f>IF(ISNUMBER(agent!$O$6*(K55/Z55)*Y55),TRUNC(agent!$O$6*(K55/Z55)*Y55,3),"没有上级")</f>
        <v>797.04</v>
      </c>
      <c r="O55" s="28">
        <f>IF(ISNUMBER(agent!$O$9*(K55/Z55)*Y55),TRUNC(agent!$O$9*(K55/Z55)*Y55,3),"没有上级")</f>
        <v>4782.2449999999999</v>
      </c>
      <c r="P55" s="28">
        <f>IF(ISNUMBER(agent!$O$12*(K55/Z55)*Y55),TRUNC(agent!$O$12*(K55/Z55)*Y55,3),"没有上级")</f>
        <v>1594.0809999999999</v>
      </c>
      <c r="Q55" s="28">
        <f>IF(ISNUMBER(agent!$O$15*(K55/Z55)*Y55),TRUNC(agent!$O$15*(K55/Z55)*Y55,3),"没有上级")</f>
        <v>3188.163</v>
      </c>
      <c r="R55" s="28">
        <f>IF(ISNUMBER(agent!$O$18*(K55/Z55)*Y55),TRUNC(agent!$O$18*(K55/Z55)*Y55,3),"没有上级")</f>
        <v>2391.1219999999998</v>
      </c>
      <c r="S55" s="28">
        <f>IF(ISNUMBER(agent!$O$21*(K55/Z55)*Y55),TRUNC(agent!$O$21*(K55/Z55)*Y55,3),"没有上级")</f>
        <v>797.04</v>
      </c>
      <c r="T55" s="28">
        <f>IF(ISNUMBER(agent!$O$24*(K55/Z55)*Y55),TRUNC(agent!$O$24*(K55/Z55)*Y55,3),"没有上级")</f>
        <v>5579.2860000000001</v>
      </c>
      <c r="U55" s="28">
        <f>IF(ISNUMBER(agent!$O$27*(K55/Z55)*Y55),TRUNC(agent!$O$27*(K55/Z55)*Y55,3),"没有上级")</f>
        <v>2391.1219999999998</v>
      </c>
      <c r="V55" s="28">
        <f>IF(ISNUMBER(agent!$O$30*(K55/Z55)*Y55),TRUNC(agent!$O$30*(K55/Z55)*Y55,3),"没有上级")</f>
        <v>3188.163</v>
      </c>
      <c r="W55" s="28">
        <f>IF(ISNUMBER(agent!$O$33*(K55/Z55)*Y55),TRUNC(agent!$O$33*(K55/Z55)*Y55,3),"没有上级")</f>
        <v>2391.1219999999998</v>
      </c>
      <c r="X55" s="28"/>
      <c r="Y55">
        <f>TRUNC(0.033,3)</f>
        <v>3.3000000000000002E-2</v>
      </c>
      <c r="Z55" s="28">
        <f>TRUNC(AB55-(9.9-agent!L$3)*10*Y55,3)</f>
        <v>31.844999999999999</v>
      </c>
      <c r="AA55" s="28">
        <f>'5Of11Source'!X$2</f>
        <v>0</v>
      </c>
      <c r="AB55">
        <f t="shared" si="12"/>
        <v>32.966999999999999</v>
      </c>
      <c r="AC55" s="28">
        <f>'5Of11Source'!E76</f>
        <v>165</v>
      </c>
      <c r="AD55" s="28">
        <v>29.7</v>
      </c>
      <c r="AE55" s="28"/>
      <c r="AF55" s="28"/>
      <c r="AG55" s="28"/>
      <c r="AH55" s="28"/>
      <c r="AI55" s="28"/>
    </row>
    <row r="56" spans="4:35" x14ac:dyDescent="0.15">
      <c r="D56" s="28" t="s">
        <v>70</v>
      </c>
      <c r="E56" s="28" t="s">
        <v>78</v>
      </c>
      <c r="F56" s="27" t="str">
        <f>'5Of11Source'!$J$26</f>
        <v>01 02 03 04 05 06 07 08 09 10 11</v>
      </c>
      <c r="G56" s="28">
        <f>'5Of11Source'!F63</f>
        <v>3</v>
      </c>
      <c r="H56" s="28">
        <v>1</v>
      </c>
      <c r="I56" s="30">
        <f t="shared" si="7"/>
        <v>3300</v>
      </c>
      <c r="J56" s="22">
        <f t="shared" si="1"/>
        <v>21843.234</v>
      </c>
      <c r="K56" s="22">
        <f>'5Of11Source'!I77</f>
        <v>619962.5</v>
      </c>
      <c r="L56" s="28">
        <f t="shared" si="8"/>
        <v>1003359582.7000002</v>
      </c>
      <c r="M56" s="29" t="str">
        <f t="shared" si="11"/>
        <v>03,06,07,08,10</v>
      </c>
      <c r="N56" s="28">
        <f>IF(ISNUMBER(agent!$O$6*(K56/Z56)*Y56),TRUNC(agent!$O$6*(K56/Z56)*Y56,3),"没有上级")</f>
        <v>642.44799999999998</v>
      </c>
      <c r="O56" s="28">
        <f>IF(ISNUMBER(agent!$O$9*(K56/Z56)*Y56),TRUNC(agent!$O$9*(K56/Z56)*Y56,3),"没有上级")</f>
        <v>3854.6889999999999</v>
      </c>
      <c r="P56" s="28">
        <f>IF(ISNUMBER(agent!$O$12*(K56/Z56)*Y56),TRUNC(agent!$O$12*(K56/Z56)*Y56,3),"没有上级")</f>
        <v>1284.896</v>
      </c>
      <c r="Q56" s="28">
        <f>IF(ISNUMBER(agent!$O$15*(K56/Z56)*Y56),TRUNC(agent!$O$15*(K56/Z56)*Y56,3),"没有上级")</f>
        <v>2569.7919999999999</v>
      </c>
      <c r="R56" s="28">
        <f>IF(ISNUMBER(agent!$O$18*(K56/Z56)*Y56),TRUNC(agent!$O$18*(K56/Z56)*Y56,3),"没有上级")</f>
        <v>1927.3440000000001</v>
      </c>
      <c r="S56" s="28">
        <f>IF(ISNUMBER(agent!$O$21*(K56/Z56)*Y56),TRUNC(agent!$O$21*(K56/Z56)*Y56,3),"没有上级")</f>
        <v>642.44799999999998</v>
      </c>
      <c r="T56" s="28">
        <f>IF(ISNUMBER(agent!$O$24*(K56/Z56)*Y56),TRUNC(agent!$O$24*(K56/Z56)*Y56,3),"没有上级")</f>
        <v>4497.1369999999997</v>
      </c>
      <c r="U56" s="28">
        <f>IF(ISNUMBER(agent!$O$27*(K56/Z56)*Y56),TRUNC(agent!$O$27*(K56/Z56)*Y56,3),"没有上级")</f>
        <v>1927.3440000000001</v>
      </c>
      <c r="V56" s="28">
        <f>IF(ISNUMBER(agent!$O$30*(K56/Z56)*Y56),TRUNC(agent!$O$30*(K56/Z56)*Y56,3),"没有上级")</f>
        <v>2569.7919999999999</v>
      </c>
      <c r="W56" s="28">
        <f>IF(ISNUMBER(agent!$O$33*(K56/Z56)*Y56),TRUNC(agent!$O$33*(K56/Z56)*Y56,3),"没有上级")</f>
        <v>1927.3440000000001</v>
      </c>
      <c r="X56" s="28" t="s">
        <v>10</v>
      </c>
      <c r="Y56">
        <f>TRUNC(0.132,3)</f>
        <v>0.13200000000000001</v>
      </c>
      <c r="Z56" s="28">
        <f>TRUNC(AB56-(9.9-agent!L$3)*10*Y56,3)</f>
        <v>127.38</v>
      </c>
      <c r="AA56" s="28">
        <f>'5Of11Source'!X$2</f>
        <v>0</v>
      </c>
      <c r="AB56">
        <f t="shared" si="12"/>
        <v>131.86799999999999</v>
      </c>
      <c r="AC56" s="28">
        <f>'5Of11Source'!E77</f>
        <v>330</v>
      </c>
      <c r="AD56" s="28">
        <v>118.8</v>
      </c>
      <c r="AE56" s="28"/>
      <c r="AF56" s="28"/>
      <c r="AG56" s="28"/>
      <c r="AH56" s="28"/>
      <c r="AI56" s="28"/>
    </row>
    <row r="57" spans="4:35" x14ac:dyDescent="0.15">
      <c r="D57" s="28" t="s">
        <v>70</v>
      </c>
      <c r="E57" s="28" t="s">
        <v>80</v>
      </c>
      <c r="F57" s="27" t="str">
        <f>'5Of11Source'!$J$27</f>
        <v>01 02 03 04 05 06 07 08 09 10 11</v>
      </c>
      <c r="G57" s="28">
        <f>'5Of11Source'!F64</f>
        <v>1</v>
      </c>
      <c r="H57" s="28">
        <v>1</v>
      </c>
      <c r="I57" s="30">
        <f t="shared" si="7"/>
        <v>3695.9999999999995</v>
      </c>
      <c r="J57" s="22">
        <f t="shared" si="1"/>
        <v>3496.6819999999998</v>
      </c>
      <c r="K57" s="22">
        <f>'5Of11Source'!I78</f>
        <v>99244.2</v>
      </c>
      <c r="L57" s="28">
        <f t="shared" si="8"/>
        <v>1003455130.9000002</v>
      </c>
      <c r="M57" s="29" t="str">
        <f t="shared" si="11"/>
        <v>03,06,07,08,10</v>
      </c>
      <c r="N57" s="28">
        <f>IF(ISNUMBER(agent!$O$6*(K57/Z57)*Y57),TRUNC(agent!$O$6*(K57/Z57)*Y57,3),"没有上级")</f>
        <v>102.843</v>
      </c>
      <c r="O57" s="28">
        <f>IF(ISNUMBER(agent!$O$9*(K57/Z57)*Y57),TRUNC(agent!$O$9*(K57/Z57)*Y57,3),"没有上级")</f>
        <v>617.06200000000001</v>
      </c>
      <c r="P57" s="28">
        <f>IF(ISNUMBER(agent!$O$12*(K57/Z57)*Y57),TRUNC(agent!$O$12*(K57/Z57)*Y57,3),"没有上级")</f>
        <v>205.68700000000001</v>
      </c>
      <c r="Q57" s="28">
        <f>IF(ISNUMBER(agent!$O$15*(K57/Z57)*Y57),TRUNC(agent!$O$15*(K57/Z57)*Y57,3),"没有上级")</f>
        <v>411.37400000000002</v>
      </c>
      <c r="R57" s="28">
        <f>IF(ISNUMBER(agent!$O$18*(K57/Z57)*Y57),TRUNC(agent!$O$18*(K57/Z57)*Y57,3),"没有上级")</f>
        <v>308.53100000000001</v>
      </c>
      <c r="S57" s="28">
        <f>IF(ISNUMBER(agent!$O$21*(K57/Z57)*Y57),TRUNC(agent!$O$21*(K57/Z57)*Y57,3),"没有上级")</f>
        <v>102.843</v>
      </c>
      <c r="T57" s="28">
        <f>IF(ISNUMBER(agent!$O$24*(K57/Z57)*Y57),TRUNC(agent!$O$24*(K57/Z57)*Y57,3),"没有上级")</f>
        <v>719.90599999999995</v>
      </c>
      <c r="U57" s="28">
        <f>IF(ISNUMBER(agent!$O$27*(K57/Z57)*Y57),TRUNC(agent!$O$27*(K57/Z57)*Y57,3),"没有上级")</f>
        <v>308.53100000000001</v>
      </c>
      <c r="V57" s="28">
        <f>IF(ISNUMBER(agent!$O$30*(K57/Z57)*Y57),TRUNC(agent!$O$30*(K57/Z57)*Y57,3),"没有上级")</f>
        <v>411.37400000000002</v>
      </c>
      <c r="W57" s="28">
        <f>IF(ISNUMBER(agent!$O$33*(K57/Z57)*Y57),TRUNC(agent!$O$33*(K57/Z57)*Y57,3),"没有上级")</f>
        <v>308.53100000000001</v>
      </c>
      <c r="X57" s="28"/>
      <c r="Y57">
        <f>TRUNC(0.924,3)</f>
        <v>0.92400000000000004</v>
      </c>
      <c r="Z57" s="28">
        <f>TRUNC(AB57-(9.9-agent!L$3)*10*Y57,3)</f>
        <v>891.66</v>
      </c>
      <c r="AA57" s="28">
        <f>'5Of11Source'!X$2</f>
        <v>0</v>
      </c>
      <c r="AB57">
        <f t="shared" si="12"/>
        <v>923.07600000000002</v>
      </c>
      <c r="AC57" s="28">
        <f>'5Of11Source'!E78</f>
        <v>461.99999999999994</v>
      </c>
      <c r="AD57" s="28">
        <v>831.6</v>
      </c>
      <c r="AE57" s="28"/>
      <c r="AF57" s="28"/>
      <c r="AG57" s="28"/>
      <c r="AH57" s="28"/>
      <c r="AI57" s="28"/>
    </row>
    <row r="58" spans="4:35" x14ac:dyDescent="0.15">
      <c r="D58" s="28" t="s">
        <v>70</v>
      </c>
      <c r="E58" s="28" t="s">
        <v>82</v>
      </c>
      <c r="F58" s="27" t="str">
        <f>'5Of11Source'!$J$28</f>
        <v>01 02 03 04 05 06 07 08 09 10 11</v>
      </c>
      <c r="G58" s="28">
        <f>'5Of11Source'!F65</f>
        <v>2</v>
      </c>
      <c r="H58" s="28">
        <v>1</v>
      </c>
      <c r="I58" s="30">
        <f t="shared" si="7"/>
        <v>3695.9999999999995</v>
      </c>
      <c r="J58" s="22">
        <f t="shared" si="1"/>
        <v>20879.743999999999</v>
      </c>
      <c r="K58" s="22">
        <f>'5Of11Source'!I79</f>
        <v>592616.39999999991</v>
      </c>
      <c r="L58" s="28">
        <f t="shared" si="8"/>
        <v>1004044051.3000002</v>
      </c>
      <c r="M58" s="29" t="str">
        <f t="shared" si="11"/>
        <v>03,06,07,08,10</v>
      </c>
      <c r="N58" s="28">
        <f>IF(ISNUMBER(agent!$O$6*(K58/Z58)*Y58),TRUNC(agent!$O$6*(K58/Z58)*Y58,3),"没有上级")</f>
        <v>614.11</v>
      </c>
      <c r="O58" s="28">
        <f>IF(ISNUMBER(agent!$O$9*(K58/Z58)*Y58),TRUNC(agent!$O$9*(K58/Z58)*Y58,3),"没有上级")</f>
        <v>3684.6610000000001</v>
      </c>
      <c r="P58" s="28">
        <f>IF(ISNUMBER(agent!$O$12*(K58/Z58)*Y58),TRUNC(agent!$O$12*(K58/Z58)*Y58,3),"没有上级")</f>
        <v>1228.22</v>
      </c>
      <c r="Q58" s="28">
        <f>IF(ISNUMBER(agent!$O$15*(K58/Z58)*Y58),TRUNC(agent!$O$15*(K58/Z58)*Y58,3),"没有上级")</f>
        <v>2456.4409999999998</v>
      </c>
      <c r="R58" s="28">
        <f>IF(ISNUMBER(agent!$O$18*(K58/Z58)*Y58),TRUNC(agent!$O$18*(K58/Z58)*Y58,3),"没有上级")</f>
        <v>1842.33</v>
      </c>
      <c r="S58" s="28">
        <f>IF(ISNUMBER(agent!$O$21*(K58/Z58)*Y58),TRUNC(agent!$O$21*(K58/Z58)*Y58,3),"没有上级")</f>
        <v>614.11</v>
      </c>
      <c r="T58" s="28">
        <f>IF(ISNUMBER(agent!$O$24*(K58/Z58)*Y58),TRUNC(agent!$O$24*(K58/Z58)*Y58,3),"没有上级")</f>
        <v>4298.7709999999997</v>
      </c>
      <c r="U58" s="28">
        <f>IF(ISNUMBER(agent!$O$27*(K58/Z58)*Y58),TRUNC(agent!$O$27*(K58/Z58)*Y58,3),"没有上级")</f>
        <v>1842.33</v>
      </c>
      <c r="V58" s="28">
        <f>IF(ISNUMBER(agent!$O$30*(K58/Z58)*Y58),TRUNC(agent!$O$30*(K58/Z58)*Y58,3),"没有上级")</f>
        <v>2456.4409999999998</v>
      </c>
      <c r="W58" s="28">
        <f>IF(ISNUMBER(agent!$O$33*(K58/Z58)*Y58),TRUNC(agent!$O$33*(K58/Z58)*Y58,3),"没有上级")</f>
        <v>1842.33</v>
      </c>
      <c r="X58" s="28"/>
      <c r="Y58">
        <f>TRUNC(0.154,3)</f>
        <v>0.154</v>
      </c>
      <c r="Z58" s="28">
        <f>TRUNC(AB58-(9.9-agent!L$3)*10*Y58,3)</f>
        <v>148.61000000000001</v>
      </c>
      <c r="AA58" s="28">
        <f>'5Of11Source'!X$2</f>
        <v>0</v>
      </c>
      <c r="AB58">
        <f t="shared" si="12"/>
        <v>153.846</v>
      </c>
      <c r="AC58" s="28">
        <f>'5Of11Source'!E79</f>
        <v>461.99999999999994</v>
      </c>
      <c r="AD58" s="28">
        <v>138.6</v>
      </c>
      <c r="AE58" s="28"/>
      <c r="AF58" s="28"/>
      <c r="AG58" s="28"/>
      <c r="AH58" s="28"/>
      <c r="AI58" s="28"/>
    </row>
    <row r="59" spans="4:35" x14ac:dyDescent="0.15">
      <c r="D59" s="28" t="s">
        <v>70</v>
      </c>
      <c r="E59" s="28" t="s">
        <v>84</v>
      </c>
      <c r="F59" s="27" t="str">
        <f>'5Of11Source'!$J$29</f>
        <v>01 02 03 04 05 06 07 08 09 10 11</v>
      </c>
      <c r="G59" s="28">
        <f>'5Of11Source'!F66</f>
        <v>3</v>
      </c>
      <c r="H59" s="28">
        <v>1</v>
      </c>
      <c r="I59" s="30">
        <f t="shared" si="7"/>
        <v>1980</v>
      </c>
      <c r="J59" s="22">
        <f t="shared" si="1"/>
        <v>39317.824000000008</v>
      </c>
      <c r="K59" s="22">
        <f>'5Of11Source'!I80</f>
        <v>1115932.5</v>
      </c>
      <c r="L59" s="28">
        <f t="shared" si="8"/>
        <v>1005158003.8000002</v>
      </c>
      <c r="M59" s="29" t="str">
        <f t="shared" si="11"/>
        <v>03,06,07,08,10</v>
      </c>
      <c r="N59" s="28">
        <f>IF(ISNUMBER(agent!$O$6*(K59/Z59)*Y59),TRUNC(agent!$O$6*(K59/Z59)*Y59,3),"没有上级")</f>
        <v>1156.4059999999999</v>
      </c>
      <c r="O59" s="28">
        <f>IF(ISNUMBER(agent!$O$9*(K59/Z59)*Y59),TRUNC(agent!$O$9*(K59/Z59)*Y59,3),"没有上级")</f>
        <v>6938.44</v>
      </c>
      <c r="P59" s="28">
        <f>IF(ISNUMBER(agent!$O$12*(K59/Z59)*Y59),TRUNC(agent!$O$12*(K59/Z59)*Y59,3),"没有上级")</f>
        <v>2312.8130000000001</v>
      </c>
      <c r="Q59" s="28">
        <f>IF(ISNUMBER(agent!$O$15*(K59/Z59)*Y59),TRUNC(agent!$O$15*(K59/Z59)*Y59,3),"没有上级")</f>
        <v>4625.6260000000002</v>
      </c>
      <c r="R59" s="28">
        <f>IF(ISNUMBER(agent!$O$18*(K59/Z59)*Y59),TRUNC(agent!$O$18*(K59/Z59)*Y59,3),"没有上级")</f>
        <v>3469.22</v>
      </c>
      <c r="S59" s="28">
        <f>IF(ISNUMBER(agent!$O$21*(K59/Z59)*Y59),TRUNC(agent!$O$21*(K59/Z59)*Y59,3),"没有上级")</f>
        <v>1156.4059999999999</v>
      </c>
      <c r="T59" s="28">
        <f>IF(ISNUMBER(agent!$O$24*(K59/Z59)*Y59),TRUNC(agent!$O$24*(K59/Z59)*Y59,3),"没有上级")</f>
        <v>8094.8469999999998</v>
      </c>
      <c r="U59" s="28">
        <f>IF(ISNUMBER(agent!$O$27*(K59/Z59)*Y59),TRUNC(agent!$O$27*(K59/Z59)*Y59,3),"没有上级")</f>
        <v>3469.22</v>
      </c>
      <c r="V59" s="28">
        <f>IF(ISNUMBER(agent!$O$30*(K59/Z59)*Y59),TRUNC(agent!$O$30*(K59/Z59)*Y59,3),"没有上级")</f>
        <v>4625.6260000000002</v>
      </c>
      <c r="W59" s="28">
        <f>IF(ISNUMBER(agent!$O$33*(K59/Z59)*Y59),TRUNC(agent!$O$33*(K59/Z59)*Y59,3),"没有上级")</f>
        <v>3469.22</v>
      </c>
      <c r="X59" s="28"/>
      <c r="Y59">
        <f>TRUNC(0.044,3)</f>
        <v>4.3999999999999997E-2</v>
      </c>
      <c r="Z59" s="28">
        <f>TRUNC(AB59-(9.9-agent!L$3)*10*Y59,3)</f>
        <v>42.46</v>
      </c>
      <c r="AA59" s="28">
        <f>'5Of11Source'!X$2</f>
        <v>0</v>
      </c>
      <c r="AB59">
        <f t="shared" si="12"/>
        <v>43.956000000000003</v>
      </c>
      <c r="AC59" s="28">
        <f>'5Of11Source'!E80</f>
        <v>330</v>
      </c>
      <c r="AD59" s="28">
        <v>39.6</v>
      </c>
      <c r="AE59" s="28"/>
      <c r="AF59" s="28"/>
      <c r="AG59" s="28"/>
      <c r="AH59" s="28"/>
      <c r="AI59" s="28"/>
    </row>
    <row r="60" spans="4:35" x14ac:dyDescent="0.15">
      <c r="D60" s="28" t="s">
        <v>70</v>
      </c>
      <c r="E60" s="28" t="s">
        <v>86</v>
      </c>
      <c r="F60" s="27" t="str">
        <f>'5Of11Source'!$J$30</f>
        <v>01 02 03 04 05 06 07 08 09 10 11</v>
      </c>
      <c r="G60" s="28">
        <f>'5Of11Source'!F67</f>
        <v>0</v>
      </c>
      <c r="H60" s="28">
        <v>1</v>
      </c>
      <c r="I60" s="30">
        <f t="shared" si="7"/>
        <v>990</v>
      </c>
      <c r="J60" s="22">
        <f t="shared" si="1"/>
        <v>50923.533999999992</v>
      </c>
      <c r="K60" s="22">
        <f>'5Of11Source'!I81</f>
        <v>1487454</v>
      </c>
      <c r="L60" s="28">
        <f t="shared" si="8"/>
        <v>1006644467.8000002</v>
      </c>
      <c r="M60" s="29" t="str">
        <f t="shared" si="11"/>
        <v>03,06,07,08,10</v>
      </c>
      <c r="N60" s="28">
        <f>IF(ISNUMBER(agent!$O$6*(K60/Z60)*Y60),TRUNC(agent!$O$6*(K60/Z60)*Y60,3),"没有上级")</f>
        <v>1497.751</v>
      </c>
      <c r="O60" s="28">
        <f>IF(ISNUMBER(agent!$O$9*(K60/Z60)*Y60),TRUNC(agent!$O$9*(K60/Z60)*Y60,3),"没有上级")</f>
        <v>8986.5059999999994</v>
      </c>
      <c r="P60" s="28">
        <f>IF(ISNUMBER(agent!$O$12*(K60/Z60)*Y60),TRUNC(agent!$O$12*(K60/Z60)*Y60,3),"没有上级")</f>
        <v>2995.502</v>
      </c>
      <c r="Q60" s="28">
        <f>IF(ISNUMBER(agent!$O$15*(K60/Z60)*Y60),TRUNC(agent!$O$15*(K60/Z60)*Y60,3),"没有上级")</f>
        <v>5991.0039999999999</v>
      </c>
      <c r="R60" s="28">
        <f>IF(ISNUMBER(agent!$O$18*(K60/Z60)*Y60),TRUNC(agent!$O$18*(K60/Z60)*Y60,3),"没有上级")</f>
        <v>4493.2529999999997</v>
      </c>
      <c r="S60" s="28">
        <f>IF(ISNUMBER(agent!$O$21*(K60/Z60)*Y60),TRUNC(agent!$O$21*(K60/Z60)*Y60,3),"没有上级")</f>
        <v>1497.751</v>
      </c>
      <c r="T60" s="28">
        <f>IF(ISNUMBER(agent!$O$24*(K60/Z60)*Y60),TRUNC(agent!$O$24*(K60/Z60)*Y60,3),"没有上级")</f>
        <v>10484.257</v>
      </c>
      <c r="U60" s="28">
        <f>IF(ISNUMBER(agent!$O$27*(K60/Z60)*Y60),TRUNC(agent!$O$27*(K60/Z60)*Y60,3),"没有上级")</f>
        <v>4493.2529999999997</v>
      </c>
      <c r="V60" s="28">
        <f>IF(ISNUMBER(agent!$O$30*(K60/Z60)*Y60),TRUNC(agent!$O$30*(K60/Z60)*Y60,3),"没有上级")</f>
        <v>5991.0039999999999</v>
      </c>
      <c r="W60" s="28">
        <f>IF(ISNUMBER(agent!$O$33*(K60/Z60)*Y60),TRUNC(agent!$O$33*(K60/Z60)*Y60,3),"没有上级")</f>
        <v>4493.2529999999997</v>
      </c>
      <c r="X60" s="28" t="s">
        <v>12</v>
      </c>
      <c r="Y60">
        <f>TRUNC(0.01642857,3)</f>
        <v>1.6E-2</v>
      </c>
      <c r="Z60" s="28">
        <f>TRUNC(AB60-(9.9-agent!L$3)*10*Y60,3)</f>
        <v>15.89</v>
      </c>
      <c r="AA60" s="28">
        <f>'5Of11Source'!X$2</f>
        <v>0</v>
      </c>
      <c r="AB60">
        <f t="shared" si="12"/>
        <v>16.434000000000001</v>
      </c>
      <c r="AC60" s="28">
        <f>'5Of11Source'!E81</f>
        <v>165</v>
      </c>
      <c r="AD60" s="28">
        <v>14.85</v>
      </c>
      <c r="AE60" s="28"/>
      <c r="AF60" s="28"/>
      <c r="AG60" s="28"/>
      <c r="AH60" s="28"/>
      <c r="AI60" s="28"/>
    </row>
    <row r="61" spans="4:35" x14ac:dyDescent="0.15">
      <c r="D61" s="28" t="s">
        <v>96</v>
      </c>
      <c r="E61" s="28" t="s">
        <v>72</v>
      </c>
      <c r="F61" s="27" t="str">
        <f>'5Of11Source'!$J$31</f>
        <v>01,02,03,04,05,06,07,08,09,10,11</v>
      </c>
      <c r="G61" s="28">
        <f>'5Of11Source'!F68</f>
        <v>5</v>
      </c>
      <c r="H61" s="28">
        <v>1</v>
      </c>
      <c r="I61" s="30">
        <f t="shared" si="7"/>
        <v>88</v>
      </c>
      <c r="J61" s="22">
        <f t="shared" si="1"/>
        <v>15903.977999999999</v>
      </c>
      <c r="K61" s="22">
        <f>'5Of11Source'!I82</f>
        <v>493491.20000000001</v>
      </c>
      <c r="L61" s="28">
        <f t="shared" si="8"/>
        <v>1007137871.0000002</v>
      </c>
      <c r="M61" s="29" t="str">
        <f t="shared" si="11"/>
        <v>03,06,07,08,10</v>
      </c>
      <c r="N61" s="28">
        <f>IF(ISNUMBER(agent!$O$6*(K61/Z61)*Y61),TRUNC(agent!$O$6*(K61/Z61)*Y61,3),"没有上级")</f>
        <v>467.76400000000001</v>
      </c>
      <c r="O61" s="28">
        <f>IF(ISNUMBER(agent!$O$9*(K61/Z61)*Y61),TRUNC(agent!$O$9*(K61/Z61)*Y61,3),"没有上级")</f>
        <v>2806.585</v>
      </c>
      <c r="P61" s="28">
        <f>IF(ISNUMBER(agent!$O$12*(K61/Z61)*Y61),TRUNC(agent!$O$12*(K61/Z61)*Y61,3),"没有上级")</f>
        <v>935.52800000000002</v>
      </c>
      <c r="Q61" s="28">
        <f>IF(ISNUMBER(agent!$O$15*(K61/Z61)*Y61),TRUNC(agent!$O$15*(K61/Z61)*Y61,3),"没有上级")</f>
        <v>1871.056</v>
      </c>
      <c r="R61" s="28">
        <f>IF(ISNUMBER(agent!$O$18*(K61/Z61)*Y61),TRUNC(agent!$O$18*(K61/Z61)*Y61,3),"没有上级")</f>
        <v>1403.2919999999999</v>
      </c>
      <c r="S61" s="28">
        <f>IF(ISNUMBER(agent!$O$21*(K61/Z61)*Y61),TRUNC(agent!$O$21*(K61/Z61)*Y61,3),"没有上级")</f>
        <v>467.76400000000001</v>
      </c>
      <c r="T61" s="28">
        <f>IF(ISNUMBER(agent!$O$24*(K61/Z61)*Y61),TRUNC(agent!$O$24*(K61/Z61)*Y61,3),"没有上级")</f>
        <v>3274.3490000000002</v>
      </c>
      <c r="U61" s="28">
        <f>IF(ISNUMBER(agent!$O$27*(K61/Z61)*Y61),TRUNC(agent!$O$27*(K61/Z61)*Y61,3),"没有上级")</f>
        <v>1403.2919999999999</v>
      </c>
      <c r="V61" s="28">
        <f>IF(ISNUMBER(agent!$O$30*(K61/Z61)*Y61),TRUNC(agent!$O$30*(K61/Z61)*Y61,3),"没有上级")</f>
        <v>1871.056</v>
      </c>
      <c r="W61" s="28">
        <f>IF(ISNUMBER(agent!$O$33*(K61/Z61)*Y61),TRUNC(agent!$O$33*(K61/Z61)*Y61,3),"没有上级")</f>
        <v>1403.2919999999999</v>
      </c>
      <c r="X61" s="28"/>
      <c r="Y61">
        <f>TRUNC(0.0042857,3)</f>
        <v>4.0000000000000001E-3</v>
      </c>
      <c r="Z61" s="28">
        <f>TRUNC(AB61-(9.9-agent!L$3)*10*Y61,3)</f>
        <v>4.22</v>
      </c>
      <c r="AA61" s="28">
        <f>'5Of11Source'!X$2</f>
        <v>0</v>
      </c>
      <c r="AB61">
        <f t="shared" si="12"/>
        <v>4.3559999999999999</v>
      </c>
      <c r="AC61" s="28">
        <f>'5Of11Source'!E82</f>
        <v>11</v>
      </c>
      <c r="AD61" s="28">
        <v>3.96</v>
      </c>
      <c r="AE61" s="28"/>
      <c r="AF61" s="28"/>
      <c r="AG61" s="28"/>
      <c r="AH61" s="28"/>
      <c r="AI61" s="28"/>
    </row>
    <row r="62" spans="4:35" x14ac:dyDescent="0.15">
      <c r="D62" s="28" t="s">
        <v>96</v>
      </c>
      <c r="E62" s="28" t="s">
        <v>74</v>
      </c>
      <c r="F62" s="27" t="str">
        <f>'5Of11Source'!$J$32</f>
        <v>01 09,03 04,05 06,07 08,09 10</v>
      </c>
      <c r="G62" s="28">
        <f>'5Of11Source'!F69</f>
        <v>2</v>
      </c>
      <c r="H62" s="28">
        <v>1</v>
      </c>
      <c r="I62" s="30">
        <f t="shared" si="7"/>
        <v>50</v>
      </c>
      <c r="J62" s="22">
        <f t="shared" si="1"/>
        <v>4086.8100000000004</v>
      </c>
      <c r="K62" s="22">
        <f>'5Of11Source'!I83</f>
        <v>115993.45000000003</v>
      </c>
      <c r="L62" s="28">
        <f t="shared" si="8"/>
        <v>1007253814.4500003</v>
      </c>
      <c r="M62" s="29" t="str">
        <f t="shared" si="11"/>
        <v>03,06,07,08,10</v>
      </c>
      <c r="N62" s="28">
        <f>IF(ISNUMBER(agent!$O$6*(K62/Z62)*Y62),TRUNC(agent!$O$6*(K62/Z62)*Y62,3),"没有上级")</f>
        <v>120.2</v>
      </c>
      <c r="O62" s="28">
        <f>IF(ISNUMBER(agent!$O$9*(K62/Z62)*Y62),TRUNC(agent!$O$9*(K62/Z62)*Y62,3),"没有上级")</f>
        <v>721.202</v>
      </c>
      <c r="P62" s="28">
        <f>IF(ISNUMBER(agent!$O$12*(K62/Z62)*Y62),TRUNC(agent!$O$12*(K62/Z62)*Y62,3),"没有上级")</f>
        <v>240.4</v>
      </c>
      <c r="Q62" s="28">
        <f>IF(ISNUMBER(agent!$O$15*(K62/Z62)*Y62),TRUNC(agent!$O$15*(K62/Z62)*Y62,3),"没有上级")</f>
        <v>480.80099999999999</v>
      </c>
      <c r="R62" s="28">
        <f>IF(ISNUMBER(agent!$O$18*(K62/Z62)*Y62),TRUNC(agent!$O$18*(K62/Z62)*Y62,3),"没有上级")</f>
        <v>360.601</v>
      </c>
      <c r="S62" s="28">
        <f>IF(ISNUMBER(agent!$O$21*(K62/Z62)*Y62),TRUNC(agent!$O$21*(K62/Z62)*Y62,3),"没有上级")</f>
        <v>120.2</v>
      </c>
      <c r="T62" s="28">
        <f>IF(ISNUMBER(agent!$O$24*(K62/Z62)*Y62),TRUNC(agent!$O$24*(K62/Z62)*Y62,3),"没有上级")</f>
        <v>841.40300000000002</v>
      </c>
      <c r="U62" s="28">
        <f>IF(ISNUMBER(agent!$O$27*(K62/Z62)*Y62),TRUNC(agent!$O$27*(K62/Z62)*Y62,3),"没有上级")</f>
        <v>360.601</v>
      </c>
      <c r="V62" s="28">
        <f>IF(ISNUMBER(agent!$O$30*(K62/Z62)*Y62),TRUNC(agent!$O$30*(K62/Z62)*Y62,3),"没有上级")</f>
        <v>480.80099999999999</v>
      </c>
      <c r="W62" s="28">
        <f>IF(ISNUMBER(agent!$O$33*(K62/Z62)*Y62),TRUNC(agent!$O$33*(K62/Z62)*Y62,3),"没有上级")</f>
        <v>360.601</v>
      </c>
      <c r="X62" s="28"/>
      <c r="Y62">
        <f>TRUNC(0.011,3)</f>
        <v>1.0999999999999999E-2</v>
      </c>
      <c r="Z62" s="28">
        <f>TRUNC(AB62-(9.9-agent!L$3)*10*Y62,3)</f>
        <v>10.615</v>
      </c>
      <c r="AA62" s="28">
        <f>'5Of11Source'!X$2</f>
        <v>0</v>
      </c>
      <c r="AB62">
        <f t="shared" si="12"/>
        <v>10.989000000000001</v>
      </c>
      <c r="AC62" s="28">
        <f>'5Of11Source'!E83</f>
        <v>5</v>
      </c>
      <c r="AD62" s="28">
        <v>9.9</v>
      </c>
      <c r="AE62" s="28"/>
      <c r="AF62" s="28"/>
      <c r="AG62" s="28"/>
      <c r="AH62" s="28"/>
      <c r="AI62" s="28"/>
    </row>
    <row r="63" spans="4:35" x14ac:dyDescent="0.15">
      <c r="D63" s="28" t="s">
        <v>96</v>
      </c>
      <c r="E63" s="28" t="s">
        <v>76</v>
      </c>
      <c r="F63" s="27" t="str">
        <f>'5Of11Source'!$J$33</f>
        <v>01 02 03,04 05 06,07 08 09,10 11 01</v>
      </c>
      <c r="G63" s="28">
        <f>'5Of11Source'!F70</f>
        <v>0</v>
      </c>
      <c r="H63" s="28">
        <v>1</v>
      </c>
      <c r="I63" s="30">
        <f t="shared" si="7"/>
        <v>40</v>
      </c>
      <c r="J63" s="22">
        <f t="shared" si="1"/>
        <v>4069.4489999999996</v>
      </c>
      <c r="K63" s="22">
        <f>'5Of11Source'!I84</f>
        <v>115500.70000000001</v>
      </c>
      <c r="L63" s="28">
        <f t="shared" si="8"/>
        <v>1007369275.1500003</v>
      </c>
      <c r="M63" s="29" t="str">
        <f t="shared" si="11"/>
        <v>03,06,07,08,10</v>
      </c>
      <c r="N63" s="28">
        <f>IF(ISNUMBER(agent!$O$6*(K63/Z63)*Y63),TRUNC(agent!$O$6*(K63/Z63)*Y63,3),"没有上级")</f>
        <v>119.68899999999999</v>
      </c>
      <c r="O63" s="28">
        <f>IF(ISNUMBER(agent!$O$9*(K63/Z63)*Y63),TRUNC(agent!$O$9*(K63/Z63)*Y63,3),"没有上级")</f>
        <v>718.13900000000001</v>
      </c>
      <c r="P63" s="28">
        <f>IF(ISNUMBER(agent!$O$12*(K63/Z63)*Y63),TRUNC(agent!$O$12*(K63/Z63)*Y63,3),"没有上级")</f>
        <v>239.37899999999999</v>
      </c>
      <c r="Q63" s="28">
        <f>IF(ISNUMBER(agent!$O$15*(K63/Z63)*Y63),TRUNC(agent!$O$15*(K63/Z63)*Y63,3),"没有上级")</f>
        <v>478.75900000000001</v>
      </c>
      <c r="R63" s="28">
        <f>IF(ISNUMBER(agent!$O$18*(K63/Z63)*Y63),TRUNC(agent!$O$18*(K63/Z63)*Y63,3),"没有上级")</f>
        <v>359.06900000000002</v>
      </c>
      <c r="S63" s="28">
        <f>IF(ISNUMBER(agent!$O$21*(K63/Z63)*Y63),TRUNC(agent!$O$21*(K63/Z63)*Y63,3),"没有上级")</f>
        <v>119.68899999999999</v>
      </c>
      <c r="T63" s="28">
        <f>IF(ISNUMBER(agent!$O$24*(K63/Z63)*Y63),TRUNC(agent!$O$24*(K63/Z63)*Y63,3),"没有上级")</f>
        <v>837.82799999999997</v>
      </c>
      <c r="U63" s="28">
        <f>IF(ISNUMBER(agent!$O$27*(K63/Z63)*Y63),TRUNC(agent!$O$27*(K63/Z63)*Y63,3),"没有上级")</f>
        <v>359.06900000000002</v>
      </c>
      <c r="V63" s="28">
        <f>IF(ISNUMBER(agent!$O$30*(K63/Z63)*Y63),TRUNC(agent!$O$30*(K63/Z63)*Y63,3),"没有上级")</f>
        <v>478.75900000000001</v>
      </c>
      <c r="W63" s="28">
        <f>IF(ISNUMBER(agent!$O$33*(K63/Z63)*Y63),TRUNC(agent!$O$33*(K63/Z63)*Y63,3),"没有上级")</f>
        <v>359.06900000000002</v>
      </c>
      <c r="X63" s="28"/>
      <c r="Y63">
        <f>TRUNC(0.033,3)</f>
        <v>3.3000000000000002E-2</v>
      </c>
      <c r="Z63" s="28">
        <f>TRUNC(AB63-(9.9-agent!L$3)*10*Y63,3)</f>
        <v>31.844999999999999</v>
      </c>
      <c r="AA63" s="28">
        <f>'5Of11Source'!X$2</f>
        <v>0</v>
      </c>
      <c r="AB63">
        <f t="shared" si="12"/>
        <v>32.966999999999999</v>
      </c>
      <c r="AC63" s="28">
        <f>'5Of11Source'!E84</f>
        <v>4</v>
      </c>
      <c r="AD63" s="28">
        <v>29.7</v>
      </c>
      <c r="AE63" s="28"/>
      <c r="AF63" s="28"/>
      <c r="AG63" s="28"/>
      <c r="AH63" s="28"/>
      <c r="AI63" s="28"/>
    </row>
    <row r="64" spans="4:35" x14ac:dyDescent="0.15">
      <c r="D64" s="28" t="s">
        <v>96</v>
      </c>
      <c r="E64" s="28" t="s">
        <v>78</v>
      </c>
      <c r="F64" s="27" t="str">
        <f>'5Of11Source'!$J$34</f>
        <v>01 02 03 04,09 10 11 05,06 07 08 09</v>
      </c>
      <c r="G64" s="28">
        <f>'5Of11Source'!F71</f>
        <v>0</v>
      </c>
      <c r="H64" s="28">
        <v>1</v>
      </c>
      <c r="I64" s="30">
        <f t="shared" si="7"/>
        <v>30</v>
      </c>
      <c r="J64" s="22">
        <f t="shared" si="1"/>
        <v>22.44</v>
      </c>
      <c r="K64" s="22">
        <f>'5Of11Source'!I85</f>
        <v>636.9</v>
      </c>
      <c r="L64" s="28">
        <f t="shared" si="8"/>
        <v>1007369882.0500003</v>
      </c>
      <c r="M64" s="29" t="str">
        <f t="shared" si="11"/>
        <v>03,06,07,08,10</v>
      </c>
      <c r="N64" s="28">
        <f>IF(ISNUMBER(agent!$O$6*(K64/Z64)*Y64),TRUNC(agent!$O$6*(K64/Z64)*Y64,3),"没有上级")</f>
        <v>0.66</v>
      </c>
      <c r="O64" s="28">
        <f>IF(ISNUMBER(agent!$O$9*(K64/Z64)*Y64),TRUNC(agent!$O$9*(K64/Z64)*Y64,3),"没有上级")</f>
        <v>3.96</v>
      </c>
      <c r="P64" s="28">
        <f>IF(ISNUMBER(agent!$O$12*(K64/Z64)*Y64),TRUNC(agent!$O$12*(K64/Z64)*Y64,3),"没有上级")</f>
        <v>1.32</v>
      </c>
      <c r="Q64" s="28">
        <f>IF(ISNUMBER(agent!$O$15*(K64/Z64)*Y64),TRUNC(agent!$O$15*(K64/Z64)*Y64,3),"没有上级")</f>
        <v>2.64</v>
      </c>
      <c r="R64" s="28">
        <f>IF(ISNUMBER(agent!$O$18*(K64/Z64)*Y64),TRUNC(agent!$O$18*(K64/Z64)*Y64,3),"没有上级")</f>
        <v>1.98</v>
      </c>
      <c r="S64" s="28">
        <f>IF(ISNUMBER(agent!$O$21*(K64/Z64)*Y64),TRUNC(agent!$O$21*(K64/Z64)*Y64,3),"没有上级")</f>
        <v>0.66</v>
      </c>
      <c r="T64" s="28">
        <f>IF(ISNUMBER(agent!$O$24*(K64/Z64)*Y64),TRUNC(agent!$O$24*(K64/Z64)*Y64,3),"没有上级")</f>
        <v>4.62</v>
      </c>
      <c r="U64" s="28">
        <f>IF(ISNUMBER(agent!$O$27*(K64/Z64)*Y64),TRUNC(agent!$O$27*(K64/Z64)*Y64,3),"没有上级")</f>
        <v>1.98</v>
      </c>
      <c r="V64" s="28">
        <f>IF(ISNUMBER(agent!$O$30*(K64/Z64)*Y64),TRUNC(agent!$O$30*(K64/Z64)*Y64,3),"没有上级")</f>
        <v>2.64</v>
      </c>
      <c r="W64" s="28">
        <f>IF(ISNUMBER(agent!$O$33*(K64/Z64)*Y64),TRUNC(agent!$O$33*(K64/Z64)*Y64,3),"没有上级")</f>
        <v>1.98</v>
      </c>
      <c r="X64" s="28"/>
      <c r="Y64">
        <f>TRUNC(0.132,3)</f>
        <v>0.13200000000000001</v>
      </c>
      <c r="Z64" s="28">
        <f>TRUNC(AB64-(9.9-agent!L$3)*10*Y64,3)</f>
        <v>127.38</v>
      </c>
      <c r="AA64" s="28">
        <f>'5Of11Source'!X$2</f>
        <v>0</v>
      </c>
      <c r="AB64">
        <f t="shared" si="12"/>
        <v>131.86799999999999</v>
      </c>
      <c r="AC64" s="28">
        <f>'5Of11Source'!E85</f>
        <v>3</v>
      </c>
      <c r="AD64" s="28">
        <v>118.8</v>
      </c>
      <c r="AE64" s="28"/>
      <c r="AF64" s="28"/>
      <c r="AG64" s="28"/>
      <c r="AH64" s="28"/>
      <c r="AI64" s="28"/>
    </row>
    <row r="65" spans="4:35" x14ac:dyDescent="0.15">
      <c r="D65" s="28" t="s">
        <v>96</v>
      </c>
      <c r="E65" s="28" t="s">
        <v>80</v>
      </c>
      <c r="F65" s="27" t="str">
        <f>'5Of11Source'!$J$35</f>
        <v>01 02 06 04 08,06 07 08 09 10</v>
      </c>
      <c r="G65" s="28">
        <f>'5Of11Source'!F72</f>
        <v>5</v>
      </c>
      <c r="H65" s="28">
        <v>1</v>
      </c>
      <c r="I65" s="30">
        <f t="shared" si="7"/>
        <v>32</v>
      </c>
      <c r="J65" s="22">
        <f t="shared" si="1"/>
        <v>0</v>
      </c>
      <c r="K65" s="22">
        <f>'5Of11Source'!I86</f>
        <v>0</v>
      </c>
      <c r="L65" s="28">
        <f t="shared" si="8"/>
        <v>1007369850.0500003</v>
      </c>
      <c r="M65" s="29" t="str">
        <f t="shared" si="11"/>
        <v>03,06,07,08,10</v>
      </c>
      <c r="N65" s="28">
        <f>IF(ISNUMBER(agent!$O$6*(K65/Z65)*Y65),TRUNC(agent!$O$6*(K65/Z65)*Y65,3),"没有上级")</f>
        <v>0</v>
      </c>
      <c r="O65" s="28">
        <f>IF(ISNUMBER(agent!$O$9*(K65/Z65)*Y65),TRUNC(agent!$O$9*(K65/Z65)*Y65,3),"没有上级")</f>
        <v>0</v>
      </c>
      <c r="P65" s="28">
        <f>IF(ISNUMBER(agent!$O$12*(K65/Z65)*Y65),TRUNC(agent!$O$12*(K65/Z65)*Y65,3),"没有上级")</f>
        <v>0</v>
      </c>
      <c r="Q65" s="28">
        <f>IF(ISNUMBER(agent!$O$15*(K65/Z65)*Y65),TRUNC(agent!$O$15*(K65/Z65)*Y65,3),"没有上级")</f>
        <v>0</v>
      </c>
      <c r="R65" s="28">
        <f>IF(ISNUMBER(agent!$O$18*(K65/Z65)*Y65),TRUNC(agent!$O$18*(K65/Z65)*Y65,3),"没有上级")</f>
        <v>0</v>
      </c>
      <c r="S65" s="28">
        <f>IF(ISNUMBER(agent!$O$21*(K65/Z65)*Y65),TRUNC(agent!$O$21*(K65/Z65)*Y65,3),"没有上级")</f>
        <v>0</v>
      </c>
      <c r="T65" s="28">
        <f>IF(ISNUMBER(agent!$O$24*(K65/Z65)*Y65),TRUNC(agent!$O$24*(K65/Z65)*Y65,3),"没有上级")</f>
        <v>0</v>
      </c>
      <c r="U65" s="28">
        <f>IF(ISNUMBER(agent!$O$27*(K65/Z65)*Y65),TRUNC(agent!$O$27*(K65/Z65)*Y65,3),"没有上级")</f>
        <v>0</v>
      </c>
      <c r="V65" s="28">
        <f>IF(ISNUMBER(agent!$O$30*(K65/Z65)*Y65),TRUNC(agent!$O$30*(K65/Z65)*Y65,3),"没有上级")</f>
        <v>0</v>
      </c>
      <c r="W65" s="28">
        <f>IF(ISNUMBER(agent!$O$33*(K65/Z65)*Y65),TRUNC(agent!$O$33*(K65/Z65)*Y65,3),"没有上级")</f>
        <v>0</v>
      </c>
      <c r="X65" s="28"/>
      <c r="Y65">
        <f>TRUNC(0.924,3)</f>
        <v>0.92400000000000004</v>
      </c>
      <c r="Z65" s="28">
        <f>TRUNC(AB65-(9.9-agent!L$3)*10*Y65,3)</f>
        <v>891.66</v>
      </c>
      <c r="AA65" s="28">
        <f>'5Of11Source'!X$2</f>
        <v>0</v>
      </c>
      <c r="AB65">
        <f t="shared" si="12"/>
        <v>923.07600000000002</v>
      </c>
      <c r="AC65" s="28">
        <f>'5Of11Source'!E86</f>
        <v>2</v>
      </c>
      <c r="AD65" s="28">
        <v>831.6</v>
      </c>
      <c r="AE65" s="28"/>
      <c r="AF65" s="28"/>
      <c r="AG65" s="28"/>
      <c r="AH65" s="28"/>
      <c r="AI65" s="28"/>
    </row>
    <row r="66" spans="4:35" x14ac:dyDescent="0.15">
      <c r="D66" s="28" t="s">
        <v>96</v>
      </c>
      <c r="E66" s="28" t="s">
        <v>82</v>
      </c>
      <c r="F66" s="27" t="str">
        <f>'5Of11Source'!$J$36</f>
        <v>01 02 08 04 05 06,07 08 09 10 11 02</v>
      </c>
      <c r="G66" s="28">
        <f>'5Of11Source'!F73</f>
        <v>2</v>
      </c>
      <c r="H66" s="28">
        <v>1</v>
      </c>
      <c r="I66" s="30">
        <f t="shared" si="7"/>
        <v>8</v>
      </c>
      <c r="J66" s="22">
        <f t="shared" ref="J66:J129" si="13">SUM(N66:W66)</f>
        <v>0</v>
      </c>
      <c r="K66" s="22">
        <f>'5Of11Source'!I87</f>
        <v>0</v>
      </c>
      <c r="L66" s="28">
        <f t="shared" si="8"/>
        <v>1007369842.0500003</v>
      </c>
      <c r="M66" s="29" t="str">
        <f t="shared" si="11"/>
        <v>03,06,07,08,10</v>
      </c>
      <c r="N66" s="28">
        <f>IF(ISNUMBER(agent!$O$6*(K66/Z66)*Y66),TRUNC(agent!$O$6*(K66/Z66)*Y66,3),"没有上级")</f>
        <v>0</v>
      </c>
      <c r="O66" s="28">
        <f>IF(ISNUMBER(agent!$O$9*(K66/Z66)*Y66),TRUNC(agent!$O$9*(K66/Z66)*Y66,3),"没有上级")</f>
        <v>0</v>
      </c>
      <c r="P66" s="28">
        <f>IF(ISNUMBER(agent!$O$12*(K66/Z66)*Y66),TRUNC(agent!$O$12*(K66/Z66)*Y66,3),"没有上级")</f>
        <v>0</v>
      </c>
      <c r="Q66" s="28">
        <f>IF(ISNUMBER(agent!$O$15*(K66/Z66)*Y66),TRUNC(agent!$O$15*(K66/Z66)*Y66,3),"没有上级")</f>
        <v>0</v>
      </c>
      <c r="R66" s="28">
        <f>IF(ISNUMBER(agent!$O$18*(K66/Z66)*Y66),TRUNC(agent!$O$18*(K66/Z66)*Y66,3),"没有上级")</f>
        <v>0</v>
      </c>
      <c r="S66" s="28">
        <f>IF(ISNUMBER(agent!$O$21*(K66/Z66)*Y66),TRUNC(agent!$O$21*(K66/Z66)*Y66,3),"没有上级")</f>
        <v>0</v>
      </c>
      <c r="T66" s="28">
        <f>IF(ISNUMBER(agent!$O$24*(K66/Z66)*Y66),TRUNC(agent!$O$24*(K66/Z66)*Y66,3),"没有上级")</f>
        <v>0</v>
      </c>
      <c r="U66" s="28">
        <f>IF(ISNUMBER(agent!$O$27*(K66/Z66)*Y66),TRUNC(agent!$O$27*(K66/Z66)*Y66,3),"没有上级")</f>
        <v>0</v>
      </c>
      <c r="V66" s="28">
        <f>IF(ISNUMBER(agent!$O$30*(K66/Z66)*Y66),TRUNC(agent!$O$30*(K66/Z66)*Y66,3),"没有上级")</f>
        <v>0</v>
      </c>
      <c r="W66" s="28">
        <f>IF(ISNUMBER(agent!$O$33*(K66/Z66)*Y66),TRUNC(agent!$O$33*(K66/Z66)*Y66,3),"没有上级")</f>
        <v>0</v>
      </c>
      <c r="X66" s="28"/>
      <c r="Y66">
        <f>TRUNC(0.154,3)</f>
        <v>0.154</v>
      </c>
      <c r="Z66" s="28">
        <f>TRUNC(AB66-(9.9-agent!L$3)*10*Y66,3)</f>
        <v>148.61000000000001</v>
      </c>
      <c r="AA66" s="28">
        <f>'5Of11Source'!X$2</f>
        <v>0</v>
      </c>
      <c r="AB66">
        <f t="shared" si="12"/>
        <v>153.846</v>
      </c>
      <c r="AC66" s="28">
        <f>'5Of11Source'!E87</f>
        <v>2</v>
      </c>
      <c r="AD66" s="28">
        <v>138.6</v>
      </c>
      <c r="AE66" s="28"/>
      <c r="AF66" s="28"/>
      <c r="AG66" s="28"/>
      <c r="AH66" s="28"/>
      <c r="AI66" s="28"/>
    </row>
    <row r="67" spans="4:35" x14ac:dyDescent="0.15">
      <c r="D67" s="28" t="s">
        <v>96</v>
      </c>
      <c r="E67" s="28" t="s">
        <v>84</v>
      </c>
      <c r="F67" s="27" t="str">
        <f>'5Of11Source'!$J$37</f>
        <v>01 02 03 04 05 06 07,11 10 09 08 07 06 05</v>
      </c>
      <c r="G67" s="28">
        <f>'5Of11Source'!F74</f>
        <v>1</v>
      </c>
      <c r="H67" s="28">
        <v>1</v>
      </c>
      <c r="I67" s="30">
        <f t="shared" si="7"/>
        <v>8</v>
      </c>
      <c r="J67" s="22">
        <f t="shared" si="13"/>
        <v>2.992</v>
      </c>
      <c r="K67" s="22">
        <f>'5Of11Source'!I88</f>
        <v>84.92</v>
      </c>
      <c r="L67" s="28">
        <f t="shared" si="8"/>
        <v>1007369918.9700003</v>
      </c>
      <c r="M67" s="29" t="str">
        <f t="shared" si="11"/>
        <v>03,06,07,08,10</v>
      </c>
      <c r="N67" s="28">
        <f>IF(ISNUMBER(agent!$O$6*(K67/Z67)*Y67),TRUNC(agent!$O$6*(K67/Z67)*Y67,3),"没有上级")</f>
        <v>8.7999999999999995E-2</v>
      </c>
      <c r="O67" s="28">
        <f>IF(ISNUMBER(agent!$O$9*(K67/Z67)*Y67),TRUNC(agent!$O$9*(K67/Z67)*Y67,3),"没有上级")</f>
        <v>0.52800000000000002</v>
      </c>
      <c r="P67" s="28">
        <f>IF(ISNUMBER(agent!$O$12*(K67/Z67)*Y67),TRUNC(agent!$O$12*(K67/Z67)*Y67,3),"没有上级")</f>
        <v>0.17599999999999999</v>
      </c>
      <c r="Q67" s="28">
        <f>IF(ISNUMBER(agent!$O$15*(K67/Z67)*Y67),TRUNC(agent!$O$15*(K67/Z67)*Y67,3),"没有上级")</f>
        <v>0.35199999999999998</v>
      </c>
      <c r="R67" s="28">
        <f>IF(ISNUMBER(agent!$O$18*(K67/Z67)*Y67),TRUNC(agent!$O$18*(K67/Z67)*Y67,3),"没有上级")</f>
        <v>0.26400000000000001</v>
      </c>
      <c r="S67" s="28">
        <f>IF(ISNUMBER(agent!$O$21*(K67/Z67)*Y67),TRUNC(agent!$O$21*(K67/Z67)*Y67,3),"没有上级")</f>
        <v>8.7999999999999995E-2</v>
      </c>
      <c r="T67" s="28">
        <f>IF(ISNUMBER(agent!$O$24*(K67/Z67)*Y67),TRUNC(agent!$O$24*(K67/Z67)*Y67,3),"没有上级")</f>
        <v>0.61599999999999999</v>
      </c>
      <c r="U67" s="28">
        <f>IF(ISNUMBER(agent!$O$27*(K67/Z67)*Y67),TRUNC(agent!$O$27*(K67/Z67)*Y67,3),"没有上级")</f>
        <v>0.26400000000000001</v>
      </c>
      <c r="V67" s="28">
        <f>IF(ISNUMBER(agent!$O$30*(K67/Z67)*Y67),TRUNC(agent!$O$30*(K67/Z67)*Y67,3),"没有上级")</f>
        <v>0.35199999999999998</v>
      </c>
      <c r="W67" s="28">
        <f>IF(ISNUMBER(agent!$O$33*(K67/Z67)*Y67),TRUNC(agent!$O$33*(K67/Z67)*Y67,3),"没有上级")</f>
        <v>0.26400000000000001</v>
      </c>
      <c r="X67" s="28" t="s">
        <v>13</v>
      </c>
      <c r="Y67">
        <f>TRUNC(0.044,3)</f>
        <v>4.3999999999999997E-2</v>
      </c>
      <c r="Z67" s="28">
        <f>TRUNC(AB67-(9.9-agent!L$3)*10*Y67,3)</f>
        <v>42.46</v>
      </c>
      <c r="AA67" s="28">
        <f>'5Of11Source'!X$2</f>
        <v>0</v>
      </c>
      <c r="AB67">
        <f t="shared" si="12"/>
        <v>43.956000000000003</v>
      </c>
      <c r="AC67" s="28">
        <f>'5Of11Source'!E88</f>
        <v>2</v>
      </c>
      <c r="AD67" s="28">
        <v>39.6</v>
      </c>
      <c r="AE67" s="28"/>
      <c r="AF67" s="28"/>
      <c r="AG67" s="28"/>
      <c r="AH67" s="28"/>
      <c r="AI67" s="28"/>
    </row>
    <row r="68" spans="4:35" ht="27" x14ac:dyDescent="0.15">
      <c r="D68" s="28" t="s">
        <v>96</v>
      </c>
      <c r="E68" s="28" t="s">
        <v>86</v>
      </c>
      <c r="F68" s="27" t="str">
        <f>'5Of11Source'!$J$38</f>
        <v>01 02 03 04 05 06 07 08,11 10 09 08 07 06 05 04</v>
      </c>
      <c r="G68" s="28">
        <f>'5Of11Source'!F75</f>
        <v>2</v>
      </c>
      <c r="H68" s="28">
        <v>1</v>
      </c>
      <c r="I68" s="30">
        <f t="shared" si="7"/>
        <v>12</v>
      </c>
      <c r="J68" s="22">
        <f t="shared" si="13"/>
        <v>1.6319999999999997</v>
      </c>
      <c r="K68" s="22">
        <f>'5Of11Source'!I89</f>
        <v>47.67</v>
      </c>
      <c r="L68" s="28">
        <f t="shared" si="8"/>
        <v>1007369954.6400002</v>
      </c>
      <c r="M68" s="29" t="str">
        <f t="shared" si="11"/>
        <v>03,06,07,08,10</v>
      </c>
      <c r="N68" s="28">
        <f>IF(ISNUMBER(agent!$O$6*(K68/Z68)*Y68),TRUNC(agent!$O$6*(K68/Z68)*Y68,3),"没有上级")</f>
        <v>4.8000000000000001E-2</v>
      </c>
      <c r="O68" s="28">
        <f>IF(ISNUMBER(agent!$O$9*(K68/Z68)*Y68),TRUNC(agent!$O$9*(K68/Z68)*Y68,3),"没有上级")</f>
        <v>0.28799999999999998</v>
      </c>
      <c r="P68" s="28">
        <f>IF(ISNUMBER(agent!$O$12*(K68/Z68)*Y68),TRUNC(agent!$O$12*(K68/Z68)*Y68,3),"没有上级")</f>
        <v>9.6000000000000002E-2</v>
      </c>
      <c r="Q68" s="28">
        <f>IF(ISNUMBER(agent!$O$15*(K68/Z68)*Y68),TRUNC(agent!$O$15*(K68/Z68)*Y68,3),"没有上级")</f>
        <v>0.192</v>
      </c>
      <c r="R68" s="28">
        <f>IF(ISNUMBER(agent!$O$18*(K68/Z68)*Y68),TRUNC(agent!$O$18*(K68/Z68)*Y68,3),"没有上级")</f>
        <v>0.14399999999999999</v>
      </c>
      <c r="S68" s="28">
        <f>IF(ISNUMBER(agent!$O$21*(K68/Z68)*Y68),TRUNC(agent!$O$21*(K68/Z68)*Y68,3),"没有上级")</f>
        <v>4.8000000000000001E-2</v>
      </c>
      <c r="T68" s="28">
        <f>IF(ISNUMBER(agent!$O$24*(K68/Z68)*Y68),TRUNC(agent!$O$24*(K68/Z68)*Y68,3),"没有上级")</f>
        <v>0.33600000000000002</v>
      </c>
      <c r="U68" s="28">
        <f>IF(ISNUMBER(agent!$O$27*(K68/Z68)*Y68),TRUNC(agent!$O$27*(K68/Z68)*Y68,3),"没有上级")</f>
        <v>0.14399999999999999</v>
      </c>
      <c r="V68" s="28">
        <f>IF(ISNUMBER(agent!$O$30*(K68/Z68)*Y68),TRUNC(agent!$O$30*(K68/Z68)*Y68,3),"没有上级")</f>
        <v>0.192</v>
      </c>
      <c r="W68" s="28">
        <f>IF(ISNUMBER(agent!$O$33*(K68/Z68)*Y68),TRUNC(agent!$O$33*(K68/Z68)*Y68,3),"没有上级")</f>
        <v>0.14399999999999999</v>
      </c>
      <c r="X68" s="28"/>
      <c r="Y68">
        <f>TRUNC(0.01642857,3)</f>
        <v>1.6E-2</v>
      </c>
      <c r="Z68" s="28">
        <f>TRUNC(AB68-(9.9-agent!L$3)*10*Y68,3)</f>
        <v>15.89</v>
      </c>
      <c r="AA68" s="28">
        <f>'5Of11Source'!X$2</f>
        <v>0</v>
      </c>
      <c r="AB68">
        <f t="shared" si="12"/>
        <v>16.434000000000001</v>
      </c>
      <c r="AC68" s="28">
        <f>'5Of11Source'!E89</f>
        <v>2</v>
      </c>
      <c r="AD68" s="28">
        <v>14.85</v>
      </c>
      <c r="AE68" s="28"/>
      <c r="AF68" s="28"/>
      <c r="AG68" s="28"/>
      <c r="AH68" s="28"/>
      <c r="AI68" s="28"/>
    </row>
    <row r="69" spans="4:35" x14ac:dyDescent="0.15">
      <c r="D69" s="28" t="s">
        <v>103</v>
      </c>
      <c r="E69" s="28" t="s">
        <v>74</v>
      </c>
      <c r="F69" s="27" t="str">
        <f>'5Of11Source'!$J$39</f>
        <v>01,02 03 04 05 06 07 08 09 10 11</v>
      </c>
      <c r="G69" s="28">
        <f>'5Of11Source'!F76</f>
        <v>3</v>
      </c>
      <c r="H69" s="28">
        <v>1</v>
      </c>
      <c r="I69" s="30">
        <f t="shared" si="7"/>
        <v>20</v>
      </c>
      <c r="J69" s="22">
        <f t="shared" si="13"/>
        <v>3136.2719999999999</v>
      </c>
      <c r="K69" s="22">
        <f>'5Of11Source'!I90</f>
        <v>89014.920000000013</v>
      </c>
      <c r="L69" s="28">
        <f t="shared" si="8"/>
        <v>1007458949.5600002</v>
      </c>
      <c r="M69" s="29" t="str">
        <f t="shared" si="11"/>
        <v>03,06,07,08,10</v>
      </c>
      <c r="N69" s="28">
        <f>IF(ISNUMBER(agent!$O$6*(K69/Z69)*Y69),TRUNC(agent!$O$6*(K69/Z69)*Y69,3),"没有上级")</f>
        <v>92.242999999999995</v>
      </c>
      <c r="O69" s="28">
        <f>IF(ISNUMBER(agent!$O$9*(K69/Z69)*Y69),TRUNC(agent!$O$9*(K69/Z69)*Y69,3),"没有上级")</f>
        <v>553.46</v>
      </c>
      <c r="P69" s="28">
        <f>IF(ISNUMBER(agent!$O$12*(K69/Z69)*Y69),TRUNC(agent!$O$12*(K69/Z69)*Y69,3),"没有上级")</f>
        <v>184.48599999999999</v>
      </c>
      <c r="Q69" s="28">
        <f>IF(ISNUMBER(agent!$O$15*(K69/Z69)*Y69),TRUNC(agent!$O$15*(K69/Z69)*Y69,3),"没有上级")</f>
        <v>368.97300000000001</v>
      </c>
      <c r="R69" s="28">
        <f>IF(ISNUMBER(agent!$O$18*(K69/Z69)*Y69),TRUNC(agent!$O$18*(K69/Z69)*Y69,3),"没有上级")</f>
        <v>276.73</v>
      </c>
      <c r="S69" s="28">
        <f>IF(ISNUMBER(agent!$O$21*(K69/Z69)*Y69),TRUNC(agent!$O$21*(K69/Z69)*Y69,3),"没有上级")</f>
        <v>92.242999999999995</v>
      </c>
      <c r="T69" s="28">
        <f>IF(ISNUMBER(agent!$O$24*(K69/Z69)*Y69),TRUNC(agent!$O$24*(K69/Z69)*Y69,3),"没有上级")</f>
        <v>645.70399999999995</v>
      </c>
      <c r="U69" s="28">
        <f>IF(ISNUMBER(agent!$O$27*(K69/Z69)*Y69),TRUNC(agent!$O$27*(K69/Z69)*Y69,3),"没有上级")</f>
        <v>276.73</v>
      </c>
      <c r="V69" s="28">
        <f>IF(ISNUMBER(agent!$O$30*(K69/Z69)*Y69),TRUNC(agent!$O$30*(K69/Z69)*Y69,3),"没有上级")</f>
        <v>368.97300000000001</v>
      </c>
      <c r="W69" s="28">
        <f>IF(ISNUMBER(agent!$O$33*(K69/Z69)*Y69),TRUNC(agent!$O$33*(K69/Z69)*Y69,3),"没有上级")</f>
        <v>276.73</v>
      </c>
      <c r="X69" s="28" t="s">
        <v>10</v>
      </c>
      <c r="Y69">
        <f>TRUNC(0.011,3)</f>
        <v>1.0999999999999999E-2</v>
      </c>
      <c r="Z69" s="28">
        <f>TRUNC(AB69-(9.9-agent!L$3)*10*Y69,3)</f>
        <v>10.615</v>
      </c>
      <c r="AA69" s="28">
        <f>'5Of11Source'!X$2</f>
        <v>0</v>
      </c>
      <c r="AB69">
        <f t="shared" si="12"/>
        <v>10.989000000000001</v>
      </c>
      <c r="AC69" s="28">
        <f>'5Of11Source'!E91</f>
        <v>10</v>
      </c>
      <c r="AD69" s="28">
        <v>9.9</v>
      </c>
      <c r="AE69" s="28"/>
      <c r="AF69" s="28"/>
      <c r="AG69" s="28"/>
      <c r="AH69" s="28"/>
      <c r="AI69" s="28"/>
    </row>
    <row r="70" spans="4:35" x14ac:dyDescent="0.15">
      <c r="D70" s="28" t="s">
        <v>103</v>
      </c>
      <c r="E70" s="28" t="s">
        <v>76</v>
      </c>
      <c r="F70" s="27" t="str">
        <f>'5Of11Source'!$J$41</f>
        <v>02,01 03 04 05 06 07 08 09 10 11</v>
      </c>
      <c r="G70" s="28">
        <f>'5Of11Source'!F78</f>
        <v>4</v>
      </c>
      <c r="H70" s="28">
        <v>1</v>
      </c>
      <c r="I70" s="30">
        <f t="shared" si="7"/>
        <v>270</v>
      </c>
      <c r="J70" s="22">
        <f t="shared" si="13"/>
        <v>14032.844000000001</v>
      </c>
      <c r="K70" s="22">
        <f>'5Of11Source'!I92</f>
        <v>398285.28</v>
      </c>
      <c r="L70" s="28">
        <f t="shared" si="8"/>
        <v>1007856964.8400002</v>
      </c>
      <c r="M70" s="29" t="str">
        <f t="shared" si="11"/>
        <v>03,06,07,08,10</v>
      </c>
      <c r="N70" s="28">
        <f>IF(ISNUMBER(agent!$O$6*(K70/Z70)*Y70),TRUNC(agent!$O$6*(K70/Z70)*Y70,3),"没有上级")</f>
        <v>412.73</v>
      </c>
      <c r="O70" s="28">
        <f>IF(ISNUMBER(agent!$O$9*(K70/Z70)*Y70),TRUNC(agent!$O$9*(K70/Z70)*Y70,3),"没有上级")</f>
        <v>2476.3850000000002</v>
      </c>
      <c r="P70" s="28">
        <f>IF(ISNUMBER(agent!$O$12*(K70/Z70)*Y70),TRUNC(agent!$O$12*(K70/Z70)*Y70,3),"没有上级")</f>
        <v>825.46100000000001</v>
      </c>
      <c r="Q70" s="28">
        <f>IF(ISNUMBER(agent!$O$15*(K70/Z70)*Y70),TRUNC(agent!$O$15*(K70/Z70)*Y70,3),"没有上级")</f>
        <v>1650.923</v>
      </c>
      <c r="R70" s="28">
        <f>IF(ISNUMBER(agent!$O$18*(K70/Z70)*Y70),TRUNC(agent!$O$18*(K70/Z70)*Y70,3),"没有上级")</f>
        <v>1238.192</v>
      </c>
      <c r="S70" s="28">
        <f>IF(ISNUMBER(agent!$O$21*(K70/Z70)*Y70),TRUNC(agent!$O$21*(K70/Z70)*Y70,3),"没有上级")</f>
        <v>412.73</v>
      </c>
      <c r="T70" s="28">
        <f>IF(ISNUMBER(agent!$O$24*(K70/Z70)*Y70),TRUNC(agent!$O$24*(K70/Z70)*Y70,3),"没有上级")</f>
        <v>2889.116</v>
      </c>
      <c r="U70" s="28">
        <f>IF(ISNUMBER(agent!$O$27*(K70/Z70)*Y70),TRUNC(agent!$O$27*(K70/Z70)*Y70,3),"没有上级")</f>
        <v>1238.192</v>
      </c>
      <c r="V70" s="28">
        <f>IF(ISNUMBER(agent!$O$30*(K70/Z70)*Y70),TRUNC(agent!$O$30*(K70/Z70)*Y70,3),"没有上级")</f>
        <v>1650.923</v>
      </c>
      <c r="W70" s="28">
        <f>IF(ISNUMBER(agent!$O$33*(K70/Z70)*Y70),TRUNC(agent!$O$33*(K70/Z70)*Y70,3),"没有上级")</f>
        <v>1238.192</v>
      </c>
      <c r="X70" s="28"/>
      <c r="Y70">
        <f>TRUNC(0.033,3)</f>
        <v>3.3000000000000002E-2</v>
      </c>
      <c r="Z70" s="28">
        <f>TRUNC(AB70-(9.9-agent!L$3)*10*Y70,3)</f>
        <v>31.844999999999999</v>
      </c>
      <c r="AA70" s="28">
        <f>'5Of11Source'!X$2</f>
        <v>0</v>
      </c>
      <c r="AB70">
        <f t="shared" si="12"/>
        <v>32.966999999999999</v>
      </c>
      <c r="AC70" s="28">
        <f>'5Of11Source'!E93</f>
        <v>45</v>
      </c>
      <c r="AD70" s="28">
        <v>29.7</v>
      </c>
      <c r="AE70" s="28"/>
      <c r="AF70" s="28"/>
      <c r="AG70" s="28"/>
      <c r="AH70" s="28"/>
      <c r="AI70" s="28"/>
    </row>
    <row r="71" spans="4:35" x14ac:dyDescent="0.15">
      <c r="D71" s="28" t="s">
        <v>103</v>
      </c>
      <c r="E71" s="28" t="s">
        <v>78</v>
      </c>
      <c r="F71" s="27" t="str">
        <f>'5Of11Source'!$J$43</f>
        <v>03,01 02 04 05 06 07 08 09 10 11</v>
      </c>
      <c r="G71" s="28">
        <f>'5Of11Source'!F80</f>
        <v>3</v>
      </c>
      <c r="H71" s="28">
        <v>1</v>
      </c>
      <c r="I71" s="30">
        <f t="shared" si="7"/>
        <v>960</v>
      </c>
      <c r="J71" s="22">
        <f t="shared" si="13"/>
        <v>12529.193999999998</v>
      </c>
      <c r="K71" s="22">
        <f>'5Of11Source'!I94</f>
        <v>355608.16000000003</v>
      </c>
      <c r="L71" s="28">
        <f t="shared" si="8"/>
        <v>1008211613.0000001</v>
      </c>
      <c r="M71" s="29" t="str">
        <f t="shared" si="11"/>
        <v>03,06,07,08,10</v>
      </c>
      <c r="N71" s="28">
        <f>IF(ISNUMBER(agent!$O$6*(K71/Z71)*Y71),TRUNC(agent!$O$6*(K71/Z71)*Y71,3),"没有上级")</f>
        <v>368.505</v>
      </c>
      <c r="O71" s="28">
        <f>IF(ISNUMBER(agent!$O$9*(K71/Z71)*Y71),TRUNC(agent!$O$9*(K71/Z71)*Y71,3),"没有上级")</f>
        <v>2211.0349999999999</v>
      </c>
      <c r="P71" s="28">
        <f>IF(ISNUMBER(agent!$O$12*(K71/Z71)*Y71),TRUNC(agent!$O$12*(K71/Z71)*Y71,3),"没有上级")</f>
        <v>737.01099999999997</v>
      </c>
      <c r="Q71" s="28">
        <f>IF(ISNUMBER(agent!$O$15*(K71/Z71)*Y71),TRUNC(agent!$O$15*(K71/Z71)*Y71,3),"没有上级")</f>
        <v>1474.0229999999999</v>
      </c>
      <c r="R71" s="28">
        <f>IF(ISNUMBER(agent!$O$18*(K71/Z71)*Y71),TRUNC(agent!$O$18*(K71/Z71)*Y71,3),"没有上级")</f>
        <v>1105.5170000000001</v>
      </c>
      <c r="S71" s="28">
        <f>IF(ISNUMBER(agent!$O$21*(K71/Z71)*Y71),TRUNC(agent!$O$21*(K71/Z71)*Y71,3),"没有上级")</f>
        <v>368.505</v>
      </c>
      <c r="T71" s="28">
        <f>IF(ISNUMBER(agent!$O$24*(K71/Z71)*Y71),TRUNC(agent!$O$24*(K71/Z71)*Y71,3),"没有上级")</f>
        <v>2579.5410000000002</v>
      </c>
      <c r="U71" s="28">
        <f>IF(ISNUMBER(agent!$O$27*(K71/Z71)*Y71),TRUNC(agent!$O$27*(K71/Z71)*Y71,3),"没有上级")</f>
        <v>1105.5170000000001</v>
      </c>
      <c r="V71" s="28">
        <f>IF(ISNUMBER(agent!$O$30*(K71/Z71)*Y71),TRUNC(agent!$O$30*(K71/Z71)*Y71,3),"没有上级")</f>
        <v>1474.0229999999999</v>
      </c>
      <c r="W71" s="28">
        <f>IF(ISNUMBER(agent!$O$33*(K71/Z71)*Y71),TRUNC(agent!$O$33*(K71/Z71)*Y71,3),"没有上级")</f>
        <v>1105.5170000000001</v>
      </c>
      <c r="X71" s="28"/>
      <c r="Y71">
        <f>TRUNC(0.132,3)</f>
        <v>0.13200000000000001</v>
      </c>
      <c r="Z71" s="28">
        <f>TRUNC(AB71-(9.9-agent!L$3)*10*Y71,3)</f>
        <v>127.38</v>
      </c>
      <c r="AA71" s="28">
        <f>'5Of11Source'!X$2</f>
        <v>0</v>
      </c>
      <c r="AB71">
        <f t="shared" si="12"/>
        <v>131.86799999999999</v>
      </c>
      <c r="AC71" s="28">
        <f>'5Of11Source'!E95</f>
        <v>120</v>
      </c>
      <c r="AD71" s="28">
        <v>118.8</v>
      </c>
      <c r="AE71" s="28"/>
      <c r="AF71" s="28"/>
      <c r="AG71" s="28"/>
      <c r="AH71" s="28"/>
      <c r="AI71" s="28"/>
    </row>
    <row r="72" spans="4:35" x14ac:dyDescent="0.15">
      <c r="D72" s="28" t="s">
        <v>103</v>
      </c>
      <c r="E72" s="28" t="s">
        <v>80</v>
      </c>
      <c r="F72" s="27" t="str">
        <f>'5Of11Source'!$J$45</f>
        <v>04,01 02 03 07 09 10 05 06 08 11</v>
      </c>
      <c r="G72" s="28">
        <f>'5Of11Source'!F82</f>
        <v>4</v>
      </c>
      <c r="H72" s="28">
        <v>1</v>
      </c>
      <c r="I72" s="30">
        <f t="shared" si="7"/>
        <v>2099.9999999999995</v>
      </c>
      <c r="J72" s="22">
        <f t="shared" si="13"/>
        <v>6110.2860000000001</v>
      </c>
      <c r="K72" s="22">
        <f>'5Of11Source'!I96</f>
        <v>173424.47499999998</v>
      </c>
      <c r="L72" s="28">
        <f t="shared" si="8"/>
        <v>1008382937.4750001</v>
      </c>
      <c r="M72" s="29" t="str">
        <f t="shared" si="11"/>
        <v>03,06,07,08,10</v>
      </c>
      <c r="N72" s="28">
        <f>IF(ISNUMBER(agent!$O$6*(K72/Z72)*Y72),TRUNC(agent!$O$6*(K72/Z72)*Y72,3),"没有上级")</f>
        <v>179.714</v>
      </c>
      <c r="O72" s="28">
        <f>IF(ISNUMBER(agent!$O$9*(K72/Z72)*Y72),TRUNC(agent!$O$9*(K72/Z72)*Y72,3),"没有上级")</f>
        <v>1078.2860000000001</v>
      </c>
      <c r="P72" s="28">
        <f>IF(ISNUMBER(agent!$O$12*(K72/Z72)*Y72),TRUNC(agent!$O$12*(K72/Z72)*Y72,3),"没有上级")</f>
        <v>359.428</v>
      </c>
      <c r="Q72" s="28">
        <f>IF(ISNUMBER(agent!$O$15*(K72/Z72)*Y72),TRUNC(agent!$O$15*(K72/Z72)*Y72,3),"没有上级")</f>
        <v>718.85699999999997</v>
      </c>
      <c r="R72" s="28">
        <f>IF(ISNUMBER(agent!$O$18*(K72/Z72)*Y72),TRUNC(agent!$O$18*(K72/Z72)*Y72,3),"没有上级")</f>
        <v>539.14300000000003</v>
      </c>
      <c r="S72" s="28">
        <f>IF(ISNUMBER(agent!$O$21*(K72/Z72)*Y72),TRUNC(agent!$O$21*(K72/Z72)*Y72,3),"没有上级")</f>
        <v>179.714</v>
      </c>
      <c r="T72" s="28">
        <f>IF(ISNUMBER(agent!$O$24*(K72/Z72)*Y72),TRUNC(agent!$O$24*(K72/Z72)*Y72,3),"没有上级")</f>
        <v>1258.001</v>
      </c>
      <c r="U72" s="28">
        <f>IF(ISNUMBER(agent!$O$27*(K72/Z72)*Y72),TRUNC(agent!$O$27*(K72/Z72)*Y72,3),"没有上级")</f>
        <v>539.14300000000003</v>
      </c>
      <c r="V72" s="28">
        <f>IF(ISNUMBER(agent!$O$30*(K72/Z72)*Y72),TRUNC(agent!$O$30*(K72/Z72)*Y72,3),"没有上级")</f>
        <v>718.85699999999997</v>
      </c>
      <c r="W72" s="28">
        <f>IF(ISNUMBER(agent!$O$33*(K72/Z72)*Y72),TRUNC(agent!$O$33*(K72/Z72)*Y72,3),"没有上级")</f>
        <v>539.14300000000003</v>
      </c>
      <c r="X72" s="28"/>
      <c r="Y72">
        <f>TRUNC(0.924,3)</f>
        <v>0.92400000000000004</v>
      </c>
      <c r="Z72" s="28">
        <f>TRUNC(AB72-(9.9-agent!L$3)*10*Y72,3)</f>
        <v>891.66</v>
      </c>
      <c r="AA72" s="28">
        <f>'5Of11Source'!X$2</f>
        <v>0</v>
      </c>
      <c r="AB72">
        <f t="shared" si="12"/>
        <v>923.07600000000002</v>
      </c>
      <c r="AC72" s="28">
        <f>'5Of11Source'!E97</f>
        <v>209.99999999999997</v>
      </c>
      <c r="AD72" s="28">
        <v>831.6</v>
      </c>
      <c r="AE72" s="28"/>
      <c r="AF72" s="28"/>
      <c r="AG72" s="28"/>
      <c r="AH72" s="28"/>
      <c r="AI72" s="28"/>
    </row>
    <row r="73" spans="4:35" x14ac:dyDescent="0.15">
      <c r="D73" s="28" t="s">
        <v>103</v>
      </c>
      <c r="E73" s="28" t="s">
        <v>82</v>
      </c>
      <c r="F73" s="27" t="str">
        <f>'5Of11Source'!$J$47</f>
        <v>05,01 02 03 04 06 07 08 09 10 11</v>
      </c>
      <c r="G73" s="28">
        <f>'5Of11Source'!F84</f>
        <v>5</v>
      </c>
      <c r="H73" s="28">
        <v>1</v>
      </c>
      <c r="I73" s="30">
        <f t="shared" si="7"/>
        <v>2520</v>
      </c>
      <c r="J73" s="22">
        <f t="shared" si="13"/>
        <v>0</v>
      </c>
      <c r="K73" s="22">
        <f>'5Of11Source'!I98</f>
        <v>0</v>
      </c>
      <c r="L73" s="28">
        <f t="shared" si="8"/>
        <v>1008380417.4750001</v>
      </c>
      <c r="M73" s="29" t="str">
        <f t="shared" si="11"/>
        <v>03,06,07,08,10</v>
      </c>
      <c r="N73" s="28">
        <f>IF(ISNUMBER(agent!$O$6*(K73/Z73)*Y73),TRUNC(agent!$O$6*(K73/Z73)*Y73,3),"没有上级")</f>
        <v>0</v>
      </c>
      <c r="O73" s="28">
        <f>IF(ISNUMBER(agent!$O$9*(K73/Z73)*Y73),TRUNC(agent!$O$9*(K73/Z73)*Y73,3),"没有上级")</f>
        <v>0</v>
      </c>
      <c r="P73" s="28">
        <f>IF(ISNUMBER(agent!$O$12*(K73/Z73)*Y73),TRUNC(agent!$O$12*(K73/Z73)*Y73,3),"没有上级")</f>
        <v>0</v>
      </c>
      <c r="Q73" s="28">
        <f>IF(ISNUMBER(agent!$O$15*(K73/Z73)*Y73),TRUNC(agent!$O$15*(K73/Z73)*Y73,3),"没有上级")</f>
        <v>0</v>
      </c>
      <c r="R73" s="28">
        <f>IF(ISNUMBER(agent!$O$18*(K73/Z73)*Y73),TRUNC(agent!$O$18*(K73/Z73)*Y73,3),"没有上级")</f>
        <v>0</v>
      </c>
      <c r="S73" s="28">
        <f>IF(ISNUMBER(agent!$O$21*(K73/Z73)*Y73),TRUNC(agent!$O$21*(K73/Z73)*Y73,3),"没有上级")</f>
        <v>0</v>
      </c>
      <c r="T73" s="28">
        <f>IF(ISNUMBER(agent!$O$24*(K73/Z73)*Y73),TRUNC(agent!$O$24*(K73/Z73)*Y73,3),"没有上级")</f>
        <v>0</v>
      </c>
      <c r="U73" s="28">
        <f>IF(ISNUMBER(agent!$O$27*(K73/Z73)*Y73),TRUNC(agent!$O$27*(K73/Z73)*Y73,3),"没有上级")</f>
        <v>0</v>
      </c>
      <c r="V73" s="28">
        <f>IF(ISNUMBER(agent!$O$30*(K73/Z73)*Y73),TRUNC(agent!$O$30*(K73/Z73)*Y73,3),"没有上级")</f>
        <v>0</v>
      </c>
      <c r="W73" s="28">
        <f>IF(ISNUMBER(agent!$O$33*(K73/Z73)*Y73),TRUNC(agent!$O$33*(K73/Z73)*Y73,3),"没有上级")</f>
        <v>0</v>
      </c>
      <c r="X73" s="28" t="s">
        <v>12</v>
      </c>
      <c r="Y73">
        <f>TRUNC(0.154,3)</f>
        <v>0.154</v>
      </c>
      <c r="Z73" s="28">
        <f>TRUNC(AB73-(9.9-agent!L$3)*10*Y73,3)</f>
        <v>148.61000000000001</v>
      </c>
      <c r="AA73" s="28">
        <f>'5Of11Source'!X$2</f>
        <v>0</v>
      </c>
      <c r="AB73">
        <f t="shared" si="12"/>
        <v>153.846</v>
      </c>
      <c r="AC73" s="28">
        <f>'5Of11Source'!E99</f>
        <v>252</v>
      </c>
      <c r="AD73" s="28">
        <v>138.6</v>
      </c>
      <c r="AE73" s="28"/>
      <c r="AF73" s="28"/>
      <c r="AG73" s="28"/>
      <c r="AH73" s="28"/>
      <c r="AI73" s="28"/>
    </row>
    <row r="74" spans="4:35" x14ac:dyDescent="0.15">
      <c r="D74" s="28" t="s">
        <v>103</v>
      </c>
      <c r="E74" s="28" t="s">
        <v>84</v>
      </c>
      <c r="F74" s="27" t="str">
        <f>'5Of11Source'!$J$49</f>
        <v>06,01 02 03 04 05 07 08 09 10 11</v>
      </c>
      <c r="G74" s="28">
        <f>'5Of11Source'!F86</f>
        <v>8</v>
      </c>
      <c r="H74" s="28">
        <v>1</v>
      </c>
      <c r="I74" s="30">
        <f t="shared" si="7"/>
        <v>1679.9999999999998</v>
      </c>
      <c r="J74" s="22">
        <f t="shared" si="13"/>
        <v>67197.383999999991</v>
      </c>
      <c r="K74" s="22">
        <f>'5Of11Source'!I100</f>
        <v>1907220</v>
      </c>
      <c r="L74" s="28">
        <f t="shared" si="8"/>
        <v>1010285957.4750001</v>
      </c>
      <c r="M74" s="29" t="str">
        <f t="shared" si="11"/>
        <v>03,06,07,08,10</v>
      </c>
      <c r="N74" s="28">
        <f>IF(ISNUMBER(agent!$O$6*(K74/Z74)*Y74),TRUNC(agent!$O$6*(K74/Z74)*Y74,3),"没有上级")</f>
        <v>1976.393</v>
      </c>
      <c r="O74" s="28">
        <f>IF(ISNUMBER(agent!$O$9*(K74/Z74)*Y74),TRUNC(agent!$O$9*(K74/Z74)*Y74,3),"没有上级")</f>
        <v>11858.361999999999</v>
      </c>
      <c r="P74" s="28">
        <f>IF(ISNUMBER(agent!$O$12*(K74/Z74)*Y74),TRUNC(agent!$O$12*(K74/Z74)*Y74,3),"没有上级")</f>
        <v>3952.7869999999998</v>
      </c>
      <c r="Q74" s="28">
        <f>IF(ISNUMBER(agent!$O$15*(K74/Z74)*Y74),TRUNC(agent!$O$15*(K74/Z74)*Y74,3),"没有上级")</f>
        <v>7905.5749999999998</v>
      </c>
      <c r="R74" s="28">
        <f>IF(ISNUMBER(agent!$O$18*(K74/Z74)*Y74),TRUNC(agent!$O$18*(K74/Z74)*Y74,3),"没有上级")</f>
        <v>5929.1809999999996</v>
      </c>
      <c r="S74" s="28">
        <f>IF(ISNUMBER(agent!$O$21*(K74/Z74)*Y74),TRUNC(agent!$O$21*(K74/Z74)*Y74,3),"没有上级")</f>
        <v>1976.393</v>
      </c>
      <c r="T74" s="28">
        <f>IF(ISNUMBER(agent!$O$24*(K74/Z74)*Y74),TRUNC(agent!$O$24*(K74/Z74)*Y74,3),"没有上级")</f>
        <v>13834.755999999999</v>
      </c>
      <c r="U74" s="28">
        <f>IF(ISNUMBER(agent!$O$27*(K74/Z74)*Y74),TRUNC(agent!$O$27*(K74/Z74)*Y74,3),"没有上级")</f>
        <v>5929.1809999999996</v>
      </c>
      <c r="V74" s="28">
        <f>IF(ISNUMBER(agent!$O$30*(K74/Z74)*Y74),TRUNC(agent!$O$30*(K74/Z74)*Y74,3),"没有上级")</f>
        <v>7905.5749999999998</v>
      </c>
      <c r="W74" s="28">
        <f>IF(ISNUMBER(agent!$O$33*(K74/Z74)*Y74),TRUNC(agent!$O$33*(K74/Z74)*Y74,3),"没有上级")</f>
        <v>5929.1809999999996</v>
      </c>
      <c r="X74" s="28"/>
      <c r="Y74">
        <f>TRUNC(0.044,3)</f>
        <v>4.3999999999999997E-2</v>
      </c>
      <c r="Z74" s="28">
        <f>TRUNC(AB74-(9.9-agent!L$3)*10*Y74,3)</f>
        <v>42.46</v>
      </c>
      <c r="AA74" s="28">
        <f>'5Of11Source'!X$2</f>
        <v>0</v>
      </c>
      <c r="AB74">
        <f t="shared" si="12"/>
        <v>43.956000000000003</v>
      </c>
      <c r="AC74" s="28">
        <f>'5Of11Source'!E101</f>
        <v>209.99999999999997</v>
      </c>
      <c r="AD74" s="28">
        <v>39.6</v>
      </c>
      <c r="AE74" s="28"/>
      <c r="AF74" s="28"/>
      <c r="AG74" s="28"/>
      <c r="AH74" s="28"/>
      <c r="AI74" s="28"/>
    </row>
    <row r="75" spans="4:35" x14ac:dyDescent="0.15">
      <c r="D75" s="28" t="s">
        <v>103</v>
      </c>
      <c r="E75" s="28" t="s">
        <v>86</v>
      </c>
      <c r="F75" s="27" t="str">
        <f>'5Of11Source'!$J$51</f>
        <v>07,01 02 03 04 05 06 09 10 08 11</v>
      </c>
      <c r="G75" s="28">
        <f>'5Of11Source'!F88</f>
        <v>2</v>
      </c>
      <c r="H75" s="28">
        <v>1</v>
      </c>
      <c r="I75" s="30">
        <f t="shared" si="7"/>
        <v>720</v>
      </c>
      <c r="J75" s="22">
        <f t="shared" si="13"/>
        <v>0</v>
      </c>
      <c r="K75" s="22">
        <f>'5Of11Source'!I102</f>
        <v>0</v>
      </c>
      <c r="L75" s="28">
        <f t="shared" si="8"/>
        <v>1010285237.4750001</v>
      </c>
      <c r="M75" s="29" t="str">
        <f t="shared" si="11"/>
        <v>03,06,07,08,10</v>
      </c>
      <c r="N75" s="28">
        <f>IF(ISNUMBER(agent!$O$6*(K75/Z75)*Y75),TRUNC(agent!$O$6*(K75/Z75)*Y75,3),"没有上级")</f>
        <v>0</v>
      </c>
      <c r="O75" s="28">
        <f>IF(ISNUMBER(agent!$O$9*(K75/Z75)*Y75),TRUNC(agent!$O$9*(K75/Z75)*Y75,3),"没有上级")</f>
        <v>0</v>
      </c>
      <c r="P75" s="28">
        <f>IF(ISNUMBER(agent!$O$12*(K75/Z75)*Y75),TRUNC(agent!$O$12*(K75/Z75)*Y75,3),"没有上级")</f>
        <v>0</v>
      </c>
      <c r="Q75" s="28">
        <f>IF(ISNUMBER(agent!$O$15*(K75/Z75)*Y75),TRUNC(agent!$O$15*(K75/Z75)*Y75,3),"没有上级")</f>
        <v>0</v>
      </c>
      <c r="R75" s="28">
        <f>IF(ISNUMBER(agent!$O$18*(K75/Z75)*Y75),TRUNC(agent!$O$18*(K75/Z75)*Y75,3),"没有上级")</f>
        <v>0</v>
      </c>
      <c r="S75" s="28">
        <f>IF(ISNUMBER(agent!$O$21*(K75/Z75)*Y75),TRUNC(agent!$O$21*(K75/Z75)*Y75,3),"没有上级")</f>
        <v>0</v>
      </c>
      <c r="T75" s="28">
        <f>IF(ISNUMBER(agent!$O$24*(K75/Z75)*Y75),TRUNC(agent!$O$24*(K75/Z75)*Y75,3),"没有上级")</f>
        <v>0</v>
      </c>
      <c r="U75" s="28">
        <f>IF(ISNUMBER(agent!$O$27*(K75/Z75)*Y75),TRUNC(agent!$O$27*(K75/Z75)*Y75,3),"没有上级")</f>
        <v>0</v>
      </c>
      <c r="V75" s="28">
        <f>IF(ISNUMBER(agent!$O$30*(K75/Z75)*Y75),TRUNC(agent!$O$30*(K75/Z75)*Y75,3),"没有上级")</f>
        <v>0</v>
      </c>
      <c r="W75" s="28">
        <f>IF(ISNUMBER(agent!$O$33*(K75/Z75)*Y75),TRUNC(agent!$O$33*(K75/Z75)*Y75,3),"没有上级")</f>
        <v>0</v>
      </c>
      <c r="X75" s="28"/>
      <c r="Y75">
        <f>TRUNC(0.01642857,3)</f>
        <v>1.6E-2</v>
      </c>
      <c r="Z75" s="28">
        <f>TRUNC(AB75-(9.9-agent!L$3)*10*Y75,3)</f>
        <v>15.89</v>
      </c>
      <c r="AA75" s="28">
        <f>'5Of11Source'!X$2</f>
        <v>0</v>
      </c>
      <c r="AB75">
        <f t="shared" si="12"/>
        <v>16.434000000000001</v>
      </c>
      <c r="AC75" s="28">
        <f>'5Of11Source'!E103</f>
        <v>120</v>
      </c>
      <c r="AD75" s="28">
        <v>14.85</v>
      </c>
      <c r="AE75" s="28"/>
      <c r="AF75" s="28"/>
      <c r="AG75" s="28"/>
      <c r="AH75" s="28"/>
      <c r="AI75" s="28"/>
    </row>
    <row r="76" spans="4:35" x14ac:dyDescent="0.15">
      <c r="D76" s="31" t="s">
        <v>23</v>
      </c>
      <c r="E76" s="31" t="s">
        <v>25</v>
      </c>
      <c r="F76" s="31" t="str">
        <f>'5Of11Source'!$J$2</f>
        <v>01 02 03 04 05 06 07 08 09 10 11,01 02 03 04 05 06 07 08 09 10 11,01 02 03 04 05 06 07 08 09 10 11</v>
      </c>
      <c r="G76" s="31">
        <f>'5Of11Source'!F76:F78</f>
        <v>3</v>
      </c>
      <c r="H76" s="31">
        <v>1</v>
      </c>
      <c r="I76" s="30">
        <f t="shared" si="7"/>
        <v>3960</v>
      </c>
      <c r="J76" s="31">
        <f t="shared" si="13"/>
        <v>1933.1580000000004</v>
      </c>
      <c r="K76" s="30">
        <f>'5Of11Source'!L104</f>
        <v>54867.700000000004</v>
      </c>
      <c r="L76" s="31">
        <f>L75-I76+K76</f>
        <v>1010336145.1750002</v>
      </c>
      <c r="M76" s="31" t="str">
        <f>'5Of11Source'!P$2</f>
        <v>03,06,07,08,10</v>
      </c>
      <c r="N76" s="31">
        <f>IF(ISNUMBER(agent!$O$6*(K76/Z76)*Y76),TRUNC(agent!$O$6*(K76/Z76)*Y76,3),"没有上级")</f>
        <v>56.856999999999999</v>
      </c>
      <c r="O76" s="31">
        <f>IF(ISNUMBER(agent!$O$9*(K76/Z76)*Y76),TRUNC(agent!$O$9*(K76/Z76)*Y76,3),"没有上级")</f>
        <v>341.14600000000002</v>
      </c>
      <c r="P76" s="31">
        <f>IF(ISNUMBER(agent!$O$12*(K76/Z76)*Y76),TRUNC(agent!$O$12*(K76/Z76)*Y76,3),"没有上级")</f>
        <v>113.715</v>
      </c>
      <c r="Q76" s="31">
        <f>IF(ISNUMBER(agent!$O$15*(K76/Z76)*Y76),TRUNC(agent!$O$15*(K76/Z76)*Y76,3),"没有上级")</f>
        <v>227.43</v>
      </c>
      <c r="R76" s="31">
        <f>IF(ISNUMBER(agent!$O$18*(K76/Z76)*Y76),TRUNC(agent!$O$18*(K76/Z76)*Y76,3),"没有上级")</f>
        <v>170.57300000000001</v>
      </c>
      <c r="S76" s="31">
        <f>IF(ISNUMBER(agent!$O$21*(K76/Z76)*Y76),TRUNC(agent!$O$21*(K76/Z76)*Y76,3),"没有上级")</f>
        <v>56.856999999999999</v>
      </c>
      <c r="T76" s="31">
        <f>IF(ISNUMBER(agent!$O$24*(K76/Z76)*Y76),TRUNC(agent!$O$24*(K76/Z76)*Y76,3),"没有上级")</f>
        <v>398.00400000000002</v>
      </c>
      <c r="U76" s="31">
        <f>IF(ISNUMBER(agent!$O$27*(K76/Z76)*Y76),TRUNC(agent!$O$27*(K76/Z76)*Y76,3),"没有上级")</f>
        <v>170.57300000000001</v>
      </c>
      <c r="V76" s="31">
        <f>IF(ISNUMBER(agent!$O$30*(K76/Z76)*Y76),TRUNC(agent!$O$30*(K76/Z76)*Y76,3),"没有上级")</f>
        <v>227.43</v>
      </c>
      <c r="W76" s="31">
        <f>IF(ISNUMBER(agent!$O$33*(K76/Z76)*Y76),TRUNC(agent!$O$33*(K76/Z76)*Y76,3),"没有上级")</f>
        <v>170.57300000000001</v>
      </c>
      <c r="X76" s="31" t="s">
        <v>9</v>
      </c>
      <c r="Y76" s="31">
        <f>TRUNC(1.98,3)</f>
        <v>1.98</v>
      </c>
      <c r="Z76" s="31">
        <f>TRUNC(AB76-(9.9-agent!L$3)*10*Y76,3)</f>
        <v>1910.7</v>
      </c>
      <c r="AA76" s="31">
        <f>'5Of11Source'!X$2</f>
        <v>0</v>
      </c>
      <c r="AB76" s="31">
        <f>TRUNC(AD76+Y76*99,4)</f>
        <v>1978.02</v>
      </c>
      <c r="AC76" s="28">
        <f>'5Of11Source'!E104</f>
        <v>45</v>
      </c>
      <c r="AD76" s="31">
        <v>1782</v>
      </c>
      <c r="AE76" s="31">
        <v>1000000000</v>
      </c>
      <c r="AF76" s="31"/>
      <c r="AG76" s="31"/>
      <c r="AH76" s="31"/>
      <c r="AI76" s="31"/>
    </row>
    <row r="77" spans="4:35" x14ac:dyDescent="0.15">
      <c r="D77" s="28" t="s">
        <v>23</v>
      </c>
      <c r="E77" s="28" t="s">
        <v>32</v>
      </c>
      <c r="F77" s="27" t="str">
        <f>'5Of11Source'!$J$5</f>
        <v>01 02 03,04 05 06,07 08 09,02 05 07</v>
      </c>
      <c r="G77" s="28">
        <f>'5Of11Source'!F79</f>
        <v>4</v>
      </c>
      <c r="H77" s="28">
        <v>1</v>
      </c>
      <c r="I77" s="30">
        <f t="shared" si="7"/>
        <v>40</v>
      </c>
      <c r="J77" s="22">
        <f t="shared" si="13"/>
        <v>0</v>
      </c>
      <c r="K77" s="22">
        <f>'5Of11Source'!L105</f>
        <v>0</v>
      </c>
      <c r="L77" s="28">
        <f t="shared" ref="L77:L112" si="14">$L76-$I77+$K77</f>
        <v>1010336105.1750002</v>
      </c>
      <c r="M77" s="29" t="str">
        <f>M76</f>
        <v>03,06,07,08,10</v>
      </c>
      <c r="N77" s="28">
        <f>IF(ISNUMBER(agent!$O$6*(K77/Z77)*Y77),TRUNC(agent!$O$6*(K77/Z77)*Y77,3),"没有上级")</f>
        <v>0</v>
      </c>
      <c r="O77" s="28">
        <f>IF(ISNUMBER(agent!$O$9*(K77/Z77)*Y77),TRUNC(agent!$O$9*(K77/Z77)*Y77,3),"没有上级")</f>
        <v>0</v>
      </c>
      <c r="P77" s="28">
        <f>IF(ISNUMBER(agent!$O$12*(K77/Z77)*Y77),TRUNC(agent!$O$12*(K77/Z77)*Y77,3),"没有上级")</f>
        <v>0</v>
      </c>
      <c r="Q77" s="28">
        <f>IF(ISNUMBER(agent!$O$15*(K77/Z77)*Y77),TRUNC(agent!$O$15*(K77/Z77)*Y77,3),"没有上级")</f>
        <v>0</v>
      </c>
      <c r="R77" s="28">
        <f>IF(ISNUMBER(agent!$O$18*(K77/Z77)*Y77),TRUNC(agent!$O$18*(K77/Z77)*Y77,3),"没有上级")</f>
        <v>0</v>
      </c>
      <c r="S77" s="28">
        <f>IF(ISNUMBER(agent!$O$21*(K77/Z77)*Y77),TRUNC(agent!$O$21*(K77/Z77)*Y77,3),"没有上级")</f>
        <v>0</v>
      </c>
      <c r="T77" s="28">
        <f>IF(ISNUMBER(agent!$O$24*(K77/Z77)*Y77),TRUNC(agent!$O$24*(K77/Z77)*Y77,3),"没有上级")</f>
        <v>0</v>
      </c>
      <c r="U77" s="28">
        <f>IF(ISNUMBER(agent!$O$27*(K77/Z77)*Y77),TRUNC(agent!$O$27*(K77/Z77)*Y77,3),"没有上级")</f>
        <v>0</v>
      </c>
      <c r="V77" s="28">
        <f>IF(ISNUMBER(agent!$O$30*(K77/Z77)*Y77),TRUNC(agent!$O$30*(K77/Z77)*Y77,3),"没有上级")</f>
        <v>0</v>
      </c>
      <c r="W77" s="28">
        <f>IF(ISNUMBER(agent!$O$33*(K77/Z77)*Y77),TRUNC(agent!$O$33*(K77/Z77)*Y77,3),"没有上级")</f>
        <v>0</v>
      </c>
      <c r="X77" s="28" t="s">
        <v>10</v>
      </c>
      <c r="Y77">
        <f>TRUNC(1.98,3)</f>
        <v>1.98</v>
      </c>
      <c r="Z77" s="28">
        <f>TRUNC(AB77-(9.9-agent!L$3)*10*Y77,3)</f>
        <v>1910.7</v>
      </c>
      <c r="AA77" s="28">
        <f>'5Of11Source'!X$2</f>
        <v>0</v>
      </c>
      <c r="AB77">
        <f t="shared" ref="AB77:AB87" si="15">TRUNC(AD77+Y77*99,4)</f>
        <v>1978.02</v>
      </c>
      <c r="AC77" s="28">
        <f>'5Of11Source'!E107</f>
        <v>4</v>
      </c>
      <c r="AD77" s="28">
        <v>1782</v>
      </c>
      <c r="AE77" s="28"/>
      <c r="AF77" s="29" t="s">
        <v>136</v>
      </c>
      <c r="AG77" s="28"/>
      <c r="AH77" s="27"/>
      <c r="AI77" s="28"/>
    </row>
    <row r="78" spans="4:35" ht="27" x14ac:dyDescent="0.15">
      <c r="D78" s="28" t="s">
        <v>23</v>
      </c>
      <c r="E78" s="28" t="s">
        <v>35</v>
      </c>
      <c r="F78" s="27" t="str">
        <f>'5Of11Source'!$J$6</f>
        <v>01 02 03 04 05 06 07 08 09 10 11</v>
      </c>
      <c r="G78" s="28">
        <f>'5Of11Source'!F80</f>
        <v>3</v>
      </c>
      <c r="H78" s="28">
        <v>1</v>
      </c>
      <c r="I78" s="30">
        <f t="shared" si="7"/>
        <v>990</v>
      </c>
      <c r="J78" s="22">
        <f t="shared" si="13"/>
        <v>2877.3760000000002</v>
      </c>
      <c r="K78" s="22">
        <f>'5Of11Source'!L106</f>
        <v>81898.440000000017</v>
      </c>
      <c r="L78" s="28">
        <f t="shared" si="14"/>
        <v>1010417013.6150002</v>
      </c>
      <c r="M78" s="29" t="str">
        <f>M77</f>
        <v>03,06,07,08,10</v>
      </c>
      <c r="N78" s="28">
        <f>IF(ISNUMBER(agent!$O$6*(K78/Z78)*Y78),TRUNC(agent!$O$6*(K78/Z78)*Y78,3),"没有上级")</f>
        <v>84.628</v>
      </c>
      <c r="O78" s="28">
        <f>IF(ISNUMBER(agent!$O$9*(K78/Z78)*Y78),TRUNC(agent!$O$9*(K78/Z78)*Y78,3),"没有上级")</f>
        <v>507.77300000000002</v>
      </c>
      <c r="P78" s="28">
        <f>IF(ISNUMBER(agent!$O$12*(K78/Z78)*Y78),TRUNC(agent!$O$12*(K78/Z78)*Y78,3),"没有上级")</f>
        <v>169.25700000000001</v>
      </c>
      <c r="Q78" s="28">
        <f>IF(ISNUMBER(agent!$O$15*(K78/Z78)*Y78),TRUNC(agent!$O$15*(K78/Z78)*Y78,3),"没有上级")</f>
        <v>338.51499999999999</v>
      </c>
      <c r="R78" s="28">
        <f>IF(ISNUMBER(agent!$O$18*(K78/Z78)*Y78),TRUNC(agent!$O$18*(K78/Z78)*Y78,3),"没有上级")</f>
        <v>253.886</v>
      </c>
      <c r="S78" s="28">
        <f>IF(ISNUMBER(agent!$O$21*(K78/Z78)*Y78),TRUNC(agent!$O$21*(K78/Z78)*Y78,3),"没有上级")</f>
        <v>84.628</v>
      </c>
      <c r="T78" s="28">
        <f>IF(ISNUMBER(agent!$O$24*(K78/Z78)*Y78),TRUNC(agent!$O$24*(K78/Z78)*Y78,3),"没有上级")</f>
        <v>592.40200000000004</v>
      </c>
      <c r="U78" s="28">
        <f>IF(ISNUMBER(agent!$O$27*(K78/Z78)*Y78),TRUNC(agent!$O$27*(K78/Z78)*Y78,3),"没有上级")</f>
        <v>253.886</v>
      </c>
      <c r="V78" s="28">
        <f>IF(ISNUMBER(agent!$O$30*(K78/Z78)*Y78),TRUNC(agent!$O$30*(K78/Z78)*Y78,3),"没有上级")</f>
        <v>338.51499999999999</v>
      </c>
      <c r="W78" s="28">
        <f>IF(ISNUMBER(agent!$O$33*(K78/Z78)*Y78),TRUNC(agent!$O$33*(K78/Z78)*Y78,3),"没有上级")</f>
        <v>253.886</v>
      </c>
      <c r="X78" s="28"/>
      <c r="Y78">
        <f>TRUNC(0.329857,3)</f>
        <v>0.32900000000000001</v>
      </c>
      <c r="Z78" s="28">
        <f>TRUNC(AB78-(9.9-agent!L$3)*10*Y78,3)</f>
        <v>318.38499999999999</v>
      </c>
      <c r="AA78" s="28">
        <f>'5Of11Source'!X$2</f>
        <v>0</v>
      </c>
      <c r="AB78">
        <f t="shared" si="15"/>
        <v>329.57100000000003</v>
      </c>
      <c r="AC78" s="28">
        <f>'5Of11Source'!E108</f>
        <v>165</v>
      </c>
      <c r="AD78" s="28">
        <v>297</v>
      </c>
      <c r="AE78" s="28"/>
      <c r="AF78" s="29" t="s">
        <v>137</v>
      </c>
      <c r="AG78" s="29" t="s">
        <v>145</v>
      </c>
      <c r="AH78" s="25" t="s">
        <v>146</v>
      </c>
      <c r="AI78" s="29" t="s">
        <v>147</v>
      </c>
    </row>
    <row r="79" spans="4:35" x14ac:dyDescent="0.15">
      <c r="D79" s="28" t="s">
        <v>23</v>
      </c>
      <c r="E79" s="28" t="s">
        <v>36</v>
      </c>
      <c r="F79" s="27" t="str">
        <f>'5Of11Source'!$D$7</f>
        <v>01 02 03,06 07 08,09 10 11,05 02 07</v>
      </c>
      <c r="G79" s="28">
        <f>'5Of11Source'!F81</f>
        <v>3</v>
      </c>
      <c r="H79" s="28">
        <v>1</v>
      </c>
      <c r="I79" s="30">
        <f t="shared" si="7"/>
        <v>32</v>
      </c>
      <c r="J79" s="22">
        <f t="shared" si="13"/>
        <v>0</v>
      </c>
      <c r="K79" s="22">
        <f>'5Of11Source'!L107</f>
        <v>0</v>
      </c>
      <c r="L79" s="28">
        <f t="shared" si="14"/>
        <v>1010416981.6150002</v>
      </c>
      <c r="M79" s="29" t="str">
        <f>M78</f>
        <v>03,06,07,08,10</v>
      </c>
      <c r="N79" s="28">
        <f>IF(ISNUMBER(agent!$O$6*(K79/Z79)*Y79),TRUNC(agent!$O$6*(K79/Z79)*Y79,3),"没有上级")</f>
        <v>0</v>
      </c>
      <c r="O79" s="28">
        <f>IF(ISNUMBER(agent!$O$9*(K79/Z79)*Y79),TRUNC(agent!$O$9*(K79/Z79)*Y79,3),"没有上级")</f>
        <v>0</v>
      </c>
      <c r="P79" s="28">
        <f>IF(ISNUMBER(agent!$O$12*(K79/Z79)*Y79),TRUNC(agent!$O$12*(K79/Z79)*Y79,3),"没有上级")</f>
        <v>0</v>
      </c>
      <c r="Q79" s="28">
        <f>IF(ISNUMBER(agent!$O$15*(K79/Z79)*Y79),TRUNC(agent!$O$15*(K79/Z79)*Y79,3),"没有上级")</f>
        <v>0</v>
      </c>
      <c r="R79" s="28">
        <f>IF(ISNUMBER(agent!$O$18*(K79/Z79)*Y79),TRUNC(agent!$O$18*(K79/Z79)*Y79,3),"没有上级")</f>
        <v>0</v>
      </c>
      <c r="S79" s="28">
        <f>IF(ISNUMBER(agent!$O$21*(K79/Z79)*Y79),TRUNC(agent!$O$21*(K79/Z79)*Y79,3),"没有上级")</f>
        <v>0</v>
      </c>
      <c r="T79" s="28">
        <f>IF(ISNUMBER(agent!$O$24*(K79/Z79)*Y79),TRUNC(agent!$O$24*(K79/Z79)*Y79,3),"没有上级")</f>
        <v>0</v>
      </c>
      <c r="U79" s="28">
        <f>IF(ISNUMBER(agent!$O$27*(K79/Z79)*Y79),TRUNC(agent!$O$27*(K79/Z79)*Y79,3),"没有上级")</f>
        <v>0</v>
      </c>
      <c r="V79" s="28">
        <f>IF(ISNUMBER(agent!$O$30*(K79/Z79)*Y79),TRUNC(agent!$O$30*(K79/Z79)*Y79,3),"没有上级")</f>
        <v>0</v>
      </c>
      <c r="W79" s="28">
        <f>IF(ISNUMBER(agent!$O$33*(K79/Z79)*Y79),TRUNC(agent!$O$33*(K79/Z79)*Y79,3),"没有上级")</f>
        <v>0</v>
      </c>
      <c r="X79" s="28"/>
      <c r="Y79">
        <f>TRUNC(0.329857,3)</f>
        <v>0.32900000000000001</v>
      </c>
      <c r="Z79" s="28">
        <f>TRUNC(AB79-(9.9-agent!L$3)*10*Y79,3)</f>
        <v>318.38499999999999</v>
      </c>
      <c r="AA79" s="28">
        <f>'5Of11Source'!X$2</f>
        <v>0</v>
      </c>
      <c r="AB79">
        <f t="shared" si="15"/>
        <v>329.57100000000003</v>
      </c>
      <c r="AC79" s="28">
        <f>'5Of11Source'!E109</f>
        <v>4</v>
      </c>
      <c r="AD79" s="28">
        <v>297</v>
      </c>
      <c r="AE79" s="28"/>
      <c r="AF79" s="29" t="s">
        <v>138</v>
      </c>
      <c r="AG79" s="28">
        <f>TRUNC(0.154,3)</f>
        <v>0.154</v>
      </c>
      <c r="AH79" s="27">
        <f>TRUNC(AI79-(9.9-agent!$L$3)*AG79,3)</f>
        <v>212.72200000000001</v>
      </c>
      <c r="AI79" s="28">
        <f t="shared" ref="AI79:AI84" si="16">TRUNC(AD119+AG79*99,4)</f>
        <v>213.24600000000001</v>
      </c>
    </row>
    <row r="80" spans="4:35" x14ac:dyDescent="0.15">
      <c r="D80" s="28" t="s">
        <v>23</v>
      </c>
      <c r="E80" s="28" t="s">
        <v>38</v>
      </c>
      <c r="F80" s="27" t="str">
        <f>'5Of11Source'!$J$8</f>
        <v>07,01 02 03 04 05 06 08 09 10 11</v>
      </c>
      <c r="G80" s="28">
        <f>'5Of11Source'!F82</f>
        <v>4</v>
      </c>
      <c r="H80" s="28">
        <v>1</v>
      </c>
      <c r="I80" s="30">
        <f t="shared" si="7"/>
        <v>180</v>
      </c>
      <c r="J80" s="22">
        <f t="shared" si="13"/>
        <v>0</v>
      </c>
      <c r="K80" s="22">
        <f>'5Of11Source'!L108</f>
        <v>0</v>
      </c>
      <c r="L80" s="28">
        <f t="shared" si="14"/>
        <v>1010416801.6150002</v>
      </c>
      <c r="M80" s="29" t="str">
        <f>M79</f>
        <v>03,06,07,08,10</v>
      </c>
      <c r="N80" s="28">
        <f>IF(ISNUMBER(agent!$O$6*(K80/Z80)*Y80),TRUNC(agent!$O$6*(K80/Z80)*Y80,3),"没有上级")</f>
        <v>0</v>
      </c>
      <c r="O80" s="28">
        <f>IF(ISNUMBER(agent!$O$9*(K80/Z80)*Y80),TRUNC(agent!$O$9*(K80/Z80)*Y80,3),"没有上级")</f>
        <v>0</v>
      </c>
      <c r="P80" s="28">
        <f>IF(ISNUMBER(agent!$O$12*(K80/Z80)*Y80),TRUNC(agent!$O$12*(K80/Z80)*Y80,3),"没有上级")</f>
        <v>0</v>
      </c>
      <c r="Q80" s="28">
        <f>IF(ISNUMBER(agent!$O$15*(K80/Z80)*Y80),TRUNC(agent!$O$15*(K80/Z80)*Y80,3),"没有上级")</f>
        <v>0</v>
      </c>
      <c r="R80" s="28">
        <f>IF(ISNUMBER(agent!$O$18*(K80/Z80)*Y80),TRUNC(agent!$O$18*(K80/Z80)*Y80,3),"没有上级")</f>
        <v>0</v>
      </c>
      <c r="S80" s="28">
        <f>IF(ISNUMBER(agent!$O$21*(K80/Z80)*Y80),TRUNC(agent!$O$21*(K80/Z80)*Y80,3),"没有上级")</f>
        <v>0</v>
      </c>
      <c r="T80" s="28">
        <f>IF(ISNUMBER(agent!$O$24*(K80/Z80)*Y80),TRUNC(agent!$O$24*(K80/Z80)*Y80,3),"没有上级")</f>
        <v>0</v>
      </c>
      <c r="U80" s="28">
        <f>IF(ISNUMBER(agent!$O$27*(K80/Z80)*Y80),TRUNC(agent!$O$27*(K80/Z80)*Y80,3),"没有上级")</f>
        <v>0</v>
      </c>
      <c r="V80" s="28">
        <f>IF(ISNUMBER(agent!$O$30*(K80/Z80)*Y80),TRUNC(agent!$O$30*(K80/Z80)*Y80,3),"没有上级")</f>
        <v>0</v>
      </c>
      <c r="W80" s="28">
        <f>IF(ISNUMBER(agent!$O$33*(K80/Z80)*Y80),TRUNC(agent!$O$33*(K80/Z80)*Y80,3),"没有上级")</f>
        <v>0</v>
      </c>
      <c r="X80" s="28"/>
      <c r="Y80">
        <f>TRUNC(0.329857,3)</f>
        <v>0.32900000000000001</v>
      </c>
      <c r="Z80" s="28">
        <f>TRUNC(AB80-(9.9-agent!L$3)*10*Y80,3)</f>
        <v>318.38499999999999</v>
      </c>
      <c r="AA80" s="28">
        <f>'5Of11Source'!X$2</f>
        <v>0</v>
      </c>
      <c r="AB80">
        <f t="shared" si="15"/>
        <v>329.57100000000003</v>
      </c>
      <c r="AC80" s="28">
        <f>'5Of11Source'!E110</f>
        <v>45</v>
      </c>
      <c r="AD80" s="28">
        <v>297</v>
      </c>
      <c r="AE80" s="28"/>
      <c r="AF80" s="29" t="s">
        <v>139</v>
      </c>
      <c r="AG80" s="28">
        <f>TRUNC(0.01242857,3)</f>
        <v>1.2E-2</v>
      </c>
      <c r="AH80" s="27">
        <f>TRUNC(AI80-(9.9-agent!$L$3)*AG80,3)</f>
        <v>100.14700000000001</v>
      </c>
      <c r="AI80" s="28">
        <f t="shared" si="16"/>
        <v>100.188</v>
      </c>
    </row>
    <row r="81" spans="4:35" ht="27" x14ac:dyDescent="0.15">
      <c r="D81" s="28" t="s">
        <v>41</v>
      </c>
      <c r="E81" s="28" t="s">
        <v>43</v>
      </c>
      <c r="F81" s="27" t="str">
        <f>'5Of11Source'!$J$10</f>
        <v>01 02 03 04 05 06 07 08 09 10 11,01 02 03 04 05 06 07 08 09 10 11</v>
      </c>
      <c r="G81" s="28">
        <f>'5Of11Source'!F84</f>
        <v>5</v>
      </c>
      <c r="H81" s="28">
        <v>1</v>
      </c>
      <c r="I81" s="30">
        <f t="shared" si="7"/>
        <v>1100</v>
      </c>
      <c r="J81" s="22">
        <f t="shared" si="13"/>
        <v>5286.777</v>
      </c>
      <c r="K81" s="22">
        <f>'5Of11Source'!L109</f>
        <v>150051.29999999999</v>
      </c>
      <c r="L81" s="28">
        <f t="shared" si="14"/>
        <v>1010565752.9150002</v>
      </c>
      <c r="M81" s="29" t="str">
        <f>M80</f>
        <v>03,06,07,08,10</v>
      </c>
      <c r="N81" s="28">
        <f>IF(ISNUMBER(agent!$O$6*(K81/Z81)*Y81),TRUNC(agent!$O$6*(K81/Z81)*Y81,3),"没有上级")</f>
        <v>155.49299999999999</v>
      </c>
      <c r="O81" s="28">
        <f>IF(ISNUMBER(agent!$O$9*(K81/Z81)*Y81),TRUNC(agent!$O$9*(K81/Z81)*Y81,3),"没有上级")</f>
        <v>932.96100000000001</v>
      </c>
      <c r="P81" s="28">
        <f>IF(ISNUMBER(agent!$O$12*(K81/Z81)*Y81),TRUNC(agent!$O$12*(K81/Z81)*Y81,3),"没有上级")</f>
        <v>310.98700000000002</v>
      </c>
      <c r="Q81" s="28">
        <f>IF(ISNUMBER(agent!$O$15*(K81/Z81)*Y81),TRUNC(agent!$O$15*(K81/Z81)*Y81,3),"没有上级")</f>
        <v>621.97400000000005</v>
      </c>
      <c r="R81" s="28">
        <f>IF(ISNUMBER(agent!$O$18*(K81/Z81)*Y81),TRUNC(agent!$O$18*(K81/Z81)*Y81,3),"没有上级")</f>
        <v>466.48</v>
      </c>
      <c r="S81" s="28">
        <f>IF(ISNUMBER(agent!$O$21*(K81/Z81)*Y81),TRUNC(agent!$O$21*(K81/Z81)*Y81,3),"没有上级")</f>
        <v>155.49299999999999</v>
      </c>
      <c r="T81" s="28">
        <f>IF(ISNUMBER(agent!$O$24*(K81/Z81)*Y81),TRUNC(agent!$O$24*(K81/Z81)*Y81,3),"没有上级")</f>
        <v>1088.4549999999999</v>
      </c>
      <c r="U81" s="28">
        <f>IF(ISNUMBER(agent!$O$27*(K81/Z81)*Y81),TRUNC(agent!$O$27*(K81/Z81)*Y81,3),"没有上级")</f>
        <v>466.48</v>
      </c>
      <c r="V81" s="28">
        <f>IF(ISNUMBER(agent!$O$30*(K81/Z81)*Y81),TRUNC(agent!$O$30*(K81/Z81)*Y81,3),"没有上级")</f>
        <v>621.97400000000005</v>
      </c>
      <c r="W81" s="28">
        <f>IF(ISNUMBER(agent!$O$33*(K81/Z81)*Y81),TRUNC(agent!$O$33*(K81/Z81)*Y81,3),"没有上级")</f>
        <v>466.48</v>
      </c>
      <c r="X81" s="28" t="s">
        <v>12</v>
      </c>
      <c r="Y81">
        <f>TRUNC(0.22,3)</f>
        <v>0.22</v>
      </c>
      <c r="Z81" s="28">
        <f>TRUNC(AB81-(9.9-agent!L$3)*10*Y81,3)</f>
        <v>212.3</v>
      </c>
      <c r="AA81" s="28">
        <f>'5Of11Source'!X$2</f>
        <v>0</v>
      </c>
      <c r="AB81">
        <f t="shared" si="15"/>
        <v>219.78</v>
      </c>
      <c r="AC81" s="28">
        <f>'5Of11Source'!E112</f>
        <v>121</v>
      </c>
      <c r="AD81" s="28">
        <v>198</v>
      </c>
      <c r="AE81" s="28"/>
      <c r="AF81" s="29" t="s">
        <v>140</v>
      </c>
      <c r="AG81" s="28">
        <f>TRUNC(0.0047,3)</f>
        <v>4.0000000000000001E-3</v>
      </c>
      <c r="AH81" s="27">
        <f>TRUNC(AI81-(9.9-agent!$L$3)*AG81,3)</f>
        <v>99.382000000000005</v>
      </c>
      <c r="AI81" s="28">
        <f t="shared" si="16"/>
        <v>99.396000000000001</v>
      </c>
    </row>
    <row r="82" spans="4:35" x14ac:dyDescent="0.15">
      <c r="D82" s="28" t="s">
        <v>41</v>
      </c>
      <c r="E82" s="28" t="s">
        <v>45</v>
      </c>
      <c r="F82" s="27" t="str">
        <f>'5Of11Source'!$J$12</f>
        <v>01 02,02 05,05 02,07 08,09 10</v>
      </c>
      <c r="G82" s="28">
        <f>'5Of11Source'!F86</f>
        <v>8</v>
      </c>
      <c r="H82" s="28">
        <v>1</v>
      </c>
      <c r="I82" s="30">
        <f t="shared" si="7"/>
        <v>30</v>
      </c>
      <c r="J82" s="22">
        <f t="shared" si="13"/>
        <v>0</v>
      </c>
      <c r="K82" s="22">
        <f>'5Of11Source'!L110</f>
        <v>0</v>
      </c>
      <c r="L82" s="28">
        <f t="shared" si="14"/>
        <v>1010565722.9150002</v>
      </c>
      <c r="M82" s="29" t="str">
        <f t="shared" ref="M82:M112" si="17">M81</f>
        <v>03,06,07,08,10</v>
      </c>
      <c r="N82" s="28">
        <f>IF(ISNUMBER(agent!$O$6*(K82/Z82)*Y82),TRUNC(agent!$O$6*(K82/Z82)*Y82,3),"没有上级")</f>
        <v>0</v>
      </c>
      <c r="O82" s="28">
        <f>IF(ISNUMBER(agent!$O$9*(K82/Z82)*Y82),TRUNC(agent!$O$9*(K82/Z82)*Y82,3),"没有上级")</f>
        <v>0</v>
      </c>
      <c r="P82" s="28">
        <f>IF(ISNUMBER(agent!$O$12*(K82/Z82)*Y82),TRUNC(agent!$O$12*(K82/Z82)*Y82,3),"没有上级")</f>
        <v>0</v>
      </c>
      <c r="Q82" s="28">
        <f>IF(ISNUMBER(agent!$O$15*(K82/Z82)*Y82),TRUNC(agent!$O$15*(K82/Z82)*Y82,3),"没有上级")</f>
        <v>0</v>
      </c>
      <c r="R82" s="28">
        <f>IF(ISNUMBER(agent!$O$18*(K82/Z82)*Y82),TRUNC(agent!$O$18*(K82/Z82)*Y82,3),"没有上级")</f>
        <v>0</v>
      </c>
      <c r="S82" s="28">
        <f>IF(ISNUMBER(agent!$O$21*(K82/Z82)*Y82),TRUNC(agent!$O$21*(K82/Z82)*Y82,3),"没有上级")</f>
        <v>0</v>
      </c>
      <c r="T82" s="28">
        <f>IF(ISNUMBER(agent!$O$24*(K82/Z82)*Y82),TRUNC(agent!$O$24*(K82/Z82)*Y82,3),"没有上级")</f>
        <v>0</v>
      </c>
      <c r="U82" s="28">
        <f>IF(ISNUMBER(agent!$O$27*(K82/Z82)*Y82),TRUNC(agent!$O$27*(K82/Z82)*Y82,3),"没有上级")</f>
        <v>0</v>
      </c>
      <c r="V82" s="28">
        <f>IF(ISNUMBER(agent!$O$30*(K82/Z82)*Y82),TRUNC(agent!$O$30*(K82/Z82)*Y82,3),"没有上级")</f>
        <v>0</v>
      </c>
      <c r="W82" s="28">
        <f>IF(ISNUMBER(agent!$O$33*(K82/Z82)*Y82),TRUNC(agent!$O$33*(K82/Z82)*Y82,3),"没有上级")</f>
        <v>0</v>
      </c>
      <c r="X82" s="28"/>
      <c r="Y82">
        <f>TRUNC(0.22,3)</f>
        <v>0.22</v>
      </c>
      <c r="Z82" s="28">
        <f>TRUNC(AB82-(9.9-agent!L$3)*10*Y82,3)</f>
        <v>212.3</v>
      </c>
      <c r="AA82" s="28">
        <f>'5Of11Source'!X$2</f>
        <v>0</v>
      </c>
      <c r="AB82">
        <f t="shared" si="15"/>
        <v>219.78</v>
      </c>
      <c r="AC82" s="28">
        <f>'5Of11Source'!E114</f>
        <v>5</v>
      </c>
      <c r="AD82" s="28">
        <v>198</v>
      </c>
      <c r="AE82" s="28"/>
      <c r="AF82" s="29" t="s">
        <v>141</v>
      </c>
      <c r="AG82" s="28">
        <f>TRUNC(0.006142857,3)</f>
        <v>6.0000000000000001E-3</v>
      </c>
      <c r="AH82" s="27">
        <f>TRUNC(AI82-(9.9-agent!$L$3)*AG82,3)</f>
        <v>99.572999999999993</v>
      </c>
      <c r="AI82" s="28">
        <f t="shared" si="16"/>
        <v>99.593999999999994</v>
      </c>
    </row>
    <row r="83" spans="4:35" x14ac:dyDescent="0.15">
      <c r="D83" s="28" t="s">
        <v>41</v>
      </c>
      <c r="E83" s="28" t="s">
        <v>47</v>
      </c>
      <c r="F83" s="27" t="str">
        <f>'5Of11Source'!$J$13</f>
        <v>01 02 03 04 05 06 07 08 09 10 11</v>
      </c>
      <c r="G83" s="28">
        <f>'5Of11Source'!F87</f>
        <v>2</v>
      </c>
      <c r="H83" s="28">
        <v>1</v>
      </c>
      <c r="I83" s="30">
        <f t="shared" si="7"/>
        <v>110</v>
      </c>
      <c r="J83" s="22">
        <f t="shared" si="13"/>
        <v>1053.6120000000001</v>
      </c>
      <c r="K83" s="22">
        <f>'5Of11Source'!L111</f>
        <v>29904.110000000004</v>
      </c>
      <c r="L83" s="28">
        <f t="shared" si="14"/>
        <v>1010595517.0250002</v>
      </c>
      <c r="M83" s="29" t="str">
        <f t="shared" si="17"/>
        <v>03,06,07,08,10</v>
      </c>
      <c r="N83" s="28">
        <f>IF(ISNUMBER(agent!$O$6*(K83/Z83)*Y83),TRUNC(agent!$O$6*(K83/Z83)*Y83,3),"没有上级")</f>
        <v>30.988</v>
      </c>
      <c r="O83" s="28">
        <f>IF(ISNUMBER(agent!$O$9*(K83/Z83)*Y83),TRUNC(agent!$O$9*(K83/Z83)*Y83,3),"没有上级")</f>
        <v>185.93199999999999</v>
      </c>
      <c r="P83" s="28">
        <f>IF(ISNUMBER(agent!$O$12*(K83/Z83)*Y83),TRUNC(agent!$O$12*(K83/Z83)*Y83,3),"没有上级")</f>
        <v>61.976999999999997</v>
      </c>
      <c r="Q83" s="28">
        <f>IF(ISNUMBER(agent!$O$15*(K83/Z83)*Y83),TRUNC(agent!$O$15*(K83/Z83)*Y83,3),"没有上级")</f>
        <v>123.95399999999999</v>
      </c>
      <c r="R83" s="28">
        <f>IF(ISNUMBER(agent!$O$18*(K83/Z83)*Y83),TRUNC(agent!$O$18*(K83/Z83)*Y83,3),"没有上级")</f>
        <v>92.965999999999994</v>
      </c>
      <c r="S83" s="28">
        <f>IF(ISNUMBER(agent!$O$21*(K83/Z83)*Y83),TRUNC(agent!$O$21*(K83/Z83)*Y83,3),"没有上级")</f>
        <v>30.988</v>
      </c>
      <c r="T83" s="28">
        <f>IF(ISNUMBER(agent!$O$24*(K83/Z83)*Y83),TRUNC(agent!$O$24*(K83/Z83)*Y83,3),"没有上级")</f>
        <v>216.92099999999999</v>
      </c>
      <c r="U83" s="28">
        <f>IF(ISNUMBER(agent!$O$27*(K83/Z83)*Y83),TRUNC(agent!$O$27*(K83/Z83)*Y83,3),"没有上级")</f>
        <v>92.965999999999994</v>
      </c>
      <c r="V83" s="28">
        <f>IF(ISNUMBER(agent!$O$30*(K83/Z83)*Y83),TRUNC(agent!$O$30*(K83/Z83)*Y83,3),"没有上级")</f>
        <v>123.95399999999999</v>
      </c>
      <c r="W83" s="28">
        <f>IF(ISNUMBER(agent!$O$33*(K83/Z83)*Y83),TRUNC(agent!$O$33*(K83/Z83)*Y83,3),"没有上级")</f>
        <v>92.965999999999994</v>
      </c>
      <c r="X83" s="28"/>
      <c r="Y83">
        <f>TRUNC(0.11,3)</f>
        <v>0.11</v>
      </c>
      <c r="Z83" s="28">
        <f>TRUNC(AB83-(9.9-agent!L$3)*10*Y83,3)</f>
        <v>106.15</v>
      </c>
      <c r="AA83" s="28">
        <f>'5Of11Source'!X$2</f>
        <v>0</v>
      </c>
      <c r="AB83">
        <f t="shared" si="15"/>
        <v>109.89</v>
      </c>
      <c r="AC83" s="28">
        <f>'5Of11Source'!E115</f>
        <v>55</v>
      </c>
      <c r="AD83" s="28">
        <v>99</v>
      </c>
      <c r="AE83" s="28"/>
      <c r="AF83" s="29" t="s">
        <v>142</v>
      </c>
      <c r="AG83" s="28">
        <f>TRUNC(0.0307,3)</f>
        <v>0.03</v>
      </c>
      <c r="AH83" s="27">
        <f>TRUNC(AI83-(9.9-agent!$L$3)*AG83,3)</f>
        <v>9.468</v>
      </c>
      <c r="AI83" s="28">
        <f t="shared" si="16"/>
        <v>9.57</v>
      </c>
    </row>
    <row r="84" spans="4:35" x14ac:dyDescent="0.15">
      <c r="D84" s="28" t="s">
        <v>41</v>
      </c>
      <c r="E84" s="28" t="s">
        <v>51</v>
      </c>
      <c r="F84" s="27" t="str">
        <f>'5Of11Source'!$J$14</f>
        <v>01 02,02 01,05 02,07 08,09 10,11 07</v>
      </c>
      <c r="G84" s="28">
        <f>'5Of11Source'!F88</f>
        <v>2</v>
      </c>
      <c r="H84" s="28">
        <v>1</v>
      </c>
      <c r="I84" s="30">
        <f t="shared" si="7"/>
        <v>20</v>
      </c>
      <c r="J84" s="22">
        <f t="shared" si="13"/>
        <v>0</v>
      </c>
      <c r="K84" s="22">
        <f>'5Of11Source'!L112</f>
        <v>0</v>
      </c>
      <c r="L84" s="28">
        <f t="shared" si="14"/>
        <v>1010595497.0250002</v>
      </c>
      <c r="M84" s="29" t="str">
        <f t="shared" si="17"/>
        <v>03,06,07,08,10</v>
      </c>
      <c r="N84" s="28">
        <f>IF(ISNUMBER(agent!$O$6*(K84/Z84)*Y84),TRUNC(agent!$O$6*(K84/Z84)*Y84,3),"没有上级")</f>
        <v>0</v>
      </c>
      <c r="O84" s="28">
        <f>IF(ISNUMBER(agent!$O$9*(K84/Z84)*Y84),TRUNC(agent!$O$9*(K84/Z84)*Y84,3),"没有上级")</f>
        <v>0</v>
      </c>
      <c r="P84" s="28">
        <f>IF(ISNUMBER(agent!$O$12*(K84/Z84)*Y84),TRUNC(agent!$O$12*(K84/Z84)*Y84,3),"没有上级")</f>
        <v>0</v>
      </c>
      <c r="Q84" s="28">
        <f>IF(ISNUMBER(agent!$O$15*(K84/Z84)*Y84),TRUNC(agent!$O$15*(K84/Z84)*Y84,3),"没有上级")</f>
        <v>0</v>
      </c>
      <c r="R84" s="28">
        <f>IF(ISNUMBER(agent!$O$18*(K84/Z84)*Y84),TRUNC(agent!$O$18*(K84/Z84)*Y84,3),"没有上级")</f>
        <v>0</v>
      </c>
      <c r="S84" s="28">
        <f>IF(ISNUMBER(agent!$O$21*(K84/Z84)*Y84),TRUNC(agent!$O$21*(K84/Z84)*Y84,3),"没有上级")</f>
        <v>0</v>
      </c>
      <c r="T84" s="28">
        <f>IF(ISNUMBER(agent!$O$24*(K84/Z84)*Y84),TRUNC(agent!$O$24*(K84/Z84)*Y84,3),"没有上级")</f>
        <v>0</v>
      </c>
      <c r="U84" s="28">
        <f>IF(ISNUMBER(agent!$O$27*(K84/Z84)*Y84),TRUNC(agent!$O$27*(K84/Z84)*Y84,3),"没有上级")</f>
        <v>0</v>
      </c>
      <c r="V84" s="28">
        <f>IF(ISNUMBER(agent!$O$30*(K84/Z84)*Y84),TRUNC(agent!$O$30*(K84/Z84)*Y84,3),"没有上级")</f>
        <v>0</v>
      </c>
      <c r="W84" s="28">
        <f>IF(ISNUMBER(agent!$O$33*(K84/Z84)*Y84),TRUNC(agent!$O$33*(K84/Z84)*Y84,3),"没有上级")</f>
        <v>0</v>
      </c>
      <c r="X84" s="28"/>
      <c r="Y84">
        <f>TRUNC(0.11,3)</f>
        <v>0.11</v>
      </c>
      <c r="Z84" s="28">
        <f>TRUNC(AB84-(9.9-agent!L$3)*10*Y84,3)</f>
        <v>106.15</v>
      </c>
      <c r="AA84" s="28">
        <f>'5Of11Source'!X$2</f>
        <v>0</v>
      </c>
      <c r="AB84">
        <f t="shared" si="15"/>
        <v>109.89</v>
      </c>
      <c r="AC84" s="28">
        <f>'5Of11Source'!E116</f>
        <v>5</v>
      </c>
      <c r="AD84" s="28">
        <v>99</v>
      </c>
      <c r="AE84" s="28"/>
      <c r="AF84" s="29" t="s">
        <v>143</v>
      </c>
      <c r="AG84" s="28">
        <f>TRUNC(0.924,3)</f>
        <v>0.92400000000000004</v>
      </c>
      <c r="AH84" s="27">
        <f>TRUNC(AI84-(9.9-agent!$L$3)*AG84,3)</f>
        <v>108.134</v>
      </c>
      <c r="AI84" s="28">
        <f t="shared" si="16"/>
        <v>111.276</v>
      </c>
    </row>
    <row r="85" spans="4:35" x14ac:dyDescent="0.15">
      <c r="D85" s="28" t="s">
        <v>41</v>
      </c>
      <c r="E85" s="28" t="s">
        <v>49</v>
      </c>
      <c r="F85" s="27" t="str">
        <f>'5Of11Source'!$J$15</f>
        <v>01,02 03 04 05 06 07 08 09 10 11</v>
      </c>
      <c r="G85" s="28">
        <f>'5Of11Source'!F89</f>
        <v>3</v>
      </c>
      <c r="H85" s="28">
        <v>1</v>
      </c>
      <c r="I85" s="30">
        <f t="shared" si="7"/>
        <v>60</v>
      </c>
      <c r="J85" s="22">
        <f t="shared" si="13"/>
        <v>0</v>
      </c>
      <c r="K85" s="22">
        <f>'5Of11Source'!L113</f>
        <v>0</v>
      </c>
      <c r="L85" s="28">
        <f t="shared" si="14"/>
        <v>1010595437.0250002</v>
      </c>
      <c r="M85" s="29" t="str">
        <f t="shared" si="17"/>
        <v>03,06,07,08,10</v>
      </c>
      <c r="N85" s="28">
        <f>IF(ISNUMBER(agent!$O$6*(K85/Z85)*Y85),TRUNC(agent!$O$6*(K85/Z85)*Y85,3),"没有上级")</f>
        <v>0</v>
      </c>
      <c r="O85" s="28">
        <f>IF(ISNUMBER(agent!$O$9*(K85/Z85)*Y85),TRUNC(agent!$O$9*(K85/Z85)*Y85,3),"没有上级")</f>
        <v>0</v>
      </c>
      <c r="P85" s="28">
        <f>IF(ISNUMBER(agent!$O$12*(K85/Z85)*Y85),TRUNC(agent!$O$12*(K85/Z85)*Y85,3),"没有上级")</f>
        <v>0</v>
      </c>
      <c r="Q85" s="28">
        <f>IF(ISNUMBER(agent!$O$15*(K85/Z85)*Y85),TRUNC(agent!$O$15*(K85/Z85)*Y85,3),"没有上级")</f>
        <v>0</v>
      </c>
      <c r="R85" s="28">
        <f>IF(ISNUMBER(agent!$O$18*(K85/Z85)*Y85),TRUNC(agent!$O$18*(K85/Z85)*Y85,3),"没有上级")</f>
        <v>0</v>
      </c>
      <c r="S85" s="28">
        <f>IF(ISNUMBER(agent!$O$21*(K85/Z85)*Y85),TRUNC(agent!$O$21*(K85/Z85)*Y85,3),"没有上级")</f>
        <v>0</v>
      </c>
      <c r="T85" s="28">
        <f>IF(ISNUMBER(agent!$O$24*(K85/Z85)*Y85),TRUNC(agent!$O$24*(K85/Z85)*Y85,3),"没有上级")</f>
        <v>0</v>
      </c>
      <c r="U85" s="28">
        <f>IF(ISNUMBER(agent!$O$27*(K85/Z85)*Y85),TRUNC(agent!$O$27*(K85/Z85)*Y85,3),"没有上级")</f>
        <v>0</v>
      </c>
      <c r="V85" s="28">
        <f>IF(ISNUMBER(agent!$O$30*(K85/Z85)*Y85),TRUNC(agent!$O$30*(K85/Z85)*Y85,3),"没有上级")</f>
        <v>0</v>
      </c>
      <c r="W85" s="28">
        <f>IF(ISNUMBER(agent!$O$33*(K85/Z85)*Y85),TRUNC(agent!$O$33*(K85/Z85)*Y85,3),"没有上级")</f>
        <v>0</v>
      </c>
      <c r="X85" s="28" t="s">
        <v>10</v>
      </c>
      <c r="Y85">
        <f>TRUNC(0.11,3)</f>
        <v>0.11</v>
      </c>
      <c r="Z85" s="28">
        <f>TRUNC(AB85-(9.9-agent!L$3)*10*Y85,3)</f>
        <v>106.15</v>
      </c>
      <c r="AA85" s="28">
        <f>'5Of11Source'!X$2</f>
        <v>0</v>
      </c>
      <c r="AB85">
        <f t="shared" si="15"/>
        <v>109.89</v>
      </c>
      <c r="AC85" s="28">
        <f>'5Of11Source'!E117</f>
        <v>10</v>
      </c>
      <c r="AD85" s="28">
        <v>99</v>
      </c>
      <c r="AE85" s="28"/>
      <c r="AF85" s="29" t="s">
        <v>144</v>
      </c>
      <c r="AG85" s="28"/>
      <c r="AH85" s="27"/>
      <c r="AI85" s="28"/>
    </row>
    <row r="86" spans="4:35" x14ac:dyDescent="0.15">
      <c r="D86" s="28" t="s">
        <v>56</v>
      </c>
      <c r="E86" s="28" t="s">
        <v>58</v>
      </c>
      <c r="F86" s="27" t="str">
        <f>'5Of11Source'!$J$17</f>
        <v>01 02 03 04 05 06 07 08 09 10 11</v>
      </c>
      <c r="G86" s="28">
        <f>'5Of11Source'!F91</f>
        <v>0</v>
      </c>
      <c r="H86" s="28">
        <v>1</v>
      </c>
      <c r="I86" s="30">
        <f t="shared" si="7"/>
        <v>110</v>
      </c>
      <c r="J86" s="22">
        <f t="shared" si="13"/>
        <v>14271.776999999998</v>
      </c>
      <c r="K86" s="22">
        <f>'5Of11Source'!L114</f>
        <v>423056.40000000008</v>
      </c>
      <c r="L86" s="28">
        <f t="shared" si="14"/>
        <v>1011018383.4250002</v>
      </c>
      <c r="M86" s="29" t="str">
        <f t="shared" si="17"/>
        <v>03,06,07,08,10</v>
      </c>
      <c r="N86" s="28">
        <f>IF(ISNUMBER(agent!$O$6*(K86/Z86)*Y86),TRUNC(agent!$O$6*(K86/Z86)*Y86,3),"没有上级")</f>
        <v>419.75799999999998</v>
      </c>
      <c r="O86" s="28">
        <f>IF(ISNUMBER(agent!$O$9*(K86/Z86)*Y86),TRUNC(agent!$O$9*(K86/Z86)*Y86,3),"没有上级")</f>
        <v>2518.549</v>
      </c>
      <c r="P86" s="28">
        <f>IF(ISNUMBER(agent!$O$12*(K86/Z86)*Y86),TRUNC(agent!$O$12*(K86/Z86)*Y86,3),"没有上级")</f>
        <v>839.51599999999996</v>
      </c>
      <c r="Q86" s="28">
        <f>IF(ISNUMBER(agent!$O$15*(K86/Z86)*Y86),TRUNC(agent!$O$15*(K86/Z86)*Y86,3),"没有上级")</f>
        <v>1679.0329999999999</v>
      </c>
      <c r="R86" s="28">
        <f>IF(ISNUMBER(agent!$O$18*(K86/Z86)*Y86),TRUNC(agent!$O$18*(K86/Z86)*Y86,3),"没有上级")</f>
        <v>1259.2739999999999</v>
      </c>
      <c r="S86" s="28">
        <f>IF(ISNUMBER(agent!$O$21*(K86/Z86)*Y86),TRUNC(agent!$O$21*(K86/Z86)*Y86,3),"没有上级")</f>
        <v>419.75799999999998</v>
      </c>
      <c r="T86" s="28">
        <f>IF(ISNUMBER(agent!$O$24*(K86/Z86)*Y86),TRUNC(agent!$O$24*(K86/Z86)*Y86,3),"没有上级")</f>
        <v>2938.308</v>
      </c>
      <c r="U86" s="28">
        <f>IF(ISNUMBER(agent!$O$27*(K86/Z86)*Y86),TRUNC(agent!$O$27*(K86/Z86)*Y86,3),"没有上级")</f>
        <v>1259.2739999999999</v>
      </c>
      <c r="V86" s="28">
        <f>IF(ISNUMBER(agent!$O$30*(K86/Z86)*Y86),TRUNC(agent!$O$30*(K86/Z86)*Y86,3),"没有上级")</f>
        <v>1679.0329999999999</v>
      </c>
      <c r="W86" s="28">
        <f>IF(ISNUMBER(agent!$O$33*(K86/Z86)*Y86),TRUNC(agent!$O$33*(K86/Z86)*Y86,3),"没有上级")</f>
        <v>1259.2739999999999</v>
      </c>
      <c r="X86" s="28"/>
      <c r="Y86">
        <f>TRUNC(0.0072857,3)</f>
        <v>7.0000000000000001E-3</v>
      </c>
      <c r="Z86" s="28">
        <f>TRUNC(AB86-(9.9-agent!L$3)*10*Y86,3)</f>
        <v>7.0549999999999997</v>
      </c>
      <c r="AA86" s="28">
        <f>'5Of11Source'!X$2</f>
        <v>0</v>
      </c>
      <c r="AB86">
        <f t="shared" si="15"/>
        <v>7.2930000000000001</v>
      </c>
      <c r="AC86" s="28">
        <f>'5Of11Source'!E119</f>
        <v>11</v>
      </c>
      <c r="AD86" s="28">
        <v>6.6</v>
      </c>
      <c r="AE86" s="28"/>
      <c r="AF86" s="19" t="str">
        <f>3&amp;"/"&amp;9</f>
        <v>3/9</v>
      </c>
      <c r="AG86" s="28">
        <f>TRUNC(0.033,3)</f>
        <v>3.3000000000000002E-2</v>
      </c>
      <c r="AH86" s="27">
        <f>TRUNC(AI86-(9.9-agent!$L$3)*AG86,3)</f>
        <v>3.1539999999999999</v>
      </c>
      <c r="AI86" s="28">
        <f>TRUNC(AD126+AG86*99,4)</f>
        <v>3.2669999999999999</v>
      </c>
    </row>
    <row r="87" spans="4:35" ht="40.5" x14ac:dyDescent="0.15">
      <c r="D87" s="28" t="s">
        <v>60</v>
      </c>
      <c r="E87" s="28" t="s">
        <v>61</v>
      </c>
      <c r="F87" s="27" t="str">
        <f>'5Of11Source'!$J$18</f>
        <v>01 02 03 04 05 06 07 08 09 10 11,01 02 03 04 05 06 07 08 09 10 11,01 02 03 04 05 06 07 08 09 10 11</v>
      </c>
      <c r="G87" s="28">
        <f>'5Of11Source'!F92</f>
        <v>3</v>
      </c>
      <c r="H87" s="28">
        <v>1</v>
      </c>
      <c r="I87" s="30">
        <f t="shared" si="7"/>
        <v>132</v>
      </c>
      <c r="J87" s="22">
        <f t="shared" si="13"/>
        <v>6106.7839999999987</v>
      </c>
      <c r="K87" s="22">
        <f>'5Of11Source'!L115</f>
        <v>173325.06000000003</v>
      </c>
      <c r="L87" s="28">
        <f t="shared" si="14"/>
        <v>1011191576.4850001</v>
      </c>
      <c r="M87" s="29" t="str">
        <f t="shared" si="17"/>
        <v>03,06,07,08,10</v>
      </c>
      <c r="N87" s="28">
        <f>IF(ISNUMBER(agent!$O$6*(K87/Z87)*Y87),TRUNC(agent!$O$6*(K87/Z87)*Y87,3),"没有上级")</f>
        <v>179.61099999999999</v>
      </c>
      <c r="O87" s="28">
        <f>IF(ISNUMBER(agent!$O$9*(K87/Z87)*Y87),TRUNC(agent!$O$9*(K87/Z87)*Y87,3),"没有上级")</f>
        <v>1077.6679999999999</v>
      </c>
      <c r="P87" s="28">
        <f>IF(ISNUMBER(agent!$O$12*(K87/Z87)*Y87),TRUNC(agent!$O$12*(K87/Z87)*Y87,3),"没有上级")</f>
        <v>359.22199999999998</v>
      </c>
      <c r="Q87" s="28">
        <f>IF(ISNUMBER(agent!$O$15*(K87/Z87)*Y87),TRUNC(agent!$O$15*(K87/Z87)*Y87,3),"没有上级")</f>
        <v>718.44500000000005</v>
      </c>
      <c r="R87" s="28">
        <f>IF(ISNUMBER(agent!$O$18*(K87/Z87)*Y87),TRUNC(agent!$O$18*(K87/Z87)*Y87,3),"没有上级")</f>
        <v>538.83399999999995</v>
      </c>
      <c r="S87" s="28">
        <f>IF(ISNUMBER(agent!$O$21*(K87/Z87)*Y87),TRUNC(agent!$O$21*(K87/Z87)*Y87,3),"没有上级")</f>
        <v>179.61099999999999</v>
      </c>
      <c r="T87" s="28">
        <f>IF(ISNUMBER(agent!$O$24*(K87/Z87)*Y87),TRUNC(agent!$O$24*(K87/Z87)*Y87,3),"没有上级")</f>
        <v>1257.28</v>
      </c>
      <c r="U87" s="28">
        <f>IF(ISNUMBER(agent!$O$27*(K87/Z87)*Y87),TRUNC(agent!$O$27*(K87/Z87)*Y87,3),"没有上级")</f>
        <v>538.83399999999995</v>
      </c>
      <c r="V87" s="28">
        <f>IF(ISNUMBER(agent!$O$30*(K87/Z87)*Y87),TRUNC(agent!$O$30*(K87/Z87)*Y87,3),"没有上级")</f>
        <v>718.44500000000005</v>
      </c>
      <c r="W87" s="28">
        <f>IF(ISNUMBER(agent!$O$33*(K87/Z87)*Y87),TRUNC(agent!$O$33*(K87/Z87)*Y87,3),"没有上级")</f>
        <v>538.83399999999995</v>
      </c>
      <c r="X87" s="28"/>
      <c r="Y87">
        <f>TRUNC(0.022,3)</f>
        <v>2.1999999999999999E-2</v>
      </c>
      <c r="Z87" s="28">
        <f>TRUNC(AB87-(9.9-agent!L$3)*10*Y87,3)</f>
        <v>21.23</v>
      </c>
      <c r="AA87" s="28">
        <f>'5Of11Source'!X$2</f>
        <v>0</v>
      </c>
      <c r="AB87">
        <f t="shared" si="15"/>
        <v>21.978000000000002</v>
      </c>
      <c r="AC87" s="28">
        <f>'5Of11Source'!E120</f>
        <v>33</v>
      </c>
      <c r="AD87" s="28">
        <v>19.8</v>
      </c>
      <c r="AE87" s="28"/>
      <c r="AF87" s="18" t="str">
        <f>4&amp;"/"&amp;8</f>
        <v>4/8</v>
      </c>
      <c r="AG87" s="28">
        <f>TRUNC(0.01457,3)</f>
        <v>1.4E-2</v>
      </c>
      <c r="AH87" s="27">
        <f>TRUNC(AI87-(9.9-agent!$L$3)*AG87,3)</f>
        <v>5.298</v>
      </c>
      <c r="AI87" s="28">
        <f>TRUNC(AD127+AG87*99,4)</f>
        <v>5.3460000000000001</v>
      </c>
    </row>
    <row r="88" spans="4:35" x14ac:dyDescent="0.15">
      <c r="D88" s="28" t="s">
        <v>63</v>
      </c>
      <c r="E88" s="28" t="s">
        <v>65</v>
      </c>
      <c r="F88" s="27" t="str">
        <f>'5Of11Source'!$J$21</f>
        <v>5单0双 4单1双 3单2双 2单3双 1单4双 0单5双</v>
      </c>
      <c r="G88" s="28">
        <f>'5Of11Source'!F95</f>
        <v>0</v>
      </c>
      <c r="H88" s="28">
        <v>1</v>
      </c>
      <c r="I88" s="30">
        <f t="shared" si="7"/>
        <v>60</v>
      </c>
      <c r="J88" s="22">
        <f t="shared" si="13"/>
        <v>1.02</v>
      </c>
      <c r="K88" s="22">
        <f>'5Of11Source'!L116</f>
        <v>29.65</v>
      </c>
      <c r="L88" s="28">
        <f t="shared" si="14"/>
        <v>1011191546.1350001</v>
      </c>
      <c r="M88" s="29" t="str">
        <f t="shared" si="17"/>
        <v>03,06,07,08,10</v>
      </c>
      <c r="N88" s="28">
        <f>IF(ISNUMBER(agent!$O$6*(K88/Z88)*Y88),TRUNC(agent!$O$6*(K88/Z88)*Y88,3),"没有上级")</f>
        <v>0.03</v>
      </c>
      <c r="O88" s="28">
        <f>IF(ISNUMBER(agent!$O$9*(K88/Z88)*Y88),TRUNC(agent!$O$9*(K88/Z88)*Y88,3),"没有上级")</f>
        <v>0.18</v>
      </c>
      <c r="P88" s="28">
        <f>IF(ISNUMBER(agent!$O$12*(K88/Z88)*Y88),TRUNC(agent!$O$12*(K88/Z88)*Y88,3),"没有上级")</f>
        <v>0.06</v>
      </c>
      <c r="Q88" s="28">
        <f>IF(ISNUMBER(agent!$O$15*(K88/Z88)*Y88),TRUNC(agent!$O$15*(K88/Z88)*Y88,3),"没有上级")</f>
        <v>0.12</v>
      </c>
      <c r="R88" s="28">
        <f>IF(ISNUMBER(agent!$O$18*(K88/Z88)*Y88),TRUNC(agent!$O$18*(K88/Z88)*Y88,3),"没有上级")</f>
        <v>0.09</v>
      </c>
      <c r="S88" s="28">
        <f>IF(ISNUMBER(agent!$O$21*(K88/Z88)*Y88),TRUNC(agent!$O$21*(K88/Z88)*Y88,3),"没有上级")</f>
        <v>0.03</v>
      </c>
      <c r="T88" s="28">
        <f>IF(ISNUMBER(agent!$O$24*(K88/Z88)*Y88),TRUNC(agent!$O$24*(K88/Z88)*Y88,3),"没有上级")</f>
        <v>0.21</v>
      </c>
      <c r="U88" s="28">
        <f>IF(ISNUMBER(agent!$O$27*(K88/Z88)*Y88),TRUNC(agent!$O$27*(K88/Z88)*Y88,3),"没有上级")</f>
        <v>0.09</v>
      </c>
      <c r="V88" s="28">
        <f>IF(ISNUMBER(agent!$O$30*(K88/Z88)*Y88),TRUNC(agent!$O$30*(K88/Z88)*Y88,3),"没有上级")</f>
        <v>0.12</v>
      </c>
      <c r="W88" s="28">
        <f>IF(ISNUMBER(agent!$O$33*(K88/Z88)*Y88),TRUNC(agent!$O$33*(K88/Z88)*Y88,3),"没有上级")</f>
        <v>0.09</v>
      </c>
      <c r="X88" s="28"/>
      <c r="Y88">
        <f>SUM('5Of11Source'!U117:U122)</f>
        <v>6.0000000000000001E-3</v>
      </c>
      <c r="Z88" s="26">
        <f>'5Of11Source'!K123</f>
        <v>5.93</v>
      </c>
      <c r="AA88" s="28">
        <f>'5Of11Source'!X$2</f>
        <v>0</v>
      </c>
      <c r="AC88" s="28">
        <f>'5Of11Source'!E123</f>
        <v>6</v>
      </c>
      <c r="AD88" s="28"/>
      <c r="AE88" s="28"/>
      <c r="AF88" s="18" t="str">
        <f>5&amp;"/"&amp;7</f>
        <v>5/7</v>
      </c>
      <c r="AG88" s="28">
        <f>TRUNC(0.010142857,3)</f>
        <v>0.01</v>
      </c>
      <c r="AH88" s="27">
        <f>TRUNC(AI88-(9.9-agent!$L$3)*AG88,3)</f>
        <v>10.856</v>
      </c>
      <c r="AI88" s="28">
        <f>TRUNC(AD128+AG88*99,4)</f>
        <v>10.89</v>
      </c>
    </row>
    <row r="89" spans="4:35" x14ac:dyDescent="0.15">
      <c r="D89" s="28" t="s">
        <v>63</v>
      </c>
      <c r="E89" s="28" t="s">
        <v>68</v>
      </c>
      <c r="F89" s="27" t="str">
        <f>'5Of11Source'!$J$22</f>
        <v>03 04 05 06 07 08 09</v>
      </c>
      <c r="G89" s="28">
        <f>'5Of11Source'!F96</f>
        <v>5</v>
      </c>
      <c r="H89" s="28">
        <v>1</v>
      </c>
      <c r="I89" s="30">
        <f t="shared" si="7"/>
        <v>28</v>
      </c>
      <c r="J89" s="22">
        <f t="shared" si="13"/>
        <v>0.61199999999999999</v>
      </c>
      <c r="K89" s="22">
        <f>'5Of11Source'!L117</f>
        <v>17.79</v>
      </c>
      <c r="L89" s="28">
        <f t="shared" si="14"/>
        <v>1011191535.9250001</v>
      </c>
      <c r="M89" s="29" t="str">
        <f t="shared" si="17"/>
        <v>03,06,07,08,10</v>
      </c>
      <c r="N89" s="28">
        <f>IF(ISNUMBER(agent!$O$6*(K89/Z89)*Y89),TRUNC(agent!$O$6*(K89/Z89)*Y89,3),"没有上级")</f>
        <v>1.7999999999999999E-2</v>
      </c>
      <c r="O89" s="28">
        <f>IF(ISNUMBER(agent!$O$9*(K89/Z89)*Y89),TRUNC(agent!$O$9*(K89/Z89)*Y89,3),"没有上级")</f>
        <v>0.108</v>
      </c>
      <c r="P89" s="28">
        <f>IF(ISNUMBER(agent!$O$12*(K89/Z89)*Y89),TRUNC(agent!$O$12*(K89/Z89)*Y89,3),"没有上级")</f>
        <v>3.5999999999999997E-2</v>
      </c>
      <c r="Q89" s="28">
        <f>IF(ISNUMBER(agent!$O$15*(K89/Z89)*Y89),TRUNC(agent!$O$15*(K89/Z89)*Y89,3),"没有上级")</f>
        <v>7.1999999999999995E-2</v>
      </c>
      <c r="R89" s="28">
        <f>IF(ISNUMBER(agent!$O$18*(K89/Z89)*Y89),TRUNC(agent!$O$18*(K89/Z89)*Y89,3),"没有上级")</f>
        <v>5.3999999999999999E-2</v>
      </c>
      <c r="S89" s="28">
        <f>IF(ISNUMBER(agent!$O$21*(K89/Z89)*Y89),TRUNC(agent!$O$21*(K89/Z89)*Y89,3),"没有上级")</f>
        <v>1.7999999999999999E-2</v>
      </c>
      <c r="T89" s="28">
        <f>IF(ISNUMBER(agent!$O$24*(K89/Z89)*Y89),TRUNC(agent!$O$24*(K89/Z89)*Y89,3),"没有上级")</f>
        <v>0.126</v>
      </c>
      <c r="U89" s="28">
        <f>IF(ISNUMBER(agent!$O$27*(K89/Z89)*Y89),TRUNC(agent!$O$27*(K89/Z89)*Y89,3),"没有上级")</f>
        <v>5.3999999999999999E-2</v>
      </c>
      <c r="V89" s="28">
        <f>IF(ISNUMBER(agent!$O$30*(K89/Z89)*Y89),TRUNC(agent!$O$30*(K89/Z89)*Y89,3),"没有上级")</f>
        <v>7.1999999999999995E-2</v>
      </c>
      <c r="W89" s="28">
        <f>IF(ISNUMBER(agent!$O$33*(K89/Z89)*Y89),TRUNC(agent!$O$33*(K89/Z89)*Y89,3),"没有上级")</f>
        <v>5.3999999999999999E-2</v>
      </c>
      <c r="X89" s="28" t="s">
        <v>12</v>
      </c>
      <c r="Y89">
        <f>SUM('5Of11Source'!U124:U127)</f>
        <v>8.9999999999999993E-3</v>
      </c>
      <c r="Z89" s="26">
        <f>'5Of11Source'!K124</f>
        <v>8.8949999999999996</v>
      </c>
      <c r="AA89" s="28">
        <f>'5Of11Source'!X$2</f>
        <v>0</v>
      </c>
      <c r="AC89" s="28">
        <f>'5Of11Source'!E124</f>
        <v>7</v>
      </c>
      <c r="AD89" s="28"/>
      <c r="AE89" s="28"/>
      <c r="AF89" s="28">
        <v>6</v>
      </c>
      <c r="AG89" s="28">
        <f>TRUNC(0.0092857,3)</f>
        <v>8.9999999999999993E-3</v>
      </c>
      <c r="AH89" s="27">
        <f>TRUNC(AI89-(9.9-agent!$L$3)*AG89,3)</f>
        <v>30.56</v>
      </c>
      <c r="AI89" s="28">
        <f>TRUNC(AD129+AG89*99,4)</f>
        <v>30.591000000000001</v>
      </c>
    </row>
    <row r="90" spans="4:35" x14ac:dyDescent="0.15">
      <c r="D90" s="28" t="s">
        <v>70</v>
      </c>
      <c r="E90" s="28" t="s">
        <v>72</v>
      </c>
      <c r="F90" s="27" t="str">
        <f>'5Of11Source'!$J$23</f>
        <v>01 02 03 04 05 06 07 08 09 10 11</v>
      </c>
      <c r="G90" s="28">
        <f>'5Of11Source'!F97</f>
        <v>0</v>
      </c>
      <c r="H90" s="28">
        <v>1</v>
      </c>
      <c r="I90" s="30">
        <f t="shared" si="7"/>
        <v>22</v>
      </c>
      <c r="J90" s="22">
        <f t="shared" si="13"/>
        <v>4391.0470000000005</v>
      </c>
      <c r="K90" s="22">
        <f>'5Of11Source'!L118</f>
        <v>136251.80000000002</v>
      </c>
      <c r="L90" s="28">
        <f t="shared" si="14"/>
        <v>1011327765.725</v>
      </c>
      <c r="M90" s="29" t="str">
        <f t="shared" si="17"/>
        <v>03,06,07,08,10</v>
      </c>
      <c r="N90" s="28">
        <f>IF(ISNUMBER(agent!$O$6*(K90/Z90)*Y90),TRUNC(agent!$O$6*(K90/Z90)*Y90,3),"没有上级")</f>
        <v>129.148</v>
      </c>
      <c r="O90" s="28">
        <f>IF(ISNUMBER(agent!$O$9*(K90/Z90)*Y90),TRUNC(agent!$O$9*(K90/Z90)*Y90,3),"没有上级")</f>
        <v>774.89099999999996</v>
      </c>
      <c r="P90" s="28">
        <f>IF(ISNUMBER(agent!$O$12*(K90/Z90)*Y90),TRUNC(agent!$O$12*(K90/Z90)*Y90,3),"没有上级")</f>
        <v>258.29700000000003</v>
      </c>
      <c r="Q90" s="28">
        <f>IF(ISNUMBER(agent!$O$15*(K90/Z90)*Y90),TRUNC(agent!$O$15*(K90/Z90)*Y90,3),"没有上级")</f>
        <v>516.59400000000005</v>
      </c>
      <c r="R90" s="28">
        <f>IF(ISNUMBER(agent!$O$18*(K90/Z90)*Y90),TRUNC(agent!$O$18*(K90/Z90)*Y90,3),"没有上级")</f>
        <v>387.44499999999999</v>
      </c>
      <c r="S90" s="28">
        <f>IF(ISNUMBER(agent!$O$21*(K90/Z90)*Y90),TRUNC(agent!$O$21*(K90/Z90)*Y90,3),"没有上级")</f>
        <v>129.148</v>
      </c>
      <c r="T90" s="28">
        <f>IF(ISNUMBER(agent!$O$24*(K90/Z90)*Y90),TRUNC(agent!$O$24*(K90/Z90)*Y90,3),"没有上级")</f>
        <v>904.04</v>
      </c>
      <c r="U90" s="28">
        <f>IF(ISNUMBER(agent!$O$27*(K90/Z90)*Y90),TRUNC(agent!$O$27*(K90/Z90)*Y90,3),"没有上级")</f>
        <v>387.44499999999999</v>
      </c>
      <c r="V90" s="28">
        <f>IF(ISNUMBER(agent!$O$30*(K90/Z90)*Y90),TRUNC(agent!$O$30*(K90/Z90)*Y90,3),"没有上级")</f>
        <v>516.59400000000005</v>
      </c>
      <c r="W90" s="28">
        <f>IF(ISNUMBER(agent!$O$33*(K90/Z90)*Y90),TRUNC(agent!$O$33*(K90/Z90)*Y90,3),"没有上级")</f>
        <v>387.44499999999999</v>
      </c>
      <c r="X90" s="28"/>
      <c r="Y90">
        <f>TRUNC(0.0042857,3)</f>
        <v>4.0000000000000001E-3</v>
      </c>
      <c r="Z90" s="28">
        <f>TRUNC(AB90-(9.9-agent!L$3)*10*Y90,3)</f>
        <v>4.22</v>
      </c>
      <c r="AA90" s="28">
        <f>'5Of11Source'!X$2</f>
        <v>0</v>
      </c>
      <c r="AB90">
        <f t="shared" ref="AB90:AB112" si="18">TRUNC(AD90+Y90*99,4)</f>
        <v>4.3559999999999999</v>
      </c>
      <c r="AC90" s="28">
        <f>'5Of11Source'!E125</f>
        <v>11</v>
      </c>
      <c r="AD90" s="28">
        <v>3.96</v>
      </c>
      <c r="AE90" s="28"/>
      <c r="AF90" s="28"/>
      <c r="AG90" s="28"/>
      <c r="AH90" s="28"/>
      <c r="AI90" s="28"/>
    </row>
    <row r="91" spans="4:35" x14ac:dyDescent="0.15">
      <c r="D91" s="28" t="s">
        <v>70</v>
      </c>
      <c r="E91" s="28" t="s">
        <v>74</v>
      </c>
      <c r="F91" s="27" t="str">
        <f>'5Of11Source'!$J$24</f>
        <v>01 02 03 04 05 06 07 08 09 10 11</v>
      </c>
      <c r="G91" s="28">
        <f>'5Of11Source'!F98</f>
        <v>5</v>
      </c>
      <c r="H91" s="28">
        <v>1</v>
      </c>
      <c r="I91" s="30">
        <f t="shared" si="7"/>
        <v>220</v>
      </c>
      <c r="J91" s="22">
        <f t="shared" si="13"/>
        <v>19277.120999999999</v>
      </c>
      <c r="K91" s="22">
        <f>'5Of11Source'!L119</f>
        <v>547130.20000000007</v>
      </c>
      <c r="L91" s="28">
        <f t="shared" si="14"/>
        <v>1011874675.9250001</v>
      </c>
      <c r="M91" s="29" t="str">
        <f t="shared" si="17"/>
        <v>03,06,07,08,10</v>
      </c>
      <c r="N91" s="28">
        <f>IF(ISNUMBER(agent!$O$6*(K91/Z91)*Y91),TRUNC(agent!$O$6*(K91/Z91)*Y91,3),"没有上级")</f>
        <v>566.97400000000005</v>
      </c>
      <c r="O91" s="28">
        <f>IF(ISNUMBER(agent!$O$9*(K91/Z91)*Y91),TRUNC(agent!$O$9*(K91/Z91)*Y91,3),"没有上级")</f>
        <v>3401.8449999999998</v>
      </c>
      <c r="P91" s="28">
        <f>IF(ISNUMBER(agent!$O$12*(K91/Z91)*Y91),TRUNC(agent!$O$12*(K91/Z91)*Y91,3),"没有上级")</f>
        <v>1133.9480000000001</v>
      </c>
      <c r="Q91" s="28">
        <f>IF(ISNUMBER(agent!$O$15*(K91/Z91)*Y91),TRUNC(agent!$O$15*(K91/Z91)*Y91,3),"没有上级")</f>
        <v>2267.8969999999999</v>
      </c>
      <c r="R91" s="28">
        <f>IF(ISNUMBER(agent!$O$18*(K91/Z91)*Y91),TRUNC(agent!$O$18*(K91/Z91)*Y91,3),"没有上级")</f>
        <v>1700.922</v>
      </c>
      <c r="S91" s="28">
        <f>IF(ISNUMBER(agent!$O$21*(K91/Z91)*Y91),TRUNC(agent!$O$21*(K91/Z91)*Y91,3),"没有上级")</f>
        <v>566.97400000000005</v>
      </c>
      <c r="T91" s="28">
        <f>IF(ISNUMBER(agent!$O$24*(K91/Z91)*Y91),TRUNC(agent!$O$24*(K91/Z91)*Y91,3),"没有上级")</f>
        <v>3968.82</v>
      </c>
      <c r="U91" s="28">
        <f>IF(ISNUMBER(agent!$O$27*(K91/Z91)*Y91),TRUNC(agent!$O$27*(K91/Z91)*Y91,3),"没有上级")</f>
        <v>1700.922</v>
      </c>
      <c r="V91" s="28">
        <f>IF(ISNUMBER(agent!$O$30*(K91/Z91)*Y91),TRUNC(agent!$O$30*(K91/Z91)*Y91,3),"没有上级")</f>
        <v>2267.8969999999999</v>
      </c>
      <c r="W91" s="28">
        <f>IF(ISNUMBER(agent!$O$33*(K91/Z91)*Y91),TRUNC(agent!$O$33*(K91/Z91)*Y91,3),"没有上级")</f>
        <v>1700.922</v>
      </c>
      <c r="X91" s="28"/>
      <c r="Y91">
        <f>TRUNC(0.011,3)</f>
        <v>1.0999999999999999E-2</v>
      </c>
      <c r="Z91" s="28">
        <f>TRUNC(AB91-(9.9-agent!L$3)*10*Y91,3)</f>
        <v>10.615</v>
      </c>
      <c r="AA91" s="28">
        <f>'5Of11Source'!X$2</f>
        <v>0</v>
      </c>
      <c r="AB91">
        <f t="shared" si="18"/>
        <v>10.989000000000001</v>
      </c>
      <c r="AC91" s="28">
        <f>'5Of11Source'!E126</f>
        <v>55</v>
      </c>
      <c r="AD91" s="28">
        <v>9.9</v>
      </c>
      <c r="AE91" s="28"/>
      <c r="AF91" s="28"/>
      <c r="AG91" s="28"/>
      <c r="AH91" s="28"/>
      <c r="AI91" s="28"/>
    </row>
    <row r="92" spans="4:35" x14ac:dyDescent="0.15">
      <c r="D92" s="28" t="s">
        <v>70</v>
      </c>
      <c r="E92" s="28" t="s">
        <v>76</v>
      </c>
      <c r="F92" s="27" t="str">
        <f>'5Of11Source'!$J$25</f>
        <v>01 02 03 04 05 06 07 08 09 10 11</v>
      </c>
      <c r="G92" s="28">
        <f>'5Of11Source'!F99</f>
        <v>0</v>
      </c>
      <c r="H92" s="28">
        <v>1</v>
      </c>
      <c r="I92" s="30">
        <f t="shared" si="7"/>
        <v>990</v>
      </c>
      <c r="J92" s="22">
        <f t="shared" si="13"/>
        <v>29638.401999999995</v>
      </c>
      <c r="K92" s="22">
        <f>'5Of11Source'!L120</f>
        <v>841207.80000000016</v>
      </c>
      <c r="L92" s="28">
        <f t="shared" si="14"/>
        <v>1012714893.725</v>
      </c>
      <c r="M92" s="29" t="str">
        <f t="shared" si="17"/>
        <v>03,06,07,08,10</v>
      </c>
      <c r="N92" s="28">
        <f>IF(ISNUMBER(agent!$O$6*(K92/Z92)*Y92),TRUNC(agent!$O$6*(K92/Z92)*Y92,3),"没有上级")</f>
        <v>871.71699999999998</v>
      </c>
      <c r="O92" s="28">
        <f>IF(ISNUMBER(agent!$O$9*(K92/Z92)*Y92),TRUNC(agent!$O$9*(K92/Z92)*Y92,3),"没有上级")</f>
        <v>5230.3069999999998</v>
      </c>
      <c r="P92" s="28">
        <f>IF(ISNUMBER(agent!$O$12*(K92/Z92)*Y92),TRUNC(agent!$O$12*(K92/Z92)*Y92,3),"没有上级")</f>
        <v>1743.4349999999999</v>
      </c>
      <c r="Q92" s="28">
        <f>IF(ISNUMBER(agent!$O$15*(K92/Z92)*Y92),TRUNC(agent!$O$15*(K92/Z92)*Y92,3),"没有上级")</f>
        <v>3486.8710000000001</v>
      </c>
      <c r="R92" s="28">
        <f>IF(ISNUMBER(agent!$O$18*(K92/Z92)*Y92),TRUNC(agent!$O$18*(K92/Z92)*Y92,3),"没有上级")</f>
        <v>2615.1529999999998</v>
      </c>
      <c r="S92" s="28">
        <f>IF(ISNUMBER(agent!$O$21*(K92/Z92)*Y92),TRUNC(agent!$O$21*(K92/Z92)*Y92,3),"没有上级")</f>
        <v>871.71699999999998</v>
      </c>
      <c r="T92" s="28">
        <f>IF(ISNUMBER(agent!$O$24*(K92/Z92)*Y92),TRUNC(agent!$O$24*(K92/Z92)*Y92,3),"没有上级")</f>
        <v>6102.0249999999996</v>
      </c>
      <c r="U92" s="28">
        <f>IF(ISNUMBER(agent!$O$27*(K92/Z92)*Y92),TRUNC(agent!$O$27*(K92/Z92)*Y92,3),"没有上级")</f>
        <v>2615.1529999999998</v>
      </c>
      <c r="V92" s="28">
        <f>IF(ISNUMBER(agent!$O$30*(K92/Z92)*Y92),TRUNC(agent!$O$30*(K92/Z92)*Y92,3),"没有上级")</f>
        <v>3486.8710000000001</v>
      </c>
      <c r="W92" s="28">
        <f>IF(ISNUMBER(agent!$O$33*(K92/Z92)*Y92),TRUNC(agent!$O$33*(K92/Z92)*Y92,3),"没有上级")</f>
        <v>2615.1529999999998</v>
      </c>
      <c r="X92" s="28"/>
      <c r="Y92">
        <f>TRUNC(0.033,3)</f>
        <v>3.3000000000000002E-2</v>
      </c>
      <c r="Z92" s="28">
        <f>TRUNC(AB92-(9.9-agent!L$3)*10*Y92,3)</f>
        <v>31.844999999999999</v>
      </c>
      <c r="AA92" s="28">
        <f>'5Of11Source'!X$2</f>
        <v>0</v>
      </c>
      <c r="AB92">
        <f t="shared" si="18"/>
        <v>32.966999999999999</v>
      </c>
      <c r="AC92" s="28">
        <f>'5Of11Source'!E127</f>
        <v>165</v>
      </c>
      <c r="AD92" s="28">
        <v>29.7</v>
      </c>
      <c r="AE92" s="28"/>
      <c r="AF92" s="28"/>
      <c r="AG92" s="28"/>
      <c r="AH92" s="28"/>
      <c r="AI92" s="28"/>
    </row>
    <row r="93" spans="4:35" x14ac:dyDescent="0.15">
      <c r="D93" s="28" t="s">
        <v>70</v>
      </c>
      <c r="E93" s="28" t="s">
        <v>78</v>
      </c>
      <c r="F93" s="27" t="str">
        <f>'5Of11Source'!$J$26</f>
        <v>01 02 03 04 05 06 07 08 09 10 11</v>
      </c>
      <c r="G93" s="28">
        <f>'5Of11Source'!F100</f>
        <v>4</v>
      </c>
      <c r="H93" s="28">
        <v>1</v>
      </c>
      <c r="I93" s="30">
        <f t="shared" si="7"/>
        <v>3300</v>
      </c>
      <c r="J93" s="22">
        <f t="shared" si="13"/>
        <v>23985.479999999996</v>
      </c>
      <c r="K93" s="22">
        <f>'5Of11Source'!L121</f>
        <v>680764.50000000012</v>
      </c>
      <c r="L93" s="28">
        <f t="shared" si="14"/>
        <v>1013392358.225</v>
      </c>
      <c r="M93" s="29" t="str">
        <f t="shared" si="17"/>
        <v>03,06,07,08,10</v>
      </c>
      <c r="N93" s="28">
        <f>IF(ISNUMBER(agent!$O$6*(K93/Z93)*Y93),TRUNC(agent!$O$6*(K93/Z93)*Y93,3),"没有上级")</f>
        <v>705.45500000000004</v>
      </c>
      <c r="O93" s="28">
        <f>IF(ISNUMBER(agent!$O$9*(K93/Z93)*Y93),TRUNC(agent!$O$9*(K93/Z93)*Y93,3),"没有上级")</f>
        <v>4232.732</v>
      </c>
      <c r="P93" s="28">
        <f>IF(ISNUMBER(agent!$O$12*(K93/Z93)*Y93),TRUNC(agent!$O$12*(K93/Z93)*Y93,3),"没有上级")</f>
        <v>1410.91</v>
      </c>
      <c r="Q93" s="28">
        <f>IF(ISNUMBER(agent!$O$15*(K93/Z93)*Y93),TRUNC(agent!$O$15*(K93/Z93)*Y93,3),"没有上级")</f>
        <v>2821.8209999999999</v>
      </c>
      <c r="R93" s="28">
        <f>IF(ISNUMBER(agent!$O$18*(K93/Z93)*Y93),TRUNC(agent!$O$18*(K93/Z93)*Y93,3),"没有上级")</f>
        <v>2116.366</v>
      </c>
      <c r="S93" s="28">
        <f>IF(ISNUMBER(agent!$O$21*(K93/Z93)*Y93),TRUNC(agent!$O$21*(K93/Z93)*Y93,3),"没有上级")</f>
        <v>705.45500000000004</v>
      </c>
      <c r="T93" s="28">
        <f>IF(ISNUMBER(agent!$O$24*(K93/Z93)*Y93),TRUNC(agent!$O$24*(K93/Z93)*Y93,3),"没有上级")</f>
        <v>4938.1880000000001</v>
      </c>
      <c r="U93" s="28">
        <f>IF(ISNUMBER(agent!$O$27*(K93/Z93)*Y93),TRUNC(agent!$O$27*(K93/Z93)*Y93,3),"没有上级")</f>
        <v>2116.366</v>
      </c>
      <c r="V93" s="28">
        <f>IF(ISNUMBER(agent!$O$30*(K93/Z93)*Y93),TRUNC(agent!$O$30*(K93/Z93)*Y93,3),"没有上级")</f>
        <v>2821.8209999999999</v>
      </c>
      <c r="W93" s="28">
        <f>IF(ISNUMBER(agent!$O$33*(K93/Z93)*Y93),TRUNC(agent!$O$33*(K93/Z93)*Y93,3),"没有上级")</f>
        <v>2116.366</v>
      </c>
      <c r="X93" s="28" t="s">
        <v>10</v>
      </c>
      <c r="Y93">
        <f>TRUNC(0.132,3)</f>
        <v>0.13200000000000001</v>
      </c>
      <c r="Z93" s="28">
        <f>TRUNC(AB93-(9.9-agent!L$3)*10*Y93,3)</f>
        <v>127.38</v>
      </c>
      <c r="AA93" s="28">
        <f>'5Of11Source'!X$2</f>
        <v>0</v>
      </c>
      <c r="AB93">
        <f t="shared" si="18"/>
        <v>131.86799999999999</v>
      </c>
      <c r="AC93" s="28">
        <f>'5Of11Source'!E128</f>
        <v>330</v>
      </c>
      <c r="AD93" s="28">
        <v>118.8</v>
      </c>
      <c r="AE93" s="28"/>
      <c r="AF93" s="28"/>
      <c r="AG93" s="28"/>
      <c r="AH93" s="28"/>
      <c r="AI93" s="28"/>
    </row>
    <row r="94" spans="4:35" x14ac:dyDescent="0.15">
      <c r="D94" s="28" t="s">
        <v>70</v>
      </c>
      <c r="E94" s="28" t="s">
        <v>80</v>
      </c>
      <c r="F94" s="27" t="str">
        <f>'5Of11Source'!$J$27</f>
        <v>01 02 03 04 05 06 07 08 09 10 11</v>
      </c>
      <c r="G94" s="28">
        <f>'5Of11Source'!F101</f>
        <v>0</v>
      </c>
      <c r="H94" s="28">
        <v>1</v>
      </c>
      <c r="I94" s="30">
        <f t="shared" si="7"/>
        <v>3695.9999999999995</v>
      </c>
      <c r="J94" s="22">
        <f t="shared" si="13"/>
        <v>3700.1559999999999</v>
      </c>
      <c r="K94" s="22">
        <f>'5Of11Source'!L122</f>
        <v>105019.28</v>
      </c>
      <c r="L94" s="28">
        <f t="shared" si="14"/>
        <v>1013493681.505</v>
      </c>
      <c r="M94" s="29" t="str">
        <f t="shared" si="17"/>
        <v>03,06,07,08,10</v>
      </c>
      <c r="N94" s="28">
        <f>IF(ISNUMBER(agent!$O$6*(K94/Z94)*Y94),TRUNC(agent!$O$6*(K94/Z94)*Y94,3),"没有上级")</f>
        <v>108.828</v>
      </c>
      <c r="O94" s="28">
        <f>IF(ISNUMBER(agent!$O$9*(K94/Z94)*Y94),TRUNC(agent!$O$9*(K94/Z94)*Y94,3),"没有上级")</f>
        <v>652.96900000000005</v>
      </c>
      <c r="P94" s="28">
        <f>IF(ISNUMBER(agent!$O$12*(K94/Z94)*Y94),TRUNC(agent!$O$12*(K94/Z94)*Y94,3),"没有上级")</f>
        <v>217.65600000000001</v>
      </c>
      <c r="Q94" s="28">
        <f>IF(ISNUMBER(agent!$O$15*(K94/Z94)*Y94),TRUNC(agent!$O$15*(K94/Z94)*Y94,3),"没有上级")</f>
        <v>435.31299999999999</v>
      </c>
      <c r="R94" s="28">
        <f>IF(ISNUMBER(agent!$O$18*(K94/Z94)*Y94),TRUNC(agent!$O$18*(K94/Z94)*Y94,3),"没有上级")</f>
        <v>326.48399999999998</v>
      </c>
      <c r="S94" s="28">
        <f>IF(ISNUMBER(agent!$O$21*(K94/Z94)*Y94),TRUNC(agent!$O$21*(K94/Z94)*Y94,3),"没有上级")</f>
        <v>108.828</v>
      </c>
      <c r="T94" s="28">
        <f>IF(ISNUMBER(agent!$O$24*(K94/Z94)*Y94),TRUNC(agent!$O$24*(K94/Z94)*Y94,3),"没有上级")</f>
        <v>761.79700000000003</v>
      </c>
      <c r="U94" s="28">
        <f>IF(ISNUMBER(agent!$O$27*(K94/Z94)*Y94),TRUNC(agent!$O$27*(K94/Z94)*Y94,3),"没有上级")</f>
        <v>326.48399999999998</v>
      </c>
      <c r="V94" s="28">
        <f>IF(ISNUMBER(agent!$O$30*(K94/Z94)*Y94),TRUNC(agent!$O$30*(K94/Z94)*Y94,3),"没有上级")</f>
        <v>435.31299999999999</v>
      </c>
      <c r="W94" s="28">
        <f>IF(ISNUMBER(agent!$O$33*(K94/Z94)*Y94),TRUNC(agent!$O$33*(K94/Z94)*Y94,3),"没有上级")</f>
        <v>326.48399999999998</v>
      </c>
      <c r="X94" s="28"/>
      <c r="Y94">
        <f>TRUNC(0.924,3)</f>
        <v>0.92400000000000004</v>
      </c>
      <c r="Z94" s="28">
        <f>TRUNC(AB94-(9.9-agent!L$3)*10*Y94,3)</f>
        <v>891.66</v>
      </c>
      <c r="AA94" s="28">
        <f>'5Of11Source'!X$2</f>
        <v>0</v>
      </c>
      <c r="AB94">
        <f t="shared" si="18"/>
        <v>923.07600000000002</v>
      </c>
      <c r="AC94" s="28">
        <f>'5Of11Source'!E129</f>
        <v>461.99999999999994</v>
      </c>
      <c r="AD94" s="28">
        <v>831.6</v>
      </c>
      <c r="AE94" s="28"/>
      <c r="AF94" s="28"/>
      <c r="AG94" s="28"/>
      <c r="AH94" s="28"/>
      <c r="AI94" s="28"/>
    </row>
    <row r="95" spans="4:35" x14ac:dyDescent="0.15">
      <c r="D95" s="28" t="s">
        <v>70</v>
      </c>
      <c r="E95" s="28" t="s">
        <v>82</v>
      </c>
      <c r="F95" s="27" t="str">
        <f>'5Of11Source'!$J$28</f>
        <v>01 02 03 04 05 06 07 08 09 10 11</v>
      </c>
      <c r="G95" s="28">
        <f>'5Of11Source'!F102</f>
        <v>3</v>
      </c>
      <c r="H95" s="28">
        <v>1</v>
      </c>
      <c r="I95" s="30">
        <f t="shared" si="7"/>
        <v>3695.9999999999995</v>
      </c>
      <c r="J95" s="22">
        <f t="shared" si="13"/>
        <v>22321.376</v>
      </c>
      <c r="K95" s="22">
        <f>'5Of11Source'!L123</f>
        <v>633533.28</v>
      </c>
      <c r="L95" s="28">
        <f t="shared" si="14"/>
        <v>1014123518.785</v>
      </c>
      <c r="M95" s="29" t="str">
        <f t="shared" si="17"/>
        <v>03,06,07,08,10</v>
      </c>
      <c r="N95" s="28">
        <f>IF(ISNUMBER(agent!$O$6*(K95/Z95)*Y95),TRUNC(agent!$O$6*(K95/Z95)*Y95,3),"没有上级")</f>
        <v>656.51099999999997</v>
      </c>
      <c r="O95" s="28">
        <f>IF(ISNUMBER(agent!$O$9*(K95/Z95)*Y95),TRUNC(agent!$O$9*(K95/Z95)*Y95,3),"没有上级")</f>
        <v>3939.067</v>
      </c>
      <c r="P95" s="28">
        <f>IF(ISNUMBER(agent!$O$12*(K95/Z95)*Y95),TRUNC(agent!$O$12*(K95/Z95)*Y95,3),"没有上级")</f>
        <v>1313.0219999999999</v>
      </c>
      <c r="Q95" s="28">
        <f>IF(ISNUMBER(agent!$O$15*(K95/Z95)*Y95),TRUNC(agent!$O$15*(K95/Z95)*Y95,3),"没有上级")</f>
        <v>2626.0439999999999</v>
      </c>
      <c r="R95" s="28">
        <f>IF(ISNUMBER(agent!$O$18*(K95/Z95)*Y95),TRUNC(agent!$O$18*(K95/Z95)*Y95,3),"没有上级")</f>
        <v>1969.5329999999999</v>
      </c>
      <c r="S95" s="28">
        <f>IF(ISNUMBER(agent!$O$21*(K95/Z95)*Y95),TRUNC(agent!$O$21*(K95/Z95)*Y95,3),"没有上级")</f>
        <v>656.51099999999997</v>
      </c>
      <c r="T95" s="28">
        <f>IF(ISNUMBER(agent!$O$24*(K95/Z95)*Y95),TRUNC(agent!$O$24*(K95/Z95)*Y95,3),"没有上级")</f>
        <v>4595.5780000000004</v>
      </c>
      <c r="U95" s="28">
        <f>IF(ISNUMBER(agent!$O$27*(K95/Z95)*Y95),TRUNC(agent!$O$27*(K95/Z95)*Y95,3),"没有上级")</f>
        <v>1969.5329999999999</v>
      </c>
      <c r="V95" s="28">
        <f>IF(ISNUMBER(agent!$O$30*(K95/Z95)*Y95),TRUNC(agent!$O$30*(K95/Z95)*Y95,3),"没有上级")</f>
        <v>2626.0439999999999</v>
      </c>
      <c r="W95" s="28">
        <f>IF(ISNUMBER(agent!$O$33*(K95/Z95)*Y95),TRUNC(agent!$O$33*(K95/Z95)*Y95,3),"没有上级")</f>
        <v>1969.5329999999999</v>
      </c>
      <c r="X95" s="28"/>
      <c r="Y95">
        <f>TRUNC(0.154,3)</f>
        <v>0.154</v>
      </c>
      <c r="Z95" s="28">
        <f>TRUNC(AB95-(9.9-agent!L$3)*10*Y95,3)</f>
        <v>148.61000000000001</v>
      </c>
      <c r="AA95" s="28">
        <f>'5Of11Source'!X$2</f>
        <v>0</v>
      </c>
      <c r="AB95">
        <f t="shared" si="18"/>
        <v>153.846</v>
      </c>
      <c r="AC95" s="28">
        <f>'5Of11Source'!E130</f>
        <v>461.99999999999994</v>
      </c>
      <c r="AD95" s="28">
        <v>138.6</v>
      </c>
      <c r="AE95" s="28"/>
      <c r="AF95" s="28"/>
      <c r="AG95" s="28"/>
      <c r="AH95" s="28"/>
      <c r="AI95" s="28"/>
    </row>
    <row r="96" spans="4:35" x14ac:dyDescent="0.15">
      <c r="D96" s="28" t="s">
        <v>70</v>
      </c>
      <c r="E96" s="28" t="s">
        <v>84</v>
      </c>
      <c r="F96" s="27" t="str">
        <f>'5Of11Source'!$J$29</f>
        <v>01 02 03 04 05 06 07 08 09 10 11</v>
      </c>
      <c r="G96" s="28">
        <f>'5Of11Source'!F103</f>
        <v>0</v>
      </c>
      <c r="H96" s="28">
        <v>1</v>
      </c>
      <c r="I96" s="30">
        <f t="shared" si="7"/>
        <v>1980</v>
      </c>
      <c r="J96" s="22">
        <f t="shared" si="13"/>
        <v>41625.222999999991</v>
      </c>
      <c r="K96" s="22">
        <f>'5Of11Source'!L124</f>
        <v>1181421.8999999999</v>
      </c>
      <c r="L96" s="28">
        <f t="shared" si="14"/>
        <v>1015302960.6849999</v>
      </c>
      <c r="M96" s="29" t="str">
        <f t="shared" si="17"/>
        <v>03,06,07,08,10</v>
      </c>
      <c r="N96" s="28">
        <f>IF(ISNUMBER(agent!$O$6*(K96/Z96)*Y96),TRUNC(agent!$O$6*(K96/Z96)*Y96,3),"没有上级")</f>
        <v>1224.271</v>
      </c>
      <c r="O96" s="28">
        <f>IF(ISNUMBER(agent!$O$9*(K96/Z96)*Y96),TRUNC(agent!$O$9*(K96/Z96)*Y96,3),"没有上级")</f>
        <v>7345.6279999999997</v>
      </c>
      <c r="P96" s="28">
        <f>IF(ISNUMBER(agent!$O$12*(K96/Z96)*Y96),TRUNC(agent!$O$12*(K96/Z96)*Y96,3),"没有上级")</f>
        <v>2448.5419999999999</v>
      </c>
      <c r="Q96" s="28">
        <f>IF(ISNUMBER(agent!$O$15*(K96/Z96)*Y96),TRUNC(agent!$O$15*(K96/Z96)*Y96,3),"没有上级")</f>
        <v>4897.085</v>
      </c>
      <c r="R96" s="28">
        <f>IF(ISNUMBER(agent!$O$18*(K96/Z96)*Y96),TRUNC(agent!$O$18*(K96/Z96)*Y96,3),"没有上级")</f>
        <v>3672.8139999999999</v>
      </c>
      <c r="S96" s="28">
        <f>IF(ISNUMBER(agent!$O$21*(K96/Z96)*Y96),TRUNC(agent!$O$21*(K96/Z96)*Y96,3),"没有上级")</f>
        <v>1224.271</v>
      </c>
      <c r="T96" s="28">
        <f>IF(ISNUMBER(agent!$O$24*(K96/Z96)*Y96),TRUNC(agent!$O$24*(K96/Z96)*Y96,3),"没有上级")</f>
        <v>8569.8989999999994</v>
      </c>
      <c r="U96" s="28">
        <f>IF(ISNUMBER(agent!$O$27*(K96/Z96)*Y96),TRUNC(agent!$O$27*(K96/Z96)*Y96,3),"没有上级")</f>
        <v>3672.8139999999999</v>
      </c>
      <c r="V96" s="28">
        <f>IF(ISNUMBER(agent!$O$30*(K96/Z96)*Y96),TRUNC(agent!$O$30*(K96/Z96)*Y96,3),"没有上级")</f>
        <v>4897.085</v>
      </c>
      <c r="W96" s="28">
        <f>IF(ISNUMBER(agent!$O$33*(K96/Z96)*Y96),TRUNC(agent!$O$33*(K96/Z96)*Y96,3),"没有上级")</f>
        <v>3672.8139999999999</v>
      </c>
      <c r="X96" s="28"/>
      <c r="Y96">
        <f>TRUNC(0.044,3)</f>
        <v>4.3999999999999997E-2</v>
      </c>
      <c r="Z96" s="28">
        <f>TRUNC(AB96-(9.9-agent!L$3)*10*Y96,3)</f>
        <v>42.46</v>
      </c>
      <c r="AA96" s="28">
        <f>'5Of11Source'!X$2</f>
        <v>0</v>
      </c>
      <c r="AB96">
        <f t="shared" si="18"/>
        <v>43.956000000000003</v>
      </c>
      <c r="AC96" s="28">
        <f>'5Of11Source'!E131</f>
        <v>330</v>
      </c>
      <c r="AD96" s="28">
        <v>39.6</v>
      </c>
      <c r="AE96" s="28"/>
      <c r="AF96" s="28"/>
      <c r="AG96" s="28"/>
      <c r="AH96" s="28"/>
      <c r="AI96" s="28"/>
    </row>
    <row r="97" spans="4:35" x14ac:dyDescent="0.15">
      <c r="D97" s="28" t="s">
        <v>70</v>
      </c>
      <c r="E97" s="28" t="s">
        <v>86</v>
      </c>
      <c r="F97" s="27" t="str">
        <f>'5Of11Source'!$J$30</f>
        <v>01 02 03 04 05 06 07 08 09 10 11</v>
      </c>
      <c r="G97" s="28">
        <f>'5Of11Source'!F104</f>
        <v>2</v>
      </c>
      <c r="H97" s="28">
        <v>1</v>
      </c>
      <c r="I97" s="30">
        <f t="shared" si="7"/>
        <v>990</v>
      </c>
      <c r="J97" s="22">
        <f t="shared" si="13"/>
        <v>54005.064999999995</v>
      </c>
      <c r="K97" s="22">
        <f>'5Of11Source'!L125</f>
        <v>1577464.2</v>
      </c>
      <c r="L97" s="28">
        <f t="shared" si="14"/>
        <v>1016879434.885</v>
      </c>
      <c r="M97" s="29" t="str">
        <f t="shared" si="17"/>
        <v>03,06,07,08,10</v>
      </c>
      <c r="N97" s="28">
        <f>IF(ISNUMBER(agent!$O$6*(K97/Z97)*Y97),TRUNC(agent!$O$6*(K97/Z97)*Y97,3),"没有上级")</f>
        <v>1588.384</v>
      </c>
      <c r="O97" s="28">
        <f>IF(ISNUMBER(agent!$O$9*(K97/Z97)*Y97),TRUNC(agent!$O$9*(K97/Z97)*Y97,3),"没有上级")</f>
        <v>9530.3060000000005</v>
      </c>
      <c r="P97" s="28">
        <f>IF(ISNUMBER(agent!$O$12*(K97/Z97)*Y97),TRUNC(agent!$O$12*(K97/Z97)*Y97,3),"没有上级")</f>
        <v>3176.768</v>
      </c>
      <c r="Q97" s="28">
        <f>IF(ISNUMBER(agent!$O$15*(K97/Z97)*Y97),TRUNC(agent!$O$15*(K97/Z97)*Y97,3),"没有上级")</f>
        <v>6353.5370000000003</v>
      </c>
      <c r="R97" s="28">
        <f>IF(ISNUMBER(agent!$O$18*(K97/Z97)*Y97),TRUNC(agent!$O$18*(K97/Z97)*Y97,3),"没有上级")</f>
        <v>4765.1530000000002</v>
      </c>
      <c r="S97" s="28">
        <f>IF(ISNUMBER(agent!$O$21*(K97/Z97)*Y97),TRUNC(agent!$O$21*(K97/Z97)*Y97,3),"没有上级")</f>
        <v>1588.384</v>
      </c>
      <c r="T97" s="28">
        <f>IF(ISNUMBER(agent!$O$24*(K97/Z97)*Y97),TRUNC(agent!$O$24*(K97/Z97)*Y97,3),"没有上级")</f>
        <v>11118.69</v>
      </c>
      <c r="U97" s="28">
        <f>IF(ISNUMBER(agent!$O$27*(K97/Z97)*Y97),TRUNC(agent!$O$27*(K97/Z97)*Y97,3),"没有上级")</f>
        <v>4765.1530000000002</v>
      </c>
      <c r="V97" s="28">
        <f>IF(ISNUMBER(agent!$O$30*(K97/Z97)*Y97),TRUNC(agent!$O$30*(K97/Z97)*Y97,3),"没有上级")</f>
        <v>6353.5370000000003</v>
      </c>
      <c r="W97" s="28">
        <f>IF(ISNUMBER(agent!$O$33*(K97/Z97)*Y97),TRUNC(agent!$O$33*(K97/Z97)*Y97,3),"没有上级")</f>
        <v>4765.1530000000002</v>
      </c>
      <c r="X97" s="28" t="s">
        <v>12</v>
      </c>
      <c r="Y97">
        <f>TRUNC(0.01642857,3)</f>
        <v>1.6E-2</v>
      </c>
      <c r="Z97" s="28">
        <f>TRUNC(AB97-(9.9-agent!L$3)*10*Y97,3)</f>
        <v>15.89</v>
      </c>
      <c r="AA97" s="28">
        <f>'5Of11Source'!X$2</f>
        <v>0</v>
      </c>
      <c r="AB97">
        <f t="shared" si="18"/>
        <v>16.434000000000001</v>
      </c>
      <c r="AC97" s="28">
        <f>'5Of11Source'!E132</f>
        <v>165</v>
      </c>
      <c r="AD97" s="28">
        <v>14.85</v>
      </c>
      <c r="AE97" s="28"/>
      <c r="AF97" s="28"/>
      <c r="AG97" s="28"/>
      <c r="AH97" s="28"/>
      <c r="AI97" s="28"/>
    </row>
    <row r="98" spans="4:35" x14ac:dyDescent="0.15">
      <c r="D98" s="28" t="s">
        <v>96</v>
      </c>
      <c r="E98" s="28" t="s">
        <v>72</v>
      </c>
      <c r="F98" s="27" t="str">
        <f>'5Of11Source'!$J$31</f>
        <v>01,02,03,04,05,06,07,08,09,10,11</v>
      </c>
      <c r="G98" s="28">
        <f>'5Of11Source'!F105</f>
        <v>0</v>
      </c>
      <c r="H98" s="28">
        <v>1</v>
      </c>
      <c r="I98" s="30">
        <f t="shared" si="7"/>
        <v>88</v>
      </c>
      <c r="J98" s="22">
        <f t="shared" si="13"/>
        <v>16375.794000000002</v>
      </c>
      <c r="K98" s="22">
        <f>'5Of11Source'!L126</f>
        <v>508131.4</v>
      </c>
      <c r="L98" s="28">
        <f t="shared" si="14"/>
        <v>1017387478.285</v>
      </c>
      <c r="M98" s="29" t="str">
        <f t="shared" si="17"/>
        <v>03,06,07,08,10</v>
      </c>
      <c r="N98" s="28">
        <f>IF(ISNUMBER(agent!$O$6*(K98/Z98)*Y98),TRUNC(agent!$O$6*(K98/Z98)*Y98,3),"没有上级")</f>
        <v>481.64100000000002</v>
      </c>
      <c r="O98" s="28">
        <f>IF(ISNUMBER(agent!$O$9*(K98/Z98)*Y98),TRUNC(agent!$O$9*(K98/Z98)*Y98,3),"没有上级")</f>
        <v>2889.846</v>
      </c>
      <c r="P98" s="28">
        <f>IF(ISNUMBER(agent!$O$12*(K98/Z98)*Y98),TRUNC(agent!$O$12*(K98/Z98)*Y98,3),"没有上级")</f>
        <v>963.28200000000004</v>
      </c>
      <c r="Q98" s="28">
        <f>IF(ISNUMBER(agent!$O$15*(K98/Z98)*Y98),TRUNC(agent!$O$15*(K98/Z98)*Y98,3),"没有上级")</f>
        <v>1926.5640000000001</v>
      </c>
      <c r="R98" s="28">
        <f>IF(ISNUMBER(agent!$O$18*(K98/Z98)*Y98),TRUNC(agent!$O$18*(K98/Z98)*Y98,3),"没有上级")</f>
        <v>1444.923</v>
      </c>
      <c r="S98" s="28">
        <f>IF(ISNUMBER(agent!$O$21*(K98/Z98)*Y98),TRUNC(agent!$O$21*(K98/Z98)*Y98,3),"没有上级")</f>
        <v>481.64100000000002</v>
      </c>
      <c r="T98" s="28">
        <f>IF(ISNUMBER(agent!$O$24*(K98/Z98)*Y98),TRUNC(agent!$O$24*(K98/Z98)*Y98,3),"没有上级")</f>
        <v>3371.4870000000001</v>
      </c>
      <c r="U98" s="28">
        <f>IF(ISNUMBER(agent!$O$27*(K98/Z98)*Y98),TRUNC(agent!$O$27*(K98/Z98)*Y98,3),"没有上级")</f>
        <v>1444.923</v>
      </c>
      <c r="V98" s="28">
        <f>IF(ISNUMBER(agent!$O$30*(K98/Z98)*Y98),TRUNC(agent!$O$30*(K98/Z98)*Y98,3),"没有上级")</f>
        <v>1926.5640000000001</v>
      </c>
      <c r="W98" s="28">
        <f>IF(ISNUMBER(agent!$O$33*(K98/Z98)*Y98),TRUNC(agent!$O$33*(K98/Z98)*Y98,3),"没有上级")</f>
        <v>1444.923</v>
      </c>
      <c r="X98" s="28"/>
      <c r="Y98">
        <f>TRUNC(0.0042857,3)</f>
        <v>4.0000000000000001E-3</v>
      </c>
      <c r="Z98" s="28">
        <f>TRUNC(AB98-(9.9-agent!L$3)*10*Y98,3)</f>
        <v>4.22</v>
      </c>
      <c r="AA98" s="28">
        <f>'5Of11Source'!X$2</f>
        <v>0</v>
      </c>
      <c r="AB98">
        <f t="shared" si="18"/>
        <v>4.3559999999999999</v>
      </c>
      <c r="AC98" s="28">
        <f>'5Of11Source'!E133</f>
        <v>11</v>
      </c>
      <c r="AD98" s="28">
        <v>3.96</v>
      </c>
      <c r="AE98" s="28"/>
      <c r="AF98" s="28"/>
      <c r="AG98" s="28"/>
      <c r="AH98" s="28"/>
      <c r="AI98" s="28"/>
    </row>
    <row r="99" spans="4:35" x14ac:dyDescent="0.15">
      <c r="D99" s="28" t="s">
        <v>96</v>
      </c>
      <c r="E99" s="28" t="s">
        <v>74</v>
      </c>
      <c r="F99" s="27" t="str">
        <f>'5Of11Source'!$J$32</f>
        <v>01 09,03 04,05 06,07 08,09 10</v>
      </c>
      <c r="G99" s="28">
        <f>'5Of11Source'!F106</f>
        <v>0</v>
      </c>
      <c r="H99" s="28">
        <v>1</v>
      </c>
      <c r="I99" s="30">
        <f t="shared" si="7"/>
        <v>50</v>
      </c>
      <c r="J99" s="22">
        <f t="shared" si="13"/>
        <v>4458.4009999999998</v>
      </c>
      <c r="K99" s="22">
        <f>'5Of11Source'!L127</f>
        <v>126540.10000000002</v>
      </c>
      <c r="L99" s="28">
        <f t="shared" si="14"/>
        <v>1017513968.385</v>
      </c>
      <c r="M99" s="29" t="str">
        <f t="shared" si="17"/>
        <v>03,06,07,08,10</v>
      </c>
      <c r="N99" s="28">
        <f>IF(ISNUMBER(agent!$O$6*(K99/Z99)*Y99),TRUNC(agent!$O$6*(K99/Z99)*Y99,3),"没有上级")</f>
        <v>131.12899999999999</v>
      </c>
      <c r="O99" s="28">
        <f>IF(ISNUMBER(agent!$O$9*(K99/Z99)*Y99),TRUNC(agent!$O$9*(K99/Z99)*Y99,3),"没有上级")</f>
        <v>786.77700000000004</v>
      </c>
      <c r="P99" s="28">
        <f>IF(ISNUMBER(agent!$O$12*(K99/Z99)*Y99),TRUNC(agent!$O$12*(K99/Z99)*Y99,3),"没有上级")</f>
        <v>262.25900000000001</v>
      </c>
      <c r="Q99" s="28">
        <f>IF(ISNUMBER(agent!$O$15*(K99/Z99)*Y99),TRUNC(agent!$O$15*(K99/Z99)*Y99,3),"没有上级")</f>
        <v>524.51800000000003</v>
      </c>
      <c r="R99" s="28">
        <f>IF(ISNUMBER(agent!$O$18*(K99/Z99)*Y99),TRUNC(agent!$O$18*(K99/Z99)*Y99,3),"没有上级")</f>
        <v>393.38799999999998</v>
      </c>
      <c r="S99" s="28">
        <f>IF(ISNUMBER(agent!$O$21*(K99/Z99)*Y99),TRUNC(agent!$O$21*(K99/Z99)*Y99,3),"没有上级")</f>
        <v>131.12899999999999</v>
      </c>
      <c r="T99" s="28">
        <f>IF(ISNUMBER(agent!$O$24*(K99/Z99)*Y99),TRUNC(agent!$O$24*(K99/Z99)*Y99,3),"没有上级")</f>
        <v>917.90700000000004</v>
      </c>
      <c r="U99" s="28">
        <f>IF(ISNUMBER(agent!$O$27*(K99/Z99)*Y99),TRUNC(agent!$O$27*(K99/Z99)*Y99,3),"没有上级")</f>
        <v>393.38799999999998</v>
      </c>
      <c r="V99" s="28">
        <f>IF(ISNUMBER(agent!$O$30*(K99/Z99)*Y99),TRUNC(agent!$O$30*(K99/Z99)*Y99,3),"没有上级")</f>
        <v>524.51800000000003</v>
      </c>
      <c r="W99" s="28">
        <f>IF(ISNUMBER(agent!$O$33*(K99/Z99)*Y99),TRUNC(agent!$O$33*(K99/Z99)*Y99,3),"没有上级")</f>
        <v>393.38799999999998</v>
      </c>
      <c r="X99" s="28"/>
      <c r="Y99">
        <f>TRUNC(0.011,3)</f>
        <v>1.0999999999999999E-2</v>
      </c>
      <c r="Z99" s="28">
        <f>TRUNC(AB99-(9.9-agent!L$3)*10*Y99,3)</f>
        <v>10.615</v>
      </c>
      <c r="AA99" s="28">
        <f>'5Of11Source'!X$2</f>
        <v>0</v>
      </c>
      <c r="AB99">
        <f t="shared" si="18"/>
        <v>10.989000000000001</v>
      </c>
      <c r="AC99" s="28">
        <f>'5Of11Source'!E134</f>
        <v>5</v>
      </c>
      <c r="AD99" s="28">
        <v>9.9</v>
      </c>
      <c r="AE99" s="28"/>
      <c r="AF99" s="28"/>
      <c r="AG99" s="28"/>
      <c r="AH99" s="28"/>
      <c r="AI99" s="28"/>
    </row>
    <row r="100" spans="4:35" x14ac:dyDescent="0.15">
      <c r="D100" s="28" t="s">
        <v>96</v>
      </c>
      <c r="E100" s="28" t="s">
        <v>76</v>
      </c>
      <c r="F100" s="27" t="str">
        <f>'5Of11Source'!$J$33</f>
        <v>01 02 03,04 05 06,07 08 09,10 11 01</v>
      </c>
      <c r="G100" s="28">
        <f>'5Of11Source'!F107</f>
        <v>5</v>
      </c>
      <c r="H100" s="28">
        <v>1</v>
      </c>
      <c r="I100" s="30">
        <f t="shared" si="7"/>
        <v>40</v>
      </c>
      <c r="J100" s="22">
        <f t="shared" si="13"/>
        <v>0</v>
      </c>
      <c r="K100" s="22">
        <f>'5Of11Source'!L128</f>
        <v>0</v>
      </c>
      <c r="L100" s="28">
        <f t="shared" si="14"/>
        <v>1017513928.385</v>
      </c>
      <c r="M100" s="29" t="str">
        <f t="shared" si="17"/>
        <v>03,06,07,08,10</v>
      </c>
      <c r="N100" s="28">
        <f>IF(ISNUMBER(agent!$O$6*(K100/Z100)*Y100),TRUNC(agent!$O$6*(K100/Z100)*Y100,3),"没有上级")</f>
        <v>0</v>
      </c>
      <c r="O100" s="28">
        <f>IF(ISNUMBER(agent!$O$9*(K100/Z100)*Y100),TRUNC(agent!$O$9*(K100/Z100)*Y100,3),"没有上级")</f>
        <v>0</v>
      </c>
      <c r="P100" s="28">
        <f>IF(ISNUMBER(agent!$O$12*(K100/Z100)*Y100),TRUNC(agent!$O$12*(K100/Z100)*Y100,3),"没有上级")</f>
        <v>0</v>
      </c>
      <c r="Q100" s="28">
        <f>IF(ISNUMBER(agent!$O$15*(K100/Z100)*Y100),TRUNC(agent!$O$15*(K100/Z100)*Y100,3),"没有上级")</f>
        <v>0</v>
      </c>
      <c r="R100" s="28">
        <f>IF(ISNUMBER(agent!$O$18*(K100/Z100)*Y100),TRUNC(agent!$O$18*(K100/Z100)*Y100,3),"没有上级")</f>
        <v>0</v>
      </c>
      <c r="S100" s="28">
        <f>IF(ISNUMBER(agent!$O$21*(K100/Z100)*Y100),TRUNC(agent!$O$21*(K100/Z100)*Y100,3),"没有上级")</f>
        <v>0</v>
      </c>
      <c r="T100" s="28">
        <f>IF(ISNUMBER(agent!$O$24*(K100/Z100)*Y100),TRUNC(agent!$O$24*(K100/Z100)*Y100,3),"没有上级")</f>
        <v>0</v>
      </c>
      <c r="U100" s="28">
        <f>IF(ISNUMBER(agent!$O$27*(K100/Z100)*Y100),TRUNC(agent!$O$27*(K100/Z100)*Y100,3),"没有上级")</f>
        <v>0</v>
      </c>
      <c r="V100" s="28">
        <f>IF(ISNUMBER(agent!$O$30*(K100/Z100)*Y100),TRUNC(agent!$O$30*(K100/Z100)*Y100,3),"没有上级")</f>
        <v>0</v>
      </c>
      <c r="W100" s="28">
        <f>IF(ISNUMBER(agent!$O$33*(K100/Z100)*Y100),TRUNC(agent!$O$33*(K100/Z100)*Y100,3),"没有上级")</f>
        <v>0</v>
      </c>
      <c r="X100" s="28"/>
      <c r="Y100">
        <f>TRUNC(0.033,3)</f>
        <v>3.3000000000000002E-2</v>
      </c>
      <c r="Z100" s="28">
        <f>TRUNC(AB100-(9.9-agent!L$3)*10*Y100,3)</f>
        <v>31.844999999999999</v>
      </c>
      <c r="AA100" s="28">
        <f>'5Of11Source'!X$2</f>
        <v>0</v>
      </c>
      <c r="AB100">
        <f t="shared" si="18"/>
        <v>32.966999999999999</v>
      </c>
      <c r="AC100" s="28">
        <f>'5Of11Source'!E135</f>
        <v>4</v>
      </c>
      <c r="AD100" s="28">
        <v>29.7</v>
      </c>
      <c r="AE100" s="28"/>
      <c r="AF100" s="28"/>
      <c r="AG100" s="28"/>
      <c r="AH100" s="28"/>
      <c r="AI100" s="28"/>
    </row>
    <row r="101" spans="4:35" x14ac:dyDescent="0.15">
      <c r="D101" s="28" t="s">
        <v>96</v>
      </c>
      <c r="E101" s="28" t="s">
        <v>78</v>
      </c>
      <c r="F101" s="27" t="str">
        <f>'5Of11Source'!$J$34</f>
        <v>01 02 03 04,09 10 11 05,06 07 08 09</v>
      </c>
      <c r="G101" s="28">
        <f>'5Of11Source'!F108</f>
        <v>3</v>
      </c>
      <c r="H101" s="28">
        <v>1</v>
      </c>
      <c r="I101" s="30">
        <f t="shared" si="7"/>
        <v>30</v>
      </c>
      <c r="J101" s="22">
        <f t="shared" si="13"/>
        <v>0</v>
      </c>
      <c r="K101" s="22">
        <f>'5Of11Source'!L129</f>
        <v>0</v>
      </c>
      <c r="L101" s="28">
        <f t="shared" si="14"/>
        <v>1017513898.385</v>
      </c>
      <c r="M101" s="29" t="str">
        <f t="shared" si="17"/>
        <v>03,06,07,08,10</v>
      </c>
      <c r="N101" s="28">
        <f>IF(ISNUMBER(agent!$O$6*(K101/Z101)*Y101),TRUNC(agent!$O$6*(K101/Z101)*Y101,3),"没有上级")</f>
        <v>0</v>
      </c>
      <c r="O101" s="28">
        <f>IF(ISNUMBER(agent!$O$9*(K101/Z101)*Y101),TRUNC(agent!$O$9*(K101/Z101)*Y101,3),"没有上级")</f>
        <v>0</v>
      </c>
      <c r="P101" s="28">
        <f>IF(ISNUMBER(agent!$O$12*(K101/Z101)*Y101),TRUNC(agent!$O$12*(K101/Z101)*Y101,3),"没有上级")</f>
        <v>0</v>
      </c>
      <c r="Q101" s="28">
        <f>IF(ISNUMBER(agent!$O$15*(K101/Z101)*Y101),TRUNC(agent!$O$15*(K101/Z101)*Y101,3),"没有上级")</f>
        <v>0</v>
      </c>
      <c r="R101" s="28">
        <f>IF(ISNUMBER(agent!$O$18*(K101/Z101)*Y101),TRUNC(agent!$O$18*(K101/Z101)*Y101,3),"没有上级")</f>
        <v>0</v>
      </c>
      <c r="S101" s="28">
        <f>IF(ISNUMBER(agent!$O$21*(K101/Z101)*Y101),TRUNC(agent!$O$21*(K101/Z101)*Y101,3),"没有上级")</f>
        <v>0</v>
      </c>
      <c r="T101" s="28">
        <f>IF(ISNUMBER(agent!$O$24*(K101/Z101)*Y101),TRUNC(agent!$O$24*(K101/Z101)*Y101,3),"没有上级")</f>
        <v>0</v>
      </c>
      <c r="U101" s="28">
        <f>IF(ISNUMBER(agent!$O$27*(K101/Z101)*Y101),TRUNC(agent!$O$27*(K101/Z101)*Y101,3),"没有上级")</f>
        <v>0</v>
      </c>
      <c r="V101" s="28">
        <f>IF(ISNUMBER(agent!$O$30*(K101/Z101)*Y101),TRUNC(agent!$O$30*(K101/Z101)*Y101,3),"没有上级")</f>
        <v>0</v>
      </c>
      <c r="W101" s="28">
        <f>IF(ISNUMBER(agent!$O$33*(K101/Z101)*Y101),TRUNC(agent!$O$33*(K101/Z101)*Y101,3),"没有上级")</f>
        <v>0</v>
      </c>
      <c r="X101" s="28"/>
      <c r="Y101">
        <f>TRUNC(0.132,3)</f>
        <v>0.13200000000000001</v>
      </c>
      <c r="Z101" s="28">
        <f>TRUNC(AB101-(9.9-agent!L$3)*10*Y101,3)</f>
        <v>127.38</v>
      </c>
      <c r="AA101" s="28">
        <f>'5Of11Source'!X$2</f>
        <v>0</v>
      </c>
      <c r="AB101">
        <f t="shared" si="18"/>
        <v>131.86799999999999</v>
      </c>
      <c r="AC101" s="28">
        <f>'5Of11Source'!E136</f>
        <v>3</v>
      </c>
      <c r="AD101" s="28">
        <v>118.8</v>
      </c>
      <c r="AE101" s="28"/>
      <c r="AF101" s="28"/>
      <c r="AG101" s="28"/>
      <c r="AH101" s="28"/>
      <c r="AI101" s="28"/>
    </row>
    <row r="102" spans="4:35" x14ac:dyDescent="0.15">
      <c r="D102" s="28" t="s">
        <v>96</v>
      </c>
      <c r="E102" s="28" t="s">
        <v>80</v>
      </c>
      <c r="F102" s="27" t="str">
        <f>'5Of11Source'!$J$35</f>
        <v>01 02 06 04 08,06 07 08 09 10</v>
      </c>
      <c r="G102" s="28">
        <f>'5Of11Source'!F109</f>
        <v>4</v>
      </c>
      <c r="H102" s="28">
        <v>1</v>
      </c>
      <c r="I102" s="30">
        <f t="shared" si="7"/>
        <v>32</v>
      </c>
      <c r="J102" s="22">
        <f t="shared" si="13"/>
        <v>0</v>
      </c>
      <c r="K102" s="22">
        <f>'5Of11Source'!L130</f>
        <v>0</v>
      </c>
      <c r="L102" s="28">
        <f t="shared" si="14"/>
        <v>1017513866.385</v>
      </c>
      <c r="M102" s="29" t="str">
        <f t="shared" si="17"/>
        <v>03,06,07,08,10</v>
      </c>
      <c r="N102" s="28">
        <f>IF(ISNUMBER(agent!$O$6*(K102/Z102)*Y102),TRUNC(agent!$O$6*(K102/Z102)*Y102,3),"没有上级")</f>
        <v>0</v>
      </c>
      <c r="O102" s="28">
        <f>IF(ISNUMBER(agent!$O$9*(K102/Z102)*Y102),TRUNC(agent!$O$9*(K102/Z102)*Y102,3),"没有上级")</f>
        <v>0</v>
      </c>
      <c r="P102" s="28">
        <f>IF(ISNUMBER(agent!$O$12*(K102/Z102)*Y102),TRUNC(agent!$O$12*(K102/Z102)*Y102,3),"没有上级")</f>
        <v>0</v>
      </c>
      <c r="Q102" s="28">
        <f>IF(ISNUMBER(agent!$O$15*(K102/Z102)*Y102),TRUNC(agent!$O$15*(K102/Z102)*Y102,3),"没有上级")</f>
        <v>0</v>
      </c>
      <c r="R102" s="28">
        <f>IF(ISNUMBER(agent!$O$18*(K102/Z102)*Y102),TRUNC(agent!$O$18*(K102/Z102)*Y102,3),"没有上级")</f>
        <v>0</v>
      </c>
      <c r="S102" s="28">
        <f>IF(ISNUMBER(agent!$O$21*(K102/Z102)*Y102),TRUNC(agent!$O$21*(K102/Z102)*Y102,3),"没有上级")</f>
        <v>0</v>
      </c>
      <c r="T102" s="28">
        <f>IF(ISNUMBER(agent!$O$24*(K102/Z102)*Y102),TRUNC(agent!$O$24*(K102/Z102)*Y102,3),"没有上级")</f>
        <v>0</v>
      </c>
      <c r="U102" s="28">
        <f>IF(ISNUMBER(agent!$O$27*(K102/Z102)*Y102),TRUNC(agent!$O$27*(K102/Z102)*Y102,3),"没有上级")</f>
        <v>0</v>
      </c>
      <c r="V102" s="28">
        <f>IF(ISNUMBER(agent!$O$30*(K102/Z102)*Y102),TRUNC(agent!$O$30*(K102/Z102)*Y102,3),"没有上级")</f>
        <v>0</v>
      </c>
      <c r="W102" s="28">
        <f>IF(ISNUMBER(agent!$O$33*(K102/Z102)*Y102),TRUNC(agent!$O$33*(K102/Z102)*Y102,3),"没有上级")</f>
        <v>0</v>
      </c>
      <c r="X102" s="28"/>
      <c r="Y102">
        <f>TRUNC(0.924,3)</f>
        <v>0.92400000000000004</v>
      </c>
      <c r="Z102" s="28">
        <f>TRUNC(AB102-(9.9-agent!L$3)*10*Y102,3)</f>
        <v>891.66</v>
      </c>
      <c r="AA102" s="28">
        <f>'5Of11Source'!X$2</f>
        <v>0</v>
      </c>
      <c r="AB102">
        <f t="shared" si="18"/>
        <v>923.07600000000002</v>
      </c>
      <c r="AC102" s="28">
        <f>'5Of11Source'!E137</f>
        <v>2</v>
      </c>
      <c r="AD102" s="28">
        <v>831.6</v>
      </c>
      <c r="AE102" s="28"/>
      <c r="AF102" s="28"/>
      <c r="AG102" s="28"/>
      <c r="AH102" s="28"/>
      <c r="AI102" s="28"/>
    </row>
    <row r="103" spans="4:35" x14ac:dyDescent="0.15">
      <c r="D103" s="28" t="s">
        <v>96</v>
      </c>
      <c r="E103" s="28" t="s">
        <v>82</v>
      </c>
      <c r="F103" s="27" t="str">
        <f>'5Of11Source'!$J$36</f>
        <v>01 02 08 04 05 06,07 08 09 10 11 02</v>
      </c>
      <c r="G103" s="28">
        <f>'5Of11Source'!F110</f>
        <v>2</v>
      </c>
      <c r="H103" s="28">
        <v>1</v>
      </c>
      <c r="I103" s="30">
        <f t="shared" si="7"/>
        <v>8</v>
      </c>
      <c r="J103" s="22">
        <f t="shared" si="13"/>
        <v>0</v>
      </c>
      <c r="K103" s="22">
        <f>'5Of11Source'!L131</f>
        <v>0</v>
      </c>
      <c r="L103" s="28">
        <f t="shared" si="14"/>
        <v>1017513858.385</v>
      </c>
      <c r="M103" s="29" t="str">
        <f t="shared" si="17"/>
        <v>03,06,07,08,10</v>
      </c>
      <c r="N103" s="28">
        <f>IF(ISNUMBER(agent!$O$6*(K103/Z103)*Y103),TRUNC(agent!$O$6*(K103/Z103)*Y103,3),"没有上级")</f>
        <v>0</v>
      </c>
      <c r="O103" s="28">
        <f>IF(ISNUMBER(agent!$O$9*(K103/Z103)*Y103),TRUNC(agent!$O$9*(K103/Z103)*Y103,3),"没有上级")</f>
        <v>0</v>
      </c>
      <c r="P103" s="28">
        <f>IF(ISNUMBER(agent!$O$12*(K103/Z103)*Y103),TRUNC(agent!$O$12*(K103/Z103)*Y103,3),"没有上级")</f>
        <v>0</v>
      </c>
      <c r="Q103" s="28">
        <f>IF(ISNUMBER(agent!$O$15*(K103/Z103)*Y103),TRUNC(agent!$O$15*(K103/Z103)*Y103,3),"没有上级")</f>
        <v>0</v>
      </c>
      <c r="R103" s="28">
        <f>IF(ISNUMBER(agent!$O$18*(K103/Z103)*Y103),TRUNC(agent!$O$18*(K103/Z103)*Y103,3),"没有上级")</f>
        <v>0</v>
      </c>
      <c r="S103" s="28">
        <f>IF(ISNUMBER(agent!$O$21*(K103/Z103)*Y103),TRUNC(agent!$O$21*(K103/Z103)*Y103,3),"没有上级")</f>
        <v>0</v>
      </c>
      <c r="T103" s="28">
        <f>IF(ISNUMBER(agent!$O$24*(K103/Z103)*Y103),TRUNC(agent!$O$24*(K103/Z103)*Y103,3),"没有上级")</f>
        <v>0</v>
      </c>
      <c r="U103" s="28">
        <f>IF(ISNUMBER(agent!$O$27*(K103/Z103)*Y103),TRUNC(agent!$O$27*(K103/Z103)*Y103,3),"没有上级")</f>
        <v>0</v>
      </c>
      <c r="V103" s="28">
        <f>IF(ISNUMBER(agent!$O$30*(K103/Z103)*Y103),TRUNC(agent!$O$30*(K103/Z103)*Y103,3),"没有上级")</f>
        <v>0</v>
      </c>
      <c r="W103" s="28">
        <f>IF(ISNUMBER(agent!$O$33*(K103/Z103)*Y103),TRUNC(agent!$O$33*(K103/Z103)*Y103,3),"没有上级")</f>
        <v>0</v>
      </c>
      <c r="X103" s="28"/>
      <c r="Y103">
        <f>TRUNC(0.154,3)</f>
        <v>0.154</v>
      </c>
      <c r="Z103" s="28">
        <f>TRUNC(AB103-(9.9-agent!L$3)*10*Y103,3)</f>
        <v>148.61000000000001</v>
      </c>
      <c r="AA103" s="28">
        <f>'5Of11Source'!X$2</f>
        <v>0</v>
      </c>
      <c r="AB103">
        <f t="shared" si="18"/>
        <v>153.846</v>
      </c>
      <c r="AC103" s="28">
        <f>'5Of11Source'!E138</f>
        <v>2</v>
      </c>
      <c r="AD103" s="28">
        <v>138.6</v>
      </c>
      <c r="AE103" s="28"/>
      <c r="AF103" s="28"/>
      <c r="AG103" s="28"/>
      <c r="AH103" s="28"/>
      <c r="AI103" s="28"/>
    </row>
    <row r="104" spans="4:35" x14ac:dyDescent="0.15">
      <c r="D104" s="28" t="s">
        <v>96</v>
      </c>
      <c r="E104" s="28" t="s">
        <v>84</v>
      </c>
      <c r="F104" s="27" t="str">
        <f>'5Of11Source'!$J$37</f>
        <v>01 02 03 04 05 06 07,11 10 09 08 07 06 05</v>
      </c>
      <c r="G104" s="28">
        <f>'5Of11Source'!F111</f>
        <v>0</v>
      </c>
      <c r="H104" s="28">
        <v>1</v>
      </c>
      <c r="I104" s="30">
        <f t="shared" ref="I104:I167" si="19">I67</f>
        <v>8</v>
      </c>
      <c r="J104" s="22">
        <f t="shared" si="13"/>
        <v>0</v>
      </c>
      <c r="K104" s="22">
        <f>'5Of11Source'!L132</f>
        <v>0</v>
      </c>
      <c r="L104" s="28">
        <f t="shared" si="14"/>
        <v>1017513850.385</v>
      </c>
      <c r="M104" s="29" t="str">
        <f t="shared" si="17"/>
        <v>03,06,07,08,10</v>
      </c>
      <c r="N104" s="28">
        <f>IF(ISNUMBER(agent!$O$6*(K104/Z104)*Y104),TRUNC(agent!$O$6*(K104/Z104)*Y104,3),"没有上级")</f>
        <v>0</v>
      </c>
      <c r="O104" s="28">
        <f>IF(ISNUMBER(agent!$O$9*(K104/Z104)*Y104),TRUNC(agent!$O$9*(K104/Z104)*Y104,3),"没有上级")</f>
        <v>0</v>
      </c>
      <c r="P104" s="28">
        <f>IF(ISNUMBER(agent!$O$12*(K104/Z104)*Y104),TRUNC(agent!$O$12*(K104/Z104)*Y104,3),"没有上级")</f>
        <v>0</v>
      </c>
      <c r="Q104" s="28">
        <f>IF(ISNUMBER(agent!$O$15*(K104/Z104)*Y104),TRUNC(agent!$O$15*(K104/Z104)*Y104,3),"没有上级")</f>
        <v>0</v>
      </c>
      <c r="R104" s="28">
        <f>IF(ISNUMBER(agent!$O$18*(K104/Z104)*Y104),TRUNC(agent!$O$18*(K104/Z104)*Y104,3),"没有上级")</f>
        <v>0</v>
      </c>
      <c r="S104" s="28">
        <f>IF(ISNUMBER(agent!$O$21*(K104/Z104)*Y104),TRUNC(agent!$O$21*(K104/Z104)*Y104,3),"没有上级")</f>
        <v>0</v>
      </c>
      <c r="T104" s="28">
        <f>IF(ISNUMBER(agent!$O$24*(K104/Z104)*Y104),TRUNC(agent!$O$24*(K104/Z104)*Y104,3),"没有上级")</f>
        <v>0</v>
      </c>
      <c r="U104" s="28">
        <f>IF(ISNUMBER(agent!$O$27*(K104/Z104)*Y104),TRUNC(agent!$O$27*(K104/Z104)*Y104,3),"没有上级")</f>
        <v>0</v>
      </c>
      <c r="V104" s="28">
        <f>IF(ISNUMBER(agent!$O$30*(K104/Z104)*Y104),TRUNC(agent!$O$30*(K104/Z104)*Y104,3),"没有上级")</f>
        <v>0</v>
      </c>
      <c r="W104" s="28">
        <f>IF(ISNUMBER(agent!$O$33*(K104/Z104)*Y104),TRUNC(agent!$O$33*(K104/Z104)*Y104,3),"没有上级")</f>
        <v>0</v>
      </c>
      <c r="X104" s="28" t="s">
        <v>13</v>
      </c>
      <c r="Y104">
        <f>TRUNC(0.044,3)</f>
        <v>4.3999999999999997E-2</v>
      </c>
      <c r="Z104" s="28">
        <f>TRUNC(AB104-(9.9-agent!L$3)*10*Y104,3)</f>
        <v>42.46</v>
      </c>
      <c r="AA104" s="28">
        <f>'5Of11Source'!X$2</f>
        <v>0</v>
      </c>
      <c r="AB104">
        <f t="shared" si="18"/>
        <v>43.956000000000003</v>
      </c>
      <c r="AC104" s="28">
        <f>'5Of11Source'!E139</f>
        <v>2</v>
      </c>
      <c r="AD104" s="28">
        <v>39.6</v>
      </c>
      <c r="AE104" s="28"/>
      <c r="AF104" s="28"/>
      <c r="AG104" s="28"/>
      <c r="AH104" s="28"/>
      <c r="AI104" s="28"/>
    </row>
    <row r="105" spans="4:35" ht="27" x14ac:dyDescent="0.15">
      <c r="D105" s="28" t="s">
        <v>96</v>
      </c>
      <c r="E105" s="28" t="s">
        <v>86</v>
      </c>
      <c r="F105" s="27" t="str">
        <f>'5Of11Source'!$J$38</f>
        <v>01 02 03 04 05 06 07 08,11 10 09 08 07 06 05 04</v>
      </c>
      <c r="G105" s="28">
        <f>'5Of11Source'!F112</f>
        <v>5</v>
      </c>
      <c r="H105" s="28">
        <v>1</v>
      </c>
      <c r="I105" s="30">
        <f t="shared" si="19"/>
        <v>12</v>
      </c>
      <c r="J105" s="22">
        <f t="shared" si="13"/>
        <v>0</v>
      </c>
      <c r="K105" s="22">
        <f>'5Of11Source'!L133</f>
        <v>0</v>
      </c>
      <c r="L105" s="28">
        <f t="shared" si="14"/>
        <v>1017513838.385</v>
      </c>
      <c r="M105" s="29" t="str">
        <f t="shared" si="17"/>
        <v>03,06,07,08,10</v>
      </c>
      <c r="N105" s="28">
        <f>IF(ISNUMBER(agent!$O$6*(K105/Z105)*Y105),TRUNC(agent!$O$6*(K105/Z105)*Y105,3),"没有上级")</f>
        <v>0</v>
      </c>
      <c r="O105" s="28">
        <f>IF(ISNUMBER(agent!$O$9*(K105/Z105)*Y105),TRUNC(agent!$O$9*(K105/Z105)*Y105,3),"没有上级")</f>
        <v>0</v>
      </c>
      <c r="P105" s="28">
        <f>IF(ISNUMBER(agent!$O$12*(K105/Z105)*Y105),TRUNC(agent!$O$12*(K105/Z105)*Y105,3),"没有上级")</f>
        <v>0</v>
      </c>
      <c r="Q105" s="28">
        <f>IF(ISNUMBER(agent!$O$15*(K105/Z105)*Y105),TRUNC(agent!$O$15*(K105/Z105)*Y105,3),"没有上级")</f>
        <v>0</v>
      </c>
      <c r="R105" s="28">
        <f>IF(ISNUMBER(agent!$O$18*(K105/Z105)*Y105),TRUNC(agent!$O$18*(K105/Z105)*Y105,3),"没有上级")</f>
        <v>0</v>
      </c>
      <c r="S105" s="28">
        <f>IF(ISNUMBER(agent!$O$21*(K105/Z105)*Y105),TRUNC(agent!$O$21*(K105/Z105)*Y105,3),"没有上级")</f>
        <v>0</v>
      </c>
      <c r="T105" s="28">
        <f>IF(ISNUMBER(agent!$O$24*(K105/Z105)*Y105),TRUNC(agent!$O$24*(K105/Z105)*Y105,3),"没有上级")</f>
        <v>0</v>
      </c>
      <c r="U105" s="28">
        <f>IF(ISNUMBER(agent!$O$27*(K105/Z105)*Y105),TRUNC(agent!$O$27*(K105/Z105)*Y105,3),"没有上级")</f>
        <v>0</v>
      </c>
      <c r="V105" s="28">
        <f>IF(ISNUMBER(agent!$O$30*(K105/Z105)*Y105),TRUNC(agent!$O$30*(K105/Z105)*Y105,3),"没有上级")</f>
        <v>0</v>
      </c>
      <c r="W105" s="28">
        <f>IF(ISNUMBER(agent!$O$33*(K105/Z105)*Y105),TRUNC(agent!$O$33*(K105/Z105)*Y105,3),"没有上级")</f>
        <v>0</v>
      </c>
      <c r="X105" s="28"/>
      <c r="Y105">
        <f>TRUNC(0.01642857,3)</f>
        <v>1.6E-2</v>
      </c>
      <c r="Z105" s="28">
        <f>TRUNC(AB105-(9.9-agent!L$3)*10*Y105,3)</f>
        <v>15.89</v>
      </c>
      <c r="AA105" s="28">
        <f>'5Of11Source'!X$2</f>
        <v>0</v>
      </c>
      <c r="AB105">
        <f t="shared" si="18"/>
        <v>16.434000000000001</v>
      </c>
      <c r="AC105" s="28">
        <f>'5Of11Source'!E140</f>
        <v>2</v>
      </c>
      <c r="AD105" s="28">
        <v>14.85</v>
      </c>
      <c r="AE105" s="28"/>
      <c r="AF105" s="28"/>
      <c r="AG105" s="28"/>
      <c r="AH105" s="28"/>
      <c r="AI105" s="28"/>
    </row>
    <row r="106" spans="4:35" x14ac:dyDescent="0.15">
      <c r="D106" s="28" t="s">
        <v>103</v>
      </c>
      <c r="E106" s="28" t="s">
        <v>74</v>
      </c>
      <c r="F106" s="27" t="str">
        <f>'5Of11Source'!$J$39</f>
        <v>01,02 03 04 05 06 07 08 09 10 11</v>
      </c>
      <c r="G106" s="28">
        <f>'5Of11Source'!F113</f>
        <v>0</v>
      </c>
      <c r="H106" s="28">
        <v>1</v>
      </c>
      <c r="I106" s="30">
        <f t="shared" si="19"/>
        <v>20</v>
      </c>
      <c r="J106" s="22">
        <f t="shared" si="13"/>
        <v>3346.5059999999994</v>
      </c>
      <c r="K106" s="22">
        <f>'5Of11Source'!L134</f>
        <v>94981.840000000026</v>
      </c>
      <c r="L106" s="28">
        <f t="shared" si="14"/>
        <v>1017608800.225</v>
      </c>
      <c r="M106" s="29" t="str">
        <f t="shared" si="17"/>
        <v>03,06,07,08,10</v>
      </c>
      <c r="N106" s="28">
        <f>IF(ISNUMBER(agent!$O$6*(K106/Z106)*Y106),TRUNC(agent!$O$6*(K106/Z106)*Y106,3),"没有上级")</f>
        <v>98.426000000000002</v>
      </c>
      <c r="O106" s="28">
        <f>IF(ISNUMBER(agent!$O$9*(K106/Z106)*Y106),TRUNC(agent!$O$9*(K106/Z106)*Y106,3),"没有上级")</f>
        <v>590.55999999999995</v>
      </c>
      <c r="P106" s="28">
        <f>IF(ISNUMBER(agent!$O$12*(K106/Z106)*Y106),TRUNC(agent!$O$12*(K106/Z106)*Y106,3),"没有上级")</f>
        <v>196.85300000000001</v>
      </c>
      <c r="Q106" s="28">
        <f>IF(ISNUMBER(agent!$O$15*(K106/Z106)*Y106),TRUNC(agent!$O$15*(K106/Z106)*Y106,3),"没有上级")</f>
        <v>393.70699999999999</v>
      </c>
      <c r="R106" s="28">
        <f>IF(ISNUMBER(agent!$O$18*(K106/Z106)*Y106),TRUNC(agent!$O$18*(K106/Z106)*Y106,3),"没有上级")</f>
        <v>295.27999999999997</v>
      </c>
      <c r="S106" s="28">
        <f>IF(ISNUMBER(agent!$O$21*(K106/Z106)*Y106),TRUNC(agent!$O$21*(K106/Z106)*Y106,3),"没有上级")</f>
        <v>98.426000000000002</v>
      </c>
      <c r="T106" s="28">
        <f>IF(ISNUMBER(agent!$O$24*(K106/Z106)*Y106),TRUNC(agent!$O$24*(K106/Z106)*Y106,3),"没有上级")</f>
        <v>688.98699999999997</v>
      </c>
      <c r="U106" s="28">
        <f>IF(ISNUMBER(agent!$O$27*(K106/Z106)*Y106),TRUNC(agent!$O$27*(K106/Z106)*Y106,3),"没有上级")</f>
        <v>295.27999999999997</v>
      </c>
      <c r="V106" s="28">
        <f>IF(ISNUMBER(agent!$O$30*(K106/Z106)*Y106),TRUNC(agent!$O$30*(K106/Z106)*Y106,3),"没有上级")</f>
        <v>393.70699999999999</v>
      </c>
      <c r="W106" s="28">
        <f>IF(ISNUMBER(agent!$O$33*(K106/Z106)*Y106),TRUNC(agent!$O$33*(K106/Z106)*Y106,3),"没有上级")</f>
        <v>295.27999999999997</v>
      </c>
      <c r="X106" s="28" t="s">
        <v>10</v>
      </c>
      <c r="Y106">
        <f>TRUNC(0.011,3)</f>
        <v>1.0999999999999999E-2</v>
      </c>
      <c r="Z106" s="28">
        <f>TRUNC(AB106-(9.9-agent!L$3)*10*Y106,3)</f>
        <v>10.615</v>
      </c>
      <c r="AA106" s="28">
        <f>'5Of11Source'!X$2</f>
        <v>0</v>
      </c>
      <c r="AB106">
        <f t="shared" si="18"/>
        <v>10.989000000000001</v>
      </c>
      <c r="AC106" s="28">
        <f>'5Of11Source'!E142</f>
        <v>10</v>
      </c>
      <c r="AD106" s="28">
        <v>9.9</v>
      </c>
      <c r="AE106" s="28"/>
      <c r="AF106" s="28"/>
      <c r="AG106" s="28"/>
      <c r="AH106" s="28"/>
      <c r="AI106" s="28"/>
    </row>
    <row r="107" spans="4:35" x14ac:dyDescent="0.15">
      <c r="D107" s="28" t="s">
        <v>103</v>
      </c>
      <c r="E107" s="28" t="s">
        <v>76</v>
      </c>
      <c r="F107" s="27" t="str">
        <f>'5Of11Source'!$J$41</f>
        <v>02,01 03 04 05 06 07 08 09 10 11</v>
      </c>
      <c r="G107" s="28">
        <f>'5Of11Source'!F115</f>
        <v>1</v>
      </c>
      <c r="H107" s="28">
        <v>1</v>
      </c>
      <c r="I107" s="30">
        <f t="shared" si="19"/>
        <v>270</v>
      </c>
      <c r="J107" s="22">
        <f t="shared" si="13"/>
        <v>0</v>
      </c>
      <c r="K107" s="22">
        <f>'5Of11Source'!L135</f>
        <v>0</v>
      </c>
      <c r="L107" s="28">
        <f t="shared" si="14"/>
        <v>1017608530.225</v>
      </c>
      <c r="M107" s="29" t="str">
        <f t="shared" si="17"/>
        <v>03,06,07,08,10</v>
      </c>
      <c r="N107" s="28">
        <f>IF(ISNUMBER(agent!$O$6*(K107/Z107)*Y107),TRUNC(agent!$O$6*(K107/Z107)*Y107,3),"没有上级")</f>
        <v>0</v>
      </c>
      <c r="O107" s="28">
        <f>IF(ISNUMBER(agent!$O$9*(K107/Z107)*Y107),TRUNC(agent!$O$9*(K107/Z107)*Y107,3),"没有上级")</f>
        <v>0</v>
      </c>
      <c r="P107" s="28">
        <f>IF(ISNUMBER(agent!$O$12*(K107/Z107)*Y107),TRUNC(agent!$O$12*(K107/Z107)*Y107,3),"没有上级")</f>
        <v>0</v>
      </c>
      <c r="Q107" s="28">
        <f>IF(ISNUMBER(agent!$O$15*(K107/Z107)*Y107),TRUNC(agent!$O$15*(K107/Z107)*Y107,3),"没有上级")</f>
        <v>0</v>
      </c>
      <c r="R107" s="28">
        <f>IF(ISNUMBER(agent!$O$18*(K107/Z107)*Y107),TRUNC(agent!$O$18*(K107/Z107)*Y107,3),"没有上级")</f>
        <v>0</v>
      </c>
      <c r="S107" s="28">
        <f>IF(ISNUMBER(agent!$O$21*(K107/Z107)*Y107),TRUNC(agent!$O$21*(K107/Z107)*Y107,3),"没有上级")</f>
        <v>0</v>
      </c>
      <c r="T107" s="28">
        <f>IF(ISNUMBER(agent!$O$24*(K107/Z107)*Y107),TRUNC(agent!$O$24*(K107/Z107)*Y107,3),"没有上级")</f>
        <v>0</v>
      </c>
      <c r="U107" s="28">
        <f>IF(ISNUMBER(agent!$O$27*(K107/Z107)*Y107),TRUNC(agent!$O$27*(K107/Z107)*Y107,3),"没有上级")</f>
        <v>0</v>
      </c>
      <c r="V107" s="28">
        <f>IF(ISNUMBER(agent!$O$30*(K107/Z107)*Y107),TRUNC(agent!$O$30*(K107/Z107)*Y107,3),"没有上级")</f>
        <v>0</v>
      </c>
      <c r="W107" s="28">
        <f>IF(ISNUMBER(agent!$O$33*(K107/Z107)*Y107),TRUNC(agent!$O$33*(K107/Z107)*Y107,3),"没有上级")</f>
        <v>0</v>
      </c>
      <c r="X107" s="28"/>
      <c r="Y107">
        <f>TRUNC(0.033,3)</f>
        <v>3.3000000000000002E-2</v>
      </c>
      <c r="Z107" s="28">
        <f>TRUNC(AB107-(9.9-agent!L$3)*10*Y107,3)</f>
        <v>31.844999999999999</v>
      </c>
      <c r="AA107" s="28">
        <f>'5Of11Source'!X$2</f>
        <v>0</v>
      </c>
      <c r="AB107">
        <f t="shared" si="18"/>
        <v>32.966999999999999</v>
      </c>
      <c r="AC107" s="28">
        <f>'5Of11Source'!E144</f>
        <v>45</v>
      </c>
      <c r="AD107" s="28">
        <v>29.7</v>
      </c>
      <c r="AE107" s="28"/>
      <c r="AF107" s="28"/>
      <c r="AG107" s="28"/>
      <c r="AH107" s="28"/>
      <c r="AI107" s="28"/>
    </row>
    <row r="108" spans="4:35" x14ac:dyDescent="0.15">
      <c r="D108" s="28" t="s">
        <v>103</v>
      </c>
      <c r="E108" s="28" t="s">
        <v>78</v>
      </c>
      <c r="F108" s="27" t="str">
        <f>'5Of11Source'!$J$43</f>
        <v>03,01 02 04 05 06 07 08 09 10 11</v>
      </c>
      <c r="G108" s="28">
        <f>'5Of11Source'!F117</f>
        <v>3</v>
      </c>
      <c r="H108" s="28">
        <v>1</v>
      </c>
      <c r="I108" s="30">
        <f t="shared" si="19"/>
        <v>960</v>
      </c>
      <c r="J108" s="22">
        <f t="shared" si="13"/>
        <v>0</v>
      </c>
      <c r="K108" s="22">
        <f>'5Of11Source'!L136</f>
        <v>0</v>
      </c>
      <c r="L108" s="28">
        <f t="shared" si="14"/>
        <v>1017607570.225</v>
      </c>
      <c r="M108" s="29" t="str">
        <f t="shared" si="17"/>
        <v>03,06,07,08,10</v>
      </c>
      <c r="N108" s="28">
        <f>IF(ISNUMBER(agent!$O$6*(K108/Z108)*Y108),TRUNC(agent!$O$6*(K108/Z108)*Y108,3),"没有上级")</f>
        <v>0</v>
      </c>
      <c r="O108" s="28">
        <f>IF(ISNUMBER(agent!$O$9*(K108/Z108)*Y108),TRUNC(agent!$O$9*(K108/Z108)*Y108,3),"没有上级")</f>
        <v>0</v>
      </c>
      <c r="P108" s="28">
        <f>IF(ISNUMBER(agent!$O$12*(K108/Z108)*Y108),TRUNC(agent!$O$12*(K108/Z108)*Y108,3),"没有上级")</f>
        <v>0</v>
      </c>
      <c r="Q108" s="28">
        <f>IF(ISNUMBER(agent!$O$15*(K108/Z108)*Y108),TRUNC(agent!$O$15*(K108/Z108)*Y108,3),"没有上级")</f>
        <v>0</v>
      </c>
      <c r="R108" s="28">
        <f>IF(ISNUMBER(agent!$O$18*(K108/Z108)*Y108),TRUNC(agent!$O$18*(K108/Z108)*Y108,3),"没有上级")</f>
        <v>0</v>
      </c>
      <c r="S108" s="28">
        <f>IF(ISNUMBER(agent!$O$21*(K108/Z108)*Y108),TRUNC(agent!$O$21*(K108/Z108)*Y108,3),"没有上级")</f>
        <v>0</v>
      </c>
      <c r="T108" s="28">
        <f>IF(ISNUMBER(agent!$O$24*(K108/Z108)*Y108),TRUNC(agent!$O$24*(K108/Z108)*Y108,3),"没有上级")</f>
        <v>0</v>
      </c>
      <c r="U108" s="28">
        <f>IF(ISNUMBER(agent!$O$27*(K108/Z108)*Y108),TRUNC(agent!$O$27*(K108/Z108)*Y108,3),"没有上级")</f>
        <v>0</v>
      </c>
      <c r="V108" s="28">
        <f>IF(ISNUMBER(agent!$O$30*(K108/Z108)*Y108),TRUNC(agent!$O$30*(K108/Z108)*Y108,3),"没有上级")</f>
        <v>0</v>
      </c>
      <c r="W108" s="28">
        <f>IF(ISNUMBER(agent!$O$33*(K108/Z108)*Y108),TRUNC(agent!$O$33*(K108/Z108)*Y108,3),"没有上级")</f>
        <v>0</v>
      </c>
      <c r="X108" s="28"/>
      <c r="Y108">
        <f>TRUNC(0.132,3)</f>
        <v>0.13200000000000001</v>
      </c>
      <c r="Z108" s="28">
        <f>TRUNC(AB108-(9.9-agent!L$3)*10*Y108,3)</f>
        <v>127.38</v>
      </c>
      <c r="AA108" s="28">
        <f>'5Of11Source'!X$2</f>
        <v>0</v>
      </c>
      <c r="AB108">
        <f t="shared" si="18"/>
        <v>131.86799999999999</v>
      </c>
      <c r="AC108" s="28">
        <f>'5Of11Source'!E146</f>
        <v>120</v>
      </c>
      <c r="AD108" s="28">
        <v>118.8</v>
      </c>
      <c r="AE108" s="28"/>
      <c r="AF108" s="28"/>
      <c r="AG108" s="28"/>
      <c r="AH108" s="28"/>
      <c r="AI108" s="28"/>
    </row>
    <row r="109" spans="4:35" x14ac:dyDescent="0.15">
      <c r="D109" s="28" t="s">
        <v>103</v>
      </c>
      <c r="E109" s="28" t="s">
        <v>80</v>
      </c>
      <c r="F109" s="27" t="str">
        <f>'5Of11Source'!$J$45</f>
        <v>04,01 02 03 07 09 10 05 06 08 11</v>
      </c>
      <c r="G109" s="28">
        <f>'5Of11Source'!F119</f>
        <v>5</v>
      </c>
      <c r="H109" s="28">
        <v>1</v>
      </c>
      <c r="I109" s="30">
        <f t="shared" si="19"/>
        <v>2099.9999999999995</v>
      </c>
      <c r="J109" s="22">
        <f t="shared" si="13"/>
        <v>0</v>
      </c>
      <c r="K109" s="22">
        <f>'5Of11Source'!L137</f>
        <v>0</v>
      </c>
      <c r="L109" s="28">
        <f t="shared" si="14"/>
        <v>1017605470.225</v>
      </c>
      <c r="M109" s="29" t="str">
        <f t="shared" si="17"/>
        <v>03,06,07,08,10</v>
      </c>
      <c r="N109" s="28">
        <f>IF(ISNUMBER(agent!$O$6*(K109/Z109)*Y109),TRUNC(agent!$O$6*(K109/Z109)*Y109,3),"没有上级")</f>
        <v>0</v>
      </c>
      <c r="O109" s="28">
        <f>IF(ISNUMBER(agent!$O$9*(K109/Z109)*Y109),TRUNC(agent!$O$9*(K109/Z109)*Y109,3),"没有上级")</f>
        <v>0</v>
      </c>
      <c r="P109" s="28">
        <f>IF(ISNUMBER(agent!$O$12*(K109/Z109)*Y109),TRUNC(agent!$O$12*(K109/Z109)*Y109,3),"没有上级")</f>
        <v>0</v>
      </c>
      <c r="Q109" s="28">
        <f>IF(ISNUMBER(agent!$O$15*(K109/Z109)*Y109),TRUNC(agent!$O$15*(K109/Z109)*Y109,3),"没有上级")</f>
        <v>0</v>
      </c>
      <c r="R109" s="28">
        <f>IF(ISNUMBER(agent!$O$18*(K109/Z109)*Y109),TRUNC(agent!$O$18*(K109/Z109)*Y109,3),"没有上级")</f>
        <v>0</v>
      </c>
      <c r="S109" s="28">
        <f>IF(ISNUMBER(agent!$O$21*(K109/Z109)*Y109),TRUNC(agent!$O$21*(K109/Z109)*Y109,3),"没有上级")</f>
        <v>0</v>
      </c>
      <c r="T109" s="28">
        <f>IF(ISNUMBER(agent!$O$24*(K109/Z109)*Y109),TRUNC(agent!$O$24*(K109/Z109)*Y109,3),"没有上级")</f>
        <v>0</v>
      </c>
      <c r="U109" s="28">
        <f>IF(ISNUMBER(agent!$O$27*(K109/Z109)*Y109),TRUNC(agent!$O$27*(K109/Z109)*Y109,3),"没有上级")</f>
        <v>0</v>
      </c>
      <c r="V109" s="28">
        <f>IF(ISNUMBER(agent!$O$30*(K109/Z109)*Y109),TRUNC(agent!$O$30*(K109/Z109)*Y109,3),"没有上级")</f>
        <v>0</v>
      </c>
      <c r="W109" s="28">
        <f>IF(ISNUMBER(agent!$O$33*(K109/Z109)*Y109),TRUNC(agent!$O$33*(K109/Z109)*Y109,3),"没有上级")</f>
        <v>0</v>
      </c>
      <c r="X109" s="28"/>
      <c r="Y109">
        <f>TRUNC(0.924,3)</f>
        <v>0.92400000000000004</v>
      </c>
      <c r="Z109" s="28">
        <f>TRUNC(AB109-(9.9-agent!L$3)*10*Y109,3)</f>
        <v>891.66</v>
      </c>
      <c r="AA109" s="28">
        <f>'5Of11Source'!X$2</f>
        <v>0</v>
      </c>
      <c r="AB109">
        <f t="shared" si="18"/>
        <v>923.07600000000002</v>
      </c>
      <c r="AC109" s="28">
        <f>'5Of11Source'!E148</f>
        <v>209.99999999999997</v>
      </c>
      <c r="AD109" s="28">
        <v>831.6</v>
      </c>
      <c r="AE109" s="28"/>
      <c r="AF109" s="28"/>
      <c r="AG109" s="28"/>
      <c r="AH109" s="28"/>
      <c r="AI109" s="28"/>
    </row>
    <row r="110" spans="4:35" x14ac:dyDescent="0.15">
      <c r="D110" s="28" t="s">
        <v>103</v>
      </c>
      <c r="E110" s="28" t="s">
        <v>82</v>
      </c>
      <c r="F110" s="27" t="str">
        <f>'5Of11Source'!$J$47</f>
        <v>05,01 02 03 04 06 07 08 09 10 11</v>
      </c>
      <c r="G110" s="28">
        <f>'5Of11Source'!F121</f>
        <v>0</v>
      </c>
      <c r="H110" s="28">
        <v>1</v>
      </c>
      <c r="I110" s="30">
        <f t="shared" si="19"/>
        <v>2520</v>
      </c>
      <c r="J110" s="22">
        <f t="shared" si="13"/>
        <v>24172.832000000006</v>
      </c>
      <c r="K110" s="22">
        <f>'5Of11Source'!L138</f>
        <v>686082.00000000012</v>
      </c>
      <c r="L110" s="28">
        <f t="shared" si="14"/>
        <v>1018289032.225</v>
      </c>
      <c r="M110" s="29" t="str">
        <f t="shared" si="17"/>
        <v>03,06,07,08,10</v>
      </c>
      <c r="N110" s="28">
        <f>IF(ISNUMBER(agent!$O$6*(K110/Z110)*Y110),TRUNC(agent!$O$6*(K110/Z110)*Y110,3),"没有上级")</f>
        <v>710.96500000000003</v>
      </c>
      <c r="O110" s="28">
        <f>IF(ISNUMBER(agent!$O$9*(K110/Z110)*Y110),TRUNC(agent!$O$9*(K110/Z110)*Y110,3),"没有上级")</f>
        <v>4265.7939999999999</v>
      </c>
      <c r="P110" s="28">
        <f>IF(ISNUMBER(agent!$O$12*(K110/Z110)*Y110),TRUNC(agent!$O$12*(K110/Z110)*Y110,3),"没有上级")</f>
        <v>1421.931</v>
      </c>
      <c r="Q110" s="28">
        <f>IF(ISNUMBER(agent!$O$15*(K110/Z110)*Y110),TRUNC(agent!$O$15*(K110/Z110)*Y110,3),"没有上级")</f>
        <v>2843.8629999999998</v>
      </c>
      <c r="R110" s="28">
        <f>IF(ISNUMBER(agent!$O$18*(K110/Z110)*Y110),TRUNC(agent!$O$18*(K110/Z110)*Y110,3),"没有上级")</f>
        <v>2132.8969999999999</v>
      </c>
      <c r="S110" s="28">
        <f>IF(ISNUMBER(agent!$O$21*(K110/Z110)*Y110),TRUNC(agent!$O$21*(K110/Z110)*Y110,3),"没有上级")</f>
        <v>710.96500000000003</v>
      </c>
      <c r="T110" s="28">
        <f>IF(ISNUMBER(agent!$O$24*(K110/Z110)*Y110),TRUNC(agent!$O$24*(K110/Z110)*Y110,3),"没有上级")</f>
        <v>4976.76</v>
      </c>
      <c r="U110" s="28">
        <f>IF(ISNUMBER(agent!$O$27*(K110/Z110)*Y110),TRUNC(agent!$O$27*(K110/Z110)*Y110,3),"没有上级")</f>
        <v>2132.8969999999999</v>
      </c>
      <c r="V110" s="28">
        <f>IF(ISNUMBER(agent!$O$30*(K110/Z110)*Y110),TRUNC(agent!$O$30*(K110/Z110)*Y110,3),"没有上级")</f>
        <v>2843.8629999999998</v>
      </c>
      <c r="W110" s="28">
        <f>IF(ISNUMBER(agent!$O$33*(K110/Z110)*Y110),TRUNC(agent!$O$33*(K110/Z110)*Y110,3),"没有上级")</f>
        <v>2132.8969999999999</v>
      </c>
      <c r="X110" s="28" t="s">
        <v>12</v>
      </c>
      <c r="Y110">
        <f>TRUNC(0.154,3)</f>
        <v>0.154</v>
      </c>
      <c r="Z110" s="28">
        <f>TRUNC(AB110-(9.9-agent!L$3)*10*Y110,3)</f>
        <v>148.61000000000001</v>
      </c>
      <c r="AA110" s="28">
        <f>'5Of11Source'!X$2</f>
        <v>0</v>
      </c>
      <c r="AB110">
        <f t="shared" si="18"/>
        <v>153.846</v>
      </c>
      <c r="AC110" s="28">
        <f>'5Of11Source'!E150</f>
        <v>252</v>
      </c>
      <c r="AD110" s="28">
        <v>138.6</v>
      </c>
      <c r="AE110" s="28"/>
      <c r="AF110" s="28"/>
      <c r="AG110" s="28"/>
      <c r="AH110" s="28"/>
      <c r="AI110" s="28"/>
    </row>
    <row r="111" spans="4:35" x14ac:dyDescent="0.15">
      <c r="D111" s="28" t="s">
        <v>103</v>
      </c>
      <c r="E111" s="28" t="s">
        <v>84</v>
      </c>
      <c r="F111" s="27" t="str">
        <f>'5Of11Source'!$J$49</f>
        <v>06,01 02 03 04 05 07 08 09 10 11</v>
      </c>
      <c r="G111" s="28">
        <f>'5Of11Source'!F123</f>
        <v>5</v>
      </c>
      <c r="H111" s="28">
        <v>1</v>
      </c>
      <c r="I111" s="30">
        <f t="shared" si="19"/>
        <v>1679.9999999999998</v>
      </c>
      <c r="J111" s="22">
        <f t="shared" si="13"/>
        <v>48424.417000000009</v>
      </c>
      <c r="K111" s="22">
        <f>'5Of11Source'!L139</f>
        <v>1374399</v>
      </c>
      <c r="L111" s="28">
        <f t="shared" si="14"/>
        <v>1019661751.225</v>
      </c>
      <c r="M111" s="29" t="str">
        <f t="shared" si="17"/>
        <v>03,06,07,08,10</v>
      </c>
      <c r="N111" s="28">
        <f>IF(ISNUMBER(agent!$O$6*(K111/Z111)*Y111),TRUNC(agent!$O$6*(K111/Z111)*Y111,3),"没有上级")</f>
        <v>1424.2470000000001</v>
      </c>
      <c r="O111" s="28">
        <f>IF(ISNUMBER(agent!$O$9*(K111/Z111)*Y111),TRUNC(agent!$O$9*(K111/Z111)*Y111,3),"没有上级")</f>
        <v>8545.4860000000008</v>
      </c>
      <c r="P111" s="28">
        <f>IF(ISNUMBER(agent!$O$12*(K111/Z111)*Y111),TRUNC(agent!$O$12*(K111/Z111)*Y111,3),"没有上级")</f>
        <v>2848.4949999999999</v>
      </c>
      <c r="Q111" s="28">
        <f>IF(ISNUMBER(agent!$O$15*(K111/Z111)*Y111),TRUNC(agent!$O$15*(K111/Z111)*Y111,3),"没有上级")</f>
        <v>5696.99</v>
      </c>
      <c r="R111" s="28">
        <f>IF(ISNUMBER(agent!$O$18*(K111/Z111)*Y111),TRUNC(agent!$O$18*(K111/Z111)*Y111,3),"没有上级")</f>
        <v>4272.7430000000004</v>
      </c>
      <c r="S111" s="28">
        <f>IF(ISNUMBER(agent!$O$21*(K111/Z111)*Y111),TRUNC(agent!$O$21*(K111/Z111)*Y111,3),"没有上级")</f>
        <v>1424.2470000000001</v>
      </c>
      <c r="T111" s="28">
        <f>IF(ISNUMBER(agent!$O$24*(K111/Z111)*Y111),TRUNC(agent!$O$24*(K111/Z111)*Y111,3),"没有上级")</f>
        <v>9969.7330000000002</v>
      </c>
      <c r="U111" s="28">
        <f>IF(ISNUMBER(agent!$O$27*(K111/Z111)*Y111),TRUNC(agent!$O$27*(K111/Z111)*Y111,3),"没有上级")</f>
        <v>4272.7430000000004</v>
      </c>
      <c r="V111" s="28">
        <f>IF(ISNUMBER(agent!$O$30*(K111/Z111)*Y111),TRUNC(agent!$O$30*(K111/Z111)*Y111,3),"没有上级")</f>
        <v>5696.99</v>
      </c>
      <c r="W111" s="28">
        <f>IF(ISNUMBER(agent!$O$33*(K111/Z111)*Y111),TRUNC(agent!$O$33*(K111/Z111)*Y111,3),"没有上级")</f>
        <v>4272.7430000000004</v>
      </c>
      <c r="X111" s="28"/>
      <c r="Y111">
        <f>TRUNC(0.044,3)</f>
        <v>4.3999999999999997E-2</v>
      </c>
      <c r="Z111" s="28">
        <f>TRUNC(AB111-(9.9-agent!L$3)*10*Y111,3)</f>
        <v>42.46</v>
      </c>
      <c r="AA111" s="28">
        <f>'5Of11Source'!X$2</f>
        <v>0</v>
      </c>
      <c r="AB111">
        <f t="shared" si="18"/>
        <v>43.956000000000003</v>
      </c>
      <c r="AC111" s="28">
        <f>'5Of11Source'!E152</f>
        <v>209.99999999999997</v>
      </c>
      <c r="AD111" s="28">
        <v>39.6</v>
      </c>
      <c r="AE111" s="28"/>
      <c r="AF111" s="28"/>
      <c r="AG111" s="28"/>
      <c r="AH111" s="28"/>
      <c r="AI111" s="28"/>
    </row>
    <row r="112" spans="4:35" x14ac:dyDescent="0.15">
      <c r="D112" s="28" t="s">
        <v>103</v>
      </c>
      <c r="E112" s="28" t="s">
        <v>86</v>
      </c>
      <c r="F112" s="27" t="str">
        <f>'5Of11Source'!$J$51</f>
        <v>07,01 02 03 04 05 06 09 10 08 11</v>
      </c>
      <c r="G112" s="28">
        <f>'5Of11Source'!F125</f>
        <v>1</v>
      </c>
      <c r="H112" s="28">
        <v>1</v>
      </c>
      <c r="I112" s="30">
        <f t="shared" si="19"/>
        <v>720</v>
      </c>
      <c r="J112" s="22">
        <f t="shared" si="13"/>
        <v>0</v>
      </c>
      <c r="K112" s="22">
        <f>'5Of11Source'!L140</f>
        <v>0</v>
      </c>
      <c r="L112" s="28">
        <f t="shared" si="14"/>
        <v>1019661031.225</v>
      </c>
      <c r="M112" s="29" t="str">
        <f t="shared" si="17"/>
        <v>03,06,07,08,10</v>
      </c>
      <c r="N112" s="28">
        <f>IF(ISNUMBER(agent!$O$6*(K112/Z112)*Y112),TRUNC(agent!$O$6*(K112/Z112)*Y112,3),"没有上级")</f>
        <v>0</v>
      </c>
      <c r="O112" s="28">
        <f>IF(ISNUMBER(agent!$O$9*(K112/Z112)*Y112),TRUNC(agent!$O$9*(K112/Z112)*Y112,3),"没有上级")</f>
        <v>0</v>
      </c>
      <c r="P112" s="28">
        <f>IF(ISNUMBER(agent!$O$12*(K112/Z112)*Y112),TRUNC(agent!$O$12*(K112/Z112)*Y112,3),"没有上级")</f>
        <v>0</v>
      </c>
      <c r="Q112" s="28">
        <f>IF(ISNUMBER(agent!$O$15*(K112/Z112)*Y112),TRUNC(agent!$O$15*(K112/Z112)*Y112,3),"没有上级")</f>
        <v>0</v>
      </c>
      <c r="R112" s="28">
        <f>IF(ISNUMBER(agent!$O$18*(K112/Z112)*Y112),TRUNC(agent!$O$18*(K112/Z112)*Y112,3),"没有上级")</f>
        <v>0</v>
      </c>
      <c r="S112" s="28">
        <f>IF(ISNUMBER(agent!$O$21*(K112/Z112)*Y112),TRUNC(agent!$O$21*(K112/Z112)*Y112,3),"没有上级")</f>
        <v>0</v>
      </c>
      <c r="T112" s="28">
        <f>IF(ISNUMBER(agent!$O$24*(K112/Z112)*Y112),TRUNC(agent!$O$24*(K112/Z112)*Y112,3),"没有上级")</f>
        <v>0</v>
      </c>
      <c r="U112" s="28">
        <f>IF(ISNUMBER(agent!$O$27*(K112/Z112)*Y112),TRUNC(agent!$O$27*(K112/Z112)*Y112,3),"没有上级")</f>
        <v>0</v>
      </c>
      <c r="V112" s="28">
        <f>IF(ISNUMBER(agent!$O$30*(K112/Z112)*Y112),TRUNC(agent!$O$30*(K112/Z112)*Y112,3),"没有上级")</f>
        <v>0</v>
      </c>
      <c r="W112" s="28">
        <f>IF(ISNUMBER(agent!$O$33*(K112/Z112)*Y112),TRUNC(agent!$O$33*(K112/Z112)*Y112,3),"没有上级")</f>
        <v>0</v>
      </c>
      <c r="X112" s="28"/>
      <c r="Y112">
        <f>TRUNC(0.01642857,3)</f>
        <v>1.6E-2</v>
      </c>
      <c r="Z112" s="28">
        <f>TRUNC(AB112-(9.9-agent!L$3)*10*Y112,3)</f>
        <v>15.89</v>
      </c>
      <c r="AA112" s="28">
        <f>'5Of11Source'!X$2</f>
        <v>0</v>
      </c>
      <c r="AB112">
        <f t="shared" si="18"/>
        <v>16.434000000000001</v>
      </c>
      <c r="AC112" s="28">
        <f>'5Of11Source'!E154</f>
        <v>120</v>
      </c>
      <c r="AD112" s="28">
        <v>14.85</v>
      </c>
      <c r="AE112" s="28"/>
      <c r="AF112" s="28"/>
      <c r="AG112" s="28"/>
      <c r="AH112" s="28"/>
      <c r="AI112" s="28"/>
    </row>
    <row r="113" spans="4:35" x14ac:dyDescent="0.15">
      <c r="D113" s="31" t="s">
        <v>23</v>
      </c>
      <c r="E113" s="31" t="s">
        <v>25</v>
      </c>
      <c r="F113" s="31" t="str">
        <f>'5Of11Source'!$J$2</f>
        <v>01 02 03 04 05 06 07 08 09 10 11,01 02 03 04 05 06 07 08 09 10 11,01 02 03 04 05 06 07 08 09 10 11</v>
      </c>
      <c r="G113" s="31">
        <f>'5Of11Source'!F113:F115</f>
        <v>0</v>
      </c>
      <c r="H113" s="31">
        <v>1</v>
      </c>
      <c r="I113" s="30">
        <f t="shared" si="19"/>
        <v>3960</v>
      </c>
      <c r="J113" s="31">
        <f t="shared" si="13"/>
        <v>2098.252</v>
      </c>
      <c r="K113" s="30">
        <f>'5Of11Source'!L155</f>
        <v>59553.460000000006</v>
      </c>
      <c r="L113" s="31">
        <f>L112-I113+K113</f>
        <v>1019716624.6850001</v>
      </c>
      <c r="M113" s="31" t="str">
        <f>'5Of11Source'!P$2</f>
        <v>03,06,07,08,10</v>
      </c>
      <c r="N113" s="31">
        <f>IF(ISNUMBER(agent!$O$6*(K113/Z113)*Y113),TRUNC(agent!$O$6*(K113/Z113)*Y113,3),"没有上级")</f>
        <v>61.713000000000001</v>
      </c>
      <c r="O113" s="31">
        <f>IF(ISNUMBER(agent!$O$9*(K113/Z113)*Y113),TRUNC(agent!$O$9*(K113/Z113)*Y113,3),"没有上级")</f>
        <v>370.28</v>
      </c>
      <c r="P113" s="31">
        <f>IF(ISNUMBER(agent!$O$12*(K113/Z113)*Y113),TRUNC(agent!$O$12*(K113/Z113)*Y113,3),"没有上级")</f>
        <v>123.426</v>
      </c>
      <c r="Q113" s="31">
        <f>IF(ISNUMBER(agent!$O$15*(K113/Z113)*Y113),TRUNC(agent!$O$15*(K113/Z113)*Y113,3),"没有上级")</f>
        <v>246.85300000000001</v>
      </c>
      <c r="R113" s="31">
        <f>IF(ISNUMBER(agent!$O$18*(K113/Z113)*Y113),TRUNC(agent!$O$18*(K113/Z113)*Y113,3),"没有上级")</f>
        <v>185.14</v>
      </c>
      <c r="S113" s="31">
        <f>IF(ISNUMBER(agent!$O$21*(K113/Z113)*Y113),TRUNC(agent!$O$21*(K113/Z113)*Y113,3),"没有上级")</f>
        <v>61.713000000000001</v>
      </c>
      <c r="T113" s="31">
        <f>IF(ISNUMBER(agent!$O$24*(K113/Z113)*Y113),TRUNC(agent!$O$24*(K113/Z113)*Y113,3),"没有上级")</f>
        <v>431.99400000000003</v>
      </c>
      <c r="U113" s="31">
        <f>IF(ISNUMBER(agent!$O$27*(K113/Z113)*Y113),TRUNC(agent!$O$27*(K113/Z113)*Y113,3),"没有上级")</f>
        <v>185.14</v>
      </c>
      <c r="V113" s="31">
        <f>IF(ISNUMBER(agent!$O$30*(K113/Z113)*Y113),TRUNC(agent!$O$30*(K113/Z113)*Y113,3),"没有上级")</f>
        <v>246.85300000000001</v>
      </c>
      <c r="W113" s="31">
        <f>IF(ISNUMBER(agent!$O$33*(K113/Z113)*Y113),TRUNC(agent!$O$33*(K113/Z113)*Y113,3),"没有上级")</f>
        <v>185.14</v>
      </c>
      <c r="X113" s="31" t="s">
        <v>9</v>
      </c>
      <c r="Y113" s="31">
        <f>TRUNC(1.98,3)</f>
        <v>1.98</v>
      </c>
      <c r="Z113" s="31">
        <f>TRUNC(AB113-(9.9-agent!L$3)*10*Y113,3)</f>
        <v>1910.7</v>
      </c>
      <c r="AA113" s="31">
        <f>'5Of11Source'!X$2</f>
        <v>0</v>
      </c>
      <c r="AB113" s="31">
        <f>TRUNC(AD113+Y113*99,4)</f>
        <v>1978.02</v>
      </c>
      <c r="AC113" s="28">
        <f>'5Of11Source'!E155</f>
        <v>45</v>
      </c>
      <c r="AD113" s="31">
        <v>1782</v>
      </c>
      <c r="AE113" s="31">
        <v>1000000000</v>
      </c>
      <c r="AF113" s="31"/>
      <c r="AG113" s="31"/>
      <c r="AH113" s="31"/>
      <c r="AI113" s="31"/>
    </row>
    <row r="114" spans="4:35" x14ac:dyDescent="0.15">
      <c r="D114" s="28" t="s">
        <v>23</v>
      </c>
      <c r="E114" s="28" t="s">
        <v>32</v>
      </c>
      <c r="F114" s="27" t="str">
        <f>'5Of11Source'!$J$5</f>
        <v>01 02 03,04 05 06,07 08 09,02 05 07</v>
      </c>
      <c r="G114" s="28">
        <f>'5Of11Source'!F116</f>
        <v>2</v>
      </c>
      <c r="H114" s="28">
        <v>1</v>
      </c>
      <c r="I114" s="30">
        <f t="shared" si="19"/>
        <v>40</v>
      </c>
      <c r="J114" s="22">
        <f t="shared" si="13"/>
        <v>0</v>
      </c>
      <c r="K114" s="30">
        <f>'5Of11Source'!L156</f>
        <v>0</v>
      </c>
      <c r="L114" s="28">
        <f t="shared" ref="L114:L149" si="20">$L113-$I114+$K114</f>
        <v>1019716584.6850001</v>
      </c>
      <c r="M114" s="29" t="str">
        <f>M113</f>
        <v>03,06,07,08,10</v>
      </c>
      <c r="N114" s="28">
        <f>IF(ISNUMBER(agent!$O$6*(K114/Z114)*Y114),TRUNC(agent!$O$6*(K114/Z114)*Y114,3),"没有上级")</f>
        <v>0</v>
      </c>
      <c r="O114" s="28">
        <f>IF(ISNUMBER(agent!$O$9*(K114/Z114)*Y114),TRUNC(agent!$O$9*(K114/Z114)*Y114,3),"没有上级")</f>
        <v>0</v>
      </c>
      <c r="P114" s="28">
        <f>IF(ISNUMBER(agent!$O$12*(K114/Z114)*Y114),TRUNC(agent!$O$12*(K114/Z114)*Y114,3),"没有上级")</f>
        <v>0</v>
      </c>
      <c r="Q114" s="28">
        <f>IF(ISNUMBER(agent!$O$15*(K114/Z114)*Y114),TRUNC(agent!$O$15*(K114/Z114)*Y114,3),"没有上级")</f>
        <v>0</v>
      </c>
      <c r="R114" s="28">
        <f>IF(ISNUMBER(agent!$O$18*(K114/Z114)*Y114),TRUNC(agent!$O$18*(K114/Z114)*Y114,3),"没有上级")</f>
        <v>0</v>
      </c>
      <c r="S114" s="28">
        <f>IF(ISNUMBER(agent!$O$21*(K114/Z114)*Y114),TRUNC(agent!$O$21*(K114/Z114)*Y114,3),"没有上级")</f>
        <v>0</v>
      </c>
      <c r="T114" s="28">
        <f>IF(ISNUMBER(agent!$O$24*(K114/Z114)*Y114),TRUNC(agent!$O$24*(K114/Z114)*Y114,3),"没有上级")</f>
        <v>0</v>
      </c>
      <c r="U114" s="28">
        <f>IF(ISNUMBER(agent!$O$27*(K114/Z114)*Y114),TRUNC(agent!$O$27*(K114/Z114)*Y114,3),"没有上级")</f>
        <v>0</v>
      </c>
      <c r="V114" s="28">
        <f>IF(ISNUMBER(agent!$O$30*(K114/Z114)*Y114),TRUNC(agent!$O$30*(K114/Z114)*Y114,3),"没有上级")</f>
        <v>0</v>
      </c>
      <c r="W114" s="28">
        <f>IF(ISNUMBER(agent!$O$33*(K114/Z114)*Y114),TRUNC(agent!$O$33*(K114/Z114)*Y114,3),"没有上级")</f>
        <v>0</v>
      </c>
      <c r="X114" s="28" t="s">
        <v>10</v>
      </c>
      <c r="Y114">
        <f>TRUNC(1.98,3)</f>
        <v>1.98</v>
      </c>
      <c r="Z114" s="28">
        <f>TRUNC(AB114-(9.9-agent!L$3)*10*Y114,3)</f>
        <v>1910.7</v>
      </c>
      <c r="AA114" s="28">
        <f>'5Of11Source'!X$2</f>
        <v>0</v>
      </c>
      <c r="AB114">
        <f t="shared" ref="AB114:AB124" si="21">TRUNC(AD114+Y114*99,4)</f>
        <v>1978.02</v>
      </c>
      <c r="AC114" s="28">
        <f>'5Of11Source'!E158</f>
        <v>4</v>
      </c>
      <c r="AD114" s="28">
        <v>1782</v>
      </c>
      <c r="AE114" s="28"/>
      <c r="AF114" s="29" t="s">
        <v>136</v>
      </c>
      <c r="AG114" s="28"/>
      <c r="AH114" s="27"/>
      <c r="AI114" s="28"/>
    </row>
    <row r="115" spans="4:35" ht="27" x14ac:dyDescent="0.15">
      <c r="D115" s="28" t="s">
        <v>23</v>
      </c>
      <c r="E115" s="28" t="s">
        <v>35</v>
      </c>
      <c r="F115" s="27" t="str">
        <f>'5Of11Source'!$J$6</f>
        <v>01 02 03 04 05 06 07 08 09 10 11</v>
      </c>
      <c r="G115" s="28">
        <f>'5Of11Source'!F117</f>
        <v>3</v>
      </c>
      <c r="H115" s="28">
        <v>1</v>
      </c>
      <c r="I115" s="30">
        <f t="shared" si="19"/>
        <v>990</v>
      </c>
      <c r="J115" s="22">
        <f t="shared" si="13"/>
        <v>3023.1659999999997</v>
      </c>
      <c r="K115" s="30">
        <f>'5Of11Source'!L157</f>
        <v>86047.920000000013</v>
      </c>
      <c r="L115" s="28">
        <f t="shared" si="20"/>
        <v>1019801642.605</v>
      </c>
      <c r="M115" s="29" t="str">
        <f>M114</f>
        <v>03,06,07,08,10</v>
      </c>
      <c r="N115" s="28">
        <f>IF(ISNUMBER(agent!$O$6*(K115/Z115)*Y115),TRUNC(agent!$O$6*(K115/Z115)*Y115,3),"没有上级")</f>
        <v>88.915999999999997</v>
      </c>
      <c r="O115" s="28">
        <f>IF(ISNUMBER(agent!$O$9*(K115/Z115)*Y115),TRUNC(agent!$O$9*(K115/Z115)*Y115,3),"没有上级")</f>
        <v>533.5</v>
      </c>
      <c r="P115" s="28">
        <f>IF(ISNUMBER(agent!$O$12*(K115/Z115)*Y115),TRUNC(agent!$O$12*(K115/Z115)*Y115,3),"没有上级")</f>
        <v>177.833</v>
      </c>
      <c r="Q115" s="28">
        <f>IF(ISNUMBER(agent!$O$15*(K115/Z115)*Y115),TRUNC(agent!$O$15*(K115/Z115)*Y115,3),"没有上级")</f>
        <v>355.66699999999997</v>
      </c>
      <c r="R115" s="28">
        <f>IF(ISNUMBER(agent!$O$18*(K115/Z115)*Y115),TRUNC(agent!$O$18*(K115/Z115)*Y115,3),"没有上级")</f>
        <v>266.75</v>
      </c>
      <c r="S115" s="28">
        <f>IF(ISNUMBER(agent!$O$21*(K115/Z115)*Y115),TRUNC(agent!$O$21*(K115/Z115)*Y115,3),"没有上级")</f>
        <v>88.915999999999997</v>
      </c>
      <c r="T115" s="28">
        <f>IF(ISNUMBER(agent!$O$24*(K115/Z115)*Y115),TRUNC(agent!$O$24*(K115/Z115)*Y115,3),"没有上级")</f>
        <v>622.41700000000003</v>
      </c>
      <c r="U115" s="28">
        <f>IF(ISNUMBER(agent!$O$27*(K115/Z115)*Y115),TRUNC(agent!$O$27*(K115/Z115)*Y115,3),"没有上级")</f>
        <v>266.75</v>
      </c>
      <c r="V115" s="28">
        <f>IF(ISNUMBER(agent!$O$30*(K115/Z115)*Y115),TRUNC(agent!$O$30*(K115/Z115)*Y115,3),"没有上级")</f>
        <v>355.66699999999997</v>
      </c>
      <c r="W115" s="28">
        <f>IF(ISNUMBER(agent!$O$33*(K115/Z115)*Y115),TRUNC(agent!$O$33*(K115/Z115)*Y115,3),"没有上级")</f>
        <v>266.75</v>
      </c>
      <c r="X115" s="28"/>
      <c r="Y115">
        <f>TRUNC(0.329857,3)</f>
        <v>0.32900000000000001</v>
      </c>
      <c r="Z115" s="28">
        <f>TRUNC(AB115-(9.9-agent!L$3)*10*Y115,3)</f>
        <v>318.38499999999999</v>
      </c>
      <c r="AA115" s="28">
        <f>'5Of11Source'!X$2</f>
        <v>0</v>
      </c>
      <c r="AB115">
        <f t="shared" si="21"/>
        <v>329.57100000000003</v>
      </c>
      <c r="AC115" s="28">
        <f>'5Of11Source'!E159</f>
        <v>165</v>
      </c>
      <c r="AD115" s="28">
        <v>297</v>
      </c>
      <c r="AE115" s="28"/>
      <c r="AF115" s="29" t="s">
        <v>137</v>
      </c>
      <c r="AG115" s="29" t="s">
        <v>145</v>
      </c>
      <c r="AH115" s="25" t="s">
        <v>146</v>
      </c>
      <c r="AI115" s="29" t="s">
        <v>147</v>
      </c>
    </row>
    <row r="116" spans="4:35" x14ac:dyDescent="0.15">
      <c r="D116" s="28" t="s">
        <v>23</v>
      </c>
      <c r="E116" s="28" t="s">
        <v>36</v>
      </c>
      <c r="F116" s="27" t="str">
        <f>'5Of11Source'!$D$7</f>
        <v>01 02 03,06 07 08,09 10 11,05 02 07</v>
      </c>
      <c r="G116" s="28">
        <f>'5Of11Source'!F118</f>
        <v>0</v>
      </c>
      <c r="H116" s="28">
        <v>1</v>
      </c>
      <c r="I116" s="30">
        <f t="shared" si="19"/>
        <v>32</v>
      </c>
      <c r="J116" s="22">
        <f t="shared" si="13"/>
        <v>0</v>
      </c>
      <c r="K116" s="30">
        <f>'5Of11Source'!L158</f>
        <v>0</v>
      </c>
      <c r="L116" s="28">
        <f t="shared" si="20"/>
        <v>1019801610.605</v>
      </c>
      <c r="M116" s="29" t="str">
        <f>M115</f>
        <v>03,06,07,08,10</v>
      </c>
      <c r="N116" s="28">
        <f>IF(ISNUMBER(agent!$O$6*(K116/Z116)*Y116),TRUNC(agent!$O$6*(K116/Z116)*Y116,3),"没有上级")</f>
        <v>0</v>
      </c>
      <c r="O116" s="28">
        <f>IF(ISNUMBER(agent!$O$9*(K116/Z116)*Y116),TRUNC(agent!$O$9*(K116/Z116)*Y116,3),"没有上级")</f>
        <v>0</v>
      </c>
      <c r="P116" s="28">
        <f>IF(ISNUMBER(agent!$O$12*(K116/Z116)*Y116),TRUNC(agent!$O$12*(K116/Z116)*Y116,3),"没有上级")</f>
        <v>0</v>
      </c>
      <c r="Q116" s="28">
        <f>IF(ISNUMBER(agent!$O$15*(K116/Z116)*Y116),TRUNC(agent!$O$15*(K116/Z116)*Y116,3),"没有上级")</f>
        <v>0</v>
      </c>
      <c r="R116" s="28">
        <f>IF(ISNUMBER(agent!$O$18*(K116/Z116)*Y116),TRUNC(agent!$O$18*(K116/Z116)*Y116,3),"没有上级")</f>
        <v>0</v>
      </c>
      <c r="S116" s="28">
        <f>IF(ISNUMBER(agent!$O$21*(K116/Z116)*Y116),TRUNC(agent!$O$21*(K116/Z116)*Y116,3),"没有上级")</f>
        <v>0</v>
      </c>
      <c r="T116" s="28">
        <f>IF(ISNUMBER(agent!$O$24*(K116/Z116)*Y116),TRUNC(agent!$O$24*(K116/Z116)*Y116,3),"没有上级")</f>
        <v>0</v>
      </c>
      <c r="U116" s="28">
        <f>IF(ISNUMBER(agent!$O$27*(K116/Z116)*Y116),TRUNC(agent!$O$27*(K116/Z116)*Y116,3),"没有上级")</f>
        <v>0</v>
      </c>
      <c r="V116" s="28">
        <f>IF(ISNUMBER(agent!$O$30*(K116/Z116)*Y116),TRUNC(agent!$O$30*(K116/Z116)*Y116,3),"没有上级")</f>
        <v>0</v>
      </c>
      <c r="W116" s="28">
        <f>IF(ISNUMBER(agent!$O$33*(K116/Z116)*Y116),TRUNC(agent!$O$33*(K116/Z116)*Y116,3),"没有上级")</f>
        <v>0</v>
      </c>
      <c r="X116" s="28"/>
      <c r="Y116">
        <f>TRUNC(0.329857,3)</f>
        <v>0.32900000000000001</v>
      </c>
      <c r="Z116" s="28">
        <f>TRUNC(AB116-(9.9-agent!L$3)*10*Y116,3)</f>
        <v>318.38499999999999</v>
      </c>
      <c r="AA116" s="28">
        <f>'5Of11Source'!X$2</f>
        <v>0</v>
      </c>
      <c r="AB116">
        <f t="shared" si="21"/>
        <v>329.57100000000003</v>
      </c>
      <c r="AC116" s="28">
        <f>'5Of11Source'!E160</f>
        <v>4</v>
      </c>
      <c r="AD116" s="28">
        <v>297</v>
      </c>
      <c r="AE116" s="28"/>
      <c r="AF116" s="29" t="s">
        <v>138</v>
      </c>
      <c r="AG116" s="28">
        <f>TRUNC(0.154,3)</f>
        <v>0.154</v>
      </c>
      <c r="AH116" s="27">
        <f>TRUNC(AI116-(9.9-agent!$L$3)*AG116,3)</f>
        <v>212.72200000000001</v>
      </c>
      <c r="AI116" s="28">
        <f t="shared" ref="AI116:AI121" si="22">TRUNC(AD156+AG116*99,4)</f>
        <v>213.24600000000001</v>
      </c>
    </row>
    <row r="117" spans="4:35" x14ac:dyDescent="0.15">
      <c r="D117" s="28" t="s">
        <v>23</v>
      </c>
      <c r="E117" s="28" t="s">
        <v>38</v>
      </c>
      <c r="F117" s="27" t="str">
        <f>'5Of11Source'!$J$8</f>
        <v>07,01 02 03 04 05 06 08 09 10 11</v>
      </c>
      <c r="G117" s="28">
        <f>'5Of11Source'!F119</f>
        <v>5</v>
      </c>
      <c r="H117" s="28">
        <v>1</v>
      </c>
      <c r="I117" s="30">
        <f t="shared" si="19"/>
        <v>180</v>
      </c>
      <c r="J117" s="22">
        <f t="shared" si="13"/>
        <v>0</v>
      </c>
      <c r="K117" s="30">
        <f>'5Of11Source'!L159</f>
        <v>0</v>
      </c>
      <c r="L117" s="28">
        <f t="shared" si="20"/>
        <v>1019801430.605</v>
      </c>
      <c r="M117" s="29" t="str">
        <f>M116</f>
        <v>03,06,07,08,10</v>
      </c>
      <c r="N117" s="28">
        <f>IF(ISNUMBER(agent!$O$6*(K117/Z117)*Y117),TRUNC(agent!$O$6*(K117/Z117)*Y117,3),"没有上级")</f>
        <v>0</v>
      </c>
      <c r="O117" s="28">
        <f>IF(ISNUMBER(agent!$O$9*(K117/Z117)*Y117),TRUNC(agent!$O$9*(K117/Z117)*Y117,3),"没有上级")</f>
        <v>0</v>
      </c>
      <c r="P117" s="28">
        <f>IF(ISNUMBER(agent!$O$12*(K117/Z117)*Y117),TRUNC(agent!$O$12*(K117/Z117)*Y117,3),"没有上级")</f>
        <v>0</v>
      </c>
      <c r="Q117" s="28">
        <f>IF(ISNUMBER(agent!$O$15*(K117/Z117)*Y117),TRUNC(agent!$O$15*(K117/Z117)*Y117,3),"没有上级")</f>
        <v>0</v>
      </c>
      <c r="R117" s="28">
        <f>IF(ISNUMBER(agent!$O$18*(K117/Z117)*Y117),TRUNC(agent!$O$18*(K117/Z117)*Y117,3),"没有上级")</f>
        <v>0</v>
      </c>
      <c r="S117" s="28">
        <f>IF(ISNUMBER(agent!$O$21*(K117/Z117)*Y117),TRUNC(agent!$O$21*(K117/Z117)*Y117,3),"没有上级")</f>
        <v>0</v>
      </c>
      <c r="T117" s="28">
        <f>IF(ISNUMBER(agent!$O$24*(K117/Z117)*Y117),TRUNC(agent!$O$24*(K117/Z117)*Y117,3),"没有上级")</f>
        <v>0</v>
      </c>
      <c r="U117" s="28">
        <f>IF(ISNUMBER(agent!$O$27*(K117/Z117)*Y117),TRUNC(agent!$O$27*(K117/Z117)*Y117,3),"没有上级")</f>
        <v>0</v>
      </c>
      <c r="V117" s="28">
        <f>IF(ISNUMBER(agent!$O$30*(K117/Z117)*Y117),TRUNC(agent!$O$30*(K117/Z117)*Y117,3),"没有上级")</f>
        <v>0</v>
      </c>
      <c r="W117" s="28">
        <f>IF(ISNUMBER(agent!$O$33*(K117/Z117)*Y117),TRUNC(agent!$O$33*(K117/Z117)*Y117,3),"没有上级")</f>
        <v>0</v>
      </c>
      <c r="X117" s="28"/>
      <c r="Y117">
        <f>TRUNC(0.329857,3)</f>
        <v>0.32900000000000001</v>
      </c>
      <c r="Z117" s="28">
        <f>TRUNC(AB117-(9.9-agent!L$3)*10*Y117,3)</f>
        <v>318.38499999999999</v>
      </c>
      <c r="AA117" s="28">
        <f>'5Of11Source'!X$2</f>
        <v>0</v>
      </c>
      <c r="AB117">
        <f t="shared" si="21"/>
        <v>329.57100000000003</v>
      </c>
      <c r="AC117" s="28">
        <f>'5Of11Source'!E161</f>
        <v>45</v>
      </c>
      <c r="AD117" s="28">
        <v>297</v>
      </c>
      <c r="AE117" s="28"/>
      <c r="AF117" s="29" t="s">
        <v>139</v>
      </c>
      <c r="AG117" s="28">
        <f>TRUNC(0.01242857,3)</f>
        <v>1.2E-2</v>
      </c>
      <c r="AH117" s="27">
        <f>TRUNC(AI117-(9.9-agent!$L$3)*AG117,3)</f>
        <v>100.14700000000001</v>
      </c>
      <c r="AI117" s="28">
        <f t="shared" si="22"/>
        <v>100.188</v>
      </c>
    </row>
    <row r="118" spans="4:35" ht="27" x14ac:dyDescent="0.15">
      <c r="D118" s="28" t="s">
        <v>41</v>
      </c>
      <c r="E118" s="28" t="s">
        <v>43</v>
      </c>
      <c r="F118" s="27" t="str">
        <f>'5Of11Source'!$J$10</f>
        <v>01 02 03 04 05 06 07 08 09 10 11,01 02 03 04 05 06 07 08 09 10 11</v>
      </c>
      <c r="G118" s="28">
        <f>'5Of11Source'!F121</f>
        <v>0</v>
      </c>
      <c r="H118" s="28">
        <v>1</v>
      </c>
      <c r="I118" s="30">
        <f t="shared" si="19"/>
        <v>1100</v>
      </c>
      <c r="J118" s="22">
        <f t="shared" si="13"/>
        <v>5051.3810000000003</v>
      </c>
      <c r="K118" s="30">
        <f>'5Of11Source'!L160</f>
        <v>143370.20000000001</v>
      </c>
      <c r="L118" s="28">
        <f t="shared" si="20"/>
        <v>1019943700.8050001</v>
      </c>
      <c r="M118" s="29" t="str">
        <f>M117</f>
        <v>03,06,07,08,10</v>
      </c>
      <c r="N118" s="28">
        <f>IF(ISNUMBER(agent!$O$6*(K118/Z118)*Y118),TRUNC(agent!$O$6*(K118/Z118)*Y118,3),"没有上级")</f>
        <v>148.57</v>
      </c>
      <c r="O118" s="28">
        <f>IF(ISNUMBER(agent!$O$9*(K118/Z118)*Y118),TRUNC(agent!$O$9*(K118/Z118)*Y118,3),"没有上级")</f>
        <v>891.42</v>
      </c>
      <c r="P118" s="28">
        <f>IF(ISNUMBER(agent!$O$12*(K118/Z118)*Y118),TRUNC(agent!$O$12*(K118/Z118)*Y118,3),"没有上级")</f>
        <v>297.14</v>
      </c>
      <c r="Q118" s="28">
        <f>IF(ISNUMBER(agent!$O$15*(K118/Z118)*Y118),TRUNC(agent!$O$15*(K118/Z118)*Y118,3),"没有上级")</f>
        <v>594.28</v>
      </c>
      <c r="R118" s="28">
        <f>IF(ISNUMBER(agent!$O$18*(K118/Z118)*Y118),TRUNC(agent!$O$18*(K118/Z118)*Y118,3),"没有上级")</f>
        <v>445.71</v>
      </c>
      <c r="S118" s="28">
        <f>IF(ISNUMBER(agent!$O$21*(K118/Z118)*Y118),TRUNC(agent!$O$21*(K118/Z118)*Y118,3),"没有上级")</f>
        <v>148.57</v>
      </c>
      <c r="T118" s="28">
        <f>IF(ISNUMBER(agent!$O$24*(K118/Z118)*Y118),TRUNC(agent!$O$24*(K118/Z118)*Y118,3),"没有上级")</f>
        <v>1039.991</v>
      </c>
      <c r="U118" s="28">
        <f>IF(ISNUMBER(agent!$O$27*(K118/Z118)*Y118),TRUNC(agent!$O$27*(K118/Z118)*Y118,3),"没有上级")</f>
        <v>445.71</v>
      </c>
      <c r="V118" s="28">
        <f>IF(ISNUMBER(agent!$O$30*(K118/Z118)*Y118),TRUNC(agent!$O$30*(K118/Z118)*Y118,3),"没有上级")</f>
        <v>594.28</v>
      </c>
      <c r="W118" s="28">
        <f>IF(ISNUMBER(agent!$O$33*(K118/Z118)*Y118),TRUNC(agent!$O$33*(K118/Z118)*Y118,3),"没有上级")</f>
        <v>445.71</v>
      </c>
      <c r="X118" s="28" t="s">
        <v>12</v>
      </c>
      <c r="Y118">
        <f>TRUNC(0.22,3)</f>
        <v>0.22</v>
      </c>
      <c r="Z118" s="28">
        <f>TRUNC(AB118-(9.9-agent!L$3)*10*Y118,3)</f>
        <v>212.3</v>
      </c>
      <c r="AA118" s="28">
        <f>'5Of11Source'!X$2</f>
        <v>0</v>
      </c>
      <c r="AB118">
        <f t="shared" si="21"/>
        <v>219.78</v>
      </c>
      <c r="AC118" s="28">
        <f>'5Of11Source'!E163</f>
        <v>121</v>
      </c>
      <c r="AD118" s="28">
        <v>198</v>
      </c>
      <c r="AE118" s="28"/>
      <c r="AF118" s="29" t="s">
        <v>140</v>
      </c>
      <c r="AG118" s="28">
        <f>TRUNC(0.0047,3)</f>
        <v>4.0000000000000001E-3</v>
      </c>
      <c r="AH118" s="27">
        <f>TRUNC(AI118-(9.9-agent!$L$3)*AG118,3)</f>
        <v>99.382000000000005</v>
      </c>
      <c r="AI118" s="28">
        <f t="shared" si="22"/>
        <v>99.396000000000001</v>
      </c>
    </row>
    <row r="119" spans="4:35" x14ac:dyDescent="0.15">
      <c r="D119" s="28" t="s">
        <v>41</v>
      </c>
      <c r="E119" s="28" t="s">
        <v>45</v>
      </c>
      <c r="F119" s="27" t="str">
        <f>'5Of11Source'!$J$12</f>
        <v>01 02,02 05,05 02,07 08,09 10</v>
      </c>
      <c r="G119" s="28">
        <f>'5Of11Source'!F123</f>
        <v>5</v>
      </c>
      <c r="H119" s="28">
        <v>1</v>
      </c>
      <c r="I119" s="30">
        <f t="shared" si="19"/>
        <v>30</v>
      </c>
      <c r="J119" s="22">
        <f t="shared" si="13"/>
        <v>0</v>
      </c>
      <c r="K119" s="30">
        <f>'5Of11Source'!L161</f>
        <v>0</v>
      </c>
      <c r="L119" s="28">
        <f t="shared" si="20"/>
        <v>1019943670.8050001</v>
      </c>
      <c r="M119" s="29" t="str">
        <f t="shared" ref="M119:M149" si="23">M118</f>
        <v>03,06,07,08,10</v>
      </c>
      <c r="N119" s="28">
        <f>IF(ISNUMBER(agent!$O$6*(K119/Z119)*Y119),TRUNC(agent!$O$6*(K119/Z119)*Y119,3),"没有上级")</f>
        <v>0</v>
      </c>
      <c r="O119" s="28">
        <f>IF(ISNUMBER(agent!$O$9*(K119/Z119)*Y119),TRUNC(agent!$O$9*(K119/Z119)*Y119,3),"没有上级")</f>
        <v>0</v>
      </c>
      <c r="P119" s="28">
        <f>IF(ISNUMBER(agent!$O$12*(K119/Z119)*Y119),TRUNC(agent!$O$12*(K119/Z119)*Y119,3),"没有上级")</f>
        <v>0</v>
      </c>
      <c r="Q119" s="28">
        <f>IF(ISNUMBER(agent!$O$15*(K119/Z119)*Y119),TRUNC(agent!$O$15*(K119/Z119)*Y119,3),"没有上级")</f>
        <v>0</v>
      </c>
      <c r="R119" s="28">
        <f>IF(ISNUMBER(agent!$O$18*(K119/Z119)*Y119),TRUNC(agent!$O$18*(K119/Z119)*Y119,3),"没有上级")</f>
        <v>0</v>
      </c>
      <c r="S119" s="28">
        <f>IF(ISNUMBER(agent!$O$21*(K119/Z119)*Y119),TRUNC(agent!$O$21*(K119/Z119)*Y119,3),"没有上级")</f>
        <v>0</v>
      </c>
      <c r="T119" s="28">
        <f>IF(ISNUMBER(agent!$O$24*(K119/Z119)*Y119),TRUNC(agent!$O$24*(K119/Z119)*Y119,3),"没有上级")</f>
        <v>0</v>
      </c>
      <c r="U119" s="28">
        <f>IF(ISNUMBER(agent!$O$27*(K119/Z119)*Y119),TRUNC(agent!$O$27*(K119/Z119)*Y119,3),"没有上级")</f>
        <v>0</v>
      </c>
      <c r="V119" s="28">
        <f>IF(ISNUMBER(agent!$O$30*(K119/Z119)*Y119),TRUNC(agent!$O$30*(K119/Z119)*Y119,3),"没有上级")</f>
        <v>0</v>
      </c>
      <c r="W119" s="28">
        <f>IF(ISNUMBER(agent!$O$33*(K119/Z119)*Y119),TRUNC(agent!$O$33*(K119/Z119)*Y119,3),"没有上级")</f>
        <v>0</v>
      </c>
      <c r="X119" s="28"/>
      <c r="Y119">
        <f>TRUNC(0.22,3)</f>
        <v>0.22</v>
      </c>
      <c r="Z119" s="28">
        <f>TRUNC(AB119-(9.9-agent!L$3)*10*Y119,3)</f>
        <v>212.3</v>
      </c>
      <c r="AA119" s="28">
        <f>'5Of11Source'!X$2</f>
        <v>0</v>
      </c>
      <c r="AB119">
        <f t="shared" si="21"/>
        <v>219.78</v>
      </c>
      <c r="AC119" s="28">
        <f>'5Of11Source'!E165</f>
        <v>5</v>
      </c>
      <c r="AD119" s="28">
        <v>198</v>
      </c>
      <c r="AE119" s="28"/>
      <c r="AF119" s="29" t="s">
        <v>141</v>
      </c>
      <c r="AG119" s="28">
        <f>TRUNC(0.006142857,3)</f>
        <v>6.0000000000000001E-3</v>
      </c>
      <c r="AH119" s="27">
        <f>TRUNC(AI119-(9.9-agent!$L$3)*AG119,3)</f>
        <v>99.572999999999993</v>
      </c>
      <c r="AI119" s="28">
        <f t="shared" si="22"/>
        <v>99.593999999999994</v>
      </c>
    </row>
    <row r="120" spans="4:35" x14ac:dyDescent="0.15">
      <c r="D120" s="28" t="s">
        <v>41</v>
      </c>
      <c r="E120" s="28" t="s">
        <v>47</v>
      </c>
      <c r="F120" s="27" t="str">
        <f>'5Of11Source'!$J$13</f>
        <v>01 02 03 04 05 06 07 08 09 10 11</v>
      </c>
      <c r="G120" s="28">
        <f>'5Of11Source'!F124</f>
        <v>2</v>
      </c>
      <c r="H120" s="28">
        <v>1</v>
      </c>
      <c r="I120" s="30">
        <f t="shared" si="19"/>
        <v>110</v>
      </c>
      <c r="J120" s="22">
        <f t="shared" si="13"/>
        <v>981.12799999999993</v>
      </c>
      <c r="K120" s="30">
        <f>'5Of11Source'!L162</f>
        <v>27846.940000000002</v>
      </c>
      <c r="L120" s="28">
        <f t="shared" si="20"/>
        <v>1019971407.7450001</v>
      </c>
      <c r="M120" s="29" t="str">
        <f t="shared" si="23"/>
        <v>03,06,07,08,10</v>
      </c>
      <c r="N120" s="28">
        <f>IF(ISNUMBER(agent!$O$6*(K120/Z120)*Y120),TRUNC(agent!$O$6*(K120/Z120)*Y120,3),"没有上级")</f>
        <v>28.856000000000002</v>
      </c>
      <c r="O120" s="28">
        <f>IF(ISNUMBER(agent!$O$9*(K120/Z120)*Y120),TRUNC(agent!$O$9*(K120/Z120)*Y120,3),"没有上级")</f>
        <v>173.14099999999999</v>
      </c>
      <c r="P120" s="28">
        <f>IF(ISNUMBER(agent!$O$12*(K120/Z120)*Y120),TRUNC(agent!$O$12*(K120/Z120)*Y120,3),"没有上级")</f>
        <v>57.713000000000001</v>
      </c>
      <c r="Q120" s="28">
        <f>IF(ISNUMBER(agent!$O$15*(K120/Z120)*Y120),TRUNC(agent!$O$15*(K120/Z120)*Y120,3),"没有上级")</f>
        <v>115.42700000000001</v>
      </c>
      <c r="R120" s="28">
        <f>IF(ISNUMBER(agent!$O$18*(K120/Z120)*Y120),TRUNC(agent!$O$18*(K120/Z120)*Y120,3),"没有上级")</f>
        <v>86.57</v>
      </c>
      <c r="S120" s="28">
        <f>IF(ISNUMBER(agent!$O$21*(K120/Z120)*Y120),TRUNC(agent!$O$21*(K120/Z120)*Y120,3),"没有上级")</f>
        <v>28.856000000000002</v>
      </c>
      <c r="T120" s="28">
        <f>IF(ISNUMBER(agent!$O$24*(K120/Z120)*Y120),TRUNC(agent!$O$24*(K120/Z120)*Y120,3),"没有上级")</f>
        <v>201.99799999999999</v>
      </c>
      <c r="U120" s="28">
        <f>IF(ISNUMBER(agent!$O$27*(K120/Z120)*Y120),TRUNC(agent!$O$27*(K120/Z120)*Y120,3),"没有上级")</f>
        <v>86.57</v>
      </c>
      <c r="V120" s="28">
        <f>IF(ISNUMBER(agent!$O$30*(K120/Z120)*Y120),TRUNC(agent!$O$30*(K120/Z120)*Y120,3),"没有上级")</f>
        <v>115.42700000000001</v>
      </c>
      <c r="W120" s="28">
        <f>IF(ISNUMBER(agent!$O$33*(K120/Z120)*Y120),TRUNC(agent!$O$33*(K120/Z120)*Y120,3),"没有上级")</f>
        <v>86.57</v>
      </c>
      <c r="X120" s="28"/>
      <c r="Y120">
        <f>TRUNC(0.11,3)</f>
        <v>0.11</v>
      </c>
      <c r="Z120" s="28">
        <f>TRUNC(AB120-(9.9-agent!L$3)*10*Y120,3)</f>
        <v>106.15</v>
      </c>
      <c r="AA120" s="28">
        <f>'5Of11Source'!X$2</f>
        <v>0</v>
      </c>
      <c r="AB120">
        <f t="shared" si="21"/>
        <v>109.89</v>
      </c>
      <c r="AC120" s="28">
        <f>'5Of11Source'!E166</f>
        <v>55</v>
      </c>
      <c r="AD120" s="28">
        <v>99</v>
      </c>
      <c r="AE120" s="28"/>
      <c r="AF120" s="29" t="s">
        <v>142</v>
      </c>
      <c r="AG120" s="28">
        <f>TRUNC(0.0307,3)</f>
        <v>0.03</v>
      </c>
      <c r="AH120" s="27">
        <f>TRUNC(AI120-(9.9-agent!$L$3)*AG120,3)</f>
        <v>9.468</v>
      </c>
      <c r="AI120" s="28">
        <f t="shared" si="22"/>
        <v>9.57</v>
      </c>
    </row>
    <row r="121" spans="4:35" x14ac:dyDescent="0.15">
      <c r="D121" s="28" t="s">
        <v>41</v>
      </c>
      <c r="E121" s="28" t="s">
        <v>51</v>
      </c>
      <c r="F121" s="27" t="str">
        <f>'5Of11Source'!$J$14</f>
        <v>01 02,02 01,05 02,07 08,09 10,11 07</v>
      </c>
      <c r="G121" s="28">
        <f>'5Of11Source'!F125</f>
        <v>1</v>
      </c>
      <c r="H121" s="28">
        <v>1</v>
      </c>
      <c r="I121" s="30">
        <f t="shared" si="19"/>
        <v>20</v>
      </c>
      <c r="J121" s="22">
        <f t="shared" si="13"/>
        <v>0</v>
      </c>
      <c r="K121" s="30">
        <f>'5Of11Source'!L163</f>
        <v>0</v>
      </c>
      <c r="L121" s="28">
        <f t="shared" si="20"/>
        <v>1019971387.7450001</v>
      </c>
      <c r="M121" s="29" t="str">
        <f t="shared" si="23"/>
        <v>03,06,07,08,10</v>
      </c>
      <c r="N121" s="28">
        <f>IF(ISNUMBER(agent!$O$6*(K121/Z121)*Y121),TRUNC(agent!$O$6*(K121/Z121)*Y121,3),"没有上级")</f>
        <v>0</v>
      </c>
      <c r="O121" s="28">
        <f>IF(ISNUMBER(agent!$O$9*(K121/Z121)*Y121),TRUNC(agent!$O$9*(K121/Z121)*Y121,3),"没有上级")</f>
        <v>0</v>
      </c>
      <c r="P121" s="28">
        <f>IF(ISNUMBER(agent!$O$12*(K121/Z121)*Y121),TRUNC(agent!$O$12*(K121/Z121)*Y121,3),"没有上级")</f>
        <v>0</v>
      </c>
      <c r="Q121" s="28">
        <f>IF(ISNUMBER(agent!$O$15*(K121/Z121)*Y121),TRUNC(agent!$O$15*(K121/Z121)*Y121,3),"没有上级")</f>
        <v>0</v>
      </c>
      <c r="R121" s="28">
        <f>IF(ISNUMBER(agent!$O$18*(K121/Z121)*Y121),TRUNC(agent!$O$18*(K121/Z121)*Y121,3),"没有上级")</f>
        <v>0</v>
      </c>
      <c r="S121" s="28">
        <f>IF(ISNUMBER(agent!$O$21*(K121/Z121)*Y121),TRUNC(agent!$O$21*(K121/Z121)*Y121,3),"没有上级")</f>
        <v>0</v>
      </c>
      <c r="T121" s="28">
        <f>IF(ISNUMBER(agent!$O$24*(K121/Z121)*Y121),TRUNC(agent!$O$24*(K121/Z121)*Y121,3),"没有上级")</f>
        <v>0</v>
      </c>
      <c r="U121" s="28">
        <f>IF(ISNUMBER(agent!$O$27*(K121/Z121)*Y121),TRUNC(agent!$O$27*(K121/Z121)*Y121,3),"没有上级")</f>
        <v>0</v>
      </c>
      <c r="V121" s="28">
        <f>IF(ISNUMBER(agent!$O$30*(K121/Z121)*Y121),TRUNC(agent!$O$30*(K121/Z121)*Y121,3),"没有上级")</f>
        <v>0</v>
      </c>
      <c r="W121" s="28">
        <f>IF(ISNUMBER(agent!$O$33*(K121/Z121)*Y121),TRUNC(agent!$O$33*(K121/Z121)*Y121,3),"没有上级")</f>
        <v>0</v>
      </c>
      <c r="X121" s="28"/>
      <c r="Y121">
        <f>TRUNC(0.11,3)</f>
        <v>0.11</v>
      </c>
      <c r="Z121" s="28">
        <f>TRUNC(AB121-(9.9-agent!L$3)*10*Y121,3)</f>
        <v>106.15</v>
      </c>
      <c r="AA121" s="28">
        <f>'5Of11Source'!X$2</f>
        <v>0</v>
      </c>
      <c r="AB121">
        <f t="shared" si="21"/>
        <v>109.89</v>
      </c>
      <c r="AC121" s="28">
        <f>'5Of11Source'!E167</f>
        <v>5</v>
      </c>
      <c r="AD121" s="28">
        <v>99</v>
      </c>
      <c r="AE121" s="28"/>
      <c r="AF121" s="29" t="s">
        <v>143</v>
      </c>
      <c r="AG121" s="28">
        <f>TRUNC(0.924,3)</f>
        <v>0.92400000000000004</v>
      </c>
      <c r="AH121" s="27">
        <f>TRUNC(AI121-(9.9-agent!$L$3)*AG121,3)</f>
        <v>108.134</v>
      </c>
      <c r="AI121" s="28">
        <f t="shared" si="22"/>
        <v>111.276</v>
      </c>
    </row>
    <row r="122" spans="4:35" x14ac:dyDescent="0.15">
      <c r="D122" s="28" t="s">
        <v>41</v>
      </c>
      <c r="E122" s="28" t="s">
        <v>49</v>
      </c>
      <c r="F122" s="27" t="str">
        <f>'5Of11Source'!$J$15</f>
        <v>01,02 03 04 05 06 07 08 09 10 11</v>
      </c>
      <c r="G122" s="28">
        <f>'5Of11Source'!F126</f>
        <v>2</v>
      </c>
      <c r="H122" s="28">
        <v>1</v>
      </c>
      <c r="I122" s="30">
        <f t="shared" si="19"/>
        <v>60</v>
      </c>
      <c r="J122" s="22">
        <f t="shared" si="13"/>
        <v>2942.076</v>
      </c>
      <c r="K122" s="30">
        <f>'5Of11Source'!L164</f>
        <v>83503.170000000013</v>
      </c>
      <c r="L122" s="28">
        <f t="shared" si="20"/>
        <v>1020054830.9150001</v>
      </c>
      <c r="M122" s="29" t="str">
        <f t="shared" si="23"/>
        <v>03,06,07,08,10</v>
      </c>
      <c r="N122" s="28">
        <f>IF(ISNUMBER(agent!$O$6*(K122/Z122)*Y122),TRUNC(agent!$O$6*(K122/Z122)*Y122,3),"没有上级")</f>
        <v>86.531000000000006</v>
      </c>
      <c r="O122" s="28">
        <f>IF(ISNUMBER(agent!$O$9*(K122/Z122)*Y122),TRUNC(agent!$O$9*(K122/Z122)*Y122,3),"没有上级")</f>
        <v>519.19000000000005</v>
      </c>
      <c r="P122" s="28">
        <f>IF(ISNUMBER(agent!$O$12*(K122/Z122)*Y122),TRUNC(agent!$O$12*(K122/Z122)*Y122,3),"没有上级")</f>
        <v>173.06299999999999</v>
      </c>
      <c r="Q122" s="28">
        <f>IF(ISNUMBER(agent!$O$15*(K122/Z122)*Y122),TRUNC(agent!$O$15*(K122/Z122)*Y122,3),"没有上级")</f>
        <v>346.12700000000001</v>
      </c>
      <c r="R122" s="28">
        <f>IF(ISNUMBER(agent!$O$18*(K122/Z122)*Y122),TRUNC(agent!$O$18*(K122/Z122)*Y122,3),"没有上级")</f>
        <v>259.59500000000003</v>
      </c>
      <c r="S122" s="28">
        <f>IF(ISNUMBER(agent!$O$21*(K122/Z122)*Y122),TRUNC(agent!$O$21*(K122/Z122)*Y122,3),"没有上级")</f>
        <v>86.531000000000006</v>
      </c>
      <c r="T122" s="28">
        <f>IF(ISNUMBER(agent!$O$24*(K122/Z122)*Y122),TRUNC(agent!$O$24*(K122/Z122)*Y122,3),"没有上级")</f>
        <v>605.72199999999998</v>
      </c>
      <c r="U122" s="28">
        <f>IF(ISNUMBER(agent!$O$27*(K122/Z122)*Y122),TRUNC(agent!$O$27*(K122/Z122)*Y122,3),"没有上级")</f>
        <v>259.59500000000003</v>
      </c>
      <c r="V122" s="28">
        <f>IF(ISNUMBER(agent!$O$30*(K122/Z122)*Y122),TRUNC(agent!$O$30*(K122/Z122)*Y122,3),"没有上级")</f>
        <v>346.12700000000001</v>
      </c>
      <c r="W122" s="28">
        <f>IF(ISNUMBER(agent!$O$33*(K122/Z122)*Y122),TRUNC(agent!$O$33*(K122/Z122)*Y122,3),"没有上级")</f>
        <v>259.59500000000003</v>
      </c>
      <c r="X122" s="28" t="s">
        <v>10</v>
      </c>
      <c r="Y122">
        <f>TRUNC(0.11,3)</f>
        <v>0.11</v>
      </c>
      <c r="Z122" s="28">
        <f>TRUNC(AB122-(9.9-agent!L$3)*10*Y122,3)</f>
        <v>106.15</v>
      </c>
      <c r="AA122" s="28">
        <f>'5Of11Source'!X$2</f>
        <v>0</v>
      </c>
      <c r="AB122">
        <f t="shared" si="21"/>
        <v>109.89</v>
      </c>
      <c r="AC122" s="28">
        <f>'5Of11Source'!E168</f>
        <v>10</v>
      </c>
      <c r="AD122" s="28">
        <v>99</v>
      </c>
      <c r="AE122" s="28"/>
      <c r="AF122" s="29" t="s">
        <v>144</v>
      </c>
      <c r="AG122" s="28"/>
      <c r="AH122" s="27"/>
      <c r="AI122" s="28"/>
    </row>
    <row r="123" spans="4:35" x14ac:dyDescent="0.15">
      <c r="D123" s="28" t="s">
        <v>56</v>
      </c>
      <c r="E123" s="28" t="s">
        <v>58</v>
      </c>
      <c r="F123" s="27" t="str">
        <f>'5Of11Source'!$J$17</f>
        <v>01 02 03 04 05 06 07 08 09 10 11</v>
      </c>
      <c r="G123" s="28">
        <f>'5Of11Source'!F128</f>
        <v>5</v>
      </c>
      <c r="H123" s="28">
        <v>1</v>
      </c>
      <c r="I123" s="30">
        <f t="shared" si="19"/>
        <v>110</v>
      </c>
      <c r="J123" s="22">
        <f t="shared" si="13"/>
        <v>14081.019999999999</v>
      </c>
      <c r="K123" s="30">
        <f>'5Of11Source'!L165</f>
        <v>417401.85000000003</v>
      </c>
      <c r="L123" s="28">
        <f t="shared" si="20"/>
        <v>1020472122.7650001</v>
      </c>
      <c r="M123" s="29" t="str">
        <f t="shared" si="23"/>
        <v>03,06,07,08,10</v>
      </c>
      <c r="N123" s="28">
        <f>IF(ISNUMBER(agent!$O$6*(K123/Z123)*Y123),TRUNC(agent!$O$6*(K123/Z123)*Y123,3),"没有上级")</f>
        <v>414.14699999999999</v>
      </c>
      <c r="O123" s="28">
        <f>IF(ISNUMBER(agent!$O$9*(K123/Z123)*Y123),TRUNC(agent!$O$9*(K123/Z123)*Y123,3),"没有上级")</f>
        <v>2484.886</v>
      </c>
      <c r="P123" s="28">
        <f>IF(ISNUMBER(agent!$O$12*(K123/Z123)*Y123),TRUNC(agent!$O$12*(K123/Z123)*Y123,3),"没有上级")</f>
        <v>828.29499999999996</v>
      </c>
      <c r="Q123" s="28">
        <f>IF(ISNUMBER(agent!$O$15*(K123/Z123)*Y123),TRUNC(agent!$O$15*(K123/Z123)*Y123,3),"没有上级")</f>
        <v>1656.5909999999999</v>
      </c>
      <c r="R123" s="28">
        <f>IF(ISNUMBER(agent!$O$18*(K123/Z123)*Y123),TRUNC(agent!$O$18*(K123/Z123)*Y123,3),"没有上级")</f>
        <v>1242.443</v>
      </c>
      <c r="S123" s="28">
        <f>IF(ISNUMBER(agent!$O$21*(K123/Z123)*Y123),TRUNC(agent!$O$21*(K123/Z123)*Y123,3),"没有上级")</f>
        <v>414.14699999999999</v>
      </c>
      <c r="T123" s="28">
        <f>IF(ISNUMBER(agent!$O$24*(K123/Z123)*Y123),TRUNC(agent!$O$24*(K123/Z123)*Y123,3),"没有上级")</f>
        <v>2899.0340000000001</v>
      </c>
      <c r="U123" s="28">
        <f>IF(ISNUMBER(agent!$O$27*(K123/Z123)*Y123),TRUNC(agent!$O$27*(K123/Z123)*Y123,3),"没有上级")</f>
        <v>1242.443</v>
      </c>
      <c r="V123" s="28">
        <f>IF(ISNUMBER(agent!$O$30*(K123/Z123)*Y123),TRUNC(agent!$O$30*(K123/Z123)*Y123,3),"没有上级")</f>
        <v>1656.5909999999999</v>
      </c>
      <c r="W123" s="28">
        <f>IF(ISNUMBER(agent!$O$33*(K123/Z123)*Y123),TRUNC(agent!$O$33*(K123/Z123)*Y123,3),"没有上级")</f>
        <v>1242.443</v>
      </c>
      <c r="X123" s="28"/>
      <c r="Y123">
        <f>TRUNC(0.0072857,3)</f>
        <v>7.0000000000000001E-3</v>
      </c>
      <c r="Z123" s="28">
        <f>TRUNC(AB123-(9.9-agent!L$3)*10*Y123,3)</f>
        <v>7.0549999999999997</v>
      </c>
      <c r="AA123" s="28">
        <f>'5Of11Source'!X$2</f>
        <v>0</v>
      </c>
      <c r="AB123">
        <f t="shared" si="21"/>
        <v>7.2930000000000001</v>
      </c>
      <c r="AC123" s="28">
        <f>'5Of11Source'!E170</f>
        <v>11</v>
      </c>
      <c r="AD123" s="28">
        <v>6.6</v>
      </c>
      <c r="AE123" s="28"/>
      <c r="AF123" s="19" t="str">
        <f>3&amp;"/"&amp;9</f>
        <v>3/9</v>
      </c>
      <c r="AG123" s="28">
        <f>TRUNC(0.033,3)</f>
        <v>3.3000000000000002E-2</v>
      </c>
      <c r="AH123" s="27">
        <f>TRUNC(AI123-(9.9-agent!$L$3)*AG123,3)</f>
        <v>3.1539999999999999</v>
      </c>
      <c r="AI123" s="28">
        <f>TRUNC(AD163+AG123*99,4)</f>
        <v>3.2669999999999999</v>
      </c>
    </row>
    <row r="124" spans="4:35" ht="40.5" x14ac:dyDescent="0.15">
      <c r="D124" s="28" t="s">
        <v>60</v>
      </c>
      <c r="E124" s="28" t="s">
        <v>61</v>
      </c>
      <c r="F124" s="27" t="str">
        <f>'5Of11Source'!$J$18</f>
        <v>01 02 03 04 05 06 07 08 09 10 11,01 02 03 04 05 06 07 08 09 10 11,01 02 03 04 05 06 07 08 09 10 11</v>
      </c>
      <c r="G124" s="28">
        <f>'5Of11Source'!F129</f>
        <v>4</v>
      </c>
      <c r="H124" s="28">
        <v>1</v>
      </c>
      <c r="I124" s="30">
        <f t="shared" si="19"/>
        <v>132</v>
      </c>
      <c r="J124" s="22">
        <f t="shared" si="13"/>
        <v>5857.9520000000002</v>
      </c>
      <c r="K124" s="30">
        <f>'5Of11Source'!L166</f>
        <v>166262.70000000001</v>
      </c>
      <c r="L124" s="28">
        <f t="shared" si="20"/>
        <v>1020638253.4650002</v>
      </c>
      <c r="M124" s="29" t="str">
        <f t="shared" si="23"/>
        <v>03,06,07,08,10</v>
      </c>
      <c r="N124" s="28">
        <f>IF(ISNUMBER(agent!$O$6*(K124/Z124)*Y124),TRUNC(agent!$O$6*(K124/Z124)*Y124,3),"没有上级")</f>
        <v>172.292</v>
      </c>
      <c r="O124" s="28">
        <f>IF(ISNUMBER(agent!$O$9*(K124/Z124)*Y124),TRUNC(agent!$O$9*(K124/Z124)*Y124,3),"没有上级")</f>
        <v>1033.7570000000001</v>
      </c>
      <c r="P124" s="28">
        <f>IF(ISNUMBER(agent!$O$12*(K124/Z124)*Y124),TRUNC(agent!$O$12*(K124/Z124)*Y124,3),"没有上级")</f>
        <v>344.58499999999998</v>
      </c>
      <c r="Q124" s="28">
        <f>IF(ISNUMBER(agent!$O$15*(K124/Z124)*Y124),TRUNC(agent!$O$15*(K124/Z124)*Y124,3),"没有上级")</f>
        <v>689.17100000000005</v>
      </c>
      <c r="R124" s="28">
        <f>IF(ISNUMBER(agent!$O$18*(K124/Z124)*Y124),TRUNC(agent!$O$18*(K124/Z124)*Y124,3),"没有上级")</f>
        <v>516.87800000000004</v>
      </c>
      <c r="S124" s="28">
        <f>IF(ISNUMBER(agent!$O$21*(K124/Z124)*Y124),TRUNC(agent!$O$21*(K124/Z124)*Y124,3),"没有上级")</f>
        <v>172.292</v>
      </c>
      <c r="T124" s="28">
        <f>IF(ISNUMBER(agent!$O$24*(K124/Z124)*Y124),TRUNC(agent!$O$24*(K124/Z124)*Y124,3),"没有上级")</f>
        <v>1206.05</v>
      </c>
      <c r="U124" s="28">
        <f>IF(ISNUMBER(agent!$O$27*(K124/Z124)*Y124),TRUNC(agent!$O$27*(K124/Z124)*Y124,3),"没有上级")</f>
        <v>516.87800000000004</v>
      </c>
      <c r="V124" s="28">
        <f>IF(ISNUMBER(agent!$O$30*(K124/Z124)*Y124),TRUNC(agent!$O$30*(K124/Z124)*Y124,3),"没有上级")</f>
        <v>689.17100000000005</v>
      </c>
      <c r="W124" s="28">
        <f>IF(ISNUMBER(agent!$O$33*(K124/Z124)*Y124),TRUNC(agent!$O$33*(K124/Z124)*Y124,3),"没有上级")</f>
        <v>516.87800000000004</v>
      </c>
      <c r="X124" s="28"/>
      <c r="Y124">
        <f>TRUNC(0.022,3)</f>
        <v>2.1999999999999999E-2</v>
      </c>
      <c r="Z124" s="28">
        <f>TRUNC(AB124-(9.9-agent!L$3)*10*Y124,3)</f>
        <v>21.23</v>
      </c>
      <c r="AA124" s="28">
        <f>'5Of11Source'!X$2</f>
        <v>0</v>
      </c>
      <c r="AB124">
        <f t="shared" si="21"/>
        <v>21.978000000000002</v>
      </c>
      <c r="AC124" s="28">
        <f>'5Of11Source'!E171</f>
        <v>33</v>
      </c>
      <c r="AD124" s="28">
        <v>19.8</v>
      </c>
      <c r="AE124" s="28"/>
      <c r="AF124" s="18" t="str">
        <f>4&amp;"/"&amp;8</f>
        <v>4/8</v>
      </c>
      <c r="AG124" s="28">
        <f>TRUNC(0.01457,3)</f>
        <v>1.4E-2</v>
      </c>
      <c r="AH124" s="27">
        <f>TRUNC(AI124-(9.9-agent!$L$3)*AG124,3)</f>
        <v>5.298</v>
      </c>
      <c r="AI124" s="28">
        <f>TRUNC(AD164+AG124*99,4)</f>
        <v>5.3460000000000001</v>
      </c>
    </row>
    <row r="125" spans="4:35" x14ac:dyDescent="0.15">
      <c r="D125" s="28" t="s">
        <v>63</v>
      </c>
      <c r="E125" s="28" t="s">
        <v>65</v>
      </c>
      <c r="F125" s="27" t="str">
        <f>'5Of11Source'!$J$21</f>
        <v>5单0双 4单1双 3单2双 2单3双 1单4双 0单5双</v>
      </c>
      <c r="G125" s="28">
        <f>'5Of11Source'!F132</f>
        <v>3</v>
      </c>
      <c r="H125" s="28">
        <v>1</v>
      </c>
      <c r="I125" s="30">
        <f t="shared" si="19"/>
        <v>60</v>
      </c>
      <c r="J125" s="22">
        <f t="shared" si="13"/>
        <v>0.67999999999999994</v>
      </c>
      <c r="K125" s="30">
        <f>'5Of11Source'!L167</f>
        <v>22.05</v>
      </c>
      <c r="L125" s="28">
        <f t="shared" si="20"/>
        <v>1020638215.5150001</v>
      </c>
      <c r="M125" s="29" t="str">
        <f t="shared" si="23"/>
        <v>03,06,07,08,10</v>
      </c>
      <c r="N125" s="28">
        <f>IF(ISNUMBER(agent!$O$6*(K125/Z125)*Y125),TRUNC(agent!$O$6*(K125/Z125)*Y125,3),"没有上级")</f>
        <v>0.02</v>
      </c>
      <c r="O125" s="28">
        <f>IF(ISNUMBER(agent!$O$9*(K125/Z125)*Y125),TRUNC(agent!$O$9*(K125/Z125)*Y125,3),"没有上级")</f>
        <v>0.12</v>
      </c>
      <c r="P125" s="28">
        <f>IF(ISNUMBER(agent!$O$12*(K125/Z125)*Y125),TRUNC(agent!$O$12*(K125/Z125)*Y125,3),"没有上级")</f>
        <v>0.04</v>
      </c>
      <c r="Q125" s="28">
        <f>IF(ISNUMBER(agent!$O$15*(K125/Z125)*Y125),TRUNC(agent!$O$15*(K125/Z125)*Y125,3),"没有上级")</f>
        <v>0.08</v>
      </c>
      <c r="R125" s="28">
        <f>IF(ISNUMBER(agent!$O$18*(K125/Z125)*Y125),TRUNC(agent!$O$18*(K125/Z125)*Y125,3),"没有上级")</f>
        <v>0.06</v>
      </c>
      <c r="S125" s="28">
        <f>IF(ISNUMBER(agent!$O$21*(K125/Z125)*Y125),TRUNC(agent!$O$21*(K125/Z125)*Y125,3),"没有上级")</f>
        <v>0.02</v>
      </c>
      <c r="T125" s="28">
        <f>IF(ISNUMBER(agent!$O$24*(K125/Z125)*Y125),TRUNC(agent!$O$24*(K125/Z125)*Y125,3),"没有上级")</f>
        <v>0.14000000000000001</v>
      </c>
      <c r="U125" s="28">
        <f>IF(ISNUMBER(agent!$O$27*(K125/Z125)*Y125),TRUNC(agent!$O$27*(K125/Z125)*Y125,3),"没有上级")</f>
        <v>0.06</v>
      </c>
      <c r="V125" s="28">
        <f>IF(ISNUMBER(agent!$O$30*(K125/Z125)*Y125),TRUNC(agent!$O$30*(K125/Z125)*Y125,3),"没有上级")</f>
        <v>0.08</v>
      </c>
      <c r="W125" s="28">
        <f>IF(ISNUMBER(agent!$O$33*(K125/Z125)*Y125),TRUNC(agent!$O$33*(K125/Z125)*Y125,3),"没有上级")</f>
        <v>0.06</v>
      </c>
      <c r="X125" s="28"/>
      <c r="Y125">
        <f>SUM('5Of11Source'!U168:U173)</f>
        <v>4.0000000000000001E-3</v>
      </c>
      <c r="Z125" s="26">
        <f>'5Of11Source'!K174</f>
        <v>4.41</v>
      </c>
      <c r="AA125" s="28">
        <f>'5Of11Source'!X$2</f>
        <v>0</v>
      </c>
      <c r="AC125" s="28">
        <f>'5Of11Source'!E174</f>
        <v>6</v>
      </c>
      <c r="AD125" s="28"/>
      <c r="AE125" s="28"/>
      <c r="AF125" s="18" t="str">
        <f>5&amp;"/"&amp;7</f>
        <v>5/7</v>
      </c>
      <c r="AG125" s="28">
        <f>TRUNC(0.010142857,3)</f>
        <v>0.01</v>
      </c>
      <c r="AH125" s="27">
        <f>TRUNC(AI125-(9.9-agent!$L$3)*AG125,3)</f>
        <v>10.856</v>
      </c>
      <c r="AI125" s="28">
        <f>TRUNC(AD165+AG125*99,4)</f>
        <v>10.89</v>
      </c>
    </row>
    <row r="126" spans="4:35" x14ac:dyDescent="0.15">
      <c r="D126" s="28" t="s">
        <v>63</v>
      </c>
      <c r="E126" s="28" t="s">
        <v>68</v>
      </c>
      <c r="F126" s="27" t="str">
        <f>'5Of11Source'!$J$22</f>
        <v>03 04 05 06 07 08 09</v>
      </c>
      <c r="G126" s="28">
        <f>'5Of11Source'!F133</f>
        <v>4</v>
      </c>
      <c r="H126" s="28">
        <v>1</v>
      </c>
      <c r="I126" s="30">
        <f t="shared" si="19"/>
        <v>28</v>
      </c>
      <c r="J126" s="22">
        <f t="shared" si="13"/>
        <v>0.95199999999999996</v>
      </c>
      <c r="K126" s="30">
        <f>'5Of11Source'!L168</f>
        <v>28.22</v>
      </c>
      <c r="L126" s="28">
        <f t="shared" si="20"/>
        <v>1020638215.7350001</v>
      </c>
      <c r="M126" s="29" t="str">
        <f t="shared" si="23"/>
        <v>03,06,07,08,10</v>
      </c>
      <c r="N126" s="28">
        <f>IF(ISNUMBER(agent!$O$6*(K126/Z126)*Y126),TRUNC(agent!$O$6*(K126/Z126)*Y126,3),"没有上级")</f>
        <v>2.8000000000000001E-2</v>
      </c>
      <c r="O126" s="28">
        <f>IF(ISNUMBER(agent!$O$9*(K126/Z126)*Y126),TRUNC(agent!$O$9*(K126/Z126)*Y126,3),"没有上级")</f>
        <v>0.16800000000000001</v>
      </c>
      <c r="P126" s="28">
        <f>IF(ISNUMBER(agent!$O$12*(K126/Z126)*Y126),TRUNC(agent!$O$12*(K126/Z126)*Y126,3),"没有上级")</f>
        <v>5.6000000000000001E-2</v>
      </c>
      <c r="Q126" s="28">
        <f>IF(ISNUMBER(agent!$O$15*(K126/Z126)*Y126),TRUNC(agent!$O$15*(K126/Z126)*Y126,3),"没有上级")</f>
        <v>0.112</v>
      </c>
      <c r="R126" s="28">
        <f>IF(ISNUMBER(agent!$O$18*(K126/Z126)*Y126),TRUNC(agent!$O$18*(K126/Z126)*Y126,3),"没有上级")</f>
        <v>8.4000000000000005E-2</v>
      </c>
      <c r="S126" s="28">
        <f>IF(ISNUMBER(agent!$O$21*(K126/Z126)*Y126),TRUNC(agent!$O$21*(K126/Z126)*Y126,3),"没有上级")</f>
        <v>2.8000000000000001E-2</v>
      </c>
      <c r="T126" s="28">
        <f>IF(ISNUMBER(agent!$O$24*(K126/Z126)*Y126),TRUNC(agent!$O$24*(K126/Z126)*Y126,3),"没有上级")</f>
        <v>0.19600000000000001</v>
      </c>
      <c r="U126" s="28">
        <f>IF(ISNUMBER(agent!$O$27*(K126/Z126)*Y126),TRUNC(agent!$O$27*(K126/Z126)*Y126,3),"没有上级")</f>
        <v>8.4000000000000005E-2</v>
      </c>
      <c r="V126" s="28">
        <f>IF(ISNUMBER(agent!$O$30*(K126/Z126)*Y126),TRUNC(agent!$O$30*(K126/Z126)*Y126,3),"没有上级")</f>
        <v>0.112</v>
      </c>
      <c r="W126" s="28">
        <f>IF(ISNUMBER(agent!$O$33*(K126/Z126)*Y126),TRUNC(agent!$O$33*(K126/Z126)*Y126,3),"没有上级")</f>
        <v>8.4000000000000005E-2</v>
      </c>
      <c r="X126" s="28" t="s">
        <v>12</v>
      </c>
      <c r="Y126">
        <f>SUM('5Of11Source'!U175:U178)</f>
        <v>1.4E-2</v>
      </c>
      <c r="Z126" s="26">
        <f>'5Of11Source'!K175</f>
        <v>14.11</v>
      </c>
      <c r="AA126" s="28">
        <f>'5Of11Source'!X$2</f>
        <v>0</v>
      </c>
      <c r="AC126" s="28">
        <f>'5Of11Source'!E175</f>
        <v>7</v>
      </c>
      <c r="AD126" s="28"/>
      <c r="AE126" s="28"/>
      <c r="AF126" s="28">
        <v>6</v>
      </c>
      <c r="AG126" s="28">
        <f>TRUNC(0.0092857,3)</f>
        <v>8.9999999999999993E-3</v>
      </c>
      <c r="AH126" s="27">
        <f>TRUNC(AI126-(9.9-agent!$L$3)*AG126,3)</f>
        <v>30.56</v>
      </c>
      <c r="AI126" s="28">
        <f>TRUNC(AD166+AG126*99,4)</f>
        <v>30.591000000000001</v>
      </c>
    </row>
    <row r="127" spans="4:35" x14ac:dyDescent="0.15">
      <c r="D127" s="28" t="s">
        <v>70</v>
      </c>
      <c r="E127" s="28" t="s">
        <v>72</v>
      </c>
      <c r="F127" s="27" t="str">
        <f>'5Of11Source'!$J$23</f>
        <v>01 02 03 04 05 06 07 08 09 10 11</v>
      </c>
      <c r="G127" s="28">
        <f>'5Of11Source'!F134</f>
        <v>5</v>
      </c>
      <c r="H127" s="28">
        <v>1</v>
      </c>
      <c r="I127" s="30">
        <f t="shared" si="19"/>
        <v>22</v>
      </c>
      <c r="J127" s="22">
        <f t="shared" si="13"/>
        <v>4210.2629999999999</v>
      </c>
      <c r="K127" s="30">
        <f>'5Of11Source'!L169</f>
        <v>130642.15000000002</v>
      </c>
      <c r="L127" s="28">
        <f t="shared" si="20"/>
        <v>1020768835.8850001</v>
      </c>
      <c r="M127" s="29" t="str">
        <f t="shared" si="23"/>
        <v>03,06,07,08,10</v>
      </c>
      <c r="N127" s="28">
        <f>IF(ISNUMBER(agent!$O$6*(K127/Z127)*Y127),TRUNC(agent!$O$6*(K127/Z127)*Y127,3),"没有上级")</f>
        <v>123.831</v>
      </c>
      <c r="O127" s="28">
        <f>IF(ISNUMBER(agent!$O$9*(K127/Z127)*Y127),TRUNC(agent!$O$9*(K127/Z127)*Y127,3),"没有上级")</f>
        <v>742.98800000000006</v>
      </c>
      <c r="P127" s="28">
        <f>IF(ISNUMBER(agent!$O$12*(K127/Z127)*Y127),TRUNC(agent!$O$12*(K127/Z127)*Y127,3),"没有上级")</f>
        <v>247.66200000000001</v>
      </c>
      <c r="Q127" s="28">
        <f>IF(ISNUMBER(agent!$O$15*(K127/Z127)*Y127),TRUNC(agent!$O$15*(K127/Z127)*Y127,3),"没有上级")</f>
        <v>495.32499999999999</v>
      </c>
      <c r="R127" s="28">
        <f>IF(ISNUMBER(agent!$O$18*(K127/Z127)*Y127),TRUNC(agent!$O$18*(K127/Z127)*Y127,3),"没有上级")</f>
        <v>371.49400000000003</v>
      </c>
      <c r="S127" s="28">
        <f>IF(ISNUMBER(agent!$O$21*(K127/Z127)*Y127),TRUNC(agent!$O$21*(K127/Z127)*Y127,3),"没有上级")</f>
        <v>123.831</v>
      </c>
      <c r="T127" s="28">
        <f>IF(ISNUMBER(agent!$O$24*(K127/Z127)*Y127),TRUNC(agent!$O$24*(K127/Z127)*Y127,3),"没有上级")</f>
        <v>866.81899999999996</v>
      </c>
      <c r="U127" s="28">
        <f>IF(ISNUMBER(agent!$O$27*(K127/Z127)*Y127),TRUNC(agent!$O$27*(K127/Z127)*Y127,3),"没有上级")</f>
        <v>371.49400000000003</v>
      </c>
      <c r="V127" s="28">
        <f>IF(ISNUMBER(agent!$O$30*(K127/Z127)*Y127),TRUNC(agent!$O$30*(K127/Z127)*Y127,3),"没有上级")</f>
        <v>495.32499999999999</v>
      </c>
      <c r="W127" s="28">
        <f>IF(ISNUMBER(agent!$O$33*(K127/Z127)*Y127),TRUNC(agent!$O$33*(K127/Z127)*Y127,3),"没有上级")</f>
        <v>371.49400000000003</v>
      </c>
      <c r="X127" s="28"/>
      <c r="Y127">
        <f>TRUNC(0.0042857,3)</f>
        <v>4.0000000000000001E-3</v>
      </c>
      <c r="Z127" s="28">
        <f>TRUNC(AB127-(9.9-agent!L$3)*10*Y127,3)</f>
        <v>4.22</v>
      </c>
      <c r="AA127" s="28">
        <f>'5Of11Source'!X$2</f>
        <v>0</v>
      </c>
      <c r="AB127">
        <f t="shared" ref="AB127:AB149" si="24">TRUNC(AD127+Y127*99,4)</f>
        <v>4.3559999999999999</v>
      </c>
      <c r="AC127" s="28">
        <f>'5Of11Source'!E176</f>
        <v>11</v>
      </c>
      <c r="AD127" s="28">
        <v>3.96</v>
      </c>
      <c r="AE127" s="28"/>
      <c r="AF127" s="28"/>
      <c r="AG127" s="28"/>
      <c r="AH127" s="28"/>
      <c r="AI127" s="28"/>
    </row>
    <row r="128" spans="4:35" x14ac:dyDescent="0.15">
      <c r="D128" s="28" t="s">
        <v>70</v>
      </c>
      <c r="E128" s="28" t="s">
        <v>74</v>
      </c>
      <c r="F128" s="27" t="str">
        <f>'5Of11Source'!$J$24</f>
        <v>01 02 03 04 05 06 07 08 09 10 11</v>
      </c>
      <c r="G128" s="28">
        <f>'5Of11Source'!F135</f>
        <v>5</v>
      </c>
      <c r="H128" s="28">
        <v>1</v>
      </c>
      <c r="I128" s="30">
        <f t="shared" si="19"/>
        <v>220</v>
      </c>
      <c r="J128" s="22">
        <f t="shared" si="13"/>
        <v>18486.537999999997</v>
      </c>
      <c r="K128" s="30">
        <f>'5Of11Source'!L170</f>
        <v>524691.60000000009</v>
      </c>
      <c r="L128" s="28">
        <f t="shared" si="20"/>
        <v>1021293307.4850001</v>
      </c>
      <c r="M128" s="29" t="str">
        <f t="shared" si="23"/>
        <v>03,06,07,08,10</v>
      </c>
      <c r="N128" s="28">
        <f>IF(ISNUMBER(agent!$O$6*(K128/Z128)*Y128),TRUNC(agent!$O$6*(K128/Z128)*Y128,3),"没有上级")</f>
        <v>543.721</v>
      </c>
      <c r="O128" s="28">
        <f>IF(ISNUMBER(agent!$O$9*(K128/Z128)*Y128),TRUNC(agent!$O$9*(K128/Z128)*Y128,3),"没有上级")</f>
        <v>3262.3310000000001</v>
      </c>
      <c r="P128" s="28">
        <f>IF(ISNUMBER(agent!$O$12*(K128/Z128)*Y128),TRUNC(agent!$O$12*(K128/Z128)*Y128,3),"没有上级")</f>
        <v>1087.443</v>
      </c>
      <c r="Q128" s="28">
        <f>IF(ISNUMBER(agent!$O$15*(K128/Z128)*Y128),TRUNC(agent!$O$15*(K128/Z128)*Y128,3),"没有上级")</f>
        <v>2174.8870000000002</v>
      </c>
      <c r="R128" s="28">
        <f>IF(ISNUMBER(agent!$O$18*(K128/Z128)*Y128),TRUNC(agent!$O$18*(K128/Z128)*Y128,3),"没有上级")</f>
        <v>1631.165</v>
      </c>
      <c r="S128" s="28">
        <f>IF(ISNUMBER(agent!$O$21*(K128/Z128)*Y128),TRUNC(agent!$O$21*(K128/Z128)*Y128,3),"没有上级")</f>
        <v>543.721</v>
      </c>
      <c r="T128" s="28">
        <f>IF(ISNUMBER(agent!$O$24*(K128/Z128)*Y128),TRUNC(agent!$O$24*(K128/Z128)*Y128,3),"没有上级")</f>
        <v>3806.0529999999999</v>
      </c>
      <c r="U128" s="28">
        <f>IF(ISNUMBER(agent!$O$27*(K128/Z128)*Y128),TRUNC(agent!$O$27*(K128/Z128)*Y128,3),"没有上级")</f>
        <v>1631.165</v>
      </c>
      <c r="V128" s="28">
        <f>IF(ISNUMBER(agent!$O$30*(K128/Z128)*Y128),TRUNC(agent!$O$30*(K128/Z128)*Y128,3),"没有上级")</f>
        <v>2174.8870000000002</v>
      </c>
      <c r="W128" s="28">
        <f>IF(ISNUMBER(agent!$O$33*(K128/Z128)*Y128),TRUNC(agent!$O$33*(K128/Z128)*Y128,3),"没有上级")</f>
        <v>1631.165</v>
      </c>
      <c r="X128" s="28"/>
      <c r="Y128">
        <f>TRUNC(0.011,3)</f>
        <v>1.0999999999999999E-2</v>
      </c>
      <c r="Z128" s="28">
        <f>TRUNC(AB128-(9.9-agent!L$3)*10*Y128,3)</f>
        <v>10.615</v>
      </c>
      <c r="AA128" s="28">
        <f>'5Of11Source'!X$2</f>
        <v>0</v>
      </c>
      <c r="AB128">
        <f t="shared" si="24"/>
        <v>10.989000000000001</v>
      </c>
      <c r="AC128" s="28">
        <f>'5Of11Source'!E177</f>
        <v>55</v>
      </c>
      <c r="AD128" s="28">
        <v>9.9</v>
      </c>
      <c r="AE128" s="28"/>
      <c r="AF128" s="28"/>
      <c r="AG128" s="28"/>
      <c r="AH128" s="28"/>
      <c r="AI128" s="28"/>
    </row>
    <row r="129" spans="4:35" x14ac:dyDescent="0.15">
      <c r="D129" s="28" t="s">
        <v>70</v>
      </c>
      <c r="E129" s="28" t="s">
        <v>76</v>
      </c>
      <c r="F129" s="27" t="str">
        <f>'5Of11Source'!$J$25</f>
        <v>01 02 03 04 05 06 07 08 09 10 11</v>
      </c>
      <c r="G129" s="28">
        <f>'5Of11Source'!F136</f>
        <v>5</v>
      </c>
      <c r="H129" s="28">
        <v>1</v>
      </c>
      <c r="I129" s="30">
        <f t="shared" si="19"/>
        <v>990</v>
      </c>
      <c r="J129" s="22">
        <f t="shared" si="13"/>
        <v>27769.182000000004</v>
      </c>
      <c r="K129" s="30">
        <f>'5Of11Source'!L171</f>
        <v>788154.90000000014</v>
      </c>
      <c r="L129" s="28">
        <f t="shared" si="20"/>
        <v>1022080472.3850001</v>
      </c>
      <c r="M129" s="29" t="str">
        <f t="shared" si="23"/>
        <v>03,06,07,08,10</v>
      </c>
      <c r="N129" s="28">
        <f>IF(ISNUMBER(agent!$O$6*(K129/Z129)*Y129),TRUNC(agent!$O$6*(K129/Z129)*Y129,3),"没有上级")</f>
        <v>816.74</v>
      </c>
      <c r="O129" s="28">
        <f>IF(ISNUMBER(agent!$O$9*(K129/Z129)*Y129),TRUNC(agent!$O$9*(K129/Z129)*Y129,3),"没有上级")</f>
        <v>4900.4440000000004</v>
      </c>
      <c r="P129" s="28">
        <f>IF(ISNUMBER(agent!$O$12*(K129/Z129)*Y129),TRUNC(agent!$O$12*(K129/Z129)*Y129,3),"没有上级")</f>
        <v>1633.481</v>
      </c>
      <c r="Q129" s="28">
        <f>IF(ISNUMBER(agent!$O$15*(K129/Z129)*Y129),TRUNC(agent!$O$15*(K129/Z129)*Y129,3),"没有上级")</f>
        <v>3266.9630000000002</v>
      </c>
      <c r="R129" s="28">
        <f>IF(ISNUMBER(agent!$O$18*(K129/Z129)*Y129),TRUNC(agent!$O$18*(K129/Z129)*Y129,3),"没有上级")</f>
        <v>2450.2220000000002</v>
      </c>
      <c r="S129" s="28">
        <f>IF(ISNUMBER(agent!$O$21*(K129/Z129)*Y129),TRUNC(agent!$O$21*(K129/Z129)*Y129,3),"没有上级")</f>
        <v>816.74</v>
      </c>
      <c r="T129" s="28">
        <f>IF(ISNUMBER(agent!$O$24*(K129/Z129)*Y129),TRUNC(agent!$O$24*(K129/Z129)*Y129,3),"没有上级")</f>
        <v>5717.1850000000004</v>
      </c>
      <c r="U129" s="28">
        <f>IF(ISNUMBER(agent!$O$27*(K129/Z129)*Y129),TRUNC(agent!$O$27*(K129/Z129)*Y129,3),"没有上级")</f>
        <v>2450.2220000000002</v>
      </c>
      <c r="V129" s="28">
        <f>IF(ISNUMBER(agent!$O$30*(K129/Z129)*Y129),TRUNC(agent!$O$30*(K129/Z129)*Y129,3),"没有上级")</f>
        <v>3266.9630000000002</v>
      </c>
      <c r="W129" s="28">
        <f>IF(ISNUMBER(agent!$O$33*(K129/Z129)*Y129),TRUNC(agent!$O$33*(K129/Z129)*Y129,3),"没有上级")</f>
        <v>2450.2220000000002</v>
      </c>
      <c r="X129" s="28"/>
      <c r="Y129">
        <f>TRUNC(0.033,3)</f>
        <v>3.3000000000000002E-2</v>
      </c>
      <c r="Z129" s="28">
        <f>TRUNC(AB129-(9.9-agent!L$3)*10*Y129,3)</f>
        <v>31.844999999999999</v>
      </c>
      <c r="AA129" s="28">
        <f>'5Of11Source'!X$2</f>
        <v>0</v>
      </c>
      <c r="AB129">
        <f t="shared" si="24"/>
        <v>32.966999999999999</v>
      </c>
      <c r="AC129" s="28">
        <f>'5Of11Source'!E178</f>
        <v>165</v>
      </c>
      <c r="AD129" s="28">
        <v>29.7</v>
      </c>
      <c r="AE129" s="28"/>
      <c r="AF129" s="28"/>
      <c r="AG129" s="28"/>
      <c r="AH129" s="28"/>
      <c r="AI129" s="28"/>
    </row>
    <row r="130" spans="4:35" x14ac:dyDescent="0.15">
      <c r="D130" s="28" t="s">
        <v>70</v>
      </c>
      <c r="E130" s="28" t="s">
        <v>78</v>
      </c>
      <c r="F130" s="27" t="str">
        <f>'5Of11Source'!$J$26</f>
        <v>01 02 03 04 05 06 07 08 09 10 11</v>
      </c>
      <c r="G130" s="28">
        <f>'5Of11Source'!F137</f>
        <v>8</v>
      </c>
      <c r="H130" s="28">
        <v>1</v>
      </c>
      <c r="I130" s="30">
        <f t="shared" si="19"/>
        <v>3300</v>
      </c>
      <c r="J130" s="22">
        <f t="shared" ref="J130:J193" si="25">SUM(N130:W130)</f>
        <v>22997.250000000004</v>
      </c>
      <c r="K130" s="30">
        <f>'5Of11Source'!L172</f>
        <v>652716.25000000012</v>
      </c>
      <c r="L130" s="28">
        <f t="shared" si="20"/>
        <v>1022729888.6350001</v>
      </c>
      <c r="M130" s="29" t="str">
        <f t="shared" si="23"/>
        <v>03,06,07,08,10</v>
      </c>
      <c r="N130" s="28">
        <f>IF(ISNUMBER(agent!$O$6*(K130/Z130)*Y130),TRUNC(agent!$O$6*(K130/Z130)*Y130,3),"没有上级")</f>
        <v>676.38900000000001</v>
      </c>
      <c r="O130" s="28">
        <f>IF(ISNUMBER(agent!$O$9*(K130/Z130)*Y130),TRUNC(agent!$O$9*(K130/Z130)*Y130,3),"没有上级")</f>
        <v>4058.3389999999999</v>
      </c>
      <c r="P130" s="28">
        <f>IF(ISNUMBER(agent!$O$12*(K130/Z130)*Y130),TRUNC(agent!$O$12*(K130/Z130)*Y130,3),"没有上级")</f>
        <v>1352.779</v>
      </c>
      <c r="Q130" s="28">
        <f>IF(ISNUMBER(agent!$O$15*(K130/Z130)*Y130),TRUNC(agent!$O$15*(K130/Z130)*Y130,3),"没有上级")</f>
        <v>2705.5590000000002</v>
      </c>
      <c r="R130" s="28">
        <f>IF(ISNUMBER(agent!$O$18*(K130/Z130)*Y130),TRUNC(agent!$O$18*(K130/Z130)*Y130,3),"没有上级")</f>
        <v>2029.1690000000001</v>
      </c>
      <c r="S130" s="28">
        <f>IF(ISNUMBER(agent!$O$21*(K130/Z130)*Y130),TRUNC(agent!$O$21*(K130/Z130)*Y130,3),"没有上级")</f>
        <v>676.38900000000001</v>
      </c>
      <c r="T130" s="28">
        <f>IF(ISNUMBER(agent!$O$24*(K130/Z130)*Y130),TRUNC(agent!$O$24*(K130/Z130)*Y130,3),"没有上级")</f>
        <v>4734.7290000000003</v>
      </c>
      <c r="U130" s="28">
        <f>IF(ISNUMBER(agent!$O$27*(K130/Z130)*Y130),TRUNC(agent!$O$27*(K130/Z130)*Y130,3),"没有上级")</f>
        <v>2029.1690000000001</v>
      </c>
      <c r="V130" s="28">
        <f>IF(ISNUMBER(agent!$O$30*(K130/Z130)*Y130),TRUNC(agent!$O$30*(K130/Z130)*Y130,3),"没有上级")</f>
        <v>2705.5590000000002</v>
      </c>
      <c r="W130" s="28">
        <f>IF(ISNUMBER(agent!$O$33*(K130/Z130)*Y130),TRUNC(agent!$O$33*(K130/Z130)*Y130,3),"没有上级")</f>
        <v>2029.1690000000001</v>
      </c>
      <c r="X130" s="28" t="s">
        <v>10</v>
      </c>
      <c r="Y130">
        <f>TRUNC(0.132,3)</f>
        <v>0.13200000000000001</v>
      </c>
      <c r="Z130" s="28">
        <f>TRUNC(AB130-(9.9-agent!L$3)*10*Y130,3)</f>
        <v>127.38</v>
      </c>
      <c r="AA130" s="28">
        <f>'5Of11Source'!X$2</f>
        <v>0</v>
      </c>
      <c r="AB130">
        <f t="shared" si="24"/>
        <v>131.86799999999999</v>
      </c>
      <c r="AC130" s="28">
        <f>'5Of11Source'!E179</f>
        <v>330</v>
      </c>
      <c r="AD130" s="28">
        <v>118.8</v>
      </c>
      <c r="AE130" s="28"/>
      <c r="AF130" s="28"/>
      <c r="AG130" s="28"/>
      <c r="AH130" s="28"/>
      <c r="AI130" s="28"/>
    </row>
    <row r="131" spans="4:35" x14ac:dyDescent="0.15">
      <c r="D131" s="28" t="s">
        <v>70</v>
      </c>
      <c r="E131" s="28" t="s">
        <v>80</v>
      </c>
      <c r="F131" s="27" t="str">
        <f>'5Of11Source'!$J$27</f>
        <v>01 02 03 04 05 06 07 08 09 10 11</v>
      </c>
      <c r="G131" s="28">
        <f>'5Of11Source'!F138</f>
        <v>2</v>
      </c>
      <c r="H131" s="28">
        <v>1</v>
      </c>
      <c r="I131" s="30">
        <f t="shared" si="19"/>
        <v>3695.9999999999995</v>
      </c>
      <c r="J131" s="22">
        <f t="shared" si="25"/>
        <v>3565.1959999999999</v>
      </c>
      <c r="K131" s="30">
        <f>'5Of11Source'!L173</f>
        <v>101188.88000000002</v>
      </c>
      <c r="L131" s="28">
        <f t="shared" si="20"/>
        <v>1022827381.5150001</v>
      </c>
      <c r="M131" s="29" t="str">
        <f t="shared" si="23"/>
        <v>03,06,07,08,10</v>
      </c>
      <c r="N131" s="28">
        <f>IF(ISNUMBER(agent!$O$6*(K131/Z131)*Y131),TRUNC(agent!$O$6*(K131/Z131)*Y131,3),"没有上级")</f>
        <v>104.858</v>
      </c>
      <c r="O131" s="28">
        <f>IF(ISNUMBER(agent!$O$9*(K131/Z131)*Y131),TRUNC(agent!$O$9*(K131/Z131)*Y131,3),"没有上级")</f>
        <v>629.15300000000002</v>
      </c>
      <c r="P131" s="28">
        <f>IF(ISNUMBER(agent!$O$12*(K131/Z131)*Y131),TRUNC(agent!$O$12*(K131/Z131)*Y131,3),"没有上级")</f>
        <v>209.71700000000001</v>
      </c>
      <c r="Q131" s="28">
        <f>IF(ISNUMBER(agent!$O$15*(K131/Z131)*Y131),TRUNC(agent!$O$15*(K131/Z131)*Y131,3),"没有上级")</f>
        <v>419.435</v>
      </c>
      <c r="R131" s="28">
        <f>IF(ISNUMBER(agent!$O$18*(K131/Z131)*Y131),TRUNC(agent!$O$18*(K131/Z131)*Y131,3),"没有上级")</f>
        <v>314.57600000000002</v>
      </c>
      <c r="S131" s="28">
        <f>IF(ISNUMBER(agent!$O$21*(K131/Z131)*Y131),TRUNC(agent!$O$21*(K131/Z131)*Y131,3),"没有上级")</f>
        <v>104.858</v>
      </c>
      <c r="T131" s="28">
        <f>IF(ISNUMBER(agent!$O$24*(K131/Z131)*Y131),TRUNC(agent!$O$24*(K131/Z131)*Y131,3),"没有上级")</f>
        <v>734.01199999999994</v>
      </c>
      <c r="U131" s="28">
        <f>IF(ISNUMBER(agent!$O$27*(K131/Z131)*Y131),TRUNC(agent!$O$27*(K131/Z131)*Y131,3),"没有上级")</f>
        <v>314.57600000000002</v>
      </c>
      <c r="V131" s="28">
        <f>IF(ISNUMBER(agent!$O$30*(K131/Z131)*Y131),TRUNC(agent!$O$30*(K131/Z131)*Y131,3),"没有上级")</f>
        <v>419.435</v>
      </c>
      <c r="W131" s="28">
        <f>IF(ISNUMBER(agent!$O$33*(K131/Z131)*Y131),TRUNC(agent!$O$33*(K131/Z131)*Y131,3),"没有上级")</f>
        <v>314.57600000000002</v>
      </c>
      <c r="X131" s="28"/>
      <c r="Y131">
        <f>TRUNC(0.924,3)</f>
        <v>0.92400000000000004</v>
      </c>
      <c r="Z131" s="28">
        <f>TRUNC(AB131-(9.9-agent!L$3)*10*Y131,3)</f>
        <v>891.66</v>
      </c>
      <c r="AA131" s="28">
        <f>'5Of11Source'!X$2</f>
        <v>0</v>
      </c>
      <c r="AB131">
        <f t="shared" si="24"/>
        <v>923.07600000000002</v>
      </c>
      <c r="AC131" s="28">
        <f>'5Of11Source'!E180</f>
        <v>461.99999999999994</v>
      </c>
      <c r="AD131" s="28">
        <v>831.6</v>
      </c>
      <c r="AE131" s="28"/>
      <c r="AF131" s="28"/>
      <c r="AG131" s="28"/>
      <c r="AH131" s="28"/>
      <c r="AI131" s="28"/>
    </row>
    <row r="132" spans="4:35" x14ac:dyDescent="0.15">
      <c r="D132" s="28" t="s">
        <v>70</v>
      </c>
      <c r="E132" s="28" t="s">
        <v>82</v>
      </c>
      <c r="F132" s="27" t="str">
        <f>'5Of11Source'!$J$28</f>
        <v>01 02 03 04 05 06 07 08 09 10 11</v>
      </c>
      <c r="G132" s="28">
        <f>'5Of11Source'!F139</f>
        <v>2</v>
      </c>
      <c r="H132" s="28">
        <v>1</v>
      </c>
      <c r="I132" s="30">
        <f t="shared" si="19"/>
        <v>3695.9999999999995</v>
      </c>
      <c r="J132" s="22">
        <f t="shared" si="25"/>
        <v>21384.791000000001</v>
      </c>
      <c r="K132" s="30">
        <f>'5Of11Source'!L174</f>
        <v>606950.88000000012</v>
      </c>
      <c r="L132" s="28">
        <f t="shared" si="20"/>
        <v>1023430636.3950001</v>
      </c>
      <c r="M132" s="29" t="str">
        <f t="shared" si="23"/>
        <v>03,06,07,08,10</v>
      </c>
      <c r="N132" s="28">
        <f>IF(ISNUMBER(agent!$O$6*(K132/Z132)*Y132),TRUNC(agent!$O$6*(K132/Z132)*Y132,3),"没有上级")</f>
        <v>628.96400000000006</v>
      </c>
      <c r="O132" s="28">
        <f>IF(ISNUMBER(agent!$O$9*(K132/Z132)*Y132),TRUNC(agent!$O$9*(K132/Z132)*Y132,3),"没有上级")</f>
        <v>3773.7869999999998</v>
      </c>
      <c r="P132" s="28">
        <f>IF(ISNUMBER(agent!$O$12*(K132/Z132)*Y132),TRUNC(agent!$O$12*(K132/Z132)*Y132,3),"没有上级")</f>
        <v>1257.9290000000001</v>
      </c>
      <c r="Q132" s="28">
        <f>IF(ISNUMBER(agent!$O$15*(K132/Z132)*Y132),TRUNC(agent!$O$15*(K132/Z132)*Y132,3),"没有上级")</f>
        <v>2515.8580000000002</v>
      </c>
      <c r="R132" s="28">
        <f>IF(ISNUMBER(agent!$O$18*(K132/Z132)*Y132),TRUNC(agent!$O$18*(K132/Z132)*Y132,3),"没有上级")</f>
        <v>1886.893</v>
      </c>
      <c r="S132" s="28">
        <f>IF(ISNUMBER(agent!$O$21*(K132/Z132)*Y132),TRUNC(agent!$O$21*(K132/Z132)*Y132,3),"没有上级")</f>
        <v>628.96400000000006</v>
      </c>
      <c r="T132" s="28">
        <f>IF(ISNUMBER(agent!$O$24*(K132/Z132)*Y132),TRUNC(agent!$O$24*(K132/Z132)*Y132,3),"没有上级")</f>
        <v>4402.7520000000004</v>
      </c>
      <c r="U132" s="28">
        <f>IF(ISNUMBER(agent!$O$27*(K132/Z132)*Y132),TRUNC(agent!$O$27*(K132/Z132)*Y132,3),"没有上级")</f>
        <v>1886.893</v>
      </c>
      <c r="V132" s="28">
        <f>IF(ISNUMBER(agent!$O$30*(K132/Z132)*Y132),TRUNC(agent!$O$30*(K132/Z132)*Y132,3),"没有上级")</f>
        <v>2515.8580000000002</v>
      </c>
      <c r="W132" s="28">
        <f>IF(ISNUMBER(agent!$O$33*(K132/Z132)*Y132),TRUNC(agent!$O$33*(K132/Z132)*Y132,3),"没有上级")</f>
        <v>1886.893</v>
      </c>
      <c r="X132" s="28"/>
      <c r="Y132">
        <f>TRUNC(0.154,3)</f>
        <v>0.154</v>
      </c>
      <c r="Z132" s="28">
        <f>TRUNC(AB132-(9.9-agent!L$3)*10*Y132,3)</f>
        <v>148.61000000000001</v>
      </c>
      <c r="AA132" s="28">
        <f>'5Of11Source'!X$2</f>
        <v>0</v>
      </c>
      <c r="AB132">
        <f t="shared" si="24"/>
        <v>153.846</v>
      </c>
      <c r="AC132" s="28">
        <f>'5Of11Source'!E181</f>
        <v>461.99999999999994</v>
      </c>
      <c r="AD132" s="28">
        <v>138.6</v>
      </c>
      <c r="AE132" s="28"/>
      <c r="AF132" s="28"/>
      <c r="AG132" s="28"/>
      <c r="AH132" s="28"/>
      <c r="AI132" s="28"/>
    </row>
    <row r="133" spans="4:35" x14ac:dyDescent="0.15">
      <c r="D133" s="28" t="s">
        <v>70</v>
      </c>
      <c r="E133" s="28" t="s">
        <v>84</v>
      </c>
      <c r="F133" s="27" t="str">
        <f>'5Of11Source'!$J$29</f>
        <v>01 02 03 04 05 06 07 08 09 10 11</v>
      </c>
      <c r="G133" s="28">
        <f>'5Of11Source'!F140</f>
        <v>3</v>
      </c>
      <c r="H133" s="28">
        <v>1</v>
      </c>
      <c r="I133" s="30">
        <f t="shared" si="19"/>
        <v>1980</v>
      </c>
      <c r="J133" s="22">
        <f t="shared" si="25"/>
        <v>39895.499000000003</v>
      </c>
      <c r="K133" s="30">
        <f>'5Of11Source'!L175</f>
        <v>1132328.25</v>
      </c>
      <c r="L133" s="28">
        <f t="shared" si="20"/>
        <v>1024560984.6450001</v>
      </c>
      <c r="M133" s="29" t="str">
        <f t="shared" si="23"/>
        <v>03,06,07,08,10</v>
      </c>
      <c r="N133" s="28">
        <f>IF(ISNUMBER(agent!$O$6*(K133/Z133)*Y133),TRUNC(agent!$O$6*(K133/Z133)*Y133,3),"没有上级")</f>
        <v>1173.3969999999999</v>
      </c>
      <c r="O133" s="28">
        <f>IF(ISNUMBER(agent!$O$9*(K133/Z133)*Y133),TRUNC(agent!$O$9*(K133/Z133)*Y133,3),"没有上级")</f>
        <v>7040.3819999999996</v>
      </c>
      <c r="P133" s="28">
        <f>IF(ISNUMBER(agent!$O$12*(K133/Z133)*Y133),TRUNC(agent!$O$12*(K133/Z133)*Y133,3),"没有上级")</f>
        <v>2346.7939999999999</v>
      </c>
      <c r="Q133" s="28">
        <f>IF(ISNUMBER(agent!$O$15*(K133/Z133)*Y133),TRUNC(agent!$O$15*(K133/Z133)*Y133,3),"没有上级")</f>
        <v>4693.5879999999997</v>
      </c>
      <c r="R133" s="28">
        <f>IF(ISNUMBER(agent!$O$18*(K133/Z133)*Y133),TRUNC(agent!$O$18*(K133/Z133)*Y133,3),"没有上级")</f>
        <v>3520.1909999999998</v>
      </c>
      <c r="S133" s="28">
        <f>IF(ISNUMBER(agent!$O$21*(K133/Z133)*Y133),TRUNC(agent!$O$21*(K133/Z133)*Y133,3),"没有上级")</f>
        <v>1173.3969999999999</v>
      </c>
      <c r="T133" s="28">
        <f>IF(ISNUMBER(agent!$O$24*(K133/Z133)*Y133),TRUNC(agent!$O$24*(K133/Z133)*Y133,3),"没有上级")</f>
        <v>8213.7800000000007</v>
      </c>
      <c r="U133" s="28">
        <f>IF(ISNUMBER(agent!$O$27*(K133/Z133)*Y133),TRUNC(agent!$O$27*(K133/Z133)*Y133,3),"没有上级")</f>
        <v>3520.1909999999998</v>
      </c>
      <c r="V133" s="28">
        <f>IF(ISNUMBER(agent!$O$30*(K133/Z133)*Y133),TRUNC(agent!$O$30*(K133/Z133)*Y133,3),"没有上级")</f>
        <v>4693.5879999999997</v>
      </c>
      <c r="W133" s="28">
        <f>IF(ISNUMBER(agent!$O$33*(K133/Z133)*Y133),TRUNC(agent!$O$33*(K133/Z133)*Y133,3),"没有上级")</f>
        <v>3520.1909999999998</v>
      </c>
      <c r="X133" s="28"/>
      <c r="Y133">
        <f>TRUNC(0.044,3)</f>
        <v>4.3999999999999997E-2</v>
      </c>
      <c r="Z133" s="28">
        <f>TRUNC(AB133-(9.9-agent!L$3)*10*Y133,3)</f>
        <v>42.46</v>
      </c>
      <c r="AA133" s="28">
        <f>'5Of11Source'!X$2</f>
        <v>0</v>
      </c>
      <c r="AB133">
        <f t="shared" si="24"/>
        <v>43.956000000000003</v>
      </c>
      <c r="AC133" s="28">
        <f>'5Of11Source'!E182</f>
        <v>330</v>
      </c>
      <c r="AD133" s="28">
        <v>39.6</v>
      </c>
      <c r="AE133" s="28"/>
      <c r="AF133" s="28"/>
      <c r="AG133" s="28"/>
      <c r="AH133" s="28"/>
      <c r="AI133" s="28"/>
    </row>
    <row r="134" spans="4:35" x14ac:dyDescent="0.15">
      <c r="D134" s="28" t="s">
        <v>70</v>
      </c>
      <c r="E134" s="28" t="s">
        <v>86</v>
      </c>
      <c r="F134" s="27" t="str">
        <f>'5Of11Source'!$J$30</f>
        <v>01 02 03 04 05 06 07 08 09 10 11</v>
      </c>
      <c r="G134" s="28">
        <f>'5Of11Source'!F141</f>
        <v>1</v>
      </c>
      <c r="H134" s="28">
        <v>1</v>
      </c>
      <c r="I134" s="30">
        <f t="shared" si="19"/>
        <v>990</v>
      </c>
      <c r="J134" s="22">
        <f t="shared" si="25"/>
        <v>51889.994000000006</v>
      </c>
      <c r="K134" s="30">
        <f>'5Of11Source'!L176</f>
        <v>1515684.0000000002</v>
      </c>
      <c r="L134" s="28">
        <f t="shared" si="20"/>
        <v>1026075678.6450001</v>
      </c>
      <c r="M134" s="29" t="str">
        <f t="shared" si="23"/>
        <v>03,06,07,08,10</v>
      </c>
      <c r="N134" s="28">
        <f>IF(ISNUMBER(agent!$O$6*(K134/Z134)*Y134),TRUNC(agent!$O$6*(K134/Z134)*Y134,3),"没有上级")</f>
        <v>1526.1759999999999</v>
      </c>
      <c r="O134" s="28">
        <f>IF(ISNUMBER(agent!$O$9*(K134/Z134)*Y134),TRUNC(agent!$O$9*(K134/Z134)*Y134,3),"没有上级")</f>
        <v>9157.0580000000009</v>
      </c>
      <c r="P134" s="28">
        <f>IF(ISNUMBER(agent!$O$12*(K134/Z134)*Y134),TRUNC(agent!$O$12*(K134/Z134)*Y134,3),"没有上级")</f>
        <v>3052.3519999999999</v>
      </c>
      <c r="Q134" s="28">
        <f>IF(ISNUMBER(agent!$O$15*(K134/Z134)*Y134),TRUNC(agent!$O$15*(K134/Z134)*Y134,3),"没有上级")</f>
        <v>6104.7049999999999</v>
      </c>
      <c r="R134" s="28">
        <f>IF(ISNUMBER(agent!$O$18*(K134/Z134)*Y134),TRUNC(agent!$O$18*(K134/Z134)*Y134,3),"没有上级")</f>
        <v>4578.5290000000005</v>
      </c>
      <c r="S134" s="28">
        <f>IF(ISNUMBER(agent!$O$21*(K134/Z134)*Y134),TRUNC(agent!$O$21*(K134/Z134)*Y134,3),"没有上级")</f>
        <v>1526.1759999999999</v>
      </c>
      <c r="T134" s="28">
        <f>IF(ISNUMBER(agent!$O$24*(K134/Z134)*Y134),TRUNC(agent!$O$24*(K134/Z134)*Y134,3),"没有上级")</f>
        <v>10683.235000000001</v>
      </c>
      <c r="U134" s="28">
        <f>IF(ISNUMBER(agent!$O$27*(K134/Z134)*Y134),TRUNC(agent!$O$27*(K134/Z134)*Y134,3),"没有上级")</f>
        <v>4578.5290000000005</v>
      </c>
      <c r="V134" s="28">
        <f>IF(ISNUMBER(agent!$O$30*(K134/Z134)*Y134),TRUNC(agent!$O$30*(K134/Z134)*Y134,3),"没有上级")</f>
        <v>6104.7049999999999</v>
      </c>
      <c r="W134" s="28">
        <f>IF(ISNUMBER(agent!$O$33*(K134/Z134)*Y134),TRUNC(agent!$O$33*(K134/Z134)*Y134,3),"没有上级")</f>
        <v>4578.5290000000005</v>
      </c>
      <c r="X134" s="28" t="s">
        <v>12</v>
      </c>
      <c r="Y134">
        <f>TRUNC(0.01642857,3)</f>
        <v>1.6E-2</v>
      </c>
      <c r="Z134" s="28">
        <f>TRUNC(AB134-(9.9-agent!L$3)*10*Y134,3)</f>
        <v>15.89</v>
      </c>
      <c r="AA134" s="28">
        <f>'5Of11Source'!X$2</f>
        <v>0</v>
      </c>
      <c r="AB134">
        <f t="shared" si="24"/>
        <v>16.434000000000001</v>
      </c>
      <c r="AC134" s="28">
        <f>'5Of11Source'!E183</f>
        <v>165</v>
      </c>
      <c r="AD134" s="28">
        <v>14.85</v>
      </c>
      <c r="AE134" s="28"/>
      <c r="AF134" s="28"/>
      <c r="AG134" s="28"/>
      <c r="AH134" s="28"/>
      <c r="AI134" s="28"/>
    </row>
    <row r="135" spans="4:35" x14ac:dyDescent="0.15">
      <c r="D135" s="28" t="s">
        <v>96</v>
      </c>
      <c r="E135" s="28" t="s">
        <v>72</v>
      </c>
      <c r="F135" s="27" t="str">
        <f>'5Of11Source'!$J$31</f>
        <v>01,02,03,04,05,06,07,08,09,10,11</v>
      </c>
      <c r="G135" s="28">
        <f>'5Of11Source'!F142</f>
        <v>0</v>
      </c>
      <c r="H135" s="28">
        <v>1</v>
      </c>
      <c r="I135" s="30">
        <f t="shared" si="19"/>
        <v>88</v>
      </c>
      <c r="J135" s="22">
        <f t="shared" si="25"/>
        <v>18550.899999999998</v>
      </c>
      <c r="K135" s="30">
        <f>'5Of11Source'!L177</f>
        <v>575623.80000000005</v>
      </c>
      <c r="L135" s="28">
        <f t="shared" si="20"/>
        <v>1026651214.4450001</v>
      </c>
      <c r="M135" s="29" t="str">
        <f t="shared" si="23"/>
        <v>03,06,07,08,10</v>
      </c>
      <c r="N135" s="28">
        <f>IF(ISNUMBER(agent!$O$6*(K135/Z135)*Y135),TRUNC(agent!$O$6*(K135/Z135)*Y135,3),"没有上级")</f>
        <v>545.61400000000003</v>
      </c>
      <c r="O135" s="28">
        <f>IF(ISNUMBER(agent!$O$9*(K135/Z135)*Y135),TRUNC(agent!$O$9*(K135/Z135)*Y135,3),"没有上级")</f>
        <v>3273.6889999999999</v>
      </c>
      <c r="P135" s="28">
        <f>IF(ISNUMBER(agent!$O$12*(K135/Z135)*Y135),TRUNC(agent!$O$12*(K135/Z135)*Y135,3),"没有上级")</f>
        <v>1091.229</v>
      </c>
      <c r="Q135" s="28">
        <f>IF(ISNUMBER(agent!$O$15*(K135/Z135)*Y135),TRUNC(agent!$O$15*(K135/Z135)*Y135,3),"没有上级")</f>
        <v>2182.4589999999998</v>
      </c>
      <c r="R135" s="28">
        <f>IF(ISNUMBER(agent!$O$18*(K135/Z135)*Y135),TRUNC(agent!$O$18*(K135/Z135)*Y135,3),"没有上级")</f>
        <v>1636.8440000000001</v>
      </c>
      <c r="S135" s="28">
        <f>IF(ISNUMBER(agent!$O$21*(K135/Z135)*Y135),TRUNC(agent!$O$21*(K135/Z135)*Y135,3),"没有上级")</f>
        <v>545.61400000000003</v>
      </c>
      <c r="T135" s="28">
        <f>IF(ISNUMBER(agent!$O$24*(K135/Z135)*Y135),TRUNC(agent!$O$24*(K135/Z135)*Y135,3),"没有上级")</f>
        <v>3819.3040000000001</v>
      </c>
      <c r="U135" s="28">
        <f>IF(ISNUMBER(agent!$O$27*(K135/Z135)*Y135),TRUNC(agent!$O$27*(K135/Z135)*Y135,3),"没有上级")</f>
        <v>1636.8440000000001</v>
      </c>
      <c r="V135" s="28">
        <f>IF(ISNUMBER(agent!$O$30*(K135/Z135)*Y135),TRUNC(agent!$O$30*(K135/Z135)*Y135,3),"没有上级")</f>
        <v>2182.4589999999998</v>
      </c>
      <c r="W135" s="28">
        <f>IF(ISNUMBER(agent!$O$33*(K135/Z135)*Y135),TRUNC(agent!$O$33*(K135/Z135)*Y135,3),"没有上级")</f>
        <v>1636.8440000000001</v>
      </c>
      <c r="X135" s="28"/>
      <c r="Y135">
        <f>TRUNC(0.0042857,3)</f>
        <v>4.0000000000000001E-3</v>
      </c>
      <c r="Z135" s="28">
        <f>TRUNC(AB135-(9.9-agent!L$3)*10*Y135,3)</f>
        <v>4.22</v>
      </c>
      <c r="AA135" s="28">
        <f>'5Of11Source'!X$2</f>
        <v>0</v>
      </c>
      <c r="AB135">
        <f t="shared" si="24"/>
        <v>4.3559999999999999</v>
      </c>
      <c r="AC135" s="28">
        <f>'5Of11Source'!E184</f>
        <v>11</v>
      </c>
      <c r="AD135" s="28">
        <v>3.96</v>
      </c>
      <c r="AE135" s="28"/>
      <c r="AF135" s="28"/>
      <c r="AG135" s="28"/>
      <c r="AH135" s="28"/>
      <c r="AI135" s="28"/>
    </row>
    <row r="136" spans="4:35" x14ac:dyDescent="0.15">
      <c r="D136" s="28" t="s">
        <v>96</v>
      </c>
      <c r="E136" s="28" t="s">
        <v>74</v>
      </c>
      <c r="F136" s="27" t="str">
        <f>'5Of11Source'!$J$32</f>
        <v>01 09,03 04,05 06,07 08,09 10</v>
      </c>
      <c r="G136" s="28">
        <f>'5Of11Source'!F143</f>
        <v>3</v>
      </c>
      <c r="H136" s="28">
        <v>1</v>
      </c>
      <c r="I136" s="30">
        <f t="shared" si="19"/>
        <v>50</v>
      </c>
      <c r="J136" s="22">
        <f t="shared" si="25"/>
        <v>5095.3429999999998</v>
      </c>
      <c r="K136" s="30">
        <f>'5Of11Source'!L178</f>
        <v>144617.95000000001</v>
      </c>
      <c r="L136" s="28">
        <f t="shared" si="20"/>
        <v>1026795782.3950001</v>
      </c>
      <c r="M136" s="29" t="str">
        <f t="shared" si="23"/>
        <v>03,06,07,08,10</v>
      </c>
      <c r="N136" s="28">
        <f>IF(ISNUMBER(agent!$O$6*(K136/Z136)*Y136),TRUNC(agent!$O$6*(K136/Z136)*Y136,3),"没有上级")</f>
        <v>149.863</v>
      </c>
      <c r="O136" s="28">
        <f>IF(ISNUMBER(agent!$O$9*(K136/Z136)*Y136),TRUNC(agent!$O$9*(K136/Z136)*Y136,3),"没有上级")</f>
        <v>899.178</v>
      </c>
      <c r="P136" s="28">
        <f>IF(ISNUMBER(agent!$O$12*(K136/Z136)*Y136),TRUNC(agent!$O$12*(K136/Z136)*Y136,3),"没有上级")</f>
        <v>299.726</v>
      </c>
      <c r="Q136" s="28">
        <f>IF(ISNUMBER(agent!$O$15*(K136/Z136)*Y136),TRUNC(agent!$O$15*(K136/Z136)*Y136,3),"没有上级")</f>
        <v>599.452</v>
      </c>
      <c r="R136" s="28">
        <f>IF(ISNUMBER(agent!$O$18*(K136/Z136)*Y136),TRUNC(agent!$O$18*(K136/Z136)*Y136,3),"没有上级")</f>
        <v>449.589</v>
      </c>
      <c r="S136" s="28">
        <f>IF(ISNUMBER(agent!$O$21*(K136/Z136)*Y136),TRUNC(agent!$O$21*(K136/Z136)*Y136,3),"没有上级")</f>
        <v>149.863</v>
      </c>
      <c r="T136" s="28">
        <f>IF(ISNUMBER(agent!$O$24*(K136/Z136)*Y136),TRUNC(agent!$O$24*(K136/Z136)*Y136,3),"没有上级")</f>
        <v>1049.0419999999999</v>
      </c>
      <c r="U136" s="28">
        <f>IF(ISNUMBER(agent!$O$27*(K136/Z136)*Y136),TRUNC(agent!$O$27*(K136/Z136)*Y136,3),"没有上级")</f>
        <v>449.589</v>
      </c>
      <c r="V136" s="28">
        <f>IF(ISNUMBER(agent!$O$30*(K136/Z136)*Y136),TRUNC(agent!$O$30*(K136/Z136)*Y136,3),"没有上级")</f>
        <v>599.452</v>
      </c>
      <c r="W136" s="28">
        <f>IF(ISNUMBER(agent!$O$33*(K136/Z136)*Y136),TRUNC(agent!$O$33*(K136/Z136)*Y136,3),"没有上级")</f>
        <v>449.589</v>
      </c>
      <c r="X136" s="28"/>
      <c r="Y136">
        <f>TRUNC(0.011,3)</f>
        <v>1.0999999999999999E-2</v>
      </c>
      <c r="Z136" s="28">
        <f>TRUNC(AB136-(9.9-agent!L$3)*10*Y136,3)</f>
        <v>10.615</v>
      </c>
      <c r="AA136" s="28">
        <f>'5Of11Source'!X$2</f>
        <v>0</v>
      </c>
      <c r="AB136">
        <f t="shared" si="24"/>
        <v>10.989000000000001</v>
      </c>
      <c r="AC136" s="28">
        <f>'5Of11Source'!E185</f>
        <v>5</v>
      </c>
      <c r="AD136" s="28">
        <v>9.9</v>
      </c>
      <c r="AE136" s="28"/>
      <c r="AF136" s="28"/>
      <c r="AG136" s="28"/>
      <c r="AH136" s="28"/>
      <c r="AI136" s="28"/>
    </row>
    <row r="137" spans="4:35" x14ac:dyDescent="0.15">
      <c r="D137" s="28" t="s">
        <v>96</v>
      </c>
      <c r="E137" s="28" t="s">
        <v>76</v>
      </c>
      <c r="F137" s="27" t="str">
        <f>'5Of11Source'!$J$33</f>
        <v>01 02 03,04 05 06,07 08 09,10 11 01</v>
      </c>
      <c r="G137" s="28">
        <f>'5Of11Source'!F144</f>
        <v>0</v>
      </c>
      <c r="H137" s="28">
        <v>1</v>
      </c>
      <c r="I137" s="30">
        <f t="shared" si="19"/>
        <v>40</v>
      </c>
      <c r="J137" s="22">
        <f t="shared" si="25"/>
        <v>0</v>
      </c>
      <c r="K137" s="30">
        <f>'5Of11Source'!L179</f>
        <v>0</v>
      </c>
      <c r="L137" s="28">
        <f t="shared" si="20"/>
        <v>1026795742.3950001</v>
      </c>
      <c r="M137" s="29" t="str">
        <f t="shared" si="23"/>
        <v>03,06,07,08,10</v>
      </c>
      <c r="N137" s="28">
        <f>IF(ISNUMBER(agent!$O$6*(K137/Z137)*Y137),TRUNC(agent!$O$6*(K137/Z137)*Y137,3),"没有上级")</f>
        <v>0</v>
      </c>
      <c r="O137" s="28">
        <f>IF(ISNUMBER(agent!$O$9*(K137/Z137)*Y137),TRUNC(agent!$O$9*(K137/Z137)*Y137,3),"没有上级")</f>
        <v>0</v>
      </c>
      <c r="P137" s="28">
        <f>IF(ISNUMBER(agent!$O$12*(K137/Z137)*Y137),TRUNC(agent!$O$12*(K137/Z137)*Y137,3),"没有上级")</f>
        <v>0</v>
      </c>
      <c r="Q137" s="28">
        <f>IF(ISNUMBER(agent!$O$15*(K137/Z137)*Y137),TRUNC(agent!$O$15*(K137/Z137)*Y137,3),"没有上级")</f>
        <v>0</v>
      </c>
      <c r="R137" s="28">
        <f>IF(ISNUMBER(agent!$O$18*(K137/Z137)*Y137),TRUNC(agent!$O$18*(K137/Z137)*Y137,3),"没有上级")</f>
        <v>0</v>
      </c>
      <c r="S137" s="28">
        <f>IF(ISNUMBER(agent!$O$21*(K137/Z137)*Y137),TRUNC(agent!$O$21*(K137/Z137)*Y137,3),"没有上级")</f>
        <v>0</v>
      </c>
      <c r="T137" s="28">
        <f>IF(ISNUMBER(agent!$O$24*(K137/Z137)*Y137),TRUNC(agent!$O$24*(K137/Z137)*Y137,3),"没有上级")</f>
        <v>0</v>
      </c>
      <c r="U137" s="28">
        <f>IF(ISNUMBER(agent!$O$27*(K137/Z137)*Y137),TRUNC(agent!$O$27*(K137/Z137)*Y137,3),"没有上级")</f>
        <v>0</v>
      </c>
      <c r="V137" s="28">
        <f>IF(ISNUMBER(agent!$O$30*(K137/Z137)*Y137),TRUNC(agent!$O$30*(K137/Z137)*Y137,3),"没有上级")</f>
        <v>0</v>
      </c>
      <c r="W137" s="28">
        <f>IF(ISNUMBER(agent!$O$33*(K137/Z137)*Y137),TRUNC(agent!$O$33*(K137/Z137)*Y137,3),"没有上级")</f>
        <v>0</v>
      </c>
      <c r="X137" s="28"/>
      <c r="Y137">
        <f>TRUNC(0.033,3)</f>
        <v>3.3000000000000002E-2</v>
      </c>
      <c r="Z137" s="28">
        <f>TRUNC(AB137-(9.9-agent!L$3)*10*Y137,3)</f>
        <v>31.844999999999999</v>
      </c>
      <c r="AA137" s="28">
        <f>'5Of11Source'!X$2</f>
        <v>0</v>
      </c>
      <c r="AB137">
        <f t="shared" si="24"/>
        <v>32.966999999999999</v>
      </c>
      <c r="AC137" s="28">
        <f>'5Of11Source'!E186</f>
        <v>4</v>
      </c>
      <c r="AD137" s="28">
        <v>29.7</v>
      </c>
      <c r="AE137" s="28"/>
      <c r="AF137" s="28"/>
      <c r="AG137" s="28"/>
      <c r="AH137" s="28"/>
      <c r="AI137" s="28"/>
    </row>
    <row r="138" spans="4:35" x14ac:dyDescent="0.15">
      <c r="D138" s="28" t="s">
        <v>96</v>
      </c>
      <c r="E138" s="28" t="s">
        <v>78</v>
      </c>
      <c r="F138" s="27" t="str">
        <f>'5Of11Source'!$J$34</f>
        <v>01 02 03 04,09 10 11 05,06 07 08 09</v>
      </c>
      <c r="G138" s="28">
        <f>'5Of11Source'!F145</f>
        <v>4</v>
      </c>
      <c r="H138" s="28">
        <v>1</v>
      </c>
      <c r="I138" s="30">
        <f t="shared" si="19"/>
        <v>30</v>
      </c>
      <c r="J138" s="22">
        <f t="shared" si="25"/>
        <v>0</v>
      </c>
      <c r="K138" s="30">
        <f>'5Of11Source'!L180</f>
        <v>0</v>
      </c>
      <c r="L138" s="28">
        <f t="shared" si="20"/>
        <v>1026795712.3950001</v>
      </c>
      <c r="M138" s="29" t="str">
        <f t="shared" si="23"/>
        <v>03,06,07,08,10</v>
      </c>
      <c r="N138" s="28">
        <f>IF(ISNUMBER(agent!$O$6*(K138/Z138)*Y138),TRUNC(agent!$O$6*(K138/Z138)*Y138,3),"没有上级")</f>
        <v>0</v>
      </c>
      <c r="O138" s="28">
        <f>IF(ISNUMBER(agent!$O$9*(K138/Z138)*Y138),TRUNC(agent!$O$9*(K138/Z138)*Y138,3),"没有上级")</f>
        <v>0</v>
      </c>
      <c r="P138" s="28">
        <f>IF(ISNUMBER(agent!$O$12*(K138/Z138)*Y138),TRUNC(agent!$O$12*(K138/Z138)*Y138,3),"没有上级")</f>
        <v>0</v>
      </c>
      <c r="Q138" s="28">
        <f>IF(ISNUMBER(agent!$O$15*(K138/Z138)*Y138),TRUNC(agent!$O$15*(K138/Z138)*Y138,3),"没有上级")</f>
        <v>0</v>
      </c>
      <c r="R138" s="28">
        <f>IF(ISNUMBER(agent!$O$18*(K138/Z138)*Y138),TRUNC(agent!$O$18*(K138/Z138)*Y138,3),"没有上级")</f>
        <v>0</v>
      </c>
      <c r="S138" s="28">
        <f>IF(ISNUMBER(agent!$O$21*(K138/Z138)*Y138),TRUNC(agent!$O$21*(K138/Z138)*Y138,3),"没有上级")</f>
        <v>0</v>
      </c>
      <c r="T138" s="28">
        <f>IF(ISNUMBER(agent!$O$24*(K138/Z138)*Y138),TRUNC(agent!$O$24*(K138/Z138)*Y138,3),"没有上级")</f>
        <v>0</v>
      </c>
      <c r="U138" s="28">
        <f>IF(ISNUMBER(agent!$O$27*(K138/Z138)*Y138),TRUNC(agent!$O$27*(K138/Z138)*Y138,3),"没有上级")</f>
        <v>0</v>
      </c>
      <c r="V138" s="28">
        <f>IF(ISNUMBER(agent!$O$30*(K138/Z138)*Y138),TRUNC(agent!$O$30*(K138/Z138)*Y138,3),"没有上级")</f>
        <v>0</v>
      </c>
      <c r="W138" s="28">
        <f>IF(ISNUMBER(agent!$O$33*(K138/Z138)*Y138),TRUNC(agent!$O$33*(K138/Z138)*Y138,3),"没有上级")</f>
        <v>0</v>
      </c>
      <c r="X138" s="28"/>
      <c r="Y138">
        <f>TRUNC(0.132,3)</f>
        <v>0.13200000000000001</v>
      </c>
      <c r="Z138" s="28">
        <f>TRUNC(AB138-(9.9-agent!L$3)*10*Y138,3)</f>
        <v>127.38</v>
      </c>
      <c r="AA138" s="28">
        <f>'5Of11Source'!X$2</f>
        <v>0</v>
      </c>
      <c r="AB138">
        <f t="shared" si="24"/>
        <v>131.86799999999999</v>
      </c>
      <c r="AC138" s="28">
        <f>'5Of11Source'!E187</f>
        <v>3</v>
      </c>
      <c r="AD138" s="28">
        <v>118.8</v>
      </c>
      <c r="AE138" s="28"/>
      <c r="AF138" s="28"/>
      <c r="AG138" s="28"/>
      <c r="AH138" s="28"/>
      <c r="AI138" s="28"/>
    </row>
    <row r="139" spans="4:35" x14ac:dyDescent="0.15">
      <c r="D139" s="28" t="s">
        <v>96</v>
      </c>
      <c r="E139" s="28" t="s">
        <v>80</v>
      </c>
      <c r="F139" s="27" t="str">
        <f>'5Of11Source'!$J$35</f>
        <v>01 02 06 04 08,06 07 08 09 10</v>
      </c>
      <c r="G139" s="28">
        <f>'5Of11Source'!F146</f>
        <v>0</v>
      </c>
      <c r="H139" s="28">
        <v>1</v>
      </c>
      <c r="I139" s="30">
        <f t="shared" si="19"/>
        <v>32</v>
      </c>
      <c r="J139" s="22">
        <f t="shared" si="25"/>
        <v>0</v>
      </c>
      <c r="K139" s="30">
        <f>'5Of11Source'!L181</f>
        <v>0</v>
      </c>
      <c r="L139" s="28">
        <f t="shared" si="20"/>
        <v>1026795680.3950001</v>
      </c>
      <c r="M139" s="29" t="str">
        <f t="shared" si="23"/>
        <v>03,06,07,08,10</v>
      </c>
      <c r="N139" s="28">
        <f>IF(ISNUMBER(agent!$O$6*(K139/Z139)*Y139),TRUNC(agent!$O$6*(K139/Z139)*Y139,3),"没有上级")</f>
        <v>0</v>
      </c>
      <c r="O139" s="28">
        <f>IF(ISNUMBER(agent!$O$9*(K139/Z139)*Y139),TRUNC(agent!$O$9*(K139/Z139)*Y139,3),"没有上级")</f>
        <v>0</v>
      </c>
      <c r="P139" s="28">
        <f>IF(ISNUMBER(agent!$O$12*(K139/Z139)*Y139),TRUNC(agent!$O$12*(K139/Z139)*Y139,3),"没有上级")</f>
        <v>0</v>
      </c>
      <c r="Q139" s="28">
        <f>IF(ISNUMBER(agent!$O$15*(K139/Z139)*Y139),TRUNC(agent!$O$15*(K139/Z139)*Y139,3),"没有上级")</f>
        <v>0</v>
      </c>
      <c r="R139" s="28">
        <f>IF(ISNUMBER(agent!$O$18*(K139/Z139)*Y139),TRUNC(agent!$O$18*(K139/Z139)*Y139,3),"没有上级")</f>
        <v>0</v>
      </c>
      <c r="S139" s="28">
        <f>IF(ISNUMBER(agent!$O$21*(K139/Z139)*Y139),TRUNC(agent!$O$21*(K139/Z139)*Y139,3),"没有上级")</f>
        <v>0</v>
      </c>
      <c r="T139" s="28">
        <f>IF(ISNUMBER(agent!$O$24*(K139/Z139)*Y139),TRUNC(agent!$O$24*(K139/Z139)*Y139,3),"没有上级")</f>
        <v>0</v>
      </c>
      <c r="U139" s="28">
        <f>IF(ISNUMBER(agent!$O$27*(K139/Z139)*Y139),TRUNC(agent!$O$27*(K139/Z139)*Y139,3),"没有上级")</f>
        <v>0</v>
      </c>
      <c r="V139" s="28">
        <f>IF(ISNUMBER(agent!$O$30*(K139/Z139)*Y139),TRUNC(agent!$O$30*(K139/Z139)*Y139,3),"没有上级")</f>
        <v>0</v>
      </c>
      <c r="W139" s="28">
        <f>IF(ISNUMBER(agent!$O$33*(K139/Z139)*Y139),TRUNC(agent!$O$33*(K139/Z139)*Y139,3),"没有上级")</f>
        <v>0</v>
      </c>
      <c r="X139" s="28"/>
      <c r="Y139">
        <f>TRUNC(0.924,3)</f>
        <v>0.92400000000000004</v>
      </c>
      <c r="Z139" s="28">
        <f>TRUNC(AB139-(9.9-agent!L$3)*10*Y139,3)</f>
        <v>891.66</v>
      </c>
      <c r="AA139" s="28">
        <f>'5Of11Source'!X$2</f>
        <v>0</v>
      </c>
      <c r="AB139">
        <f t="shared" si="24"/>
        <v>923.07600000000002</v>
      </c>
      <c r="AC139" s="28">
        <f>'5Of11Source'!E188</f>
        <v>2</v>
      </c>
      <c r="AD139" s="28">
        <v>831.6</v>
      </c>
      <c r="AE139" s="28"/>
      <c r="AF139" s="28"/>
      <c r="AG139" s="28"/>
      <c r="AH139" s="28"/>
      <c r="AI139" s="28"/>
    </row>
    <row r="140" spans="4:35" x14ac:dyDescent="0.15">
      <c r="D140" s="28" t="s">
        <v>96</v>
      </c>
      <c r="E140" s="28" t="s">
        <v>82</v>
      </c>
      <c r="F140" s="27" t="str">
        <f>'5Of11Source'!$J$36</f>
        <v>01 02 08 04 05 06,07 08 09 10 11 02</v>
      </c>
      <c r="G140" s="28">
        <f>'5Of11Source'!F147</f>
        <v>5</v>
      </c>
      <c r="H140" s="28">
        <v>1</v>
      </c>
      <c r="I140" s="30">
        <f t="shared" si="19"/>
        <v>8</v>
      </c>
      <c r="J140" s="22">
        <f t="shared" si="25"/>
        <v>0</v>
      </c>
      <c r="K140" s="30">
        <f>'5Of11Source'!L182</f>
        <v>0</v>
      </c>
      <c r="L140" s="28">
        <f t="shared" si="20"/>
        <v>1026795672.3950001</v>
      </c>
      <c r="M140" s="29" t="str">
        <f t="shared" si="23"/>
        <v>03,06,07,08,10</v>
      </c>
      <c r="N140" s="28">
        <f>IF(ISNUMBER(agent!$O$6*(K140/Z140)*Y140),TRUNC(agent!$O$6*(K140/Z140)*Y140,3),"没有上级")</f>
        <v>0</v>
      </c>
      <c r="O140" s="28">
        <f>IF(ISNUMBER(agent!$O$9*(K140/Z140)*Y140),TRUNC(agent!$O$9*(K140/Z140)*Y140,3),"没有上级")</f>
        <v>0</v>
      </c>
      <c r="P140" s="28">
        <f>IF(ISNUMBER(agent!$O$12*(K140/Z140)*Y140),TRUNC(agent!$O$12*(K140/Z140)*Y140,3),"没有上级")</f>
        <v>0</v>
      </c>
      <c r="Q140" s="28">
        <f>IF(ISNUMBER(agent!$O$15*(K140/Z140)*Y140),TRUNC(agent!$O$15*(K140/Z140)*Y140,3),"没有上级")</f>
        <v>0</v>
      </c>
      <c r="R140" s="28">
        <f>IF(ISNUMBER(agent!$O$18*(K140/Z140)*Y140),TRUNC(agent!$O$18*(K140/Z140)*Y140,3),"没有上级")</f>
        <v>0</v>
      </c>
      <c r="S140" s="28">
        <f>IF(ISNUMBER(agent!$O$21*(K140/Z140)*Y140),TRUNC(agent!$O$21*(K140/Z140)*Y140,3),"没有上级")</f>
        <v>0</v>
      </c>
      <c r="T140" s="28">
        <f>IF(ISNUMBER(agent!$O$24*(K140/Z140)*Y140),TRUNC(agent!$O$24*(K140/Z140)*Y140,3),"没有上级")</f>
        <v>0</v>
      </c>
      <c r="U140" s="28">
        <f>IF(ISNUMBER(agent!$O$27*(K140/Z140)*Y140),TRUNC(agent!$O$27*(K140/Z140)*Y140,3),"没有上级")</f>
        <v>0</v>
      </c>
      <c r="V140" s="28">
        <f>IF(ISNUMBER(agent!$O$30*(K140/Z140)*Y140),TRUNC(agent!$O$30*(K140/Z140)*Y140,3),"没有上级")</f>
        <v>0</v>
      </c>
      <c r="W140" s="28">
        <f>IF(ISNUMBER(agent!$O$33*(K140/Z140)*Y140),TRUNC(agent!$O$33*(K140/Z140)*Y140,3),"没有上级")</f>
        <v>0</v>
      </c>
      <c r="X140" s="28"/>
      <c r="Y140">
        <f>TRUNC(0.154,3)</f>
        <v>0.154</v>
      </c>
      <c r="Z140" s="28">
        <f>TRUNC(AB140-(9.9-agent!L$3)*10*Y140,3)</f>
        <v>148.61000000000001</v>
      </c>
      <c r="AA140" s="28">
        <f>'5Of11Source'!X$2</f>
        <v>0</v>
      </c>
      <c r="AB140">
        <f t="shared" si="24"/>
        <v>153.846</v>
      </c>
      <c r="AC140" s="28">
        <f>'5Of11Source'!E189</f>
        <v>2</v>
      </c>
      <c r="AD140" s="28">
        <v>138.6</v>
      </c>
      <c r="AE140" s="28"/>
      <c r="AF140" s="28"/>
      <c r="AG140" s="28"/>
      <c r="AH140" s="28"/>
      <c r="AI140" s="28"/>
    </row>
    <row r="141" spans="4:35" x14ac:dyDescent="0.15">
      <c r="D141" s="28" t="s">
        <v>96</v>
      </c>
      <c r="E141" s="28" t="s">
        <v>84</v>
      </c>
      <c r="F141" s="27" t="str">
        <f>'5Of11Source'!$J$37</f>
        <v>01 02 03 04 05 06 07,11 10 09 08 07 06 05</v>
      </c>
      <c r="G141" s="28">
        <f>'5Of11Source'!F148</f>
        <v>0</v>
      </c>
      <c r="H141" s="28">
        <v>1</v>
      </c>
      <c r="I141" s="30">
        <f t="shared" si="19"/>
        <v>8</v>
      </c>
      <c r="J141" s="22">
        <f t="shared" si="25"/>
        <v>0</v>
      </c>
      <c r="K141" s="30">
        <f>'5Of11Source'!L183</f>
        <v>0</v>
      </c>
      <c r="L141" s="28">
        <f t="shared" si="20"/>
        <v>1026795664.3950001</v>
      </c>
      <c r="M141" s="29" t="str">
        <f t="shared" si="23"/>
        <v>03,06,07,08,10</v>
      </c>
      <c r="N141" s="28">
        <f>IF(ISNUMBER(agent!$O$6*(K141/Z141)*Y141),TRUNC(agent!$O$6*(K141/Z141)*Y141,3),"没有上级")</f>
        <v>0</v>
      </c>
      <c r="O141" s="28">
        <f>IF(ISNUMBER(agent!$O$9*(K141/Z141)*Y141),TRUNC(agent!$O$9*(K141/Z141)*Y141,3),"没有上级")</f>
        <v>0</v>
      </c>
      <c r="P141" s="28">
        <f>IF(ISNUMBER(agent!$O$12*(K141/Z141)*Y141),TRUNC(agent!$O$12*(K141/Z141)*Y141,3),"没有上级")</f>
        <v>0</v>
      </c>
      <c r="Q141" s="28">
        <f>IF(ISNUMBER(agent!$O$15*(K141/Z141)*Y141),TRUNC(agent!$O$15*(K141/Z141)*Y141,3),"没有上级")</f>
        <v>0</v>
      </c>
      <c r="R141" s="28">
        <f>IF(ISNUMBER(agent!$O$18*(K141/Z141)*Y141),TRUNC(agent!$O$18*(K141/Z141)*Y141,3),"没有上级")</f>
        <v>0</v>
      </c>
      <c r="S141" s="28">
        <f>IF(ISNUMBER(agent!$O$21*(K141/Z141)*Y141),TRUNC(agent!$O$21*(K141/Z141)*Y141,3),"没有上级")</f>
        <v>0</v>
      </c>
      <c r="T141" s="28">
        <f>IF(ISNUMBER(agent!$O$24*(K141/Z141)*Y141),TRUNC(agent!$O$24*(K141/Z141)*Y141,3),"没有上级")</f>
        <v>0</v>
      </c>
      <c r="U141" s="28">
        <f>IF(ISNUMBER(agent!$O$27*(K141/Z141)*Y141),TRUNC(agent!$O$27*(K141/Z141)*Y141,3),"没有上级")</f>
        <v>0</v>
      </c>
      <c r="V141" s="28">
        <f>IF(ISNUMBER(agent!$O$30*(K141/Z141)*Y141),TRUNC(agent!$O$30*(K141/Z141)*Y141,3),"没有上级")</f>
        <v>0</v>
      </c>
      <c r="W141" s="28">
        <f>IF(ISNUMBER(agent!$O$33*(K141/Z141)*Y141),TRUNC(agent!$O$33*(K141/Z141)*Y141,3),"没有上级")</f>
        <v>0</v>
      </c>
      <c r="X141" s="28" t="s">
        <v>13</v>
      </c>
      <c r="Y141">
        <f>TRUNC(0.044,3)</f>
        <v>4.3999999999999997E-2</v>
      </c>
      <c r="Z141" s="28">
        <f>TRUNC(AB141-(9.9-agent!L$3)*10*Y141,3)</f>
        <v>42.46</v>
      </c>
      <c r="AA141" s="28">
        <f>'5Of11Source'!X$2</f>
        <v>0</v>
      </c>
      <c r="AB141">
        <f t="shared" si="24"/>
        <v>43.956000000000003</v>
      </c>
      <c r="AC141" s="28">
        <f>'5Of11Source'!E190</f>
        <v>2</v>
      </c>
      <c r="AD141" s="28">
        <v>39.6</v>
      </c>
      <c r="AE141" s="28"/>
      <c r="AF141" s="28"/>
      <c r="AG141" s="28"/>
      <c r="AH141" s="28"/>
      <c r="AI141" s="28"/>
    </row>
    <row r="142" spans="4:35" ht="27" x14ac:dyDescent="0.15">
      <c r="D142" s="28" t="s">
        <v>96</v>
      </c>
      <c r="E142" s="28" t="s">
        <v>86</v>
      </c>
      <c r="F142" s="27" t="str">
        <f>'5Of11Source'!$J$38</f>
        <v>01 02 03 04 05 06 07 08,11 10 09 08 07 06 05 04</v>
      </c>
      <c r="G142" s="28">
        <f>'5Of11Source'!F149</f>
        <v>5</v>
      </c>
      <c r="H142" s="28">
        <v>1</v>
      </c>
      <c r="I142" s="30">
        <f t="shared" si="19"/>
        <v>12</v>
      </c>
      <c r="J142" s="22">
        <f t="shared" si="25"/>
        <v>0</v>
      </c>
      <c r="K142" s="30">
        <f>'5Of11Source'!L184</f>
        <v>0</v>
      </c>
      <c r="L142" s="28">
        <f t="shared" si="20"/>
        <v>1026795652.3950001</v>
      </c>
      <c r="M142" s="29" t="str">
        <f t="shared" si="23"/>
        <v>03,06,07,08,10</v>
      </c>
      <c r="N142" s="28">
        <f>IF(ISNUMBER(agent!$O$6*(K142/Z142)*Y142),TRUNC(agent!$O$6*(K142/Z142)*Y142,3),"没有上级")</f>
        <v>0</v>
      </c>
      <c r="O142" s="28">
        <f>IF(ISNUMBER(agent!$O$9*(K142/Z142)*Y142),TRUNC(agent!$O$9*(K142/Z142)*Y142,3),"没有上级")</f>
        <v>0</v>
      </c>
      <c r="P142" s="28">
        <f>IF(ISNUMBER(agent!$O$12*(K142/Z142)*Y142),TRUNC(agent!$O$12*(K142/Z142)*Y142,3),"没有上级")</f>
        <v>0</v>
      </c>
      <c r="Q142" s="28">
        <f>IF(ISNUMBER(agent!$O$15*(K142/Z142)*Y142),TRUNC(agent!$O$15*(K142/Z142)*Y142,3),"没有上级")</f>
        <v>0</v>
      </c>
      <c r="R142" s="28">
        <f>IF(ISNUMBER(agent!$O$18*(K142/Z142)*Y142),TRUNC(agent!$O$18*(K142/Z142)*Y142,3),"没有上级")</f>
        <v>0</v>
      </c>
      <c r="S142" s="28">
        <f>IF(ISNUMBER(agent!$O$21*(K142/Z142)*Y142),TRUNC(agent!$O$21*(K142/Z142)*Y142,3),"没有上级")</f>
        <v>0</v>
      </c>
      <c r="T142" s="28">
        <f>IF(ISNUMBER(agent!$O$24*(K142/Z142)*Y142),TRUNC(agent!$O$24*(K142/Z142)*Y142,3),"没有上级")</f>
        <v>0</v>
      </c>
      <c r="U142" s="28">
        <f>IF(ISNUMBER(agent!$O$27*(K142/Z142)*Y142),TRUNC(agent!$O$27*(K142/Z142)*Y142,3),"没有上级")</f>
        <v>0</v>
      </c>
      <c r="V142" s="28">
        <f>IF(ISNUMBER(agent!$O$30*(K142/Z142)*Y142),TRUNC(agent!$O$30*(K142/Z142)*Y142,3),"没有上级")</f>
        <v>0</v>
      </c>
      <c r="W142" s="28">
        <f>IF(ISNUMBER(agent!$O$33*(K142/Z142)*Y142),TRUNC(agent!$O$33*(K142/Z142)*Y142,3),"没有上级")</f>
        <v>0</v>
      </c>
      <c r="X142" s="28"/>
      <c r="Y142">
        <f>TRUNC(0.01642857,3)</f>
        <v>1.6E-2</v>
      </c>
      <c r="Z142" s="28">
        <f>TRUNC(AB142-(9.9-agent!L$3)*10*Y142,3)</f>
        <v>15.89</v>
      </c>
      <c r="AA142" s="28">
        <f>'5Of11Source'!X$2</f>
        <v>0</v>
      </c>
      <c r="AB142">
        <f t="shared" si="24"/>
        <v>16.434000000000001</v>
      </c>
      <c r="AC142" s="28">
        <f>'5Of11Source'!E191</f>
        <v>2</v>
      </c>
      <c r="AD142" s="28">
        <v>14.85</v>
      </c>
      <c r="AE142" s="28"/>
      <c r="AF142" s="28"/>
      <c r="AG142" s="28"/>
      <c r="AH142" s="28"/>
      <c r="AI142" s="28"/>
    </row>
    <row r="143" spans="4:35" x14ac:dyDescent="0.15">
      <c r="D143" s="28" t="s">
        <v>103</v>
      </c>
      <c r="E143" s="28" t="s">
        <v>74</v>
      </c>
      <c r="F143" s="27" t="str">
        <f>'5Of11Source'!$J$39</f>
        <v>01,02 03 04 05 06 07 08 09 10 11</v>
      </c>
      <c r="G143" s="28">
        <f>'5Of11Source'!F150</f>
        <v>0</v>
      </c>
      <c r="H143" s="28">
        <v>1</v>
      </c>
      <c r="I143" s="30">
        <f t="shared" si="19"/>
        <v>20</v>
      </c>
      <c r="J143" s="22">
        <f t="shared" si="25"/>
        <v>3941.9070000000002</v>
      </c>
      <c r="K143" s="30">
        <f>'5Of11Source'!L185</f>
        <v>111880.76</v>
      </c>
      <c r="L143" s="28">
        <f t="shared" si="20"/>
        <v>1026907513.1550001</v>
      </c>
      <c r="M143" s="29" t="str">
        <f t="shared" si="23"/>
        <v>03,06,07,08,10</v>
      </c>
      <c r="N143" s="28">
        <f>IF(ISNUMBER(agent!$O$6*(K143/Z143)*Y143),TRUNC(agent!$O$6*(K143/Z143)*Y143,3),"没有上级")</f>
        <v>115.938</v>
      </c>
      <c r="O143" s="28">
        <f>IF(ISNUMBER(agent!$O$9*(K143/Z143)*Y143),TRUNC(agent!$O$9*(K143/Z143)*Y143,3),"没有上级")</f>
        <v>695.63099999999997</v>
      </c>
      <c r="P143" s="28">
        <f>IF(ISNUMBER(agent!$O$12*(K143/Z143)*Y143),TRUNC(agent!$O$12*(K143/Z143)*Y143,3),"没有上级")</f>
        <v>231.87700000000001</v>
      </c>
      <c r="Q143" s="28">
        <f>IF(ISNUMBER(agent!$O$15*(K143/Z143)*Y143),TRUNC(agent!$O$15*(K143/Z143)*Y143,3),"没有上级")</f>
        <v>463.75400000000002</v>
      </c>
      <c r="R143" s="28">
        <f>IF(ISNUMBER(agent!$O$18*(K143/Z143)*Y143),TRUNC(agent!$O$18*(K143/Z143)*Y143,3),"没有上级")</f>
        <v>347.815</v>
      </c>
      <c r="S143" s="28">
        <f>IF(ISNUMBER(agent!$O$21*(K143/Z143)*Y143),TRUNC(agent!$O$21*(K143/Z143)*Y143,3),"没有上级")</f>
        <v>115.938</v>
      </c>
      <c r="T143" s="28">
        <f>IF(ISNUMBER(agent!$O$24*(K143/Z143)*Y143),TRUNC(agent!$O$24*(K143/Z143)*Y143,3),"没有上级")</f>
        <v>811.57</v>
      </c>
      <c r="U143" s="28">
        <f>IF(ISNUMBER(agent!$O$27*(K143/Z143)*Y143),TRUNC(agent!$O$27*(K143/Z143)*Y143,3),"没有上级")</f>
        <v>347.815</v>
      </c>
      <c r="V143" s="28">
        <f>IF(ISNUMBER(agent!$O$30*(K143/Z143)*Y143),TRUNC(agent!$O$30*(K143/Z143)*Y143,3),"没有上级")</f>
        <v>463.75400000000002</v>
      </c>
      <c r="W143" s="28">
        <f>IF(ISNUMBER(agent!$O$33*(K143/Z143)*Y143),TRUNC(agent!$O$33*(K143/Z143)*Y143,3),"没有上级")</f>
        <v>347.815</v>
      </c>
      <c r="X143" s="28" t="s">
        <v>10</v>
      </c>
      <c r="Y143">
        <f>TRUNC(0.011,3)</f>
        <v>1.0999999999999999E-2</v>
      </c>
      <c r="Z143" s="28">
        <f>TRUNC(AB143-(9.9-agent!L$3)*10*Y143,3)</f>
        <v>10.615</v>
      </c>
      <c r="AA143" s="28">
        <f>'5Of11Source'!X$2</f>
        <v>0</v>
      </c>
      <c r="AB143">
        <f t="shared" si="24"/>
        <v>10.989000000000001</v>
      </c>
      <c r="AC143" s="28">
        <f>'5Of11Source'!E193</f>
        <v>10</v>
      </c>
      <c r="AD143" s="28">
        <v>9.9</v>
      </c>
      <c r="AE143" s="28"/>
      <c r="AF143" s="28"/>
      <c r="AG143" s="28"/>
      <c r="AH143" s="28"/>
      <c r="AI143" s="28"/>
    </row>
    <row r="144" spans="4:35" x14ac:dyDescent="0.15">
      <c r="D144" s="28" t="s">
        <v>103</v>
      </c>
      <c r="E144" s="28" t="s">
        <v>76</v>
      </c>
      <c r="F144" s="27" t="str">
        <f>'5Of11Source'!$J$41</f>
        <v>02,01 03 04 05 06 07 08 09 10 11</v>
      </c>
      <c r="G144" s="28">
        <f>'5Of11Source'!F152</f>
        <v>0</v>
      </c>
      <c r="H144" s="28">
        <v>1</v>
      </c>
      <c r="I144" s="30">
        <f t="shared" si="19"/>
        <v>270</v>
      </c>
      <c r="J144" s="22">
        <f t="shared" si="25"/>
        <v>0</v>
      </c>
      <c r="K144" s="30">
        <f>'5Of11Source'!L186</f>
        <v>0</v>
      </c>
      <c r="L144" s="28">
        <f t="shared" si="20"/>
        <v>1026907243.1550001</v>
      </c>
      <c r="M144" s="29" t="str">
        <f t="shared" si="23"/>
        <v>03,06,07,08,10</v>
      </c>
      <c r="N144" s="28">
        <f>IF(ISNUMBER(agent!$O$6*(K144/Z144)*Y144),TRUNC(agent!$O$6*(K144/Z144)*Y144,3),"没有上级")</f>
        <v>0</v>
      </c>
      <c r="O144" s="28">
        <f>IF(ISNUMBER(agent!$O$9*(K144/Z144)*Y144),TRUNC(agent!$O$9*(K144/Z144)*Y144,3),"没有上级")</f>
        <v>0</v>
      </c>
      <c r="P144" s="28">
        <f>IF(ISNUMBER(agent!$O$12*(K144/Z144)*Y144),TRUNC(agent!$O$12*(K144/Z144)*Y144,3),"没有上级")</f>
        <v>0</v>
      </c>
      <c r="Q144" s="28">
        <f>IF(ISNUMBER(agent!$O$15*(K144/Z144)*Y144),TRUNC(agent!$O$15*(K144/Z144)*Y144,3),"没有上级")</f>
        <v>0</v>
      </c>
      <c r="R144" s="28">
        <f>IF(ISNUMBER(agent!$O$18*(K144/Z144)*Y144),TRUNC(agent!$O$18*(K144/Z144)*Y144,3),"没有上级")</f>
        <v>0</v>
      </c>
      <c r="S144" s="28">
        <f>IF(ISNUMBER(agent!$O$21*(K144/Z144)*Y144),TRUNC(agent!$O$21*(K144/Z144)*Y144,3),"没有上级")</f>
        <v>0</v>
      </c>
      <c r="T144" s="28">
        <f>IF(ISNUMBER(agent!$O$24*(K144/Z144)*Y144),TRUNC(agent!$O$24*(K144/Z144)*Y144,3),"没有上级")</f>
        <v>0</v>
      </c>
      <c r="U144" s="28">
        <f>IF(ISNUMBER(agent!$O$27*(K144/Z144)*Y144),TRUNC(agent!$O$27*(K144/Z144)*Y144,3),"没有上级")</f>
        <v>0</v>
      </c>
      <c r="V144" s="28">
        <f>IF(ISNUMBER(agent!$O$30*(K144/Z144)*Y144),TRUNC(agent!$O$30*(K144/Z144)*Y144,3),"没有上级")</f>
        <v>0</v>
      </c>
      <c r="W144" s="28">
        <f>IF(ISNUMBER(agent!$O$33*(K144/Z144)*Y144),TRUNC(agent!$O$33*(K144/Z144)*Y144,3),"没有上级")</f>
        <v>0</v>
      </c>
      <c r="X144" s="28"/>
      <c r="Y144">
        <f>TRUNC(0.033,3)</f>
        <v>3.3000000000000002E-2</v>
      </c>
      <c r="Z144" s="28">
        <f>TRUNC(AB144-(9.9-agent!L$3)*10*Y144,3)</f>
        <v>31.844999999999999</v>
      </c>
      <c r="AA144" s="28">
        <f>'5Of11Source'!X$2</f>
        <v>0</v>
      </c>
      <c r="AB144">
        <f t="shared" si="24"/>
        <v>32.966999999999999</v>
      </c>
      <c r="AC144" s="28">
        <f>'5Of11Source'!E195</f>
        <v>45</v>
      </c>
      <c r="AD144" s="28">
        <v>29.7</v>
      </c>
      <c r="AE144" s="28"/>
      <c r="AF144" s="28"/>
      <c r="AG144" s="28"/>
      <c r="AH144" s="28"/>
      <c r="AI144" s="28"/>
    </row>
    <row r="145" spans="4:35" x14ac:dyDescent="0.15">
      <c r="D145" s="28" t="s">
        <v>103</v>
      </c>
      <c r="E145" s="28" t="s">
        <v>78</v>
      </c>
      <c r="F145" s="27" t="str">
        <f>'5Of11Source'!$J$43</f>
        <v>03,01 02 04 05 06 07 08 09 10 11</v>
      </c>
      <c r="G145" s="28">
        <f>'5Of11Source'!F154</f>
        <v>0</v>
      </c>
      <c r="H145" s="28">
        <v>1</v>
      </c>
      <c r="I145" s="30">
        <f t="shared" si="19"/>
        <v>960</v>
      </c>
      <c r="J145" s="22">
        <f t="shared" si="25"/>
        <v>14810.23</v>
      </c>
      <c r="K145" s="30">
        <f>'5Of11Source'!L187</f>
        <v>420349.28000000009</v>
      </c>
      <c r="L145" s="28">
        <f t="shared" si="20"/>
        <v>1027326632.4350001</v>
      </c>
      <c r="M145" s="29" t="str">
        <f t="shared" si="23"/>
        <v>03,06,07,08,10</v>
      </c>
      <c r="N145" s="28">
        <f>IF(ISNUMBER(agent!$O$6*(K145/Z145)*Y145),TRUNC(agent!$O$6*(K145/Z145)*Y145,3),"没有上级")</f>
        <v>435.59500000000003</v>
      </c>
      <c r="O145" s="28">
        <f>IF(ISNUMBER(agent!$O$9*(K145/Z145)*Y145),TRUNC(agent!$O$9*(K145/Z145)*Y145,3),"没有上级")</f>
        <v>2613.5700000000002</v>
      </c>
      <c r="P145" s="28">
        <f>IF(ISNUMBER(agent!$O$12*(K145/Z145)*Y145),TRUNC(agent!$O$12*(K145/Z145)*Y145,3),"没有上级")</f>
        <v>871.19</v>
      </c>
      <c r="Q145" s="28">
        <f>IF(ISNUMBER(agent!$O$15*(K145/Z145)*Y145),TRUNC(agent!$O$15*(K145/Z145)*Y145,3),"没有上级")</f>
        <v>1742.38</v>
      </c>
      <c r="R145" s="28">
        <f>IF(ISNUMBER(agent!$O$18*(K145/Z145)*Y145),TRUNC(agent!$O$18*(K145/Z145)*Y145,3),"没有上级")</f>
        <v>1306.7850000000001</v>
      </c>
      <c r="S145" s="28">
        <f>IF(ISNUMBER(agent!$O$21*(K145/Z145)*Y145),TRUNC(agent!$O$21*(K145/Z145)*Y145,3),"没有上级")</f>
        <v>435.59500000000003</v>
      </c>
      <c r="T145" s="28">
        <f>IF(ISNUMBER(agent!$O$24*(K145/Z145)*Y145),TRUNC(agent!$O$24*(K145/Z145)*Y145,3),"没有上级")</f>
        <v>3049.165</v>
      </c>
      <c r="U145" s="28">
        <f>IF(ISNUMBER(agent!$O$27*(K145/Z145)*Y145),TRUNC(agent!$O$27*(K145/Z145)*Y145,3),"没有上级")</f>
        <v>1306.7850000000001</v>
      </c>
      <c r="V145" s="28">
        <f>IF(ISNUMBER(agent!$O$30*(K145/Z145)*Y145),TRUNC(agent!$O$30*(K145/Z145)*Y145,3),"没有上级")</f>
        <v>1742.38</v>
      </c>
      <c r="W145" s="28">
        <f>IF(ISNUMBER(agent!$O$33*(K145/Z145)*Y145),TRUNC(agent!$O$33*(K145/Z145)*Y145,3),"没有上级")</f>
        <v>1306.7850000000001</v>
      </c>
      <c r="X145" s="28"/>
      <c r="Y145">
        <f>TRUNC(0.132,3)</f>
        <v>0.13200000000000001</v>
      </c>
      <c r="Z145" s="28">
        <f>TRUNC(AB145-(9.9-agent!L$3)*10*Y145,3)</f>
        <v>127.38</v>
      </c>
      <c r="AA145" s="28">
        <f>'5Of11Source'!X$2</f>
        <v>0</v>
      </c>
      <c r="AB145">
        <f t="shared" si="24"/>
        <v>131.86799999999999</v>
      </c>
      <c r="AC145" s="28">
        <f>'5Of11Source'!E197</f>
        <v>120</v>
      </c>
      <c r="AD145" s="28">
        <v>118.8</v>
      </c>
      <c r="AE145" s="28"/>
      <c r="AF145" s="28"/>
      <c r="AG145" s="28"/>
      <c r="AH145" s="28"/>
      <c r="AI145" s="28"/>
    </row>
    <row r="146" spans="4:35" x14ac:dyDescent="0.15">
      <c r="D146" s="28" t="s">
        <v>103</v>
      </c>
      <c r="E146" s="28" t="s">
        <v>80</v>
      </c>
      <c r="F146" s="27" t="str">
        <f>'5Of11Source'!$J$45</f>
        <v>04,01 02 03 07 09 10 05 06 08 11</v>
      </c>
      <c r="G146" s="28">
        <f>'5Of11Source'!F156</f>
        <v>0</v>
      </c>
      <c r="H146" s="28">
        <v>1</v>
      </c>
      <c r="I146" s="30">
        <f t="shared" si="19"/>
        <v>2099.9999999999995</v>
      </c>
      <c r="J146" s="22">
        <f t="shared" si="25"/>
        <v>0</v>
      </c>
      <c r="K146" s="30">
        <f>'5Of11Source'!L188</f>
        <v>0</v>
      </c>
      <c r="L146" s="28">
        <f t="shared" si="20"/>
        <v>1027324532.4350001</v>
      </c>
      <c r="M146" s="29" t="str">
        <f t="shared" si="23"/>
        <v>03,06,07,08,10</v>
      </c>
      <c r="N146" s="28">
        <f>IF(ISNUMBER(agent!$O$6*(K146/Z146)*Y146),TRUNC(agent!$O$6*(K146/Z146)*Y146,3),"没有上级")</f>
        <v>0</v>
      </c>
      <c r="O146" s="28">
        <f>IF(ISNUMBER(agent!$O$9*(K146/Z146)*Y146),TRUNC(agent!$O$9*(K146/Z146)*Y146,3),"没有上级")</f>
        <v>0</v>
      </c>
      <c r="P146" s="28">
        <f>IF(ISNUMBER(agent!$O$12*(K146/Z146)*Y146),TRUNC(agent!$O$12*(K146/Z146)*Y146,3),"没有上级")</f>
        <v>0</v>
      </c>
      <c r="Q146" s="28">
        <f>IF(ISNUMBER(agent!$O$15*(K146/Z146)*Y146),TRUNC(agent!$O$15*(K146/Z146)*Y146,3),"没有上级")</f>
        <v>0</v>
      </c>
      <c r="R146" s="28">
        <f>IF(ISNUMBER(agent!$O$18*(K146/Z146)*Y146),TRUNC(agent!$O$18*(K146/Z146)*Y146,3),"没有上级")</f>
        <v>0</v>
      </c>
      <c r="S146" s="28">
        <f>IF(ISNUMBER(agent!$O$21*(K146/Z146)*Y146),TRUNC(agent!$O$21*(K146/Z146)*Y146,3),"没有上级")</f>
        <v>0</v>
      </c>
      <c r="T146" s="28">
        <f>IF(ISNUMBER(agent!$O$24*(K146/Z146)*Y146),TRUNC(agent!$O$24*(K146/Z146)*Y146,3),"没有上级")</f>
        <v>0</v>
      </c>
      <c r="U146" s="28">
        <f>IF(ISNUMBER(agent!$O$27*(K146/Z146)*Y146),TRUNC(agent!$O$27*(K146/Z146)*Y146,3),"没有上级")</f>
        <v>0</v>
      </c>
      <c r="V146" s="28">
        <f>IF(ISNUMBER(agent!$O$30*(K146/Z146)*Y146),TRUNC(agent!$O$30*(K146/Z146)*Y146,3),"没有上级")</f>
        <v>0</v>
      </c>
      <c r="W146" s="28">
        <f>IF(ISNUMBER(agent!$O$33*(K146/Z146)*Y146),TRUNC(agent!$O$33*(K146/Z146)*Y146,3),"没有上级")</f>
        <v>0</v>
      </c>
      <c r="X146" s="28"/>
      <c r="Y146">
        <f>TRUNC(0.924,3)</f>
        <v>0.92400000000000004</v>
      </c>
      <c r="Z146" s="28">
        <f>TRUNC(AB146-(9.9-agent!L$3)*10*Y146,3)</f>
        <v>891.66</v>
      </c>
      <c r="AA146" s="28">
        <f>'5Of11Source'!X$2</f>
        <v>0</v>
      </c>
      <c r="AB146">
        <f t="shared" si="24"/>
        <v>923.07600000000002</v>
      </c>
      <c r="AC146" s="28">
        <f>'5Of11Source'!E199</f>
        <v>209.99999999999997</v>
      </c>
      <c r="AD146" s="28">
        <v>831.6</v>
      </c>
      <c r="AE146" s="28"/>
      <c r="AF146" s="28"/>
      <c r="AG146" s="28"/>
      <c r="AH146" s="28"/>
      <c r="AI146" s="28"/>
    </row>
    <row r="147" spans="4:35" x14ac:dyDescent="0.15">
      <c r="D147" s="28" t="s">
        <v>103</v>
      </c>
      <c r="E147" s="28" t="s">
        <v>82</v>
      </c>
      <c r="F147" s="27" t="str">
        <f>'5Of11Source'!$J$47</f>
        <v>05,01 02 03 04 06 07 08 09 10 11</v>
      </c>
      <c r="G147" s="28">
        <f>'5Of11Source'!F158</f>
        <v>5</v>
      </c>
      <c r="H147" s="28">
        <v>1</v>
      </c>
      <c r="I147" s="30">
        <f t="shared" si="19"/>
        <v>2520</v>
      </c>
      <c r="J147" s="22">
        <f t="shared" si="25"/>
        <v>0</v>
      </c>
      <c r="K147" s="30">
        <f>'5Of11Source'!L189</f>
        <v>0</v>
      </c>
      <c r="L147" s="28">
        <f t="shared" si="20"/>
        <v>1027322012.4350001</v>
      </c>
      <c r="M147" s="29" t="str">
        <f t="shared" si="23"/>
        <v>03,06,07,08,10</v>
      </c>
      <c r="N147" s="28">
        <f>IF(ISNUMBER(agent!$O$6*(K147/Z147)*Y147),TRUNC(agent!$O$6*(K147/Z147)*Y147,3),"没有上级")</f>
        <v>0</v>
      </c>
      <c r="O147" s="28">
        <f>IF(ISNUMBER(agent!$O$9*(K147/Z147)*Y147),TRUNC(agent!$O$9*(K147/Z147)*Y147,3),"没有上级")</f>
        <v>0</v>
      </c>
      <c r="P147" s="28">
        <f>IF(ISNUMBER(agent!$O$12*(K147/Z147)*Y147),TRUNC(agent!$O$12*(K147/Z147)*Y147,3),"没有上级")</f>
        <v>0</v>
      </c>
      <c r="Q147" s="28">
        <f>IF(ISNUMBER(agent!$O$15*(K147/Z147)*Y147),TRUNC(agent!$O$15*(K147/Z147)*Y147,3),"没有上级")</f>
        <v>0</v>
      </c>
      <c r="R147" s="28">
        <f>IF(ISNUMBER(agent!$O$18*(K147/Z147)*Y147),TRUNC(agent!$O$18*(K147/Z147)*Y147,3),"没有上级")</f>
        <v>0</v>
      </c>
      <c r="S147" s="28">
        <f>IF(ISNUMBER(agent!$O$21*(K147/Z147)*Y147),TRUNC(agent!$O$21*(K147/Z147)*Y147,3),"没有上级")</f>
        <v>0</v>
      </c>
      <c r="T147" s="28">
        <f>IF(ISNUMBER(agent!$O$24*(K147/Z147)*Y147),TRUNC(agent!$O$24*(K147/Z147)*Y147,3),"没有上级")</f>
        <v>0</v>
      </c>
      <c r="U147" s="28">
        <f>IF(ISNUMBER(agent!$O$27*(K147/Z147)*Y147),TRUNC(agent!$O$27*(K147/Z147)*Y147,3),"没有上级")</f>
        <v>0</v>
      </c>
      <c r="V147" s="28">
        <f>IF(ISNUMBER(agent!$O$30*(K147/Z147)*Y147),TRUNC(agent!$O$30*(K147/Z147)*Y147,3),"没有上级")</f>
        <v>0</v>
      </c>
      <c r="W147" s="28">
        <f>IF(ISNUMBER(agent!$O$33*(K147/Z147)*Y147),TRUNC(agent!$O$33*(K147/Z147)*Y147,3),"没有上级")</f>
        <v>0</v>
      </c>
      <c r="X147" s="28" t="s">
        <v>12</v>
      </c>
      <c r="Y147">
        <f>TRUNC(0.154,3)</f>
        <v>0.154</v>
      </c>
      <c r="Z147" s="28">
        <f>TRUNC(AB147-(9.9-agent!L$3)*10*Y147,3)</f>
        <v>148.61000000000001</v>
      </c>
      <c r="AA147" s="28">
        <f>'5Of11Source'!X$2</f>
        <v>0</v>
      </c>
      <c r="AB147">
        <f t="shared" si="24"/>
        <v>153.846</v>
      </c>
      <c r="AC147" s="28">
        <f>'5Of11Source'!E201</f>
        <v>252</v>
      </c>
      <c r="AD147" s="28">
        <v>138.6</v>
      </c>
      <c r="AE147" s="28"/>
      <c r="AF147" s="28"/>
      <c r="AG147" s="28"/>
      <c r="AH147" s="28"/>
      <c r="AI147" s="28"/>
    </row>
    <row r="148" spans="4:35" x14ac:dyDescent="0.15">
      <c r="D148" s="28" t="s">
        <v>103</v>
      </c>
      <c r="E148" s="28" t="s">
        <v>84</v>
      </c>
      <c r="F148" s="27" t="str">
        <f>'5Of11Source'!$J$49</f>
        <v>06,01 02 03 04 05 07 08 09 10 11</v>
      </c>
      <c r="G148" s="28">
        <f>'5Of11Source'!F160</f>
        <v>4</v>
      </c>
      <c r="H148" s="28">
        <v>1</v>
      </c>
      <c r="I148" s="30">
        <f t="shared" si="19"/>
        <v>1679.9999999999998</v>
      </c>
      <c r="J148" s="22">
        <f t="shared" si="25"/>
        <v>0</v>
      </c>
      <c r="K148" s="30">
        <f>'5Of11Source'!L190</f>
        <v>0</v>
      </c>
      <c r="L148" s="28">
        <f t="shared" si="20"/>
        <v>1027320332.4350001</v>
      </c>
      <c r="M148" s="29" t="str">
        <f t="shared" si="23"/>
        <v>03,06,07,08,10</v>
      </c>
      <c r="N148" s="28">
        <f>IF(ISNUMBER(agent!$O$6*(K148/Z148)*Y148),TRUNC(agent!$O$6*(K148/Z148)*Y148,3),"没有上级")</f>
        <v>0</v>
      </c>
      <c r="O148" s="28">
        <f>IF(ISNUMBER(agent!$O$9*(K148/Z148)*Y148),TRUNC(agent!$O$9*(K148/Z148)*Y148,3),"没有上级")</f>
        <v>0</v>
      </c>
      <c r="P148" s="28">
        <f>IF(ISNUMBER(agent!$O$12*(K148/Z148)*Y148),TRUNC(agent!$O$12*(K148/Z148)*Y148,3),"没有上级")</f>
        <v>0</v>
      </c>
      <c r="Q148" s="28">
        <f>IF(ISNUMBER(agent!$O$15*(K148/Z148)*Y148),TRUNC(agent!$O$15*(K148/Z148)*Y148,3),"没有上级")</f>
        <v>0</v>
      </c>
      <c r="R148" s="28">
        <f>IF(ISNUMBER(agent!$O$18*(K148/Z148)*Y148),TRUNC(agent!$O$18*(K148/Z148)*Y148,3),"没有上级")</f>
        <v>0</v>
      </c>
      <c r="S148" s="28">
        <f>IF(ISNUMBER(agent!$O$21*(K148/Z148)*Y148),TRUNC(agent!$O$21*(K148/Z148)*Y148,3),"没有上级")</f>
        <v>0</v>
      </c>
      <c r="T148" s="28">
        <f>IF(ISNUMBER(agent!$O$24*(K148/Z148)*Y148),TRUNC(agent!$O$24*(K148/Z148)*Y148,3),"没有上级")</f>
        <v>0</v>
      </c>
      <c r="U148" s="28">
        <f>IF(ISNUMBER(agent!$O$27*(K148/Z148)*Y148),TRUNC(agent!$O$27*(K148/Z148)*Y148,3),"没有上级")</f>
        <v>0</v>
      </c>
      <c r="V148" s="28">
        <f>IF(ISNUMBER(agent!$O$30*(K148/Z148)*Y148),TRUNC(agent!$O$30*(K148/Z148)*Y148,3),"没有上级")</f>
        <v>0</v>
      </c>
      <c r="W148" s="28">
        <f>IF(ISNUMBER(agent!$O$33*(K148/Z148)*Y148),TRUNC(agent!$O$33*(K148/Z148)*Y148,3),"没有上级")</f>
        <v>0</v>
      </c>
      <c r="X148" s="28"/>
      <c r="Y148">
        <f>TRUNC(0.044,3)</f>
        <v>4.3999999999999997E-2</v>
      </c>
      <c r="Z148" s="28">
        <f>TRUNC(AB148-(9.9-agent!L$3)*10*Y148,3)</f>
        <v>42.46</v>
      </c>
      <c r="AA148" s="28">
        <f>'5Of11Source'!X$2</f>
        <v>0</v>
      </c>
      <c r="AB148">
        <f t="shared" si="24"/>
        <v>43.956000000000003</v>
      </c>
      <c r="AC148" s="28">
        <f>'5Of11Source'!E203</f>
        <v>209.99999999999997</v>
      </c>
      <c r="AD148" s="28">
        <v>39.6</v>
      </c>
      <c r="AE148" s="28"/>
      <c r="AF148" s="28"/>
      <c r="AG148" s="28"/>
      <c r="AH148" s="28"/>
      <c r="AI148" s="28"/>
    </row>
    <row r="149" spans="4:35" x14ac:dyDescent="0.15">
      <c r="D149" s="28" t="s">
        <v>103</v>
      </c>
      <c r="E149" s="28" t="s">
        <v>86</v>
      </c>
      <c r="F149" s="27" t="str">
        <f>'5Of11Source'!$J$51</f>
        <v>07,01 02 03 04 05 06 09 10 08 11</v>
      </c>
      <c r="G149" s="28">
        <f>'5Of11Source'!F162</f>
        <v>0</v>
      </c>
      <c r="H149" s="28">
        <v>1</v>
      </c>
      <c r="I149" s="30">
        <f t="shared" si="19"/>
        <v>720</v>
      </c>
      <c r="J149" s="22">
        <f t="shared" si="25"/>
        <v>0</v>
      </c>
      <c r="K149" s="30">
        <f>'5Of11Source'!L191</f>
        <v>0</v>
      </c>
      <c r="L149" s="28">
        <f t="shared" si="20"/>
        <v>1027319612.4350001</v>
      </c>
      <c r="M149" s="29" t="str">
        <f t="shared" si="23"/>
        <v>03,06,07,08,10</v>
      </c>
      <c r="N149" s="28">
        <f>IF(ISNUMBER(agent!$O$6*(K149/Z149)*Y149),TRUNC(agent!$O$6*(K149/Z149)*Y149,3),"没有上级")</f>
        <v>0</v>
      </c>
      <c r="O149" s="28">
        <f>IF(ISNUMBER(agent!$O$9*(K149/Z149)*Y149),TRUNC(agent!$O$9*(K149/Z149)*Y149,3),"没有上级")</f>
        <v>0</v>
      </c>
      <c r="P149" s="28">
        <f>IF(ISNUMBER(agent!$O$12*(K149/Z149)*Y149),TRUNC(agent!$O$12*(K149/Z149)*Y149,3),"没有上级")</f>
        <v>0</v>
      </c>
      <c r="Q149" s="28">
        <f>IF(ISNUMBER(agent!$O$15*(K149/Z149)*Y149),TRUNC(agent!$O$15*(K149/Z149)*Y149,3),"没有上级")</f>
        <v>0</v>
      </c>
      <c r="R149" s="28">
        <f>IF(ISNUMBER(agent!$O$18*(K149/Z149)*Y149),TRUNC(agent!$O$18*(K149/Z149)*Y149,3),"没有上级")</f>
        <v>0</v>
      </c>
      <c r="S149" s="28">
        <f>IF(ISNUMBER(agent!$O$21*(K149/Z149)*Y149),TRUNC(agent!$O$21*(K149/Z149)*Y149,3),"没有上级")</f>
        <v>0</v>
      </c>
      <c r="T149" s="28">
        <f>IF(ISNUMBER(agent!$O$24*(K149/Z149)*Y149),TRUNC(agent!$O$24*(K149/Z149)*Y149,3),"没有上级")</f>
        <v>0</v>
      </c>
      <c r="U149" s="28">
        <f>IF(ISNUMBER(agent!$O$27*(K149/Z149)*Y149),TRUNC(agent!$O$27*(K149/Z149)*Y149,3),"没有上级")</f>
        <v>0</v>
      </c>
      <c r="V149" s="28">
        <f>IF(ISNUMBER(agent!$O$30*(K149/Z149)*Y149),TRUNC(agent!$O$30*(K149/Z149)*Y149,3),"没有上级")</f>
        <v>0</v>
      </c>
      <c r="W149" s="28">
        <f>IF(ISNUMBER(agent!$O$33*(K149/Z149)*Y149),TRUNC(agent!$O$33*(K149/Z149)*Y149,3),"没有上级")</f>
        <v>0</v>
      </c>
      <c r="X149" s="28"/>
      <c r="Y149">
        <f>TRUNC(0.01642857,3)</f>
        <v>1.6E-2</v>
      </c>
      <c r="Z149" s="28">
        <f>TRUNC(AB149-(9.9-agent!L$3)*10*Y149,3)</f>
        <v>15.89</v>
      </c>
      <c r="AA149" s="28">
        <f>'5Of11Source'!X$2</f>
        <v>0</v>
      </c>
      <c r="AB149">
        <f t="shared" si="24"/>
        <v>16.434000000000001</v>
      </c>
      <c r="AC149" s="28">
        <f>'5Of11Source'!E205</f>
        <v>120</v>
      </c>
      <c r="AD149" s="28">
        <v>14.85</v>
      </c>
      <c r="AE149" s="28"/>
      <c r="AF149" s="28"/>
      <c r="AG149" s="28"/>
      <c r="AH149" s="28"/>
      <c r="AI149" s="28"/>
    </row>
    <row r="150" spans="4:35" s="28" customFormat="1" x14ac:dyDescent="0.15">
      <c r="D150" s="30" t="s">
        <v>23</v>
      </c>
      <c r="E150" s="30" t="s">
        <v>25</v>
      </c>
      <c r="F150" s="30" t="str">
        <f>'5Of11Source'!$J$2</f>
        <v>01 02 03 04 05 06 07 08 09 10 11,01 02 03 04 05 06 07 08 09 10 11,01 02 03 04 05 06 07 08 09 10 11</v>
      </c>
      <c r="G150" s="30">
        <f>'5Of11Source'!F150:F152</f>
        <v>0</v>
      </c>
      <c r="H150" s="30">
        <v>1</v>
      </c>
      <c r="I150" s="30">
        <f t="shared" si="19"/>
        <v>3960</v>
      </c>
      <c r="J150" s="30">
        <f t="shared" si="25"/>
        <v>1645.4319999999998</v>
      </c>
      <c r="K150" s="30">
        <f>'5Of11Source'!L206</f>
        <v>46701.400000000009</v>
      </c>
      <c r="L150" s="30">
        <f>L149-I150+K150</f>
        <v>1027362353.835</v>
      </c>
      <c r="M150" s="30" t="str">
        <f>'5Of11Source'!P$2</f>
        <v>03,06,07,08,10</v>
      </c>
      <c r="N150" s="30">
        <f>IF(ISNUMBER(agent!$O$6*(K150/Z150)*Y150),TRUNC(agent!$O$6*(K150/Z150)*Y150,3),"没有上级")</f>
        <v>48.395000000000003</v>
      </c>
      <c r="O150" s="30">
        <f>IF(ISNUMBER(agent!$O$9*(K150/Z150)*Y150),TRUNC(agent!$O$9*(K150/Z150)*Y150,3),"没有上级")</f>
        <v>290.37099999999998</v>
      </c>
      <c r="P150" s="30">
        <f>IF(ISNUMBER(agent!$O$12*(K150/Z150)*Y150),TRUNC(agent!$O$12*(K150/Z150)*Y150,3),"没有上级")</f>
        <v>96.79</v>
      </c>
      <c r="Q150" s="30">
        <f>IF(ISNUMBER(agent!$O$15*(K150/Z150)*Y150),TRUNC(agent!$O$15*(K150/Z150)*Y150,3),"没有上级")</f>
        <v>193.58</v>
      </c>
      <c r="R150" s="30">
        <f>IF(ISNUMBER(agent!$O$18*(K150/Z150)*Y150),TRUNC(agent!$O$18*(K150/Z150)*Y150,3),"没有上级")</f>
        <v>145.185</v>
      </c>
      <c r="S150" s="30">
        <f>IF(ISNUMBER(agent!$O$21*(K150/Z150)*Y150),TRUNC(agent!$O$21*(K150/Z150)*Y150,3),"没有上级")</f>
        <v>48.395000000000003</v>
      </c>
      <c r="T150" s="30">
        <f>IF(ISNUMBER(agent!$O$24*(K150/Z150)*Y150),TRUNC(agent!$O$24*(K150/Z150)*Y150,3),"没有上级")</f>
        <v>338.76600000000002</v>
      </c>
      <c r="U150" s="30">
        <f>IF(ISNUMBER(agent!$O$27*(K150/Z150)*Y150),TRUNC(agent!$O$27*(K150/Z150)*Y150,3),"没有上级")</f>
        <v>145.185</v>
      </c>
      <c r="V150" s="30">
        <f>IF(ISNUMBER(agent!$O$30*(K150/Z150)*Y150),TRUNC(agent!$O$30*(K150/Z150)*Y150,3),"没有上级")</f>
        <v>193.58</v>
      </c>
      <c r="W150" s="30">
        <f>IF(ISNUMBER(agent!$O$33*(K150/Z150)*Y150),TRUNC(agent!$O$33*(K150/Z150)*Y150,3),"没有上级")</f>
        <v>145.185</v>
      </c>
      <c r="X150" s="30" t="s">
        <v>9</v>
      </c>
      <c r="Y150" s="30">
        <f>TRUNC(1.98,3)</f>
        <v>1.98</v>
      </c>
      <c r="Z150" s="30">
        <f>TRUNC(AB150-(9.9-agent!L$3)*10*Y150,3)</f>
        <v>1910.7</v>
      </c>
      <c r="AA150" s="30">
        <f>'5Of11Source'!X$2</f>
        <v>0</v>
      </c>
      <c r="AB150" s="30">
        <f>TRUNC(AD150+Y150*99,4)</f>
        <v>1978.02</v>
      </c>
      <c r="AC150" s="28">
        <f>'5Of11Source'!E206</f>
        <v>45</v>
      </c>
      <c r="AD150" s="30">
        <v>1782</v>
      </c>
      <c r="AE150" s="30">
        <v>1000000000</v>
      </c>
      <c r="AF150" s="30"/>
      <c r="AG150" s="30"/>
      <c r="AH150" s="30"/>
      <c r="AI150" s="30"/>
    </row>
    <row r="151" spans="4:35" x14ac:dyDescent="0.15">
      <c r="D151" s="28" t="s">
        <v>23</v>
      </c>
      <c r="E151" s="28" t="s">
        <v>32</v>
      </c>
      <c r="F151" s="27" t="str">
        <f>'5Of11Source'!$J$5</f>
        <v>01 02 03,04 05 06,07 08 09,02 05 07</v>
      </c>
      <c r="G151" s="28">
        <f>'5Of11Source'!F153</f>
        <v>3</v>
      </c>
      <c r="H151" s="28">
        <v>1</v>
      </c>
      <c r="I151" s="30">
        <f t="shared" si="19"/>
        <v>40</v>
      </c>
      <c r="J151" s="22">
        <f t="shared" si="25"/>
        <v>0</v>
      </c>
      <c r="K151" s="30">
        <f>'5Of11Source'!L207</f>
        <v>0</v>
      </c>
      <c r="L151" s="28">
        <f t="shared" ref="L151:L186" si="26">$L150-$I151+$K151</f>
        <v>1027362313.835</v>
      </c>
      <c r="M151" s="29" t="str">
        <f>M150</f>
        <v>03,06,07,08,10</v>
      </c>
      <c r="N151" s="28">
        <f>IF(ISNUMBER(agent!$O$6*(K151/Z151)*Y151),TRUNC(agent!$O$6*(K151/Z151)*Y151,3),"没有上级")</f>
        <v>0</v>
      </c>
      <c r="O151" s="28">
        <f>IF(ISNUMBER(agent!$O$9*(K151/Z151)*Y151),TRUNC(agent!$O$9*(K151/Z151)*Y151,3),"没有上级")</f>
        <v>0</v>
      </c>
      <c r="P151" s="28">
        <f>IF(ISNUMBER(agent!$O$12*(K151/Z151)*Y151),TRUNC(agent!$O$12*(K151/Z151)*Y151,3),"没有上级")</f>
        <v>0</v>
      </c>
      <c r="Q151" s="28">
        <f>IF(ISNUMBER(agent!$O$15*(K151/Z151)*Y151),TRUNC(agent!$O$15*(K151/Z151)*Y151,3),"没有上级")</f>
        <v>0</v>
      </c>
      <c r="R151" s="28">
        <f>IF(ISNUMBER(agent!$O$18*(K151/Z151)*Y151),TRUNC(agent!$O$18*(K151/Z151)*Y151,3),"没有上级")</f>
        <v>0</v>
      </c>
      <c r="S151" s="28">
        <f>IF(ISNUMBER(agent!$O$21*(K151/Z151)*Y151),TRUNC(agent!$O$21*(K151/Z151)*Y151,3),"没有上级")</f>
        <v>0</v>
      </c>
      <c r="T151" s="28">
        <f>IF(ISNUMBER(agent!$O$24*(K151/Z151)*Y151),TRUNC(agent!$O$24*(K151/Z151)*Y151,3),"没有上级")</f>
        <v>0</v>
      </c>
      <c r="U151" s="28">
        <f>IF(ISNUMBER(agent!$O$27*(K151/Z151)*Y151),TRUNC(agent!$O$27*(K151/Z151)*Y151,3),"没有上级")</f>
        <v>0</v>
      </c>
      <c r="V151" s="28">
        <f>IF(ISNUMBER(agent!$O$30*(K151/Z151)*Y151),TRUNC(agent!$O$30*(K151/Z151)*Y151,3),"没有上级")</f>
        <v>0</v>
      </c>
      <c r="W151" s="28">
        <f>IF(ISNUMBER(agent!$O$33*(K151/Z151)*Y151),TRUNC(agent!$O$33*(K151/Z151)*Y151,3),"没有上级")</f>
        <v>0</v>
      </c>
      <c r="X151" s="28" t="s">
        <v>10</v>
      </c>
      <c r="Y151">
        <f>TRUNC(1.98,3)</f>
        <v>1.98</v>
      </c>
      <c r="Z151" s="28">
        <f>TRUNC(AB151-(9.9-agent!L$3)*10*Y151,3)</f>
        <v>1910.7</v>
      </c>
      <c r="AA151" s="28">
        <f>'5Of11Source'!X$2</f>
        <v>0</v>
      </c>
      <c r="AB151">
        <f t="shared" ref="AB151:AB161" si="27">TRUNC(AD151+Y151*99,4)</f>
        <v>1978.02</v>
      </c>
      <c r="AC151" s="28">
        <f>'5Of11Source'!E209</f>
        <v>4</v>
      </c>
      <c r="AD151" s="28">
        <v>1782</v>
      </c>
      <c r="AE151" s="28"/>
      <c r="AF151" s="29" t="s">
        <v>136</v>
      </c>
      <c r="AG151" s="28"/>
      <c r="AH151" s="27"/>
      <c r="AI151" s="28"/>
    </row>
    <row r="152" spans="4:35" ht="27" x14ac:dyDescent="0.15">
      <c r="D152" s="28" t="s">
        <v>23</v>
      </c>
      <c r="E152" s="28" t="s">
        <v>35</v>
      </c>
      <c r="F152" s="27" t="str">
        <f>'5Of11Source'!$J$6</f>
        <v>01 02 03 04 05 06 07 08 09 10 11</v>
      </c>
      <c r="G152" s="28">
        <f>'5Of11Source'!F154</f>
        <v>0</v>
      </c>
      <c r="H152" s="28">
        <v>1</v>
      </c>
      <c r="I152" s="30">
        <f t="shared" si="19"/>
        <v>990</v>
      </c>
      <c r="J152" s="22">
        <f t="shared" si="25"/>
        <v>2300.0459999999998</v>
      </c>
      <c r="K152" s="30">
        <f>'5Of11Source'!L208</f>
        <v>65465.910000000018</v>
      </c>
      <c r="L152" s="28">
        <f t="shared" si="26"/>
        <v>1027426789.745</v>
      </c>
      <c r="M152" s="29" t="str">
        <f>M151</f>
        <v>03,06,07,08,10</v>
      </c>
      <c r="N152" s="28">
        <f>IF(ISNUMBER(agent!$O$6*(K152/Z152)*Y152),TRUNC(agent!$O$6*(K152/Z152)*Y152,3),"没有上级")</f>
        <v>67.647999999999996</v>
      </c>
      <c r="O152" s="28">
        <f>IF(ISNUMBER(agent!$O$9*(K152/Z152)*Y152),TRUNC(agent!$O$9*(K152/Z152)*Y152,3),"没有上级")</f>
        <v>405.89100000000002</v>
      </c>
      <c r="P152" s="28">
        <f>IF(ISNUMBER(agent!$O$12*(K152/Z152)*Y152),TRUNC(agent!$O$12*(K152/Z152)*Y152,3),"没有上级")</f>
        <v>135.297</v>
      </c>
      <c r="Q152" s="28">
        <f>IF(ISNUMBER(agent!$O$15*(K152/Z152)*Y152),TRUNC(agent!$O$15*(K152/Z152)*Y152,3),"没有上级")</f>
        <v>270.59399999999999</v>
      </c>
      <c r="R152" s="28">
        <f>IF(ISNUMBER(agent!$O$18*(K152/Z152)*Y152),TRUNC(agent!$O$18*(K152/Z152)*Y152,3),"没有上级")</f>
        <v>202.94499999999999</v>
      </c>
      <c r="S152" s="28">
        <f>IF(ISNUMBER(agent!$O$21*(K152/Z152)*Y152),TRUNC(agent!$O$21*(K152/Z152)*Y152,3),"没有上级")</f>
        <v>67.647999999999996</v>
      </c>
      <c r="T152" s="28">
        <f>IF(ISNUMBER(agent!$O$24*(K152/Z152)*Y152),TRUNC(agent!$O$24*(K152/Z152)*Y152,3),"没有上级")</f>
        <v>473.53899999999999</v>
      </c>
      <c r="U152" s="28">
        <f>IF(ISNUMBER(agent!$O$27*(K152/Z152)*Y152),TRUNC(agent!$O$27*(K152/Z152)*Y152,3),"没有上级")</f>
        <v>202.94499999999999</v>
      </c>
      <c r="V152" s="28">
        <f>IF(ISNUMBER(agent!$O$30*(K152/Z152)*Y152),TRUNC(agent!$O$30*(K152/Z152)*Y152,3),"没有上级")</f>
        <v>270.59399999999999</v>
      </c>
      <c r="W152" s="28">
        <f>IF(ISNUMBER(agent!$O$33*(K152/Z152)*Y152),TRUNC(agent!$O$33*(K152/Z152)*Y152,3),"没有上级")</f>
        <v>202.94499999999999</v>
      </c>
      <c r="X152" s="28"/>
      <c r="Y152">
        <f>TRUNC(0.329857,3)</f>
        <v>0.32900000000000001</v>
      </c>
      <c r="Z152" s="28">
        <f>TRUNC(AB152-(9.9-agent!L$3)*10*Y152,3)</f>
        <v>318.38499999999999</v>
      </c>
      <c r="AA152" s="28">
        <f>'5Of11Source'!X$2</f>
        <v>0</v>
      </c>
      <c r="AB152">
        <f t="shared" si="27"/>
        <v>329.57100000000003</v>
      </c>
      <c r="AC152" s="28">
        <f>'5Of11Source'!E210</f>
        <v>165</v>
      </c>
      <c r="AD152" s="28">
        <v>297</v>
      </c>
      <c r="AE152" s="28"/>
      <c r="AF152" s="29" t="s">
        <v>137</v>
      </c>
      <c r="AG152" s="29" t="s">
        <v>145</v>
      </c>
      <c r="AH152" s="25" t="s">
        <v>146</v>
      </c>
      <c r="AI152" s="29" t="s">
        <v>147</v>
      </c>
    </row>
    <row r="153" spans="4:35" x14ac:dyDescent="0.15">
      <c r="D153" s="28" t="s">
        <v>23</v>
      </c>
      <c r="E153" s="28" t="s">
        <v>36</v>
      </c>
      <c r="F153" s="27" t="str">
        <f>'5Of11Source'!$D$7</f>
        <v>01 02 03,06 07 08,09 10 11,05 02 07</v>
      </c>
      <c r="G153" s="28">
        <f>'5Of11Source'!F155</f>
        <v>2</v>
      </c>
      <c r="H153" s="28">
        <v>1</v>
      </c>
      <c r="I153" s="30">
        <f t="shared" si="19"/>
        <v>32</v>
      </c>
      <c r="J153" s="22">
        <f t="shared" si="25"/>
        <v>0</v>
      </c>
      <c r="K153" s="30">
        <f>'5Of11Source'!L209</f>
        <v>0</v>
      </c>
      <c r="L153" s="28">
        <f t="shared" si="26"/>
        <v>1027426757.745</v>
      </c>
      <c r="M153" s="29" t="str">
        <f>M152</f>
        <v>03,06,07,08,10</v>
      </c>
      <c r="N153" s="28">
        <f>IF(ISNUMBER(agent!$O$6*(K153/Z153)*Y153),TRUNC(agent!$O$6*(K153/Z153)*Y153,3),"没有上级")</f>
        <v>0</v>
      </c>
      <c r="O153" s="28">
        <f>IF(ISNUMBER(agent!$O$9*(K153/Z153)*Y153),TRUNC(agent!$O$9*(K153/Z153)*Y153,3),"没有上级")</f>
        <v>0</v>
      </c>
      <c r="P153" s="28">
        <f>IF(ISNUMBER(agent!$O$12*(K153/Z153)*Y153),TRUNC(agent!$O$12*(K153/Z153)*Y153,3),"没有上级")</f>
        <v>0</v>
      </c>
      <c r="Q153" s="28">
        <f>IF(ISNUMBER(agent!$O$15*(K153/Z153)*Y153),TRUNC(agent!$O$15*(K153/Z153)*Y153,3),"没有上级")</f>
        <v>0</v>
      </c>
      <c r="R153" s="28">
        <f>IF(ISNUMBER(agent!$O$18*(K153/Z153)*Y153),TRUNC(agent!$O$18*(K153/Z153)*Y153,3),"没有上级")</f>
        <v>0</v>
      </c>
      <c r="S153" s="28">
        <f>IF(ISNUMBER(agent!$O$21*(K153/Z153)*Y153),TRUNC(agent!$O$21*(K153/Z153)*Y153,3),"没有上级")</f>
        <v>0</v>
      </c>
      <c r="T153" s="28">
        <f>IF(ISNUMBER(agent!$O$24*(K153/Z153)*Y153),TRUNC(agent!$O$24*(K153/Z153)*Y153,3),"没有上级")</f>
        <v>0</v>
      </c>
      <c r="U153" s="28">
        <f>IF(ISNUMBER(agent!$O$27*(K153/Z153)*Y153),TRUNC(agent!$O$27*(K153/Z153)*Y153,3),"没有上级")</f>
        <v>0</v>
      </c>
      <c r="V153" s="28">
        <f>IF(ISNUMBER(agent!$O$30*(K153/Z153)*Y153),TRUNC(agent!$O$30*(K153/Z153)*Y153,3),"没有上级")</f>
        <v>0</v>
      </c>
      <c r="W153" s="28">
        <f>IF(ISNUMBER(agent!$O$33*(K153/Z153)*Y153),TRUNC(agent!$O$33*(K153/Z153)*Y153,3),"没有上级")</f>
        <v>0</v>
      </c>
      <c r="X153" s="28"/>
      <c r="Y153">
        <f>TRUNC(0.329857,3)</f>
        <v>0.32900000000000001</v>
      </c>
      <c r="Z153" s="28">
        <f>TRUNC(AB153-(9.9-agent!L$3)*10*Y153,3)</f>
        <v>318.38499999999999</v>
      </c>
      <c r="AA153" s="28">
        <f>'5Of11Source'!X$2</f>
        <v>0</v>
      </c>
      <c r="AB153">
        <f t="shared" si="27"/>
        <v>329.57100000000003</v>
      </c>
      <c r="AC153" s="28">
        <f>'5Of11Source'!E211</f>
        <v>4</v>
      </c>
      <c r="AD153" s="28">
        <v>297</v>
      </c>
      <c r="AE153" s="28"/>
      <c r="AF153" s="29" t="s">
        <v>138</v>
      </c>
      <c r="AG153" s="28">
        <f>TRUNC(0.154,3)</f>
        <v>0.154</v>
      </c>
      <c r="AH153" s="27">
        <f>TRUNC(AI153-(9.9-agent!$L$3)*AG153,3)</f>
        <v>212.72200000000001</v>
      </c>
      <c r="AI153" s="28">
        <f t="shared" ref="AI153:AI158" si="28">TRUNC(AD193+AG153*99,4)</f>
        <v>213.24600000000001</v>
      </c>
    </row>
    <row r="154" spans="4:35" x14ac:dyDescent="0.15">
      <c r="D154" s="28" t="s">
        <v>23</v>
      </c>
      <c r="E154" s="28" t="s">
        <v>38</v>
      </c>
      <c r="F154" s="27" t="str">
        <f>'5Of11Source'!$J$8</f>
        <v>07,01 02 03 04 05 06 08 09 10 11</v>
      </c>
      <c r="G154" s="28">
        <f>'5Of11Source'!F156</f>
        <v>0</v>
      </c>
      <c r="H154" s="28">
        <v>1</v>
      </c>
      <c r="I154" s="30">
        <f t="shared" si="19"/>
        <v>180</v>
      </c>
      <c r="J154" s="22">
        <f t="shared" si="25"/>
        <v>0</v>
      </c>
      <c r="K154" s="30">
        <f>'5Of11Source'!L210</f>
        <v>0</v>
      </c>
      <c r="L154" s="28">
        <f t="shared" si="26"/>
        <v>1027426577.745</v>
      </c>
      <c r="M154" s="29" t="str">
        <f>M153</f>
        <v>03,06,07,08,10</v>
      </c>
      <c r="N154" s="28">
        <f>IF(ISNUMBER(agent!$O$6*(K154/Z154)*Y154),TRUNC(agent!$O$6*(K154/Z154)*Y154,3),"没有上级")</f>
        <v>0</v>
      </c>
      <c r="O154" s="28">
        <f>IF(ISNUMBER(agent!$O$9*(K154/Z154)*Y154),TRUNC(agent!$O$9*(K154/Z154)*Y154,3),"没有上级")</f>
        <v>0</v>
      </c>
      <c r="P154" s="28">
        <f>IF(ISNUMBER(agent!$O$12*(K154/Z154)*Y154),TRUNC(agent!$O$12*(K154/Z154)*Y154,3),"没有上级")</f>
        <v>0</v>
      </c>
      <c r="Q154" s="28">
        <f>IF(ISNUMBER(agent!$O$15*(K154/Z154)*Y154),TRUNC(agent!$O$15*(K154/Z154)*Y154,3),"没有上级")</f>
        <v>0</v>
      </c>
      <c r="R154" s="28">
        <f>IF(ISNUMBER(agent!$O$18*(K154/Z154)*Y154),TRUNC(agent!$O$18*(K154/Z154)*Y154,3),"没有上级")</f>
        <v>0</v>
      </c>
      <c r="S154" s="28">
        <f>IF(ISNUMBER(agent!$O$21*(K154/Z154)*Y154),TRUNC(agent!$O$21*(K154/Z154)*Y154,3),"没有上级")</f>
        <v>0</v>
      </c>
      <c r="T154" s="28">
        <f>IF(ISNUMBER(agent!$O$24*(K154/Z154)*Y154),TRUNC(agent!$O$24*(K154/Z154)*Y154,3),"没有上级")</f>
        <v>0</v>
      </c>
      <c r="U154" s="28">
        <f>IF(ISNUMBER(agent!$O$27*(K154/Z154)*Y154),TRUNC(agent!$O$27*(K154/Z154)*Y154,3),"没有上级")</f>
        <v>0</v>
      </c>
      <c r="V154" s="28">
        <f>IF(ISNUMBER(agent!$O$30*(K154/Z154)*Y154),TRUNC(agent!$O$30*(K154/Z154)*Y154,3),"没有上级")</f>
        <v>0</v>
      </c>
      <c r="W154" s="28">
        <f>IF(ISNUMBER(agent!$O$33*(K154/Z154)*Y154),TRUNC(agent!$O$33*(K154/Z154)*Y154,3),"没有上级")</f>
        <v>0</v>
      </c>
      <c r="X154" s="28"/>
      <c r="Y154">
        <f>TRUNC(0.329857,3)</f>
        <v>0.32900000000000001</v>
      </c>
      <c r="Z154" s="28">
        <f>TRUNC(AB154-(9.9-agent!L$3)*10*Y154,3)</f>
        <v>318.38499999999999</v>
      </c>
      <c r="AA154" s="28">
        <f>'5Of11Source'!X$2</f>
        <v>0</v>
      </c>
      <c r="AB154">
        <f t="shared" si="27"/>
        <v>329.57100000000003</v>
      </c>
      <c r="AC154" s="28">
        <f>'5Of11Source'!E212</f>
        <v>45</v>
      </c>
      <c r="AD154" s="28">
        <v>297</v>
      </c>
      <c r="AE154" s="28"/>
      <c r="AF154" s="29" t="s">
        <v>139</v>
      </c>
      <c r="AG154" s="28">
        <f>TRUNC(0.01242857,3)</f>
        <v>1.2E-2</v>
      </c>
      <c r="AH154" s="27">
        <f>TRUNC(AI154-(9.9-agent!$L$3)*AG154,3)</f>
        <v>100.14700000000001</v>
      </c>
      <c r="AI154" s="28">
        <f t="shared" si="28"/>
        <v>100.188</v>
      </c>
    </row>
    <row r="155" spans="4:35" ht="27" x14ac:dyDescent="0.15">
      <c r="D155" s="28" t="s">
        <v>41</v>
      </c>
      <c r="E155" s="28" t="s">
        <v>43</v>
      </c>
      <c r="F155" s="27" t="str">
        <f>'5Of11Source'!$J$10</f>
        <v>01 02 03 04 05 06 07 08 09 10 11,01 02 03 04 05 06 07 08 09 10 11</v>
      </c>
      <c r="G155" s="28">
        <f>'5Of11Source'!F158</f>
        <v>5</v>
      </c>
      <c r="H155" s="28">
        <v>1</v>
      </c>
      <c r="I155" s="30">
        <f t="shared" si="19"/>
        <v>1100</v>
      </c>
      <c r="J155" s="22">
        <f t="shared" si="25"/>
        <v>3664.7919999999999</v>
      </c>
      <c r="K155" s="30">
        <f>'5Of11Source'!L211</f>
        <v>104015.50000000003</v>
      </c>
      <c r="L155" s="28">
        <f t="shared" si="26"/>
        <v>1027529493.245</v>
      </c>
      <c r="M155" s="29" t="str">
        <f>M154</f>
        <v>03,06,07,08,10</v>
      </c>
      <c r="N155" s="28">
        <f>IF(ISNUMBER(agent!$O$6*(K155/Z155)*Y155),TRUNC(agent!$O$6*(K155/Z155)*Y155,3),"没有上级")</f>
        <v>107.788</v>
      </c>
      <c r="O155" s="28">
        <f>IF(ISNUMBER(agent!$O$9*(K155/Z155)*Y155),TRUNC(agent!$O$9*(K155/Z155)*Y155,3),"没有上级")</f>
        <v>646.72799999999995</v>
      </c>
      <c r="P155" s="28">
        <f>IF(ISNUMBER(agent!$O$12*(K155/Z155)*Y155),TRUNC(agent!$O$12*(K155/Z155)*Y155,3),"没有上级")</f>
        <v>215.57599999999999</v>
      </c>
      <c r="Q155" s="28">
        <f>IF(ISNUMBER(agent!$O$15*(K155/Z155)*Y155),TRUNC(agent!$O$15*(K155/Z155)*Y155,3),"没有上级")</f>
        <v>431.15199999999999</v>
      </c>
      <c r="R155" s="28">
        <f>IF(ISNUMBER(agent!$O$18*(K155/Z155)*Y155),TRUNC(agent!$O$18*(K155/Z155)*Y155,3),"没有上级")</f>
        <v>323.36399999999998</v>
      </c>
      <c r="S155" s="28">
        <f>IF(ISNUMBER(agent!$O$21*(K155/Z155)*Y155),TRUNC(agent!$O$21*(K155/Z155)*Y155,3),"没有上级")</f>
        <v>107.788</v>
      </c>
      <c r="T155" s="28">
        <f>IF(ISNUMBER(agent!$O$24*(K155/Z155)*Y155),TRUNC(agent!$O$24*(K155/Z155)*Y155,3),"没有上级")</f>
        <v>754.51599999999996</v>
      </c>
      <c r="U155" s="28">
        <f>IF(ISNUMBER(agent!$O$27*(K155/Z155)*Y155),TRUNC(agent!$O$27*(K155/Z155)*Y155,3),"没有上级")</f>
        <v>323.36399999999998</v>
      </c>
      <c r="V155" s="28">
        <f>IF(ISNUMBER(agent!$O$30*(K155/Z155)*Y155),TRUNC(agent!$O$30*(K155/Z155)*Y155,3),"没有上级")</f>
        <v>431.15199999999999</v>
      </c>
      <c r="W155" s="28">
        <f>IF(ISNUMBER(agent!$O$33*(K155/Z155)*Y155),TRUNC(agent!$O$33*(K155/Z155)*Y155,3),"没有上级")</f>
        <v>323.36399999999998</v>
      </c>
      <c r="X155" s="28" t="s">
        <v>12</v>
      </c>
      <c r="Y155">
        <f>TRUNC(0.22,3)</f>
        <v>0.22</v>
      </c>
      <c r="Z155" s="28">
        <f>TRUNC(AB155-(9.9-agent!L$3)*10*Y155,3)</f>
        <v>212.3</v>
      </c>
      <c r="AA155" s="28">
        <f>'5Of11Source'!X$2</f>
        <v>0</v>
      </c>
      <c r="AB155">
        <f t="shared" si="27"/>
        <v>219.78</v>
      </c>
      <c r="AC155" s="28">
        <f>'5Of11Source'!E214</f>
        <v>121</v>
      </c>
      <c r="AD155" s="28">
        <v>198</v>
      </c>
      <c r="AE155" s="28"/>
      <c r="AF155" s="29" t="s">
        <v>140</v>
      </c>
      <c r="AG155" s="28">
        <f>TRUNC(0.0047,3)</f>
        <v>4.0000000000000001E-3</v>
      </c>
      <c r="AH155" s="27">
        <f>TRUNC(AI155-(9.9-agent!$L$3)*AG155,3)</f>
        <v>99.382000000000005</v>
      </c>
      <c r="AI155" s="28">
        <f t="shared" si="28"/>
        <v>99.396000000000001</v>
      </c>
    </row>
    <row r="156" spans="4:35" x14ac:dyDescent="0.15">
      <c r="D156" s="28" t="s">
        <v>41</v>
      </c>
      <c r="E156" s="28" t="s">
        <v>45</v>
      </c>
      <c r="F156" s="27" t="str">
        <f>'5Of11Source'!$J$12</f>
        <v>01 02,02 05,05 02,07 08,09 10</v>
      </c>
      <c r="G156" s="28">
        <f>'5Of11Source'!F160</f>
        <v>4</v>
      </c>
      <c r="H156" s="28">
        <v>1</v>
      </c>
      <c r="I156" s="30">
        <f t="shared" si="19"/>
        <v>30</v>
      </c>
      <c r="J156" s="22">
        <f t="shared" si="25"/>
        <v>0</v>
      </c>
      <c r="K156" s="30">
        <f>'5Of11Source'!L212</f>
        <v>0</v>
      </c>
      <c r="L156" s="28">
        <f t="shared" si="26"/>
        <v>1027529463.245</v>
      </c>
      <c r="M156" s="29" t="str">
        <f t="shared" ref="M156:M186" si="29">M155</f>
        <v>03,06,07,08,10</v>
      </c>
      <c r="N156" s="28">
        <f>IF(ISNUMBER(agent!$O$6*(K156/Z156)*Y156),TRUNC(agent!$O$6*(K156/Z156)*Y156,3),"没有上级")</f>
        <v>0</v>
      </c>
      <c r="O156" s="28">
        <f>IF(ISNUMBER(agent!$O$9*(K156/Z156)*Y156),TRUNC(agent!$O$9*(K156/Z156)*Y156,3),"没有上级")</f>
        <v>0</v>
      </c>
      <c r="P156" s="28">
        <f>IF(ISNUMBER(agent!$O$12*(K156/Z156)*Y156),TRUNC(agent!$O$12*(K156/Z156)*Y156,3),"没有上级")</f>
        <v>0</v>
      </c>
      <c r="Q156" s="28">
        <f>IF(ISNUMBER(agent!$O$15*(K156/Z156)*Y156),TRUNC(agent!$O$15*(K156/Z156)*Y156,3),"没有上级")</f>
        <v>0</v>
      </c>
      <c r="R156" s="28">
        <f>IF(ISNUMBER(agent!$O$18*(K156/Z156)*Y156),TRUNC(agent!$O$18*(K156/Z156)*Y156,3),"没有上级")</f>
        <v>0</v>
      </c>
      <c r="S156" s="28">
        <f>IF(ISNUMBER(agent!$O$21*(K156/Z156)*Y156),TRUNC(agent!$O$21*(K156/Z156)*Y156,3),"没有上级")</f>
        <v>0</v>
      </c>
      <c r="T156" s="28">
        <f>IF(ISNUMBER(agent!$O$24*(K156/Z156)*Y156),TRUNC(agent!$O$24*(K156/Z156)*Y156,3),"没有上级")</f>
        <v>0</v>
      </c>
      <c r="U156" s="28">
        <f>IF(ISNUMBER(agent!$O$27*(K156/Z156)*Y156),TRUNC(agent!$O$27*(K156/Z156)*Y156,3),"没有上级")</f>
        <v>0</v>
      </c>
      <c r="V156" s="28">
        <f>IF(ISNUMBER(agent!$O$30*(K156/Z156)*Y156),TRUNC(agent!$O$30*(K156/Z156)*Y156,3),"没有上级")</f>
        <v>0</v>
      </c>
      <c r="W156" s="28">
        <f>IF(ISNUMBER(agent!$O$33*(K156/Z156)*Y156),TRUNC(agent!$O$33*(K156/Z156)*Y156,3),"没有上级")</f>
        <v>0</v>
      </c>
      <c r="X156" s="28"/>
      <c r="Y156">
        <f>TRUNC(0.22,3)</f>
        <v>0.22</v>
      </c>
      <c r="Z156" s="28">
        <f>TRUNC(AB156-(9.9-agent!L$3)*10*Y156,3)</f>
        <v>212.3</v>
      </c>
      <c r="AA156" s="28">
        <f>'5Of11Source'!X$2</f>
        <v>0</v>
      </c>
      <c r="AB156">
        <f t="shared" si="27"/>
        <v>219.78</v>
      </c>
      <c r="AC156" s="28">
        <f>'5Of11Source'!E216</f>
        <v>5</v>
      </c>
      <c r="AD156" s="28">
        <v>198</v>
      </c>
      <c r="AE156" s="28"/>
      <c r="AF156" s="29" t="s">
        <v>141</v>
      </c>
      <c r="AG156" s="28">
        <f>TRUNC(0.006142857,3)</f>
        <v>6.0000000000000001E-3</v>
      </c>
      <c r="AH156" s="27">
        <f>TRUNC(AI156-(9.9-agent!$L$3)*AG156,3)</f>
        <v>99.572999999999993</v>
      </c>
      <c r="AI156" s="28">
        <f t="shared" si="28"/>
        <v>99.593999999999994</v>
      </c>
    </row>
    <row r="157" spans="4:35" x14ac:dyDescent="0.15">
      <c r="D157" s="28" t="s">
        <v>41</v>
      </c>
      <c r="E157" s="28" t="s">
        <v>47</v>
      </c>
      <c r="F157" s="27" t="str">
        <f>'5Of11Source'!$J$13</f>
        <v>01 02 03 04 05 06 07 08 09 10 11</v>
      </c>
      <c r="G157" s="28">
        <f>'5Of11Source'!F161</f>
        <v>2</v>
      </c>
      <c r="H157" s="28">
        <v>1</v>
      </c>
      <c r="I157" s="30">
        <f t="shared" si="19"/>
        <v>110</v>
      </c>
      <c r="J157" s="22">
        <f t="shared" si="25"/>
        <v>1175.2339999999999</v>
      </c>
      <c r="K157" s="30">
        <f>'5Of11Source'!L213</f>
        <v>33356.07</v>
      </c>
      <c r="L157" s="28">
        <f t="shared" si="26"/>
        <v>1027562709.3150001</v>
      </c>
      <c r="M157" s="29" t="str">
        <f t="shared" si="29"/>
        <v>03,06,07,08,10</v>
      </c>
      <c r="N157" s="28">
        <f>IF(ISNUMBER(agent!$O$6*(K157/Z157)*Y157),TRUNC(agent!$O$6*(K157/Z157)*Y157,3),"没有上级")</f>
        <v>34.564999999999998</v>
      </c>
      <c r="O157" s="28">
        <f>IF(ISNUMBER(agent!$O$9*(K157/Z157)*Y157),TRUNC(agent!$O$9*(K157/Z157)*Y157,3),"没有上级")</f>
        <v>207.39500000000001</v>
      </c>
      <c r="P157" s="28">
        <f>IF(ISNUMBER(agent!$O$12*(K157/Z157)*Y157),TRUNC(agent!$O$12*(K157/Z157)*Y157,3),"没有上级")</f>
        <v>69.131</v>
      </c>
      <c r="Q157" s="28">
        <f>IF(ISNUMBER(agent!$O$15*(K157/Z157)*Y157),TRUNC(agent!$O$15*(K157/Z157)*Y157,3),"没有上级")</f>
        <v>138.26300000000001</v>
      </c>
      <c r="R157" s="28">
        <f>IF(ISNUMBER(agent!$O$18*(K157/Z157)*Y157),TRUNC(agent!$O$18*(K157/Z157)*Y157,3),"没有上级")</f>
        <v>103.697</v>
      </c>
      <c r="S157" s="28">
        <f>IF(ISNUMBER(agent!$O$21*(K157/Z157)*Y157),TRUNC(agent!$O$21*(K157/Z157)*Y157,3),"没有上级")</f>
        <v>34.564999999999998</v>
      </c>
      <c r="T157" s="28">
        <f>IF(ISNUMBER(agent!$O$24*(K157/Z157)*Y157),TRUNC(agent!$O$24*(K157/Z157)*Y157,3),"没有上级")</f>
        <v>241.96100000000001</v>
      </c>
      <c r="U157" s="28">
        <f>IF(ISNUMBER(agent!$O$27*(K157/Z157)*Y157),TRUNC(agent!$O$27*(K157/Z157)*Y157,3),"没有上级")</f>
        <v>103.697</v>
      </c>
      <c r="V157" s="28">
        <f>IF(ISNUMBER(agent!$O$30*(K157/Z157)*Y157),TRUNC(agent!$O$30*(K157/Z157)*Y157,3),"没有上级")</f>
        <v>138.26300000000001</v>
      </c>
      <c r="W157" s="28">
        <f>IF(ISNUMBER(agent!$O$33*(K157/Z157)*Y157),TRUNC(agent!$O$33*(K157/Z157)*Y157,3),"没有上级")</f>
        <v>103.697</v>
      </c>
      <c r="X157" s="28"/>
      <c r="Y157">
        <f>TRUNC(0.11,3)</f>
        <v>0.11</v>
      </c>
      <c r="Z157" s="28">
        <f>TRUNC(AB157-(9.9-agent!L$3)*10*Y157,3)</f>
        <v>106.15</v>
      </c>
      <c r="AA157" s="28">
        <f>'5Of11Source'!X$2</f>
        <v>0</v>
      </c>
      <c r="AB157">
        <f t="shared" si="27"/>
        <v>109.89</v>
      </c>
      <c r="AC157" s="28">
        <f>'5Of11Source'!E217</f>
        <v>55</v>
      </c>
      <c r="AD157" s="28">
        <v>99</v>
      </c>
      <c r="AE157" s="28"/>
      <c r="AF157" s="29" t="s">
        <v>142</v>
      </c>
      <c r="AG157" s="28">
        <f>TRUNC(0.0307,3)</f>
        <v>0.03</v>
      </c>
      <c r="AH157" s="27">
        <f>TRUNC(AI157-(9.9-agent!$L$3)*AG157,3)</f>
        <v>9.468</v>
      </c>
      <c r="AI157" s="28">
        <f t="shared" si="28"/>
        <v>9.57</v>
      </c>
    </row>
    <row r="158" spans="4:35" x14ac:dyDescent="0.15">
      <c r="D158" s="28" t="s">
        <v>41</v>
      </c>
      <c r="E158" s="28" t="s">
        <v>51</v>
      </c>
      <c r="F158" s="27" t="str">
        <f>'5Of11Source'!$J$14</f>
        <v>01 02,02 01,05 02,07 08,09 10,11 07</v>
      </c>
      <c r="G158" s="28">
        <f>'5Of11Source'!F162</f>
        <v>0</v>
      </c>
      <c r="H158" s="28">
        <v>1</v>
      </c>
      <c r="I158" s="30">
        <f t="shared" si="19"/>
        <v>20</v>
      </c>
      <c r="J158" s="22">
        <f t="shared" si="25"/>
        <v>0</v>
      </c>
      <c r="K158" s="30">
        <f>'5Of11Source'!L214</f>
        <v>0</v>
      </c>
      <c r="L158" s="28">
        <f t="shared" si="26"/>
        <v>1027562689.3150001</v>
      </c>
      <c r="M158" s="29" t="str">
        <f t="shared" si="29"/>
        <v>03,06,07,08,10</v>
      </c>
      <c r="N158" s="28">
        <f>IF(ISNUMBER(agent!$O$6*(K158/Z158)*Y158),TRUNC(agent!$O$6*(K158/Z158)*Y158,3),"没有上级")</f>
        <v>0</v>
      </c>
      <c r="O158" s="28">
        <f>IF(ISNUMBER(agent!$O$9*(K158/Z158)*Y158),TRUNC(agent!$O$9*(K158/Z158)*Y158,3),"没有上级")</f>
        <v>0</v>
      </c>
      <c r="P158" s="28">
        <f>IF(ISNUMBER(agent!$O$12*(K158/Z158)*Y158),TRUNC(agent!$O$12*(K158/Z158)*Y158,3),"没有上级")</f>
        <v>0</v>
      </c>
      <c r="Q158" s="28">
        <f>IF(ISNUMBER(agent!$O$15*(K158/Z158)*Y158),TRUNC(agent!$O$15*(K158/Z158)*Y158,3),"没有上级")</f>
        <v>0</v>
      </c>
      <c r="R158" s="28">
        <f>IF(ISNUMBER(agent!$O$18*(K158/Z158)*Y158),TRUNC(agent!$O$18*(K158/Z158)*Y158,3),"没有上级")</f>
        <v>0</v>
      </c>
      <c r="S158" s="28">
        <f>IF(ISNUMBER(agent!$O$21*(K158/Z158)*Y158),TRUNC(agent!$O$21*(K158/Z158)*Y158,3),"没有上级")</f>
        <v>0</v>
      </c>
      <c r="T158" s="28">
        <f>IF(ISNUMBER(agent!$O$24*(K158/Z158)*Y158),TRUNC(agent!$O$24*(K158/Z158)*Y158,3),"没有上级")</f>
        <v>0</v>
      </c>
      <c r="U158" s="28">
        <f>IF(ISNUMBER(agent!$O$27*(K158/Z158)*Y158),TRUNC(agent!$O$27*(K158/Z158)*Y158,3),"没有上级")</f>
        <v>0</v>
      </c>
      <c r="V158" s="28">
        <f>IF(ISNUMBER(agent!$O$30*(K158/Z158)*Y158),TRUNC(agent!$O$30*(K158/Z158)*Y158,3),"没有上级")</f>
        <v>0</v>
      </c>
      <c r="W158" s="28">
        <f>IF(ISNUMBER(agent!$O$33*(K158/Z158)*Y158),TRUNC(agent!$O$33*(K158/Z158)*Y158,3),"没有上级")</f>
        <v>0</v>
      </c>
      <c r="X158" s="28"/>
      <c r="Y158">
        <f>TRUNC(0.11,3)</f>
        <v>0.11</v>
      </c>
      <c r="Z158" s="28">
        <f>TRUNC(AB158-(9.9-agent!L$3)*10*Y158,3)</f>
        <v>106.15</v>
      </c>
      <c r="AA158" s="28">
        <f>'5Of11Source'!X$2</f>
        <v>0</v>
      </c>
      <c r="AB158">
        <f t="shared" si="27"/>
        <v>109.89</v>
      </c>
      <c r="AC158" s="28">
        <f>'5Of11Source'!E218</f>
        <v>5</v>
      </c>
      <c r="AD158" s="28">
        <v>99</v>
      </c>
      <c r="AE158" s="28"/>
      <c r="AF158" s="29" t="s">
        <v>143</v>
      </c>
      <c r="AG158" s="28">
        <f>TRUNC(0.924,3)</f>
        <v>0.92400000000000004</v>
      </c>
      <c r="AH158" s="27">
        <f>TRUNC(AI158-(9.9-agent!$L$3)*AG158,3)</f>
        <v>108.134</v>
      </c>
      <c r="AI158" s="28">
        <f t="shared" si="28"/>
        <v>111.276</v>
      </c>
    </row>
    <row r="159" spans="4:35" x14ac:dyDescent="0.15">
      <c r="D159" s="28" t="s">
        <v>41</v>
      </c>
      <c r="E159" s="28" t="s">
        <v>49</v>
      </c>
      <c r="F159" s="27" t="str">
        <f>'5Of11Source'!$J$15</f>
        <v>01,02 03 04 05 06 07 08 09 10 11</v>
      </c>
      <c r="G159" s="28">
        <f>'5Of11Source'!F163</f>
        <v>5</v>
      </c>
      <c r="H159" s="28">
        <v>1</v>
      </c>
      <c r="I159" s="30">
        <f t="shared" si="19"/>
        <v>60</v>
      </c>
      <c r="J159" s="22">
        <f t="shared" si="25"/>
        <v>3415.8589999999995</v>
      </c>
      <c r="K159" s="30">
        <f>'5Of11Source'!L215</f>
        <v>96950.25</v>
      </c>
      <c r="L159" s="28">
        <f t="shared" si="26"/>
        <v>1027659579.5650001</v>
      </c>
      <c r="M159" s="29" t="str">
        <f t="shared" si="29"/>
        <v>03,06,07,08,10</v>
      </c>
      <c r="N159" s="28">
        <f>IF(ISNUMBER(agent!$O$6*(K159/Z159)*Y159),TRUNC(agent!$O$6*(K159/Z159)*Y159,3),"没有上级")</f>
        <v>100.46599999999999</v>
      </c>
      <c r="O159" s="28">
        <f>IF(ISNUMBER(agent!$O$9*(K159/Z159)*Y159),TRUNC(agent!$O$9*(K159/Z159)*Y159,3),"没有上级")</f>
        <v>602.79899999999998</v>
      </c>
      <c r="P159" s="28">
        <f>IF(ISNUMBER(agent!$O$12*(K159/Z159)*Y159),TRUNC(agent!$O$12*(K159/Z159)*Y159,3),"没有上级")</f>
        <v>200.93299999999999</v>
      </c>
      <c r="Q159" s="28">
        <f>IF(ISNUMBER(agent!$O$15*(K159/Z159)*Y159),TRUNC(agent!$O$15*(K159/Z159)*Y159,3),"没有上级")</f>
        <v>401.86599999999999</v>
      </c>
      <c r="R159" s="28">
        <f>IF(ISNUMBER(agent!$O$18*(K159/Z159)*Y159),TRUNC(agent!$O$18*(K159/Z159)*Y159,3),"没有上级")</f>
        <v>301.399</v>
      </c>
      <c r="S159" s="28">
        <f>IF(ISNUMBER(agent!$O$21*(K159/Z159)*Y159),TRUNC(agent!$O$21*(K159/Z159)*Y159,3),"没有上级")</f>
        <v>100.46599999999999</v>
      </c>
      <c r="T159" s="28">
        <f>IF(ISNUMBER(agent!$O$24*(K159/Z159)*Y159),TRUNC(agent!$O$24*(K159/Z159)*Y159,3),"没有上级")</f>
        <v>703.26599999999996</v>
      </c>
      <c r="U159" s="28">
        <f>IF(ISNUMBER(agent!$O$27*(K159/Z159)*Y159),TRUNC(agent!$O$27*(K159/Z159)*Y159,3),"没有上级")</f>
        <v>301.399</v>
      </c>
      <c r="V159" s="28">
        <f>IF(ISNUMBER(agent!$O$30*(K159/Z159)*Y159),TRUNC(agent!$O$30*(K159/Z159)*Y159,3),"没有上级")</f>
        <v>401.86599999999999</v>
      </c>
      <c r="W159" s="28">
        <f>IF(ISNUMBER(agent!$O$33*(K159/Z159)*Y159),TRUNC(agent!$O$33*(K159/Z159)*Y159,3),"没有上级")</f>
        <v>301.399</v>
      </c>
      <c r="X159" s="28" t="s">
        <v>10</v>
      </c>
      <c r="Y159">
        <f>TRUNC(0.11,3)</f>
        <v>0.11</v>
      </c>
      <c r="Z159" s="28">
        <f>TRUNC(AB159-(9.9-agent!L$3)*10*Y159,3)</f>
        <v>106.15</v>
      </c>
      <c r="AA159" s="28">
        <f>'5Of11Source'!X$2</f>
        <v>0</v>
      </c>
      <c r="AB159">
        <f t="shared" si="27"/>
        <v>109.89</v>
      </c>
      <c r="AC159" s="28">
        <f>'5Of11Source'!E219</f>
        <v>10</v>
      </c>
      <c r="AD159" s="28">
        <v>99</v>
      </c>
      <c r="AE159" s="28"/>
      <c r="AF159" s="29" t="s">
        <v>144</v>
      </c>
      <c r="AG159" s="28"/>
      <c r="AH159" s="27"/>
      <c r="AI159" s="28"/>
    </row>
    <row r="160" spans="4:35" x14ac:dyDescent="0.15">
      <c r="D160" s="28" t="s">
        <v>56</v>
      </c>
      <c r="E160" s="28" t="s">
        <v>58</v>
      </c>
      <c r="F160" s="27" t="str">
        <f>'5Of11Source'!$J$17</f>
        <v>01 02 03 04 05 06 07 08 09 10 11</v>
      </c>
      <c r="G160" s="28">
        <f>'5Of11Source'!F165</f>
        <v>3</v>
      </c>
      <c r="H160" s="28">
        <v>1</v>
      </c>
      <c r="I160" s="30">
        <f t="shared" si="19"/>
        <v>110</v>
      </c>
      <c r="J160" s="22">
        <f t="shared" si="25"/>
        <v>16356.895</v>
      </c>
      <c r="K160" s="30">
        <f>'5Of11Source'!L216</f>
        <v>484865.25000000012</v>
      </c>
      <c r="L160" s="28">
        <f t="shared" si="26"/>
        <v>1028144334.8150001</v>
      </c>
      <c r="M160" s="29" t="str">
        <f t="shared" si="29"/>
        <v>03,06,07,08,10</v>
      </c>
      <c r="N160" s="28">
        <f>IF(ISNUMBER(agent!$O$6*(K160/Z160)*Y160),TRUNC(agent!$O$6*(K160/Z160)*Y160,3),"没有上级")</f>
        <v>481.08499999999998</v>
      </c>
      <c r="O160" s="28">
        <f>IF(ISNUMBER(agent!$O$9*(K160/Z160)*Y160),TRUNC(agent!$O$9*(K160/Z160)*Y160,3),"没有上级")</f>
        <v>2886.511</v>
      </c>
      <c r="P160" s="28">
        <f>IF(ISNUMBER(agent!$O$12*(K160/Z160)*Y160),TRUNC(agent!$O$12*(K160/Z160)*Y160,3),"没有上级")</f>
        <v>962.17</v>
      </c>
      <c r="Q160" s="28">
        <f>IF(ISNUMBER(agent!$O$15*(K160/Z160)*Y160),TRUNC(agent!$O$15*(K160/Z160)*Y160,3),"没有上级")</f>
        <v>1924.3409999999999</v>
      </c>
      <c r="R160" s="28">
        <f>IF(ISNUMBER(agent!$O$18*(K160/Z160)*Y160),TRUNC(agent!$O$18*(K160/Z160)*Y160,3),"没有上级")</f>
        <v>1443.2550000000001</v>
      </c>
      <c r="S160" s="28">
        <f>IF(ISNUMBER(agent!$O$21*(K160/Z160)*Y160),TRUNC(agent!$O$21*(K160/Z160)*Y160,3),"没有上级")</f>
        <v>481.08499999999998</v>
      </c>
      <c r="T160" s="28">
        <f>IF(ISNUMBER(agent!$O$24*(K160/Z160)*Y160),TRUNC(agent!$O$24*(K160/Z160)*Y160,3),"没有上级")</f>
        <v>3367.5970000000002</v>
      </c>
      <c r="U160" s="28">
        <f>IF(ISNUMBER(agent!$O$27*(K160/Z160)*Y160),TRUNC(agent!$O$27*(K160/Z160)*Y160,3),"没有上级")</f>
        <v>1443.2550000000001</v>
      </c>
      <c r="V160" s="28">
        <f>IF(ISNUMBER(agent!$O$30*(K160/Z160)*Y160),TRUNC(agent!$O$30*(K160/Z160)*Y160,3),"没有上级")</f>
        <v>1924.3409999999999</v>
      </c>
      <c r="W160" s="28">
        <f>IF(ISNUMBER(agent!$O$33*(K160/Z160)*Y160),TRUNC(agent!$O$33*(K160/Z160)*Y160,3),"没有上级")</f>
        <v>1443.2550000000001</v>
      </c>
      <c r="X160" s="28"/>
      <c r="Y160">
        <f>TRUNC(0.0072857,3)</f>
        <v>7.0000000000000001E-3</v>
      </c>
      <c r="Z160" s="28">
        <f>TRUNC(AB160-(9.9-agent!L$3)*10*Y160,3)</f>
        <v>7.0549999999999997</v>
      </c>
      <c r="AA160" s="28">
        <f>'5Of11Source'!X$2</f>
        <v>0</v>
      </c>
      <c r="AB160">
        <f t="shared" si="27"/>
        <v>7.2930000000000001</v>
      </c>
      <c r="AC160" s="28">
        <f>'5Of11Source'!E221</f>
        <v>11</v>
      </c>
      <c r="AD160" s="28">
        <v>6.6</v>
      </c>
      <c r="AE160" s="28"/>
      <c r="AF160" s="19" t="str">
        <f>3&amp;"/"&amp;9</f>
        <v>3/9</v>
      </c>
      <c r="AG160" s="28">
        <f>TRUNC(0.033,3)</f>
        <v>3.3000000000000002E-2</v>
      </c>
      <c r="AH160" s="27">
        <f>TRUNC(AI160-(9.9-agent!$L$3)*AG160,3)</f>
        <v>3.1539999999999999</v>
      </c>
      <c r="AI160" s="28">
        <f>TRUNC(AD200+AG160*99,4)</f>
        <v>3.2669999999999999</v>
      </c>
    </row>
    <row r="161" spans="4:35" ht="15.75" customHeight="1" x14ac:dyDescent="0.15">
      <c r="D161" s="28" t="s">
        <v>60</v>
      </c>
      <c r="E161" s="28" t="s">
        <v>61</v>
      </c>
      <c r="F161" s="27" t="str">
        <f>'5Of11Source'!$J$18</f>
        <v>01 02 03 04 05 06 07 08 09 10 11,01 02 03 04 05 06 07 08 09 10 11,01 02 03 04 05 06 07 08 09 10 11</v>
      </c>
      <c r="G161" s="28">
        <f>'5Of11Source'!F166</f>
        <v>1</v>
      </c>
      <c r="H161" s="28">
        <v>1</v>
      </c>
      <c r="I161" s="30">
        <f t="shared" si="19"/>
        <v>132</v>
      </c>
      <c r="J161" s="22">
        <f t="shared" si="25"/>
        <v>6831.723</v>
      </c>
      <c r="K161" s="30">
        <f>'5Of11Source'!L217</f>
        <v>193900.5</v>
      </c>
      <c r="L161" s="28">
        <f t="shared" si="26"/>
        <v>1028338103.3150001</v>
      </c>
      <c r="M161" s="29" t="str">
        <f t="shared" si="29"/>
        <v>03,06,07,08,10</v>
      </c>
      <c r="N161" s="28">
        <f>IF(ISNUMBER(agent!$O$6*(K161/Z161)*Y161),TRUNC(agent!$O$6*(K161/Z161)*Y161,3),"没有上级")</f>
        <v>200.93299999999999</v>
      </c>
      <c r="O161" s="28">
        <f>IF(ISNUMBER(agent!$O$9*(K161/Z161)*Y161),TRUNC(agent!$O$9*(K161/Z161)*Y161,3),"没有上级")</f>
        <v>1205.598</v>
      </c>
      <c r="P161" s="28">
        <f>IF(ISNUMBER(agent!$O$12*(K161/Z161)*Y161),TRUNC(agent!$O$12*(K161/Z161)*Y161,3),"没有上级")</f>
        <v>401.86599999999999</v>
      </c>
      <c r="Q161" s="28">
        <f>IF(ISNUMBER(agent!$O$15*(K161/Z161)*Y161),TRUNC(agent!$O$15*(K161/Z161)*Y161,3),"没有上级")</f>
        <v>803.73199999999997</v>
      </c>
      <c r="R161" s="28">
        <f>IF(ISNUMBER(agent!$O$18*(K161/Z161)*Y161),TRUNC(agent!$O$18*(K161/Z161)*Y161,3),"没有上级")</f>
        <v>602.79899999999998</v>
      </c>
      <c r="S161" s="28">
        <f>IF(ISNUMBER(agent!$O$21*(K161/Z161)*Y161),TRUNC(agent!$O$21*(K161/Z161)*Y161,3),"没有上级")</f>
        <v>200.93299999999999</v>
      </c>
      <c r="T161" s="28">
        <f>IF(ISNUMBER(agent!$O$24*(K161/Z161)*Y161),TRUNC(agent!$O$24*(K161/Z161)*Y161,3),"没有上级")</f>
        <v>1406.5319999999999</v>
      </c>
      <c r="U161" s="28">
        <f>IF(ISNUMBER(agent!$O$27*(K161/Z161)*Y161),TRUNC(agent!$O$27*(K161/Z161)*Y161,3),"没有上级")</f>
        <v>602.79899999999998</v>
      </c>
      <c r="V161" s="28">
        <f>IF(ISNUMBER(agent!$O$30*(K161/Z161)*Y161),TRUNC(agent!$O$30*(K161/Z161)*Y161,3),"没有上级")</f>
        <v>803.73199999999997</v>
      </c>
      <c r="W161" s="28">
        <f>IF(ISNUMBER(agent!$O$33*(K161/Z161)*Y161),TRUNC(agent!$O$33*(K161/Z161)*Y161,3),"没有上级")</f>
        <v>602.79899999999998</v>
      </c>
      <c r="X161" s="28"/>
      <c r="Y161">
        <f>TRUNC(0.022,3)</f>
        <v>2.1999999999999999E-2</v>
      </c>
      <c r="Z161" s="28">
        <f>TRUNC(AB161-(9.9-agent!L$3)*10*Y161,3)</f>
        <v>21.23</v>
      </c>
      <c r="AA161" s="28">
        <f>'5Of11Source'!X$2</f>
        <v>0</v>
      </c>
      <c r="AB161">
        <f t="shared" si="27"/>
        <v>21.978000000000002</v>
      </c>
      <c r="AC161" s="28">
        <f>'5Of11Source'!E222</f>
        <v>33</v>
      </c>
      <c r="AD161" s="28">
        <v>19.8</v>
      </c>
      <c r="AE161" s="28"/>
      <c r="AF161" s="18" t="str">
        <f>4&amp;"/"&amp;8</f>
        <v>4/8</v>
      </c>
      <c r="AG161" s="28">
        <f>TRUNC(0.01457,3)</f>
        <v>1.4E-2</v>
      </c>
      <c r="AH161" s="27">
        <f>TRUNC(AI161-(9.9-agent!$L$3)*AG161,3)</f>
        <v>5.298</v>
      </c>
      <c r="AI161" s="28">
        <f>TRUNC(AD201+AG161*99,4)</f>
        <v>5.3460000000000001</v>
      </c>
    </row>
    <row r="162" spans="4:35" ht="17.25" customHeight="1" x14ac:dyDescent="0.15">
      <c r="D162" s="28" t="s">
        <v>63</v>
      </c>
      <c r="E162" s="28" t="s">
        <v>65</v>
      </c>
      <c r="F162" s="27" t="str">
        <f>'5Of11Source'!$J$21</f>
        <v>5单0双 4单1双 3单2双 2单3双 1单4双 0单5双</v>
      </c>
      <c r="G162" s="28">
        <f>'5Of11Source'!F169</f>
        <v>0</v>
      </c>
      <c r="H162" s="28">
        <v>1</v>
      </c>
      <c r="I162" s="30">
        <f t="shared" si="19"/>
        <v>60</v>
      </c>
      <c r="J162" s="22">
        <f t="shared" si="25"/>
        <v>0.67999999999999994</v>
      </c>
      <c r="K162" s="30">
        <f>'5Of11Source'!L218</f>
        <v>22.05</v>
      </c>
      <c r="L162" s="28">
        <f t="shared" si="26"/>
        <v>1028338065.365</v>
      </c>
      <c r="M162" s="29" t="str">
        <f t="shared" si="29"/>
        <v>03,06,07,08,10</v>
      </c>
      <c r="N162" s="28">
        <f>IF(ISNUMBER(agent!$O$6*(K162/Z162)*Y162),TRUNC(agent!$O$6*(K162/Z162)*Y162,3),"没有上级")</f>
        <v>0.02</v>
      </c>
      <c r="O162" s="28">
        <f>IF(ISNUMBER(agent!$O$9*(K162/Z162)*Y162),TRUNC(agent!$O$9*(K162/Z162)*Y162,3),"没有上级")</f>
        <v>0.12</v>
      </c>
      <c r="P162" s="28">
        <f>IF(ISNUMBER(agent!$O$12*(K162/Z162)*Y162),TRUNC(agent!$O$12*(K162/Z162)*Y162,3),"没有上级")</f>
        <v>0.04</v>
      </c>
      <c r="Q162" s="28">
        <f>IF(ISNUMBER(agent!$O$15*(K162/Z162)*Y162),TRUNC(agent!$O$15*(K162/Z162)*Y162,3),"没有上级")</f>
        <v>0.08</v>
      </c>
      <c r="R162" s="28">
        <f>IF(ISNUMBER(agent!$O$18*(K162/Z162)*Y162),TRUNC(agent!$O$18*(K162/Z162)*Y162,3),"没有上级")</f>
        <v>0.06</v>
      </c>
      <c r="S162" s="28">
        <f>IF(ISNUMBER(agent!$O$21*(K162/Z162)*Y162),TRUNC(agent!$O$21*(K162/Z162)*Y162,3),"没有上级")</f>
        <v>0.02</v>
      </c>
      <c r="T162" s="28">
        <f>IF(ISNUMBER(agent!$O$24*(K162/Z162)*Y162),TRUNC(agent!$O$24*(K162/Z162)*Y162,3),"没有上级")</f>
        <v>0.14000000000000001</v>
      </c>
      <c r="U162" s="28">
        <f>IF(ISNUMBER(agent!$O$27*(K162/Z162)*Y162),TRUNC(agent!$O$27*(K162/Z162)*Y162,3),"没有上级")</f>
        <v>0.06</v>
      </c>
      <c r="V162" s="28">
        <f>IF(ISNUMBER(agent!$O$30*(K162/Z162)*Y162),TRUNC(agent!$O$30*(K162/Z162)*Y162,3),"没有上级")</f>
        <v>0.08</v>
      </c>
      <c r="W162" s="28">
        <f>IF(ISNUMBER(agent!$O$33*(K162/Z162)*Y162),TRUNC(agent!$O$33*(K162/Z162)*Y162,3),"没有上级")</f>
        <v>0.06</v>
      </c>
      <c r="X162" s="28"/>
      <c r="Y162">
        <f>SUM('5Of11Source'!U219:U224)</f>
        <v>4.0000000000000001E-3</v>
      </c>
      <c r="Z162" s="26">
        <f>'5Of11Source'!K225</f>
        <v>4.41</v>
      </c>
      <c r="AA162" s="28">
        <f>'5Of11Source'!X$2</f>
        <v>0</v>
      </c>
      <c r="AC162" s="28">
        <f>'5Of11Source'!E225</f>
        <v>6</v>
      </c>
      <c r="AD162" s="28"/>
      <c r="AE162" s="28"/>
      <c r="AF162" s="18" t="str">
        <f>5&amp;"/"&amp;7</f>
        <v>5/7</v>
      </c>
      <c r="AG162" s="28">
        <f>TRUNC(0.010142857,3)</f>
        <v>0.01</v>
      </c>
      <c r="AH162" s="27">
        <f>TRUNC(AI162-(9.9-agent!$L$3)*AG162,3)</f>
        <v>10.856</v>
      </c>
      <c r="AI162" s="28">
        <f>TRUNC(AD202+AG162*99,4)</f>
        <v>10.89</v>
      </c>
    </row>
    <row r="163" spans="4:35" x14ac:dyDescent="0.15">
      <c r="D163" s="28" t="s">
        <v>63</v>
      </c>
      <c r="E163" s="28" t="s">
        <v>68</v>
      </c>
      <c r="F163" s="27" t="str">
        <f>'5Of11Source'!$J$22</f>
        <v>03 04 05 06 07 08 09</v>
      </c>
      <c r="G163" s="28">
        <f>'5Of11Source'!F170</f>
        <v>5</v>
      </c>
      <c r="H163" s="28">
        <v>1</v>
      </c>
      <c r="I163" s="30">
        <f t="shared" si="19"/>
        <v>28</v>
      </c>
      <c r="J163" s="22">
        <f t="shared" si="25"/>
        <v>0.67999999999999994</v>
      </c>
      <c r="K163" s="30">
        <f>'5Of11Source'!L219</f>
        <v>19.78</v>
      </c>
      <c r="L163" s="28">
        <f t="shared" si="26"/>
        <v>1028338057.145</v>
      </c>
      <c r="M163" s="29" t="str">
        <f t="shared" si="29"/>
        <v>03,06,07,08,10</v>
      </c>
      <c r="N163" s="28">
        <f>IF(ISNUMBER(agent!$O$6*(K163/Z163)*Y163),TRUNC(agent!$O$6*(K163/Z163)*Y163,3),"没有上级")</f>
        <v>0.02</v>
      </c>
      <c r="O163" s="28">
        <f>IF(ISNUMBER(agent!$O$9*(K163/Z163)*Y163),TRUNC(agent!$O$9*(K163/Z163)*Y163,3),"没有上级")</f>
        <v>0.12</v>
      </c>
      <c r="P163" s="28">
        <f>IF(ISNUMBER(agent!$O$12*(K163/Z163)*Y163),TRUNC(agent!$O$12*(K163/Z163)*Y163,3),"没有上级")</f>
        <v>0.04</v>
      </c>
      <c r="Q163" s="28">
        <f>IF(ISNUMBER(agent!$O$15*(K163/Z163)*Y163),TRUNC(agent!$O$15*(K163/Z163)*Y163,3),"没有上级")</f>
        <v>0.08</v>
      </c>
      <c r="R163" s="28">
        <f>IF(ISNUMBER(agent!$O$18*(K163/Z163)*Y163),TRUNC(agent!$O$18*(K163/Z163)*Y163,3),"没有上级")</f>
        <v>0.06</v>
      </c>
      <c r="S163" s="28">
        <f>IF(ISNUMBER(agent!$O$21*(K163/Z163)*Y163),TRUNC(agent!$O$21*(K163/Z163)*Y163,3),"没有上级")</f>
        <v>0.02</v>
      </c>
      <c r="T163" s="28">
        <f>IF(ISNUMBER(agent!$O$24*(K163/Z163)*Y163),TRUNC(agent!$O$24*(K163/Z163)*Y163,3),"没有上级")</f>
        <v>0.14000000000000001</v>
      </c>
      <c r="U163" s="28">
        <f>IF(ISNUMBER(agent!$O$27*(K163/Z163)*Y163),TRUNC(agent!$O$27*(K163/Z163)*Y163,3),"没有上级")</f>
        <v>0.06</v>
      </c>
      <c r="V163" s="28">
        <f>IF(ISNUMBER(agent!$O$30*(K163/Z163)*Y163),TRUNC(agent!$O$30*(K163/Z163)*Y163,3),"没有上级")</f>
        <v>0.08</v>
      </c>
      <c r="W163" s="28">
        <f>IF(ISNUMBER(agent!$O$33*(K163/Z163)*Y163),TRUNC(agent!$O$33*(K163/Z163)*Y163,3),"没有上级")</f>
        <v>0.06</v>
      </c>
      <c r="X163" s="28" t="s">
        <v>12</v>
      </c>
      <c r="Y163">
        <f>SUM('5Of11Source'!U226:U229)</f>
        <v>0.01</v>
      </c>
      <c r="Z163" s="26">
        <f>'5Of11Source'!K226</f>
        <v>9.89</v>
      </c>
      <c r="AA163" s="28">
        <f>'5Of11Source'!X$2</f>
        <v>0</v>
      </c>
      <c r="AC163" s="28">
        <f>'5Of11Source'!E226</f>
        <v>7</v>
      </c>
      <c r="AD163" s="28"/>
      <c r="AE163" s="28"/>
      <c r="AF163" s="28">
        <v>6</v>
      </c>
      <c r="AG163" s="28">
        <f>TRUNC(0.0092857,3)</f>
        <v>8.9999999999999993E-3</v>
      </c>
      <c r="AH163" s="27">
        <f>TRUNC(AI163-(9.9-agent!$L$3)*AG163,3)</f>
        <v>30.56</v>
      </c>
      <c r="AI163" s="28">
        <f>TRUNC(AD203+AG163*99,4)</f>
        <v>30.591000000000001</v>
      </c>
    </row>
    <row r="164" spans="4:35" x14ac:dyDescent="0.15">
      <c r="D164" s="28" t="s">
        <v>70</v>
      </c>
      <c r="E164" s="28" t="s">
        <v>72</v>
      </c>
      <c r="F164" s="27" t="str">
        <f>'5Of11Source'!$J$23</f>
        <v>01 02 03 04 05 06 07 08 09 10 11</v>
      </c>
      <c r="G164" s="28">
        <f>'5Of11Source'!F171</f>
        <v>2</v>
      </c>
      <c r="H164" s="28">
        <v>1</v>
      </c>
      <c r="I164" s="30">
        <f t="shared" si="19"/>
        <v>22</v>
      </c>
      <c r="J164" s="22">
        <f t="shared" si="25"/>
        <v>4900.7740000000003</v>
      </c>
      <c r="K164" s="30">
        <f>'5Of11Source'!L220</f>
        <v>152068.25000000003</v>
      </c>
      <c r="L164" s="28">
        <f t="shared" si="26"/>
        <v>1028490103.395</v>
      </c>
      <c r="M164" s="29" t="str">
        <f t="shared" si="29"/>
        <v>03,06,07,08,10</v>
      </c>
      <c r="N164" s="28">
        <f>IF(ISNUMBER(agent!$O$6*(K164/Z164)*Y164),TRUNC(agent!$O$6*(K164/Z164)*Y164,3),"没有上级")</f>
        <v>144.13999999999999</v>
      </c>
      <c r="O164" s="28">
        <f>IF(ISNUMBER(agent!$O$9*(K164/Z164)*Y164),TRUNC(agent!$O$9*(K164/Z164)*Y164,3),"没有上级")</f>
        <v>864.84299999999996</v>
      </c>
      <c r="P164" s="28">
        <f>IF(ISNUMBER(agent!$O$12*(K164/Z164)*Y164),TRUNC(agent!$O$12*(K164/Z164)*Y164,3),"没有上级")</f>
        <v>288.28100000000001</v>
      </c>
      <c r="Q164" s="28">
        <f>IF(ISNUMBER(agent!$O$15*(K164/Z164)*Y164),TRUNC(agent!$O$15*(K164/Z164)*Y164,3),"没有上级")</f>
        <v>576.56200000000001</v>
      </c>
      <c r="R164" s="28">
        <f>IF(ISNUMBER(agent!$O$18*(K164/Z164)*Y164),TRUNC(agent!$O$18*(K164/Z164)*Y164,3),"没有上级")</f>
        <v>432.42099999999999</v>
      </c>
      <c r="S164" s="28">
        <f>IF(ISNUMBER(agent!$O$21*(K164/Z164)*Y164),TRUNC(agent!$O$21*(K164/Z164)*Y164,3),"没有上级")</f>
        <v>144.13999999999999</v>
      </c>
      <c r="T164" s="28">
        <f>IF(ISNUMBER(agent!$O$24*(K164/Z164)*Y164),TRUNC(agent!$O$24*(K164/Z164)*Y164,3),"没有上级")</f>
        <v>1008.9829999999999</v>
      </c>
      <c r="U164" s="28">
        <f>IF(ISNUMBER(agent!$O$27*(K164/Z164)*Y164),TRUNC(agent!$O$27*(K164/Z164)*Y164,3),"没有上级")</f>
        <v>432.42099999999999</v>
      </c>
      <c r="V164" s="28">
        <f>IF(ISNUMBER(agent!$O$30*(K164/Z164)*Y164),TRUNC(agent!$O$30*(K164/Z164)*Y164,3),"没有上级")</f>
        <v>576.56200000000001</v>
      </c>
      <c r="W164" s="28">
        <f>IF(ISNUMBER(agent!$O$33*(K164/Z164)*Y164),TRUNC(agent!$O$33*(K164/Z164)*Y164,3),"没有上级")</f>
        <v>432.42099999999999</v>
      </c>
      <c r="X164" s="28"/>
      <c r="Y164">
        <f>TRUNC(0.0042857,3)</f>
        <v>4.0000000000000001E-3</v>
      </c>
      <c r="Z164" s="28">
        <f>TRUNC(AB164-(9.9-agent!L$3)*10*Y164,3)</f>
        <v>4.22</v>
      </c>
      <c r="AA164" s="28">
        <f>'5Of11Source'!X$2</f>
        <v>0</v>
      </c>
      <c r="AB164">
        <f t="shared" ref="AB164:AB186" si="30">TRUNC(AD164+Y164*99,4)</f>
        <v>4.3559999999999999</v>
      </c>
      <c r="AC164" s="28">
        <f>'5Of11Source'!E227</f>
        <v>11</v>
      </c>
      <c r="AD164" s="28">
        <v>3.96</v>
      </c>
      <c r="AE164" s="28"/>
      <c r="AF164" s="28"/>
      <c r="AG164" s="28"/>
      <c r="AH164" s="28"/>
      <c r="AI164" s="28"/>
    </row>
    <row r="165" spans="4:35" x14ac:dyDescent="0.15">
      <c r="D165" s="28" t="s">
        <v>70</v>
      </c>
      <c r="E165" s="28" t="s">
        <v>74</v>
      </c>
      <c r="F165" s="27" t="str">
        <f>'5Of11Source'!$J$24</f>
        <v>01 02 03 04 05 06 07 08 09 10 11</v>
      </c>
      <c r="G165" s="28">
        <f>'5Of11Source'!F172</f>
        <v>0</v>
      </c>
      <c r="H165" s="28">
        <v>1</v>
      </c>
      <c r="I165" s="30">
        <f t="shared" si="19"/>
        <v>220</v>
      </c>
      <c r="J165" s="22">
        <f t="shared" si="25"/>
        <v>21515.018000000004</v>
      </c>
      <c r="K165" s="30">
        <f>'5Of11Source'!L221</f>
        <v>610647</v>
      </c>
      <c r="L165" s="28">
        <f t="shared" si="26"/>
        <v>1029100530.395</v>
      </c>
      <c r="M165" s="29" t="str">
        <f t="shared" si="29"/>
        <v>03,06,07,08,10</v>
      </c>
      <c r="N165" s="28">
        <f>IF(ISNUMBER(agent!$O$6*(K165/Z165)*Y165),TRUNC(agent!$O$6*(K165/Z165)*Y165,3),"没有上级")</f>
        <v>632.79399999999998</v>
      </c>
      <c r="O165" s="28">
        <f>IF(ISNUMBER(agent!$O$9*(K165/Z165)*Y165),TRUNC(agent!$O$9*(K165/Z165)*Y165,3),"没有上级")</f>
        <v>3796.768</v>
      </c>
      <c r="P165" s="28">
        <f>IF(ISNUMBER(agent!$O$12*(K165/Z165)*Y165),TRUNC(agent!$O$12*(K165/Z165)*Y165,3),"没有上级")</f>
        <v>1265.5889999999999</v>
      </c>
      <c r="Q165" s="28">
        <f>IF(ISNUMBER(agent!$O$15*(K165/Z165)*Y165),TRUNC(agent!$O$15*(K165/Z165)*Y165,3),"没有上级")</f>
        <v>2531.1790000000001</v>
      </c>
      <c r="R165" s="28">
        <f>IF(ISNUMBER(agent!$O$18*(K165/Z165)*Y165),TRUNC(agent!$O$18*(K165/Z165)*Y165,3),"没有上级")</f>
        <v>1898.384</v>
      </c>
      <c r="S165" s="28">
        <f>IF(ISNUMBER(agent!$O$21*(K165/Z165)*Y165),TRUNC(agent!$O$21*(K165/Z165)*Y165,3),"没有上级")</f>
        <v>632.79399999999998</v>
      </c>
      <c r="T165" s="28">
        <f>IF(ISNUMBER(agent!$O$24*(K165/Z165)*Y165),TRUNC(agent!$O$24*(K165/Z165)*Y165,3),"没有上级")</f>
        <v>4429.5630000000001</v>
      </c>
      <c r="U165" s="28">
        <f>IF(ISNUMBER(agent!$O$27*(K165/Z165)*Y165),TRUNC(agent!$O$27*(K165/Z165)*Y165,3),"没有上级")</f>
        <v>1898.384</v>
      </c>
      <c r="V165" s="28">
        <f>IF(ISNUMBER(agent!$O$30*(K165/Z165)*Y165),TRUNC(agent!$O$30*(K165/Z165)*Y165,3),"没有上级")</f>
        <v>2531.1790000000001</v>
      </c>
      <c r="W165" s="28">
        <f>IF(ISNUMBER(agent!$O$33*(K165/Z165)*Y165),TRUNC(agent!$O$33*(K165/Z165)*Y165,3),"没有上级")</f>
        <v>1898.384</v>
      </c>
      <c r="X165" s="28"/>
      <c r="Y165">
        <f>TRUNC(0.011,3)</f>
        <v>1.0999999999999999E-2</v>
      </c>
      <c r="Z165" s="28">
        <f>TRUNC(AB165-(9.9-agent!L$3)*10*Y165,3)</f>
        <v>10.615</v>
      </c>
      <c r="AA165" s="28">
        <f>'5Of11Source'!X$2</f>
        <v>0</v>
      </c>
      <c r="AB165">
        <f t="shared" si="30"/>
        <v>10.989000000000001</v>
      </c>
      <c r="AC165" s="28">
        <f>'5Of11Source'!E228</f>
        <v>55</v>
      </c>
      <c r="AD165" s="28">
        <v>9.9</v>
      </c>
      <c r="AE165" s="28"/>
      <c r="AF165" s="28"/>
      <c r="AG165" s="28"/>
      <c r="AH165" s="28"/>
      <c r="AI165" s="28"/>
    </row>
    <row r="166" spans="4:35" x14ac:dyDescent="0.15">
      <c r="D166" s="28" t="s">
        <v>70</v>
      </c>
      <c r="E166" s="28" t="s">
        <v>76</v>
      </c>
      <c r="F166" s="27" t="str">
        <f>'5Of11Source'!$J$25</f>
        <v>01 02 03 04 05 06 07 08 09 10 11</v>
      </c>
      <c r="G166" s="28">
        <f>'5Of11Source'!F173</f>
        <v>0</v>
      </c>
      <c r="H166" s="28">
        <v>1</v>
      </c>
      <c r="I166" s="30">
        <f t="shared" si="19"/>
        <v>990</v>
      </c>
      <c r="J166" s="22">
        <f t="shared" si="25"/>
        <v>32147.067999999999</v>
      </c>
      <c r="K166" s="30">
        <f>'5Of11Source'!L222</f>
        <v>912409.50000000012</v>
      </c>
      <c r="L166" s="28">
        <f t="shared" si="26"/>
        <v>1030011949.895</v>
      </c>
      <c r="M166" s="29" t="str">
        <f t="shared" si="29"/>
        <v>03,06,07,08,10</v>
      </c>
      <c r="N166" s="28">
        <f>IF(ISNUMBER(agent!$O$6*(K166/Z166)*Y166),TRUNC(agent!$O$6*(K166/Z166)*Y166,3),"没有上级")</f>
        <v>945.50199999999995</v>
      </c>
      <c r="O166" s="28">
        <f>IF(ISNUMBER(agent!$O$9*(K166/Z166)*Y166),TRUNC(agent!$O$9*(K166/Z166)*Y166,3),"没有上级")</f>
        <v>5673.0119999999997</v>
      </c>
      <c r="P166" s="28">
        <f>IF(ISNUMBER(agent!$O$12*(K166/Z166)*Y166),TRUNC(agent!$O$12*(K166/Z166)*Y166,3),"没有上级")</f>
        <v>1891.0039999999999</v>
      </c>
      <c r="Q166" s="28">
        <f>IF(ISNUMBER(agent!$O$15*(K166/Z166)*Y166),TRUNC(agent!$O$15*(K166/Z166)*Y166,3),"没有上级")</f>
        <v>3782.0079999999998</v>
      </c>
      <c r="R166" s="28">
        <f>IF(ISNUMBER(agent!$O$18*(K166/Z166)*Y166),TRUNC(agent!$O$18*(K166/Z166)*Y166,3),"没有上级")</f>
        <v>2836.5059999999999</v>
      </c>
      <c r="S166" s="28">
        <f>IF(ISNUMBER(agent!$O$21*(K166/Z166)*Y166),TRUNC(agent!$O$21*(K166/Z166)*Y166,3),"没有上级")</f>
        <v>945.50199999999995</v>
      </c>
      <c r="T166" s="28">
        <f>IF(ISNUMBER(agent!$O$24*(K166/Z166)*Y166),TRUNC(agent!$O$24*(K166/Z166)*Y166,3),"没有上级")</f>
        <v>6618.5140000000001</v>
      </c>
      <c r="U166" s="28">
        <f>IF(ISNUMBER(agent!$O$27*(K166/Z166)*Y166),TRUNC(agent!$O$27*(K166/Z166)*Y166,3),"没有上级")</f>
        <v>2836.5059999999999</v>
      </c>
      <c r="V166" s="28">
        <f>IF(ISNUMBER(agent!$O$30*(K166/Z166)*Y166),TRUNC(agent!$O$30*(K166/Z166)*Y166,3),"没有上级")</f>
        <v>3782.0079999999998</v>
      </c>
      <c r="W166" s="28">
        <f>IF(ISNUMBER(agent!$O$33*(K166/Z166)*Y166),TRUNC(agent!$O$33*(K166/Z166)*Y166,3),"没有上级")</f>
        <v>2836.5059999999999</v>
      </c>
      <c r="X166" s="28"/>
      <c r="Y166">
        <f>TRUNC(0.033,3)</f>
        <v>3.3000000000000002E-2</v>
      </c>
      <c r="Z166" s="28">
        <f>TRUNC(AB166-(9.9-agent!L$3)*10*Y166,3)</f>
        <v>31.844999999999999</v>
      </c>
      <c r="AA166" s="28">
        <f>'5Of11Source'!X$2</f>
        <v>0</v>
      </c>
      <c r="AB166">
        <f t="shared" si="30"/>
        <v>32.966999999999999</v>
      </c>
      <c r="AC166" s="28">
        <f>'5Of11Source'!E229</f>
        <v>165</v>
      </c>
      <c r="AD166" s="28">
        <v>29.7</v>
      </c>
      <c r="AE166" s="28"/>
      <c r="AF166" s="28"/>
      <c r="AG166" s="28"/>
      <c r="AH166" s="28"/>
      <c r="AI166" s="28"/>
    </row>
    <row r="167" spans="4:35" x14ac:dyDescent="0.15">
      <c r="D167" s="28" t="s">
        <v>70</v>
      </c>
      <c r="E167" s="28" t="s">
        <v>78</v>
      </c>
      <c r="F167" s="27" t="str">
        <f>'5Of11Source'!$J$26</f>
        <v>01 02 03 04 05 06 07 08 09 10 11</v>
      </c>
      <c r="G167" s="28">
        <f>'5Of11Source'!F174</f>
        <v>5</v>
      </c>
      <c r="H167" s="28">
        <v>1</v>
      </c>
      <c r="I167" s="30">
        <f t="shared" si="19"/>
        <v>3300</v>
      </c>
      <c r="J167" s="22">
        <f t="shared" si="25"/>
        <v>25385.884000000002</v>
      </c>
      <c r="K167" s="30">
        <f>'5Of11Source'!L223</f>
        <v>720511.25000000023</v>
      </c>
      <c r="L167" s="28">
        <f t="shared" si="26"/>
        <v>1030729161.145</v>
      </c>
      <c r="M167" s="29" t="str">
        <f t="shared" si="29"/>
        <v>03,06,07,08,10</v>
      </c>
      <c r="N167" s="28">
        <f>IF(ISNUMBER(agent!$O$6*(K167/Z167)*Y167),TRUNC(agent!$O$6*(K167/Z167)*Y167,3),"没有上级")</f>
        <v>746.64300000000003</v>
      </c>
      <c r="O167" s="28">
        <f>IF(ISNUMBER(agent!$O$9*(K167/Z167)*Y167),TRUNC(agent!$O$9*(K167/Z167)*Y167,3),"没有上级")</f>
        <v>4479.8620000000001</v>
      </c>
      <c r="P167" s="28">
        <f>IF(ISNUMBER(agent!$O$12*(K167/Z167)*Y167),TRUNC(agent!$O$12*(K167/Z167)*Y167,3),"没有上级")</f>
        <v>1493.287</v>
      </c>
      <c r="Q167" s="28">
        <f>IF(ISNUMBER(agent!$O$15*(K167/Z167)*Y167),TRUNC(agent!$O$15*(K167/Z167)*Y167,3),"没有上级")</f>
        <v>2986.5749999999998</v>
      </c>
      <c r="R167" s="28">
        <f>IF(ISNUMBER(agent!$O$18*(K167/Z167)*Y167),TRUNC(agent!$O$18*(K167/Z167)*Y167,3),"没有上级")</f>
        <v>2239.931</v>
      </c>
      <c r="S167" s="28">
        <f>IF(ISNUMBER(agent!$O$21*(K167/Z167)*Y167),TRUNC(agent!$O$21*(K167/Z167)*Y167,3),"没有上级")</f>
        <v>746.64300000000003</v>
      </c>
      <c r="T167" s="28">
        <f>IF(ISNUMBER(agent!$O$24*(K167/Z167)*Y167),TRUNC(agent!$O$24*(K167/Z167)*Y167,3),"没有上级")</f>
        <v>5226.5060000000003</v>
      </c>
      <c r="U167" s="28">
        <f>IF(ISNUMBER(agent!$O$27*(K167/Z167)*Y167),TRUNC(agent!$O$27*(K167/Z167)*Y167,3),"没有上级")</f>
        <v>2239.931</v>
      </c>
      <c r="V167" s="28">
        <f>IF(ISNUMBER(agent!$O$30*(K167/Z167)*Y167),TRUNC(agent!$O$30*(K167/Z167)*Y167,3),"没有上级")</f>
        <v>2986.5749999999998</v>
      </c>
      <c r="W167" s="28">
        <f>IF(ISNUMBER(agent!$O$33*(K167/Z167)*Y167),TRUNC(agent!$O$33*(K167/Z167)*Y167,3),"没有上级")</f>
        <v>2239.931</v>
      </c>
      <c r="X167" s="28" t="s">
        <v>10</v>
      </c>
      <c r="Y167">
        <f>TRUNC(0.132,3)</f>
        <v>0.13200000000000001</v>
      </c>
      <c r="Z167" s="28">
        <f>TRUNC(AB167-(9.9-agent!L$3)*10*Y167,3)</f>
        <v>127.38</v>
      </c>
      <c r="AA167" s="28">
        <f>'5Of11Source'!X$2</f>
        <v>0</v>
      </c>
      <c r="AB167">
        <f t="shared" si="30"/>
        <v>131.86799999999999</v>
      </c>
      <c r="AC167" s="28">
        <f>'5Of11Source'!E230</f>
        <v>330</v>
      </c>
      <c r="AD167" s="28">
        <v>118.8</v>
      </c>
      <c r="AE167" s="28"/>
      <c r="AF167" s="28"/>
      <c r="AG167" s="28"/>
      <c r="AH167" s="28"/>
      <c r="AI167" s="28"/>
    </row>
    <row r="168" spans="4:35" x14ac:dyDescent="0.15">
      <c r="D168" s="28" t="s">
        <v>70</v>
      </c>
      <c r="E168" s="28" t="s">
        <v>80</v>
      </c>
      <c r="F168" s="27" t="str">
        <f>'5Of11Source'!$J$27</f>
        <v>01 02 03 04 05 06 07 08 09 10 11</v>
      </c>
      <c r="G168" s="28">
        <f>'5Of11Source'!F175</f>
        <v>2</v>
      </c>
      <c r="H168" s="28">
        <v>1</v>
      </c>
      <c r="I168" s="30">
        <f t="shared" ref="I168:I223" si="31">I131</f>
        <v>3695.9999999999995</v>
      </c>
      <c r="J168" s="22">
        <f t="shared" si="25"/>
        <v>4060.527</v>
      </c>
      <c r="K168" s="30">
        <f>'5Of11Source'!L224</f>
        <v>115247.40000000001</v>
      </c>
      <c r="L168" s="28">
        <f t="shared" si="26"/>
        <v>1030840712.545</v>
      </c>
      <c r="M168" s="29" t="str">
        <f t="shared" si="29"/>
        <v>03,06,07,08,10</v>
      </c>
      <c r="N168" s="28">
        <f>IF(ISNUMBER(agent!$O$6*(K168/Z168)*Y168),TRUNC(agent!$O$6*(K168/Z168)*Y168,3),"没有上级")</f>
        <v>119.42700000000001</v>
      </c>
      <c r="O168" s="28">
        <f>IF(ISNUMBER(agent!$O$9*(K168/Z168)*Y168),TRUNC(agent!$O$9*(K168/Z168)*Y168,3),"没有上级")</f>
        <v>716.56399999999996</v>
      </c>
      <c r="P168" s="28">
        <f>IF(ISNUMBER(agent!$O$12*(K168/Z168)*Y168),TRUNC(agent!$O$12*(K168/Z168)*Y168,3),"没有上级")</f>
        <v>238.85400000000001</v>
      </c>
      <c r="Q168" s="28">
        <f>IF(ISNUMBER(agent!$O$15*(K168/Z168)*Y168),TRUNC(agent!$O$15*(K168/Z168)*Y168,3),"没有上级")</f>
        <v>477.709</v>
      </c>
      <c r="R168" s="28">
        <f>IF(ISNUMBER(agent!$O$18*(K168/Z168)*Y168),TRUNC(agent!$O$18*(K168/Z168)*Y168,3),"没有上级")</f>
        <v>358.28199999999998</v>
      </c>
      <c r="S168" s="28">
        <f>IF(ISNUMBER(agent!$O$21*(K168/Z168)*Y168),TRUNC(agent!$O$21*(K168/Z168)*Y168,3),"没有上级")</f>
        <v>119.42700000000001</v>
      </c>
      <c r="T168" s="28">
        <f>IF(ISNUMBER(agent!$O$24*(K168/Z168)*Y168),TRUNC(agent!$O$24*(K168/Z168)*Y168,3),"没有上级")</f>
        <v>835.99099999999999</v>
      </c>
      <c r="U168" s="28">
        <f>IF(ISNUMBER(agent!$O$27*(K168/Z168)*Y168),TRUNC(agent!$O$27*(K168/Z168)*Y168,3),"没有上级")</f>
        <v>358.28199999999998</v>
      </c>
      <c r="V168" s="28">
        <f>IF(ISNUMBER(agent!$O$30*(K168/Z168)*Y168),TRUNC(agent!$O$30*(K168/Z168)*Y168,3),"没有上级")</f>
        <v>477.709</v>
      </c>
      <c r="W168" s="28">
        <f>IF(ISNUMBER(agent!$O$33*(K168/Z168)*Y168),TRUNC(agent!$O$33*(K168/Z168)*Y168,3),"没有上级")</f>
        <v>358.28199999999998</v>
      </c>
      <c r="X168" s="28"/>
      <c r="Y168">
        <f>TRUNC(0.924,3)</f>
        <v>0.92400000000000004</v>
      </c>
      <c r="Z168" s="28">
        <f>TRUNC(AB168-(9.9-agent!L$3)*10*Y168,3)</f>
        <v>891.66</v>
      </c>
      <c r="AA168" s="28">
        <f>'5Of11Source'!X$2</f>
        <v>0</v>
      </c>
      <c r="AB168">
        <f t="shared" si="30"/>
        <v>923.07600000000002</v>
      </c>
      <c r="AC168" s="28">
        <f>'5Of11Source'!E231</f>
        <v>461.99999999999994</v>
      </c>
      <c r="AD168" s="28">
        <v>831.6</v>
      </c>
      <c r="AE168" s="28"/>
      <c r="AF168" s="28"/>
      <c r="AG168" s="28"/>
      <c r="AH168" s="28"/>
      <c r="AI168" s="28"/>
    </row>
    <row r="169" spans="4:35" x14ac:dyDescent="0.15">
      <c r="D169" s="28" t="s">
        <v>70</v>
      </c>
      <c r="E169" s="28" t="s">
        <v>82</v>
      </c>
      <c r="F169" s="27" t="str">
        <f>'5Of11Source'!$J$28</f>
        <v>01 02 03 04 05 06 07 08 09 10 11</v>
      </c>
      <c r="G169" s="28">
        <f>'5Of11Source'!F176</f>
        <v>1</v>
      </c>
      <c r="H169" s="28">
        <v>1</v>
      </c>
      <c r="I169" s="30">
        <f t="shared" si="31"/>
        <v>3695.9999999999995</v>
      </c>
      <c r="J169" s="22">
        <f t="shared" si="25"/>
        <v>24369.603000000003</v>
      </c>
      <c r="K169" s="30">
        <f>'5Of11Source'!L225</f>
        <v>691666.80000000016</v>
      </c>
      <c r="L169" s="28">
        <f t="shared" si="26"/>
        <v>1031528683.3449999</v>
      </c>
      <c r="M169" s="29" t="str">
        <f t="shared" si="29"/>
        <v>03,06,07,08,10</v>
      </c>
      <c r="N169" s="28">
        <f>IF(ISNUMBER(agent!$O$6*(K169/Z169)*Y169),TRUNC(agent!$O$6*(K169/Z169)*Y169,3),"没有上级")</f>
        <v>716.75300000000004</v>
      </c>
      <c r="O169" s="28">
        <f>IF(ISNUMBER(agent!$O$9*(K169/Z169)*Y169),TRUNC(agent!$O$9*(K169/Z169)*Y169,3),"没有上级")</f>
        <v>4300.518</v>
      </c>
      <c r="P169" s="28">
        <f>IF(ISNUMBER(agent!$O$12*(K169/Z169)*Y169),TRUNC(agent!$O$12*(K169/Z169)*Y169,3),"没有上级")</f>
        <v>1433.5060000000001</v>
      </c>
      <c r="Q169" s="28">
        <f>IF(ISNUMBER(agent!$O$15*(K169/Z169)*Y169),TRUNC(agent!$O$15*(K169/Z169)*Y169,3),"没有上级")</f>
        <v>2867.0120000000002</v>
      </c>
      <c r="R169" s="28">
        <f>IF(ISNUMBER(agent!$O$18*(K169/Z169)*Y169),TRUNC(agent!$O$18*(K169/Z169)*Y169,3),"没有上级")</f>
        <v>2150.259</v>
      </c>
      <c r="S169" s="28">
        <f>IF(ISNUMBER(agent!$O$21*(K169/Z169)*Y169),TRUNC(agent!$O$21*(K169/Z169)*Y169,3),"没有上级")</f>
        <v>716.75300000000004</v>
      </c>
      <c r="T169" s="28">
        <f>IF(ISNUMBER(agent!$O$24*(K169/Z169)*Y169),TRUNC(agent!$O$24*(K169/Z169)*Y169,3),"没有上级")</f>
        <v>5017.2719999999999</v>
      </c>
      <c r="U169" s="28">
        <f>IF(ISNUMBER(agent!$O$27*(K169/Z169)*Y169),TRUNC(agent!$O$27*(K169/Z169)*Y169,3),"没有上级")</f>
        <v>2150.259</v>
      </c>
      <c r="V169" s="28">
        <f>IF(ISNUMBER(agent!$O$30*(K169/Z169)*Y169),TRUNC(agent!$O$30*(K169/Z169)*Y169,3),"没有上级")</f>
        <v>2867.0120000000002</v>
      </c>
      <c r="W169" s="28">
        <f>IF(ISNUMBER(agent!$O$33*(K169/Z169)*Y169),TRUNC(agent!$O$33*(K169/Z169)*Y169,3),"没有上级")</f>
        <v>2150.259</v>
      </c>
      <c r="X169" s="28"/>
      <c r="Y169">
        <f>TRUNC(0.154,3)</f>
        <v>0.154</v>
      </c>
      <c r="Z169" s="28">
        <f>TRUNC(AB169-(9.9-agent!L$3)*10*Y169,3)</f>
        <v>148.61000000000001</v>
      </c>
      <c r="AA169" s="28">
        <f>'5Of11Source'!X$2</f>
        <v>0</v>
      </c>
      <c r="AB169">
        <f t="shared" si="30"/>
        <v>153.846</v>
      </c>
      <c r="AC169" s="28">
        <f>'5Of11Source'!E232</f>
        <v>461.99999999999994</v>
      </c>
      <c r="AD169" s="28">
        <v>138.6</v>
      </c>
      <c r="AE169" s="28"/>
      <c r="AF169" s="28"/>
      <c r="AG169" s="28"/>
      <c r="AH169" s="28"/>
      <c r="AI169" s="28"/>
    </row>
    <row r="170" spans="4:35" x14ac:dyDescent="0.15">
      <c r="D170" s="28" t="s">
        <v>70</v>
      </c>
      <c r="E170" s="28" t="s">
        <v>84</v>
      </c>
      <c r="F170" s="27" t="str">
        <f>'5Of11Source'!$J$29</f>
        <v>01 02 03 04 05 06 07 08 09 10 11</v>
      </c>
      <c r="G170" s="28">
        <f>'5Of11Source'!F177</f>
        <v>2</v>
      </c>
      <c r="H170" s="28">
        <v>1</v>
      </c>
      <c r="I170" s="30">
        <f t="shared" si="31"/>
        <v>1980</v>
      </c>
      <c r="J170" s="22">
        <f t="shared" si="25"/>
        <v>45680.960000000006</v>
      </c>
      <c r="K170" s="30">
        <f>'5Of11Source'!L226</f>
        <v>1296533.25</v>
      </c>
      <c r="L170" s="28">
        <f t="shared" si="26"/>
        <v>1032823236.5949999</v>
      </c>
      <c r="M170" s="29" t="str">
        <f t="shared" si="29"/>
        <v>03,06,07,08,10</v>
      </c>
      <c r="N170" s="28">
        <f>IF(ISNUMBER(agent!$O$6*(K170/Z170)*Y170),TRUNC(agent!$O$6*(K170/Z170)*Y170,3),"没有上级")</f>
        <v>1343.557</v>
      </c>
      <c r="O170" s="28">
        <f>IF(ISNUMBER(agent!$O$9*(K170/Z170)*Y170),TRUNC(agent!$O$9*(K170/Z170)*Y170,3),"没有上级")</f>
        <v>8061.3459999999995</v>
      </c>
      <c r="P170" s="28">
        <f>IF(ISNUMBER(agent!$O$12*(K170/Z170)*Y170),TRUNC(agent!$O$12*(K170/Z170)*Y170,3),"没有上级")</f>
        <v>2687.1149999999998</v>
      </c>
      <c r="Q170" s="28">
        <f>IF(ISNUMBER(agent!$O$15*(K170/Z170)*Y170),TRUNC(agent!$O$15*(K170/Z170)*Y170,3),"没有上级")</f>
        <v>5374.2309999999998</v>
      </c>
      <c r="R170" s="28">
        <f>IF(ISNUMBER(agent!$O$18*(K170/Z170)*Y170),TRUNC(agent!$O$18*(K170/Z170)*Y170,3),"没有上级")</f>
        <v>4030.6729999999998</v>
      </c>
      <c r="S170" s="28">
        <f>IF(ISNUMBER(agent!$O$21*(K170/Z170)*Y170),TRUNC(agent!$O$21*(K170/Z170)*Y170,3),"没有上级")</f>
        <v>1343.557</v>
      </c>
      <c r="T170" s="28">
        <f>IF(ISNUMBER(agent!$O$24*(K170/Z170)*Y170),TRUNC(agent!$O$24*(K170/Z170)*Y170,3),"没有上级")</f>
        <v>9404.9040000000005</v>
      </c>
      <c r="U170" s="28">
        <f>IF(ISNUMBER(agent!$O$27*(K170/Z170)*Y170),TRUNC(agent!$O$27*(K170/Z170)*Y170,3),"没有上级")</f>
        <v>4030.6729999999998</v>
      </c>
      <c r="V170" s="28">
        <f>IF(ISNUMBER(agent!$O$30*(K170/Z170)*Y170),TRUNC(agent!$O$30*(K170/Z170)*Y170,3),"没有上级")</f>
        <v>5374.2309999999998</v>
      </c>
      <c r="W170" s="28">
        <f>IF(ISNUMBER(agent!$O$33*(K170/Z170)*Y170),TRUNC(agent!$O$33*(K170/Z170)*Y170,3),"没有上级")</f>
        <v>4030.6729999999998</v>
      </c>
      <c r="X170" s="28"/>
      <c r="Y170">
        <f>TRUNC(0.044,3)</f>
        <v>4.3999999999999997E-2</v>
      </c>
      <c r="Z170" s="28">
        <f>TRUNC(AB170-(9.9-agent!L$3)*10*Y170,3)</f>
        <v>42.46</v>
      </c>
      <c r="AA170" s="28">
        <f>'5Of11Source'!X$2</f>
        <v>0</v>
      </c>
      <c r="AB170">
        <f t="shared" si="30"/>
        <v>43.956000000000003</v>
      </c>
      <c r="AC170" s="28">
        <f>'5Of11Source'!E233</f>
        <v>330</v>
      </c>
      <c r="AD170" s="28">
        <v>39.6</v>
      </c>
      <c r="AE170" s="28"/>
      <c r="AF170" s="28"/>
      <c r="AG170" s="28"/>
      <c r="AH170" s="28"/>
      <c r="AI170" s="28"/>
    </row>
    <row r="171" spans="4:35" x14ac:dyDescent="0.15">
      <c r="D171" s="28" t="s">
        <v>70</v>
      </c>
      <c r="E171" s="28" t="s">
        <v>86</v>
      </c>
      <c r="F171" s="27" t="str">
        <f>'5Of11Source'!$J$30</f>
        <v>01 02 03 04 05 06 07 08 09 10 11</v>
      </c>
      <c r="G171" s="28">
        <f>'5Of11Source'!F178</f>
        <v>3</v>
      </c>
      <c r="H171" s="28">
        <v>1</v>
      </c>
      <c r="I171" s="30">
        <f t="shared" si="31"/>
        <v>990</v>
      </c>
      <c r="J171" s="22">
        <f t="shared" si="25"/>
        <v>57240.262999999992</v>
      </c>
      <c r="K171" s="30">
        <f>'5Of11Source'!L227</f>
        <v>1671963.0000000005</v>
      </c>
      <c r="L171" s="28">
        <f t="shared" si="26"/>
        <v>1034494209.5949999</v>
      </c>
      <c r="M171" s="29" t="str">
        <f t="shared" si="29"/>
        <v>03,06,07,08,10</v>
      </c>
      <c r="N171" s="28">
        <f>IF(ISNUMBER(agent!$O$6*(K171/Z171)*Y171),TRUNC(agent!$O$6*(K171/Z171)*Y171,3),"没有上级")</f>
        <v>1683.537</v>
      </c>
      <c r="O171" s="28">
        <f>IF(ISNUMBER(agent!$O$9*(K171/Z171)*Y171),TRUNC(agent!$O$9*(K171/Z171)*Y171,3),"没有上级")</f>
        <v>10101.223</v>
      </c>
      <c r="P171" s="28">
        <f>IF(ISNUMBER(agent!$O$12*(K171/Z171)*Y171),TRUNC(agent!$O$12*(K171/Z171)*Y171,3),"没有上级")</f>
        <v>3367.0740000000001</v>
      </c>
      <c r="Q171" s="28">
        <f>IF(ISNUMBER(agent!$O$15*(K171/Z171)*Y171),TRUNC(agent!$O$15*(K171/Z171)*Y171,3),"没有上级")</f>
        <v>6734.1490000000003</v>
      </c>
      <c r="R171" s="28">
        <f>IF(ISNUMBER(agent!$O$18*(K171/Z171)*Y171),TRUNC(agent!$O$18*(K171/Z171)*Y171,3),"没有上级")</f>
        <v>5050.6109999999999</v>
      </c>
      <c r="S171" s="28">
        <f>IF(ISNUMBER(agent!$O$21*(K171/Z171)*Y171),TRUNC(agent!$O$21*(K171/Z171)*Y171,3),"没有上级")</f>
        <v>1683.537</v>
      </c>
      <c r="T171" s="28">
        <f>IF(ISNUMBER(agent!$O$24*(K171/Z171)*Y171),TRUNC(agent!$O$24*(K171/Z171)*Y171,3),"没有上级")</f>
        <v>11784.761</v>
      </c>
      <c r="U171" s="28">
        <f>IF(ISNUMBER(agent!$O$27*(K171/Z171)*Y171),TRUNC(agent!$O$27*(K171/Z171)*Y171,3),"没有上级")</f>
        <v>5050.6109999999999</v>
      </c>
      <c r="V171" s="28">
        <f>IF(ISNUMBER(agent!$O$30*(K171/Z171)*Y171),TRUNC(agent!$O$30*(K171/Z171)*Y171,3),"没有上级")</f>
        <v>6734.1490000000003</v>
      </c>
      <c r="W171" s="28">
        <f>IF(ISNUMBER(agent!$O$33*(K171/Z171)*Y171),TRUNC(agent!$O$33*(K171/Z171)*Y171,3),"没有上级")</f>
        <v>5050.6109999999999</v>
      </c>
      <c r="X171" s="28" t="s">
        <v>12</v>
      </c>
      <c r="Y171">
        <f>TRUNC(0.01642857,3)</f>
        <v>1.6E-2</v>
      </c>
      <c r="Z171" s="28">
        <f>TRUNC(AB171-(9.9-agent!L$3)*10*Y171,3)</f>
        <v>15.89</v>
      </c>
      <c r="AA171" s="28">
        <f>'5Of11Source'!X$2</f>
        <v>0</v>
      </c>
      <c r="AB171">
        <f t="shared" si="30"/>
        <v>16.434000000000001</v>
      </c>
      <c r="AC171" s="28">
        <f>'5Of11Source'!E234</f>
        <v>165</v>
      </c>
      <c r="AD171" s="28">
        <v>14.85</v>
      </c>
      <c r="AE171" s="28"/>
      <c r="AF171" s="28"/>
      <c r="AG171" s="28"/>
      <c r="AH171" s="28"/>
      <c r="AI171" s="28"/>
    </row>
    <row r="172" spans="4:35" x14ac:dyDescent="0.15">
      <c r="D172" s="28" t="s">
        <v>96</v>
      </c>
      <c r="E172" s="28" t="s">
        <v>72</v>
      </c>
      <c r="F172" s="27" t="str">
        <f>'5Of11Source'!$J$31</f>
        <v>01,02,03,04,05,06,07,08,09,10,11</v>
      </c>
      <c r="G172" s="28">
        <f>'5Of11Source'!F179</f>
        <v>5</v>
      </c>
      <c r="H172" s="28">
        <v>1</v>
      </c>
      <c r="I172" s="30">
        <f t="shared" si="31"/>
        <v>88</v>
      </c>
      <c r="J172" s="22">
        <f t="shared" si="25"/>
        <v>18037.558999999997</v>
      </c>
      <c r="K172" s="30">
        <f>'5Of11Source'!L228</f>
        <v>559695.00000000012</v>
      </c>
      <c r="L172" s="28">
        <f t="shared" si="26"/>
        <v>1035053816.5949999</v>
      </c>
      <c r="M172" s="29" t="str">
        <f t="shared" si="29"/>
        <v>03,06,07,08,10</v>
      </c>
      <c r="N172" s="28">
        <f>IF(ISNUMBER(agent!$O$6*(K172/Z172)*Y172),TRUNC(agent!$O$6*(K172/Z172)*Y172,3),"没有上级")</f>
        <v>530.51599999999996</v>
      </c>
      <c r="O172" s="28">
        <f>IF(ISNUMBER(agent!$O$9*(K172/Z172)*Y172),TRUNC(agent!$O$9*(K172/Z172)*Y172,3),"没有上级")</f>
        <v>3183.0990000000002</v>
      </c>
      <c r="P172" s="28">
        <f>IF(ISNUMBER(agent!$O$12*(K172/Z172)*Y172),TRUNC(agent!$O$12*(K172/Z172)*Y172,3),"没有上级")</f>
        <v>1061.0329999999999</v>
      </c>
      <c r="Q172" s="28">
        <f>IF(ISNUMBER(agent!$O$15*(K172/Z172)*Y172),TRUNC(agent!$O$15*(K172/Z172)*Y172,3),"没有上级")</f>
        <v>2122.0659999999998</v>
      </c>
      <c r="R172" s="28">
        <f>IF(ISNUMBER(agent!$O$18*(K172/Z172)*Y172),TRUNC(agent!$O$18*(K172/Z172)*Y172,3),"没有上级")</f>
        <v>1591.549</v>
      </c>
      <c r="S172" s="28">
        <f>IF(ISNUMBER(agent!$O$21*(K172/Z172)*Y172),TRUNC(agent!$O$21*(K172/Z172)*Y172,3),"没有上级")</f>
        <v>530.51599999999996</v>
      </c>
      <c r="T172" s="28">
        <f>IF(ISNUMBER(agent!$O$24*(K172/Z172)*Y172),TRUNC(agent!$O$24*(K172/Z172)*Y172,3),"没有上级")</f>
        <v>3713.616</v>
      </c>
      <c r="U172" s="28">
        <f>IF(ISNUMBER(agent!$O$27*(K172/Z172)*Y172),TRUNC(agent!$O$27*(K172/Z172)*Y172,3),"没有上级")</f>
        <v>1591.549</v>
      </c>
      <c r="V172" s="28">
        <f>IF(ISNUMBER(agent!$O$30*(K172/Z172)*Y172),TRUNC(agent!$O$30*(K172/Z172)*Y172,3),"没有上级")</f>
        <v>2122.0659999999998</v>
      </c>
      <c r="W172" s="28">
        <f>IF(ISNUMBER(agent!$O$33*(K172/Z172)*Y172),TRUNC(agent!$O$33*(K172/Z172)*Y172,3),"没有上级")</f>
        <v>1591.549</v>
      </c>
      <c r="X172" s="28"/>
      <c r="Y172">
        <f>TRUNC(0.0042857,3)</f>
        <v>4.0000000000000001E-3</v>
      </c>
      <c r="Z172" s="28">
        <f>TRUNC(AB172-(9.9-agent!L$3)*10*Y172,3)</f>
        <v>4.22</v>
      </c>
      <c r="AA172" s="28">
        <f>'5Of11Source'!X$2</f>
        <v>0</v>
      </c>
      <c r="AB172">
        <f t="shared" si="30"/>
        <v>4.3559999999999999</v>
      </c>
      <c r="AC172" s="28">
        <f>'5Of11Source'!E235</f>
        <v>11</v>
      </c>
      <c r="AD172" s="28">
        <v>3.96</v>
      </c>
      <c r="AE172" s="28"/>
      <c r="AF172" s="28"/>
      <c r="AG172" s="28"/>
      <c r="AH172" s="28"/>
      <c r="AI172" s="28"/>
    </row>
    <row r="173" spans="4:35" x14ac:dyDescent="0.15">
      <c r="D173" s="28" t="s">
        <v>96</v>
      </c>
      <c r="E173" s="28" t="s">
        <v>74</v>
      </c>
      <c r="F173" s="27" t="str">
        <f>'5Of11Source'!$J$32</f>
        <v>01 09,03 04,05 06,07 08,09 10</v>
      </c>
      <c r="G173" s="28">
        <f>'5Of11Source'!F180</f>
        <v>4</v>
      </c>
      <c r="H173" s="28">
        <v>1</v>
      </c>
      <c r="I173" s="30">
        <f t="shared" si="31"/>
        <v>50</v>
      </c>
      <c r="J173" s="22">
        <f t="shared" si="25"/>
        <v>0</v>
      </c>
      <c r="K173" s="30">
        <f>'5Of11Source'!L229</f>
        <v>0</v>
      </c>
      <c r="L173" s="28">
        <f t="shared" si="26"/>
        <v>1035053766.5949999</v>
      </c>
      <c r="M173" s="29" t="str">
        <f t="shared" si="29"/>
        <v>03,06,07,08,10</v>
      </c>
      <c r="N173" s="28">
        <f>IF(ISNUMBER(agent!$O$6*(K173/Z173)*Y173),TRUNC(agent!$O$6*(K173/Z173)*Y173,3),"没有上级")</f>
        <v>0</v>
      </c>
      <c r="O173" s="28">
        <f>IF(ISNUMBER(agent!$O$9*(K173/Z173)*Y173),TRUNC(agent!$O$9*(K173/Z173)*Y173,3),"没有上级")</f>
        <v>0</v>
      </c>
      <c r="P173" s="28">
        <f>IF(ISNUMBER(agent!$O$12*(K173/Z173)*Y173),TRUNC(agent!$O$12*(K173/Z173)*Y173,3),"没有上级")</f>
        <v>0</v>
      </c>
      <c r="Q173" s="28">
        <f>IF(ISNUMBER(agent!$O$15*(K173/Z173)*Y173),TRUNC(agent!$O$15*(K173/Z173)*Y173,3),"没有上级")</f>
        <v>0</v>
      </c>
      <c r="R173" s="28">
        <f>IF(ISNUMBER(agent!$O$18*(K173/Z173)*Y173),TRUNC(agent!$O$18*(K173/Z173)*Y173,3),"没有上级")</f>
        <v>0</v>
      </c>
      <c r="S173" s="28">
        <f>IF(ISNUMBER(agent!$O$21*(K173/Z173)*Y173),TRUNC(agent!$O$21*(K173/Z173)*Y173,3),"没有上级")</f>
        <v>0</v>
      </c>
      <c r="T173" s="28">
        <f>IF(ISNUMBER(agent!$O$24*(K173/Z173)*Y173),TRUNC(agent!$O$24*(K173/Z173)*Y173,3),"没有上级")</f>
        <v>0</v>
      </c>
      <c r="U173" s="28">
        <f>IF(ISNUMBER(agent!$O$27*(K173/Z173)*Y173),TRUNC(agent!$O$27*(K173/Z173)*Y173,3),"没有上级")</f>
        <v>0</v>
      </c>
      <c r="V173" s="28">
        <f>IF(ISNUMBER(agent!$O$30*(K173/Z173)*Y173),TRUNC(agent!$O$30*(K173/Z173)*Y173,3),"没有上级")</f>
        <v>0</v>
      </c>
      <c r="W173" s="28">
        <f>IF(ISNUMBER(agent!$O$33*(K173/Z173)*Y173),TRUNC(agent!$O$33*(K173/Z173)*Y173,3),"没有上级")</f>
        <v>0</v>
      </c>
      <c r="X173" s="28"/>
      <c r="Y173">
        <f>TRUNC(0.011,3)</f>
        <v>1.0999999999999999E-2</v>
      </c>
      <c r="Z173" s="28">
        <f>TRUNC(AB173-(9.9-agent!L$3)*10*Y173,3)</f>
        <v>10.615</v>
      </c>
      <c r="AA173" s="28">
        <f>'5Of11Source'!X$2</f>
        <v>0</v>
      </c>
      <c r="AB173">
        <f t="shared" si="30"/>
        <v>10.989000000000001</v>
      </c>
      <c r="AC173" s="28">
        <f>'5Of11Source'!E236</f>
        <v>5</v>
      </c>
      <c r="AD173" s="28">
        <v>9.9</v>
      </c>
      <c r="AE173" s="28"/>
      <c r="AF173" s="28"/>
      <c r="AG173" s="28"/>
      <c r="AH173" s="28"/>
      <c r="AI173" s="28"/>
    </row>
    <row r="174" spans="4:35" x14ac:dyDescent="0.15">
      <c r="D174" s="28" t="s">
        <v>96</v>
      </c>
      <c r="E174" s="28" t="s">
        <v>76</v>
      </c>
      <c r="F174" s="27" t="str">
        <f>'5Of11Source'!$J$33</f>
        <v>01 02 03,04 05 06,07 08 09,10 11 01</v>
      </c>
      <c r="G174" s="28">
        <f>'5Of11Source'!F181</f>
        <v>4</v>
      </c>
      <c r="H174" s="28">
        <v>1</v>
      </c>
      <c r="I174" s="30">
        <f t="shared" si="31"/>
        <v>40</v>
      </c>
      <c r="J174" s="22">
        <f t="shared" si="25"/>
        <v>0</v>
      </c>
      <c r="K174" s="30">
        <f>'5Of11Source'!L230</f>
        <v>0</v>
      </c>
      <c r="L174" s="28">
        <f t="shared" si="26"/>
        <v>1035053726.5949999</v>
      </c>
      <c r="M174" s="29" t="str">
        <f t="shared" si="29"/>
        <v>03,06,07,08,10</v>
      </c>
      <c r="N174" s="28">
        <f>IF(ISNUMBER(agent!$O$6*(K174/Z174)*Y174),TRUNC(agent!$O$6*(K174/Z174)*Y174,3),"没有上级")</f>
        <v>0</v>
      </c>
      <c r="O174" s="28">
        <f>IF(ISNUMBER(agent!$O$9*(K174/Z174)*Y174),TRUNC(agent!$O$9*(K174/Z174)*Y174,3),"没有上级")</f>
        <v>0</v>
      </c>
      <c r="P174" s="28">
        <f>IF(ISNUMBER(agent!$O$12*(K174/Z174)*Y174),TRUNC(agent!$O$12*(K174/Z174)*Y174,3),"没有上级")</f>
        <v>0</v>
      </c>
      <c r="Q174" s="28">
        <f>IF(ISNUMBER(agent!$O$15*(K174/Z174)*Y174),TRUNC(agent!$O$15*(K174/Z174)*Y174,3),"没有上级")</f>
        <v>0</v>
      </c>
      <c r="R174" s="28">
        <f>IF(ISNUMBER(agent!$O$18*(K174/Z174)*Y174),TRUNC(agent!$O$18*(K174/Z174)*Y174,3),"没有上级")</f>
        <v>0</v>
      </c>
      <c r="S174" s="28">
        <f>IF(ISNUMBER(agent!$O$21*(K174/Z174)*Y174),TRUNC(agent!$O$21*(K174/Z174)*Y174,3),"没有上级")</f>
        <v>0</v>
      </c>
      <c r="T174" s="28">
        <f>IF(ISNUMBER(agent!$O$24*(K174/Z174)*Y174),TRUNC(agent!$O$24*(K174/Z174)*Y174,3),"没有上级")</f>
        <v>0</v>
      </c>
      <c r="U174" s="28">
        <f>IF(ISNUMBER(agent!$O$27*(K174/Z174)*Y174),TRUNC(agent!$O$27*(K174/Z174)*Y174,3),"没有上级")</f>
        <v>0</v>
      </c>
      <c r="V174" s="28">
        <f>IF(ISNUMBER(agent!$O$30*(K174/Z174)*Y174),TRUNC(agent!$O$30*(K174/Z174)*Y174,3),"没有上级")</f>
        <v>0</v>
      </c>
      <c r="W174" s="28">
        <f>IF(ISNUMBER(agent!$O$33*(K174/Z174)*Y174),TRUNC(agent!$O$33*(K174/Z174)*Y174,3),"没有上级")</f>
        <v>0</v>
      </c>
      <c r="X174" s="28"/>
      <c r="Y174">
        <f>TRUNC(0.033,3)</f>
        <v>3.3000000000000002E-2</v>
      </c>
      <c r="Z174" s="28">
        <f>TRUNC(AB174-(9.9-agent!L$3)*10*Y174,3)</f>
        <v>31.844999999999999</v>
      </c>
      <c r="AA174" s="28">
        <f>'5Of11Source'!X$2</f>
        <v>0</v>
      </c>
      <c r="AB174">
        <f t="shared" si="30"/>
        <v>32.966999999999999</v>
      </c>
      <c r="AC174" s="28">
        <f>'5Of11Source'!E237</f>
        <v>4</v>
      </c>
      <c r="AD174" s="28">
        <v>29.7</v>
      </c>
      <c r="AE174" s="28"/>
      <c r="AF174" s="28"/>
      <c r="AG174" s="28"/>
      <c r="AH174" s="28"/>
      <c r="AI174" s="28"/>
    </row>
    <row r="175" spans="4:35" x14ac:dyDescent="0.15">
      <c r="D175" s="28" t="s">
        <v>96</v>
      </c>
      <c r="E175" s="28" t="s">
        <v>78</v>
      </c>
      <c r="F175" s="27" t="str">
        <f>'5Of11Source'!$J$34</f>
        <v>01 02 03 04,09 10 11 05,06 07 08 09</v>
      </c>
      <c r="G175" s="28">
        <f>'5Of11Source'!F182</f>
        <v>3</v>
      </c>
      <c r="H175" s="28">
        <v>1</v>
      </c>
      <c r="I175" s="30">
        <f t="shared" si="31"/>
        <v>30</v>
      </c>
      <c r="J175" s="22">
        <f t="shared" si="25"/>
        <v>0</v>
      </c>
      <c r="K175" s="30">
        <f>'5Of11Source'!L231</f>
        <v>0</v>
      </c>
      <c r="L175" s="28">
        <f t="shared" si="26"/>
        <v>1035053696.5949999</v>
      </c>
      <c r="M175" s="29" t="str">
        <f t="shared" si="29"/>
        <v>03,06,07,08,10</v>
      </c>
      <c r="N175" s="28">
        <f>IF(ISNUMBER(agent!$O$6*(K175/Z175)*Y175),TRUNC(agent!$O$6*(K175/Z175)*Y175,3),"没有上级")</f>
        <v>0</v>
      </c>
      <c r="O175" s="28">
        <f>IF(ISNUMBER(agent!$O$9*(K175/Z175)*Y175),TRUNC(agent!$O$9*(K175/Z175)*Y175,3),"没有上级")</f>
        <v>0</v>
      </c>
      <c r="P175" s="28">
        <f>IF(ISNUMBER(agent!$O$12*(K175/Z175)*Y175),TRUNC(agent!$O$12*(K175/Z175)*Y175,3),"没有上级")</f>
        <v>0</v>
      </c>
      <c r="Q175" s="28">
        <f>IF(ISNUMBER(agent!$O$15*(K175/Z175)*Y175),TRUNC(agent!$O$15*(K175/Z175)*Y175,3),"没有上级")</f>
        <v>0</v>
      </c>
      <c r="R175" s="28">
        <f>IF(ISNUMBER(agent!$O$18*(K175/Z175)*Y175),TRUNC(agent!$O$18*(K175/Z175)*Y175,3),"没有上级")</f>
        <v>0</v>
      </c>
      <c r="S175" s="28">
        <f>IF(ISNUMBER(agent!$O$21*(K175/Z175)*Y175),TRUNC(agent!$O$21*(K175/Z175)*Y175,3),"没有上级")</f>
        <v>0</v>
      </c>
      <c r="T175" s="28">
        <f>IF(ISNUMBER(agent!$O$24*(K175/Z175)*Y175),TRUNC(agent!$O$24*(K175/Z175)*Y175,3),"没有上级")</f>
        <v>0</v>
      </c>
      <c r="U175" s="28">
        <f>IF(ISNUMBER(agent!$O$27*(K175/Z175)*Y175),TRUNC(agent!$O$27*(K175/Z175)*Y175,3),"没有上级")</f>
        <v>0</v>
      </c>
      <c r="V175" s="28">
        <f>IF(ISNUMBER(agent!$O$30*(K175/Z175)*Y175),TRUNC(agent!$O$30*(K175/Z175)*Y175,3),"没有上级")</f>
        <v>0</v>
      </c>
      <c r="W175" s="28">
        <f>IF(ISNUMBER(agent!$O$33*(K175/Z175)*Y175),TRUNC(agent!$O$33*(K175/Z175)*Y175,3),"没有上级")</f>
        <v>0</v>
      </c>
      <c r="X175" s="28"/>
      <c r="Y175">
        <f>TRUNC(0.132,3)</f>
        <v>0.13200000000000001</v>
      </c>
      <c r="Z175" s="28">
        <f>TRUNC(AB175-(9.9-agent!L$3)*10*Y175,3)</f>
        <v>127.38</v>
      </c>
      <c r="AA175" s="28">
        <f>'5Of11Source'!X$2</f>
        <v>0</v>
      </c>
      <c r="AB175">
        <f t="shared" si="30"/>
        <v>131.86799999999999</v>
      </c>
      <c r="AC175" s="28">
        <f>'5Of11Source'!E238</f>
        <v>3</v>
      </c>
      <c r="AD175" s="28">
        <v>118.8</v>
      </c>
      <c r="AE175" s="28"/>
      <c r="AF175" s="28"/>
      <c r="AG175" s="28"/>
      <c r="AH175" s="28"/>
      <c r="AI175" s="28"/>
    </row>
    <row r="176" spans="4:35" x14ac:dyDescent="0.15">
      <c r="D176" s="28" t="s">
        <v>96</v>
      </c>
      <c r="E176" s="28" t="s">
        <v>80</v>
      </c>
      <c r="F176" s="27" t="str">
        <f>'5Of11Source'!$J$35</f>
        <v>01 02 06 04 08,06 07 08 09 10</v>
      </c>
      <c r="G176" s="28">
        <f>'5Of11Source'!F183</f>
        <v>3</v>
      </c>
      <c r="H176" s="28">
        <v>1</v>
      </c>
      <c r="I176" s="30">
        <f t="shared" si="31"/>
        <v>32</v>
      </c>
      <c r="J176" s="22">
        <f t="shared" si="25"/>
        <v>0</v>
      </c>
      <c r="K176" s="30">
        <f>'5Of11Source'!L232</f>
        <v>0</v>
      </c>
      <c r="L176" s="28">
        <f t="shared" si="26"/>
        <v>1035053664.5949999</v>
      </c>
      <c r="M176" s="29" t="str">
        <f t="shared" si="29"/>
        <v>03,06,07,08,10</v>
      </c>
      <c r="N176" s="28">
        <f>IF(ISNUMBER(agent!$O$6*(K176/Z176)*Y176),TRUNC(agent!$O$6*(K176/Z176)*Y176,3),"没有上级")</f>
        <v>0</v>
      </c>
      <c r="O176" s="28">
        <f>IF(ISNUMBER(agent!$O$9*(K176/Z176)*Y176),TRUNC(agent!$O$9*(K176/Z176)*Y176,3),"没有上级")</f>
        <v>0</v>
      </c>
      <c r="P176" s="28">
        <f>IF(ISNUMBER(agent!$O$12*(K176/Z176)*Y176),TRUNC(agent!$O$12*(K176/Z176)*Y176,3),"没有上级")</f>
        <v>0</v>
      </c>
      <c r="Q176" s="28">
        <f>IF(ISNUMBER(agent!$O$15*(K176/Z176)*Y176),TRUNC(agent!$O$15*(K176/Z176)*Y176,3),"没有上级")</f>
        <v>0</v>
      </c>
      <c r="R176" s="28">
        <f>IF(ISNUMBER(agent!$O$18*(K176/Z176)*Y176),TRUNC(agent!$O$18*(K176/Z176)*Y176,3),"没有上级")</f>
        <v>0</v>
      </c>
      <c r="S176" s="28">
        <f>IF(ISNUMBER(agent!$O$21*(K176/Z176)*Y176),TRUNC(agent!$O$21*(K176/Z176)*Y176,3),"没有上级")</f>
        <v>0</v>
      </c>
      <c r="T176" s="28">
        <f>IF(ISNUMBER(agent!$O$24*(K176/Z176)*Y176),TRUNC(agent!$O$24*(K176/Z176)*Y176,3),"没有上级")</f>
        <v>0</v>
      </c>
      <c r="U176" s="28">
        <f>IF(ISNUMBER(agent!$O$27*(K176/Z176)*Y176),TRUNC(agent!$O$27*(K176/Z176)*Y176,3),"没有上级")</f>
        <v>0</v>
      </c>
      <c r="V176" s="28">
        <f>IF(ISNUMBER(agent!$O$30*(K176/Z176)*Y176),TRUNC(agent!$O$30*(K176/Z176)*Y176,3),"没有上级")</f>
        <v>0</v>
      </c>
      <c r="W176" s="28">
        <f>IF(ISNUMBER(agent!$O$33*(K176/Z176)*Y176),TRUNC(agent!$O$33*(K176/Z176)*Y176,3),"没有上级")</f>
        <v>0</v>
      </c>
      <c r="X176" s="28"/>
      <c r="Y176">
        <f>TRUNC(0.924,3)</f>
        <v>0.92400000000000004</v>
      </c>
      <c r="Z176" s="28">
        <f>TRUNC(AB176-(9.9-agent!L$3)*10*Y176,3)</f>
        <v>891.66</v>
      </c>
      <c r="AA176" s="28">
        <f>'5Of11Source'!X$2</f>
        <v>0</v>
      </c>
      <c r="AB176">
        <f t="shared" si="30"/>
        <v>923.07600000000002</v>
      </c>
      <c r="AC176" s="28">
        <f>'5Of11Source'!E239</f>
        <v>2</v>
      </c>
      <c r="AD176" s="28">
        <v>831.6</v>
      </c>
      <c r="AE176" s="28"/>
      <c r="AF176" s="28"/>
      <c r="AG176" s="28"/>
      <c r="AH176" s="28"/>
      <c r="AI176" s="28"/>
    </row>
    <row r="177" spans="4:35" x14ac:dyDescent="0.15">
      <c r="D177" s="28" t="s">
        <v>96</v>
      </c>
      <c r="E177" s="28" t="s">
        <v>82</v>
      </c>
      <c r="F177" s="27" t="str">
        <f>'5Of11Source'!$J$36</f>
        <v>01 02 08 04 05 06,07 08 09 10 11 02</v>
      </c>
      <c r="G177" s="28">
        <f>'5Of11Source'!F184</f>
        <v>4</v>
      </c>
      <c r="H177" s="28">
        <v>1</v>
      </c>
      <c r="I177" s="30">
        <f t="shared" si="31"/>
        <v>8</v>
      </c>
      <c r="J177" s="22">
        <f t="shared" si="25"/>
        <v>0</v>
      </c>
      <c r="K177" s="30">
        <f>'5Of11Source'!L233</f>
        <v>0</v>
      </c>
      <c r="L177" s="28">
        <f t="shared" si="26"/>
        <v>1035053656.5949999</v>
      </c>
      <c r="M177" s="29" t="str">
        <f t="shared" si="29"/>
        <v>03,06,07,08,10</v>
      </c>
      <c r="N177" s="28">
        <f>IF(ISNUMBER(agent!$O$6*(K177/Z177)*Y177),TRUNC(agent!$O$6*(K177/Z177)*Y177,3),"没有上级")</f>
        <v>0</v>
      </c>
      <c r="O177" s="28">
        <f>IF(ISNUMBER(agent!$O$9*(K177/Z177)*Y177),TRUNC(agent!$O$9*(K177/Z177)*Y177,3),"没有上级")</f>
        <v>0</v>
      </c>
      <c r="P177" s="28">
        <f>IF(ISNUMBER(agent!$O$12*(K177/Z177)*Y177),TRUNC(agent!$O$12*(K177/Z177)*Y177,3),"没有上级")</f>
        <v>0</v>
      </c>
      <c r="Q177" s="28">
        <f>IF(ISNUMBER(agent!$O$15*(K177/Z177)*Y177),TRUNC(agent!$O$15*(K177/Z177)*Y177,3),"没有上级")</f>
        <v>0</v>
      </c>
      <c r="R177" s="28">
        <f>IF(ISNUMBER(agent!$O$18*(K177/Z177)*Y177),TRUNC(agent!$O$18*(K177/Z177)*Y177,3),"没有上级")</f>
        <v>0</v>
      </c>
      <c r="S177" s="28">
        <f>IF(ISNUMBER(agent!$O$21*(K177/Z177)*Y177),TRUNC(agent!$O$21*(K177/Z177)*Y177,3),"没有上级")</f>
        <v>0</v>
      </c>
      <c r="T177" s="28">
        <f>IF(ISNUMBER(agent!$O$24*(K177/Z177)*Y177),TRUNC(agent!$O$24*(K177/Z177)*Y177,3),"没有上级")</f>
        <v>0</v>
      </c>
      <c r="U177" s="28">
        <f>IF(ISNUMBER(agent!$O$27*(K177/Z177)*Y177),TRUNC(agent!$O$27*(K177/Z177)*Y177,3),"没有上级")</f>
        <v>0</v>
      </c>
      <c r="V177" s="28">
        <f>IF(ISNUMBER(agent!$O$30*(K177/Z177)*Y177),TRUNC(agent!$O$30*(K177/Z177)*Y177,3),"没有上级")</f>
        <v>0</v>
      </c>
      <c r="W177" s="28">
        <f>IF(ISNUMBER(agent!$O$33*(K177/Z177)*Y177),TRUNC(agent!$O$33*(K177/Z177)*Y177,3),"没有上级")</f>
        <v>0</v>
      </c>
      <c r="X177" s="28"/>
      <c r="Y177">
        <f>TRUNC(0.154,3)</f>
        <v>0.154</v>
      </c>
      <c r="Z177" s="28">
        <f>TRUNC(AB177-(9.9-agent!L$3)*10*Y177,3)</f>
        <v>148.61000000000001</v>
      </c>
      <c r="AA177" s="28">
        <f>'5Of11Source'!X$2</f>
        <v>0</v>
      </c>
      <c r="AB177">
        <f t="shared" si="30"/>
        <v>153.846</v>
      </c>
      <c r="AC177" s="28">
        <f>'5Of11Source'!E240</f>
        <v>2</v>
      </c>
      <c r="AD177" s="28">
        <v>138.6</v>
      </c>
      <c r="AE177" s="28"/>
      <c r="AF177" s="28"/>
      <c r="AG177" s="28"/>
      <c r="AH177" s="28"/>
      <c r="AI177" s="28"/>
    </row>
    <row r="178" spans="4:35" x14ac:dyDescent="0.15">
      <c r="D178" s="28" t="s">
        <v>96</v>
      </c>
      <c r="E178" s="28" t="s">
        <v>84</v>
      </c>
      <c r="F178" s="27" t="str">
        <f>'5Of11Source'!$J$37</f>
        <v>01 02 03 04 05 06 07,11 10 09 08 07 06 05</v>
      </c>
      <c r="G178" s="28">
        <f>'5Of11Source'!F185</f>
        <v>5</v>
      </c>
      <c r="H178" s="28">
        <v>1</v>
      </c>
      <c r="I178" s="30">
        <f t="shared" si="31"/>
        <v>8</v>
      </c>
      <c r="J178" s="22">
        <f t="shared" si="25"/>
        <v>0</v>
      </c>
      <c r="K178" s="30">
        <f>'5Of11Source'!L234</f>
        <v>0</v>
      </c>
      <c r="L178" s="28">
        <f t="shared" si="26"/>
        <v>1035053648.5949999</v>
      </c>
      <c r="M178" s="29" t="str">
        <f t="shared" si="29"/>
        <v>03,06,07,08,10</v>
      </c>
      <c r="N178" s="28">
        <f>IF(ISNUMBER(agent!$O$6*(K178/Z178)*Y178),TRUNC(agent!$O$6*(K178/Z178)*Y178,3),"没有上级")</f>
        <v>0</v>
      </c>
      <c r="O178" s="28">
        <f>IF(ISNUMBER(agent!$O$9*(K178/Z178)*Y178),TRUNC(agent!$O$9*(K178/Z178)*Y178,3),"没有上级")</f>
        <v>0</v>
      </c>
      <c r="P178" s="28">
        <f>IF(ISNUMBER(agent!$O$12*(K178/Z178)*Y178),TRUNC(agent!$O$12*(K178/Z178)*Y178,3),"没有上级")</f>
        <v>0</v>
      </c>
      <c r="Q178" s="28">
        <f>IF(ISNUMBER(agent!$O$15*(K178/Z178)*Y178),TRUNC(agent!$O$15*(K178/Z178)*Y178,3),"没有上级")</f>
        <v>0</v>
      </c>
      <c r="R178" s="28">
        <f>IF(ISNUMBER(agent!$O$18*(K178/Z178)*Y178),TRUNC(agent!$O$18*(K178/Z178)*Y178,3),"没有上级")</f>
        <v>0</v>
      </c>
      <c r="S178" s="28">
        <f>IF(ISNUMBER(agent!$O$21*(K178/Z178)*Y178),TRUNC(agent!$O$21*(K178/Z178)*Y178,3),"没有上级")</f>
        <v>0</v>
      </c>
      <c r="T178" s="28">
        <f>IF(ISNUMBER(agent!$O$24*(K178/Z178)*Y178),TRUNC(agent!$O$24*(K178/Z178)*Y178,3),"没有上级")</f>
        <v>0</v>
      </c>
      <c r="U178" s="28">
        <f>IF(ISNUMBER(agent!$O$27*(K178/Z178)*Y178),TRUNC(agent!$O$27*(K178/Z178)*Y178,3),"没有上级")</f>
        <v>0</v>
      </c>
      <c r="V178" s="28">
        <f>IF(ISNUMBER(agent!$O$30*(K178/Z178)*Y178),TRUNC(agent!$O$30*(K178/Z178)*Y178,3),"没有上级")</f>
        <v>0</v>
      </c>
      <c r="W178" s="28">
        <f>IF(ISNUMBER(agent!$O$33*(K178/Z178)*Y178),TRUNC(agent!$O$33*(K178/Z178)*Y178,3),"没有上级")</f>
        <v>0</v>
      </c>
      <c r="X178" s="28" t="s">
        <v>13</v>
      </c>
      <c r="Y178">
        <f>TRUNC(0.044,3)</f>
        <v>4.3999999999999997E-2</v>
      </c>
      <c r="Z178" s="28">
        <f>TRUNC(AB178-(9.9-agent!L$3)*10*Y178,3)</f>
        <v>42.46</v>
      </c>
      <c r="AA178" s="28">
        <f>'5Of11Source'!X$2</f>
        <v>0</v>
      </c>
      <c r="AB178">
        <f t="shared" si="30"/>
        <v>43.956000000000003</v>
      </c>
      <c r="AC178" s="28">
        <f>'5Of11Source'!E241</f>
        <v>2</v>
      </c>
      <c r="AD178" s="28">
        <v>39.6</v>
      </c>
      <c r="AE178" s="28"/>
      <c r="AF178" s="28"/>
      <c r="AG178" s="28"/>
      <c r="AH178" s="28"/>
      <c r="AI178" s="28"/>
    </row>
    <row r="179" spans="4:35" ht="27" x14ac:dyDescent="0.15">
      <c r="D179" s="28" t="s">
        <v>96</v>
      </c>
      <c r="E179" s="28" t="s">
        <v>86</v>
      </c>
      <c r="F179" s="27" t="str">
        <f>'5Of11Source'!$J$38</f>
        <v>01 02 03 04 05 06 07 08,11 10 09 08 07 06 05 04</v>
      </c>
      <c r="G179" s="28">
        <f>'5Of11Source'!F186</f>
        <v>5</v>
      </c>
      <c r="H179" s="28">
        <v>1</v>
      </c>
      <c r="I179" s="30">
        <f t="shared" si="31"/>
        <v>12</v>
      </c>
      <c r="J179" s="22">
        <f t="shared" si="25"/>
        <v>0</v>
      </c>
      <c r="K179" s="30">
        <f>'5Of11Source'!L235</f>
        <v>0</v>
      </c>
      <c r="L179" s="28">
        <f t="shared" si="26"/>
        <v>1035053636.5949999</v>
      </c>
      <c r="M179" s="29" t="str">
        <f t="shared" si="29"/>
        <v>03,06,07,08,10</v>
      </c>
      <c r="N179" s="28">
        <f>IF(ISNUMBER(agent!$O$6*(K179/Z179)*Y179),TRUNC(agent!$O$6*(K179/Z179)*Y179,3),"没有上级")</f>
        <v>0</v>
      </c>
      <c r="O179" s="28">
        <f>IF(ISNUMBER(agent!$O$9*(K179/Z179)*Y179),TRUNC(agent!$O$9*(K179/Z179)*Y179,3),"没有上级")</f>
        <v>0</v>
      </c>
      <c r="P179" s="28">
        <f>IF(ISNUMBER(agent!$O$12*(K179/Z179)*Y179),TRUNC(agent!$O$12*(K179/Z179)*Y179,3),"没有上级")</f>
        <v>0</v>
      </c>
      <c r="Q179" s="28">
        <f>IF(ISNUMBER(agent!$O$15*(K179/Z179)*Y179),TRUNC(agent!$O$15*(K179/Z179)*Y179,3),"没有上级")</f>
        <v>0</v>
      </c>
      <c r="R179" s="28">
        <f>IF(ISNUMBER(agent!$O$18*(K179/Z179)*Y179),TRUNC(agent!$O$18*(K179/Z179)*Y179,3),"没有上级")</f>
        <v>0</v>
      </c>
      <c r="S179" s="28">
        <f>IF(ISNUMBER(agent!$O$21*(K179/Z179)*Y179),TRUNC(agent!$O$21*(K179/Z179)*Y179,3),"没有上级")</f>
        <v>0</v>
      </c>
      <c r="T179" s="28">
        <f>IF(ISNUMBER(agent!$O$24*(K179/Z179)*Y179),TRUNC(agent!$O$24*(K179/Z179)*Y179,3),"没有上级")</f>
        <v>0</v>
      </c>
      <c r="U179" s="28">
        <f>IF(ISNUMBER(agent!$O$27*(K179/Z179)*Y179),TRUNC(agent!$O$27*(K179/Z179)*Y179,3),"没有上级")</f>
        <v>0</v>
      </c>
      <c r="V179" s="28">
        <f>IF(ISNUMBER(agent!$O$30*(K179/Z179)*Y179),TRUNC(agent!$O$30*(K179/Z179)*Y179,3),"没有上级")</f>
        <v>0</v>
      </c>
      <c r="W179" s="28">
        <f>IF(ISNUMBER(agent!$O$33*(K179/Z179)*Y179),TRUNC(agent!$O$33*(K179/Z179)*Y179,3),"没有上级")</f>
        <v>0</v>
      </c>
      <c r="X179" s="28"/>
      <c r="Y179">
        <f>TRUNC(0.01642857,3)</f>
        <v>1.6E-2</v>
      </c>
      <c r="Z179" s="28">
        <f>TRUNC(AB179-(9.9-agent!L$3)*10*Y179,3)</f>
        <v>15.89</v>
      </c>
      <c r="AA179" s="28">
        <f>'5Of11Source'!X$2</f>
        <v>0</v>
      </c>
      <c r="AB179">
        <f t="shared" si="30"/>
        <v>16.434000000000001</v>
      </c>
      <c r="AC179" s="28">
        <f>'5Of11Source'!E242</f>
        <v>2</v>
      </c>
      <c r="AD179" s="28">
        <v>14.85</v>
      </c>
      <c r="AE179" s="28"/>
      <c r="AF179" s="28"/>
      <c r="AG179" s="28"/>
      <c r="AH179" s="28"/>
      <c r="AI179" s="28"/>
    </row>
    <row r="180" spans="4:35" x14ac:dyDescent="0.15">
      <c r="D180" s="28" t="s">
        <v>103</v>
      </c>
      <c r="E180" s="28" t="s">
        <v>74</v>
      </c>
      <c r="F180" s="27" t="str">
        <f>'5Of11Source'!$J$39</f>
        <v>01,02 03 04 05 06 07 08 09 10 11</v>
      </c>
      <c r="G180" s="28">
        <f>'5Of11Source'!F187</f>
        <v>5</v>
      </c>
      <c r="H180" s="28">
        <v>1</v>
      </c>
      <c r="I180" s="30">
        <f t="shared" si="31"/>
        <v>20</v>
      </c>
      <c r="J180" s="22">
        <f t="shared" si="25"/>
        <v>4285.0779999999995</v>
      </c>
      <c r="K180" s="30">
        <f>'5Of11Source'!L236</f>
        <v>121620.84000000001</v>
      </c>
      <c r="L180" s="28">
        <f t="shared" si="26"/>
        <v>1035175237.4349999</v>
      </c>
      <c r="M180" s="29" t="str">
        <f t="shared" si="29"/>
        <v>03,06,07,08,10</v>
      </c>
      <c r="N180" s="28">
        <f>IF(ISNUMBER(agent!$O$6*(K180/Z180)*Y180),TRUNC(agent!$O$6*(K180/Z180)*Y180,3),"没有上级")</f>
        <v>126.03100000000001</v>
      </c>
      <c r="O180" s="28">
        <f>IF(ISNUMBER(agent!$O$9*(K180/Z180)*Y180),TRUNC(agent!$O$9*(K180/Z180)*Y180,3),"没有上级")</f>
        <v>756.19100000000003</v>
      </c>
      <c r="P180" s="28">
        <f>IF(ISNUMBER(agent!$O$12*(K180/Z180)*Y180),TRUNC(agent!$O$12*(K180/Z180)*Y180,3),"没有上级")</f>
        <v>252.06299999999999</v>
      </c>
      <c r="Q180" s="28">
        <f>IF(ISNUMBER(agent!$O$15*(K180/Z180)*Y180),TRUNC(agent!$O$15*(K180/Z180)*Y180,3),"没有上级")</f>
        <v>504.12700000000001</v>
      </c>
      <c r="R180" s="28">
        <f>IF(ISNUMBER(agent!$O$18*(K180/Z180)*Y180),TRUNC(agent!$O$18*(K180/Z180)*Y180,3),"没有上级")</f>
        <v>378.09500000000003</v>
      </c>
      <c r="S180" s="28">
        <f>IF(ISNUMBER(agent!$O$21*(K180/Z180)*Y180),TRUNC(agent!$O$21*(K180/Z180)*Y180,3),"没有上级")</f>
        <v>126.03100000000001</v>
      </c>
      <c r="T180" s="28">
        <f>IF(ISNUMBER(agent!$O$24*(K180/Z180)*Y180),TRUNC(agent!$O$24*(K180/Z180)*Y180,3),"没有上级")</f>
        <v>882.22299999999996</v>
      </c>
      <c r="U180" s="28">
        <f>IF(ISNUMBER(agent!$O$27*(K180/Z180)*Y180),TRUNC(agent!$O$27*(K180/Z180)*Y180,3),"没有上级")</f>
        <v>378.09500000000003</v>
      </c>
      <c r="V180" s="28">
        <f>IF(ISNUMBER(agent!$O$30*(K180/Z180)*Y180),TRUNC(agent!$O$30*(K180/Z180)*Y180,3),"没有上级")</f>
        <v>504.12700000000001</v>
      </c>
      <c r="W180" s="28">
        <f>IF(ISNUMBER(agent!$O$33*(K180/Z180)*Y180),TRUNC(agent!$O$33*(K180/Z180)*Y180,3),"没有上级")</f>
        <v>378.09500000000003</v>
      </c>
      <c r="X180" s="28" t="s">
        <v>10</v>
      </c>
      <c r="Y180">
        <f>TRUNC(0.011,3)</f>
        <v>1.0999999999999999E-2</v>
      </c>
      <c r="Z180" s="28">
        <f>TRUNC(AB180-(9.9-agent!L$3)*10*Y180,3)</f>
        <v>10.615</v>
      </c>
      <c r="AA180" s="28">
        <f>'5Of11Source'!X$2</f>
        <v>0</v>
      </c>
      <c r="AB180">
        <f t="shared" si="30"/>
        <v>10.989000000000001</v>
      </c>
      <c r="AC180" s="28">
        <f>'5Of11Source'!E244</f>
        <v>10</v>
      </c>
      <c r="AD180" s="28">
        <v>9.9</v>
      </c>
      <c r="AE180" s="28"/>
      <c r="AF180" s="28"/>
      <c r="AG180" s="28"/>
      <c r="AH180" s="28"/>
      <c r="AI180" s="28"/>
    </row>
    <row r="181" spans="4:35" x14ac:dyDescent="0.15">
      <c r="D181" s="28" t="s">
        <v>103</v>
      </c>
      <c r="E181" s="28" t="s">
        <v>76</v>
      </c>
      <c r="F181" s="27" t="str">
        <f>'5Of11Source'!$J$41</f>
        <v>02,01 03 04 05 06 07 08 09 10 11</v>
      </c>
      <c r="G181" s="28">
        <f>'5Of11Source'!F189</f>
        <v>2</v>
      </c>
      <c r="H181" s="28">
        <v>1</v>
      </c>
      <c r="I181" s="30">
        <f t="shared" si="31"/>
        <v>270</v>
      </c>
      <c r="J181" s="22">
        <f t="shared" si="25"/>
        <v>0</v>
      </c>
      <c r="K181" s="30">
        <f>'5Of11Source'!L237</f>
        <v>0</v>
      </c>
      <c r="L181" s="28">
        <f t="shared" si="26"/>
        <v>1035174967.4349999</v>
      </c>
      <c r="M181" s="29" t="str">
        <f t="shared" si="29"/>
        <v>03,06,07,08,10</v>
      </c>
      <c r="N181" s="28">
        <f>IF(ISNUMBER(agent!$O$6*(K181/Z181)*Y181),TRUNC(agent!$O$6*(K181/Z181)*Y181,3),"没有上级")</f>
        <v>0</v>
      </c>
      <c r="O181" s="28">
        <f>IF(ISNUMBER(agent!$O$9*(K181/Z181)*Y181),TRUNC(agent!$O$9*(K181/Z181)*Y181,3),"没有上级")</f>
        <v>0</v>
      </c>
      <c r="P181" s="28">
        <f>IF(ISNUMBER(agent!$O$12*(K181/Z181)*Y181),TRUNC(agent!$O$12*(K181/Z181)*Y181,3),"没有上级")</f>
        <v>0</v>
      </c>
      <c r="Q181" s="28">
        <f>IF(ISNUMBER(agent!$O$15*(K181/Z181)*Y181),TRUNC(agent!$O$15*(K181/Z181)*Y181,3),"没有上级")</f>
        <v>0</v>
      </c>
      <c r="R181" s="28">
        <f>IF(ISNUMBER(agent!$O$18*(K181/Z181)*Y181),TRUNC(agent!$O$18*(K181/Z181)*Y181,3),"没有上级")</f>
        <v>0</v>
      </c>
      <c r="S181" s="28">
        <f>IF(ISNUMBER(agent!$O$21*(K181/Z181)*Y181),TRUNC(agent!$O$21*(K181/Z181)*Y181,3),"没有上级")</f>
        <v>0</v>
      </c>
      <c r="T181" s="28">
        <f>IF(ISNUMBER(agent!$O$24*(K181/Z181)*Y181),TRUNC(agent!$O$24*(K181/Z181)*Y181,3),"没有上级")</f>
        <v>0</v>
      </c>
      <c r="U181" s="28">
        <f>IF(ISNUMBER(agent!$O$27*(K181/Z181)*Y181),TRUNC(agent!$O$27*(K181/Z181)*Y181,3),"没有上级")</f>
        <v>0</v>
      </c>
      <c r="V181" s="28">
        <f>IF(ISNUMBER(agent!$O$30*(K181/Z181)*Y181),TRUNC(agent!$O$30*(K181/Z181)*Y181,3),"没有上级")</f>
        <v>0</v>
      </c>
      <c r="W181" s="28">
        <f>IF(ISNUMBER(agent!$O$33*(K181/Z181)*Y181),TRUNC(agent!$O$33*(K181/Z181)*Y181,3),"没有上级")</f>
        <v>0</v>
      </c>
      <c r="X181" s="28"/>
      <c r="Y181">
        <f>TRUNC(0.033,3)</f>
        <v>3.3000000000000002E-2</v>
      </c>
      <c r="Z181" s="28">
        <f>TRUNC(AB181-(9.9-agent!L$3)*10*Y181,3)</f>
        <v>31.844999999999999</v>
      </c>
      <c r="AA181" s="28">
        <f>'5Of11Source'!X$2</f>
        <v>0</v>
      </c>
      <c r="AB181">
        <f t="shared" si="30"/>
        <v>32.966999999999999</v>
      </c>
      <c r="AC181" s="28">
        <f>'5Of11Source'!E246</f>
        <v>45</v>
      </c>
      <c r="AD181" s="28">
        <v>29.7</v>
      </c>
      <c r="AE181" s="28"/>
      <c r="AF181" s="28"/>
      <c r="AG181" s="28"/>
      <c r="AH181" s="28"/>
      <c r="AI181" s="28"/>
    </row>
    <row r="182" spans="4:35" x14ac:dyDescent="0.15">
      <c r="D182" s="28" t="s">
        <v>103</v>
      </c>
      <c r="E182" s="28" t="s">
        <v>78</v>
      </c>
      <c r="F182" s="27" t="str">
        <f>'5Of11Source'!$J$43</f>
        <v>03,01 02 04 05 06 07 08 09 10 11</v>
      </c>
      <c r="G182" s="28">
        <f>'5Of11Source'!F191</f>
        <v>3</v>
      </c>
      <c r="H182" s="28">
        <v>1</v>
      </c>
      <c r="I182" s="30">
        <f t="shared" si="31"/>
        <v>960</v>
      </c>
      <c r="J182" s="22">
        <f t="shared" si="25"/>
        <v>16178.083999999999</v>
      </c>
      <c r="K182" s="30">
        <f>'5Of11Source'!L238</f>
        <v>459172.16000000009</v>
      </c>
      <c r="L182" s="28">
        <f t="shared" si="26"/>
        <v>1035633179.5949999</v>
      </c>
      <c r="M182" s="29" t="str">
        <f t="shared" si="29"/>
        <v>03,06,07,08,10</v>
      </c>
      <c r="N182" s="28">
        <f>IF(ISNUMBER(agent!$O$6*(K182/Z182)*Y182),TRUNC(agent!$O$6*(K182/Z182)*Y182,3),"没有上级")</f>
        <v>475.82600000000002</v>
      </c>
      <c r="O182" s="28">
        <f>IF(ISNUMBER(agent!$O$9*(K182/Z182)*Y182),TRUNC(agent!$O$9*(K182/Z182)*Y182,3),"没有上级")</f>
        <v>2854.9560000000001</v>
      </c>
      <c r="P182" s="28">
        <f>IF(ISNUMBER(agent!$O$12*(K182/Z182)*Y182),TRUNC(agent!$O$12*(K182/Z182)*Y182,3),"没有上级")</f>
        <v>951.65200000000004</v>
      </c>
      <c r="Q182" s="28">
        <f>IF(ISNUMBER(agent!$O$15*(K182/Z182)*Y182),TRUNC(agent!$O$15*(K182/Z182)*Y182,3),"没有上级")</f>
        <v>1903.3040000000001</v>
      </c>
      <c r="R182" s="28">
        <f>IF(ISNUMBER(agent!$O$18*(K182/Z182)*Y182),TRUNC(agent!$O$18*(K182/Z182)*Y182,3),"没有上级")</f>
        <v>1427.4780000000001</v>
      </c>
      <c r="S182" s="28">
        <f>IF(ISNUMBER(agent!$O$21*(K182/Z182)*Y182),TRUNC(agent!$O$21*(K182/Z182)*Y182,3),"没有上级")</f>
        <v>475.82600000000002</v>
      </c>
      <c r="T182" s="28">
        <f>IF(ISNUMBER(agent!$O$24*(K182/Z182)*Y182),TRUNC(agent!$O$24*(K182/Z182)*Y182,3),"没有上级")</f>
        <v>3330.7820000000002</v>
      </c>
      <c r="U182" s="28">
        <f>IF(ISNUMBER(agent!$O$27*(K182/Z182)*Y182),TRUNC(agent!$O$27*(K182/Z182)*Y182,3),"没有上级")</f>
        <v>1427.4780000000001</v>
      </c>
      <c r="V182" s="28">
        <f>IF(ISNUMBER(agent!$O$30*(K182/Z182)*Y182),TRUNC(agent!$O$30*(K182/Z182)*Y182,3),"没有上级")</f>
        <v>1903.3040000000001</v>
      </c>
      <c r="W182" s="28">
        <f>IF(ISNUMBER(agent!$O$33*(K182/Z182)*Y182),TRUNC(agent!$O$33*(K182/Z182)*Y182,3),"没有上级")</f>
        <v>1427.4780000000001</v>
      </c>
      <c r="X182" s="28"/>
      <c r="Y182">
        <f>TRUNC(0.132,3)</f>
        <v>0.13200000000000001</v>
      </c>
      <c r="Z182" s="28">
        <f>TRUNC(AB182-(9.9-agent!L$3)*10*Y182,3)</f>
        <v>127.38</v>
      </c>
      <c r="AA182" s="28">
        <f>'5Of11Source'!X$2</f>
        <v>0</v>
      </c>
      <c r="AB182">
        <f t="shared" si="30"/>
        <v>131.86799999999999</v>
      </c>
      <c r="AC182" s="28">
        <f>'5Of11Source'!E248</f>
        <v>120</v>
      </c>
      <c r="AD182" s="28">
        <v>118.8</v>
      </c>
      <c r="AE182" s="28"/>
      <c r="AF182" s="28"/>
      <c r="AG182" s="28"/>
      <c r="AH182" s="28"/>
      <c r="AI182" s="28"/>
    </row>
    <row r="183" spans="4:35" x14ac:dyDescent="0.15">
      <c r="D183" s="28" t="s">
        <v>103</v>
      </c>
      <c r="E183" s="28" t="s">
        <v>80</v>
      </c>
      <c r="F183" s="27" t="str">
        <f>'5Of11Source'!$J$45</f>
        <v>04,01 02 03 07 09 10 05 06 08 11</v>
      </c>
      <c r="G183" s="28">
        <f>'5Of11Source'!F193</f>
        <v>0</v>
      </c>
      <c r="H183" s="28">
        <v>1</v>
      </c>
      <c r="I183" s="30">
        <f t="shared" si="31"/>
        <v>2099.9999999999995</v>
      </c>
      <c r="J183" s="22">
        <f t="shared" si="25"/>
        <v>0</v>
      </c>
      <c r="K183" s="30">
        <f>'5Of11Source'!L239</f>
        <v>0</v>
      </c>
      <c r="L183" s="28">
        <f t="shared" si="26"/>
        <v>1035631079.5949999</v>
      </c>
      <c r="M183" s="29" t="str">
        <f t="shared" si="29"/>
        <v>03,06,07,08,10</v>
      </c>
      <c r="N183" s="28">
        <f>IF(ISNUMBER(agent!$O$6*(K183/Z183)*Y183),TRUNC(agent!$O$6*(K183/Z183)*Y183,3),"没有上级")</f>
        <v>0</v>
      </c>
      <c r="O183" s="28">
        <f>IF(ISNUMBER(agent!$O$9*(K183/Z183)*Y183),TRUNC(agent!$O$9*(K183/Z183)*Y183,3),"没有上级")</f>
        <v>0</v>
      </c>
      <c r="P183" s="28">
        <f>IF(ISNUMBER(agent!$O$12*(K183/Z183)*Y183),TRUNC(agent!$O$12*(K183/Z183)*Y183,3),"没有上级")</f>
        <v>0</v>
      </c>
      <c r="Q183" s="28">
        <f>IF(ISNUMBER(agent!$O$15*(K183/Z183)*Y183),TRUNC(agent!$O$15*(K183/Z183)*Y183,3),"没有上级")</f>
        <v>0</v>
      </c>
      <c r="R183" s="28">
        <f>IF(ISNUMBER(agent!$O$18*(K183/Z183)*Y183),TRUNC(agent!$O$18*(K183/Z183)*Y183,3),"没有上级")</f>
        <v>0</v>
      </c>
      <c r="S183" s="28">
        <f>IF(ISNUMBER(agent!$O$21*(K183/Z183)*Y183),TRUNC(agent!$O$21*(K183/Z183)*Y183,3),"没有上级")</f>
        <v>0</v>
      </c>
      <c r="T183" s="28">
        <f>IF(ISNUMBER(agent!$O$24*(K183/Z183)*Y183),TRUNC(agent!$O$24*(K183/Z183)*Y183,3),"没有上级")</f>
        <v>0</v>
      </c>
      <c r="U183" s="28">
        <f>IF(ISNUMBER(agent!$O$27*(K183/Z183)*Y183),TRUNC(agent!$O$27*(K183/Z183)*Y183,3),"没有上级")</f>
        <v>0</v>
      </c>
      <c r="V183" s="28">
        <f>IF(ISNUMBER(agent!$O$30*(K183/Z183)*Y183),TRUNC(agent!$O$30*(K183/Z183)*Y183,3),"没有上级")</f>
        <v>0</v>
      </c>
      <c r="W183" s="28">
        <f>IF(ISNUMBER(agent!$O$33*(K183/Z183)*Y183),TRUNC(agent!$O$33*(K183/Z183)*Y183,3),"没有上级")</f>
        <v>0</v>
      </c>
      <c r="X183" s="28"/>
      <c r="Y183">
        <f>TRUNC(0.924,3)</f>
        <v>0.92400000000000004</v>
      </c>
      <c r="Z183" s="28">
        <f>TRUNC(AB183-(9.9-agent!L$3)*10*Y183,3)</f>
        <v>891.66</v>
      </c>
      <c r="AA183" s="28">
        <f>'5Of11Source'!X$2</f>
        <v>0</v>
      </c>
      <c r="AB183">
        <f t="shared" si="30"/>
        <v>923.07600000000002</v>
      </c>
      <c r="AC183" s="28">
        <f>'5Of11Source'!E250</f>
        <v>209.99999999999997</v>
      </c>
      <c r="AD183" s="28">
        <v>831.6</v>
      </c>
      <c r="AE183" s="28"/>
      <c r="AF183" s="28"/>
      <c r="AG183" s="28"/>
      <c r="AH183" s="28"/>
      <c r="AI183" s="28"/>
    </row>
    <row r="184" spans="4:35" x14ac:dyDescent="0.15">
      <c r="D184" s="28" t="s">
        <v>103</v>
      </c>
      <c r="E184" s="28" t="s">
        <v>82</v>
      </c>
      <c r="F184" s="27" t="str">
        <f>'5Of11Source'!$J$47</f>
        <v>05,01 02 03 04 06 07 08 09 10 11</v>
      </c>
      <c r="G184" s="28">
        <f>'5Of11Source'!F195</f>
        <v>0</v>
      </c>
      <c r="H184" s="28">
        <v>1</v>
      </c>
      <c r="I184" s="30">
        <f t="shared" si="31"/>
        <v>2520</v>
      </c>
      <c r="J184" s="22">
        <f t="shared" si="25"/>
        <v>30332.85</v>
      </c>
      <c r="K184" s="30">
        <f>'5Of11Source'!L240</f>
        <v>860917.80000000016</v>
      </c>
      <c r="L184" s="28">
        <f t="shared" si="26"/>
        <v>1036489477.3949999</v>
      </c>
      <c r="M184" s="29" t="str">
        <f t="shared" si="29"/>
        <v>03,06,07,08,10</v>
      </c>
      <c r="N184" s="28">
        <f>IF(ISNUMBER(agent!$O$6*(K184/Z184)*Y184),TRUNC(agent!$O$6*(K184/Z184)*Y184,3),"没有上级")</f>
        <v>892.14200000000005</v>
      </c>
      <c r="O184" s="28">
        <f>IF(ISNUMBER(agent!$O$9*(K184/Z184)*Y184),TRUNC(agent!$O$9*(K184/Z184)*Y184,3),"没有上级")</f>
        <v>5352.8559999999998</v>
      </c>
      <c r="P184" s="28">
        <f>IF(ISNUMBER(agent!$O$12*(K184/Z184)*Y184),TRUNC(agent!$O$12*(K184/Z184)*Y184,3),"没有上级")</f>
        <v>1784.2850000000001</v>
      </c>
      <c r="Q184" s="28">
        <f>IF(ISNUMBER(agent!$O$15*(K184/Z184)*Y184),TRUNC(agent!$O$15*(K184/Z184)*Y184,3),"没有上级")</f>
        <v>3568.5709999999999</v>
      </c>
      <c r="R184" s="28">
        <f>IF(ISNUMBER(agent!$O$18*(K184/Z184)*Y184),TRUNC(agent!$O$18*(K184/Z184)*Y184,3),"没有上级")</f>
        <v>2676.4279999999999</v>
      </c>
      <c r="S184" s="28">
        <f>IF(ISNUMBER(agent!$O$21*(K184/Z184)*Y184),TRUNC(agent!$O$21*(K184/Z184)*Y184,3),"没有上级")</f>
        <v>892.14200000000005</v>
      </c>
      <c r="T184" s="28">
        <f>IF(ISNUMBER(agent!$O$24*(K184/Z184)*Y184),TRUNC(agent!$O$24*(K184/Z184)*Y184,3),"没有上级")</f>
        <v>6244.9989999999998</v>
      </c>
      <c r="U184" s="28">
        <f>IF(ISNUMBER(agent!$O$27*(K184/Z184)*Y184),TRUNC(agent!$O$27*(K184/Z184)*Y184,3),"没有上级")</f>
        <v>2676.4279999999999</v>
      </c>
      <c r="V184" s="28">
        <f>IF(ISNUMBER(agent!$O$30*(K184/Z184)*Y184),TRUNC(agent!$O$30*(K184/Z184)*Y184,3),"没有上级")</f>
        <v>3568.5709999999999</v>
      </c>
      <c r="W184" s="28">
        <f>IF(ISNUMBER(agent!$O$33*(K184/Z184)*Y184),TRUNC(agent!$O$33*(K184/Z184)*Y184,3),"没有上级")</f>
        <v>2676.4279999999999</v>
      </c>
      <c r="X184" s="28" t="s">
        <v>12</v>
      </c>
      <c r="Y184">
        <f>TRUNC(0.154,3)</f>
        <v>0.154</v>
      </c>
      <c r="Z184" s="28">
        <f>TRUNC(AB184-(9.9-agent!L$3)*10*Y184,3)</f>
        <v>148.61000000000001</v>
      </c>
      <c r="AA184" s="28">
        <f>'5Of11Source'!X$2</f>
        <v>0</v>
      </c>
      <c r="AB184">
        <f t="shared" si="30"/>
        <v>153.846</v>
      </c>
      <c r="AC184" s="28">
        <f>'5Of11Source'!E252</f>
        <v>252</v>
      </c>
      <c r="AD184" s="28">
        <v>138.6</v>
      </c>
      <c r="AE184" s="28"/>
      <c r="AF184" s="28"/>
      <c r="AG184" s="28"/>
      <c r="AH184" s="28"/>
      <c r="AI184" s="28"/>
    </row>
    <row r="185" spans="4:35" x14ac:dyDescent="0.15">
      <c r="D185" s="28" t="s">
        <v>103</v>
      </c>
      <c r="E185" s="28" t="s">
        <v>84</v>
      </c>
      <c r="F185" s="27" t="str">
        <f>'5Of11Source'!$J$49</f>
        <v>06,01 02 03 04 05 07 08 09 10 11</v>
      </c>
      <c r="G185" s="28">
        <f>'5Of11Source'!F197</f>
        <v>0</v>
      </c>
      <c r="H185" s="28">
        <v>1</v>
      </c>
      <c r="I185" s="30">
        <f t="shared" si="31"/>
        <v>1679.9999999999998</v>
      </c>
      <c r="J185" s="22">
        <f t="shared" si="25"/>
        <v>0</v>
      </c>
      <c r="K185" s="30">
        <f>'5Of11Source'!L241</f>
        <v>0</v>
      </c>
      <c r="L185" s="28">
        <f t="shared" si="26"/>
        <v>1036487797.3949999</v>
      </c>
      <c r="M185" s="29" t="str">
        <f t="shared" si="29"/>
        <v>03,06,07,08,10</v>
      </c>
      <c r="N185" s="28">
        <f>IF(ISNUMBER(agent!$O$6*(K185/Z185)*Y185),TRUNC(agent!$O$6*(K185/Z185)*Y185,3),"没有上级")</f>
        <v>0</v>
      </c>
      <c r="O185" s="28">
        <f>IF(ISNUMBER(agent!$O$9*(K185/Z185)*Y185),TRUNC(agent!$O$9*(K185/Z185)*Y185,3),"没有上级")</f>
        <v>0</v>
      </c>
      <c r="P185" s="28">
        <f>IF(ISNUMBER(agent!$O$12*(K185/Z185)*Y185),TRUNC(agent!$O$12*(K185/Z185)*Y185,3),"没有上级")</f>
        <v>0</v>
      </c>
      <c r="Q185" s="28">
        <f>IF(ISNUMBER(agent!$O$15*(K185/Z185)*Y185),TRUNC(agent!$O$15*(K185/Z185)*Y185,3),"没有上级")</f>
        <v>0</v>
      </c>
      <c r="R185" s="28">
        <f>IF(ISNUMBER(agent!$O$18*(K185/Z185)*Y185),TRUNC(agent!$O$18*(K185/Z185)*Y185,3),"没有上级")</f>
        <v>0</v>
      </c>
      <c r="S185" s="28">
        <f>IF(ISNUMBER(agent!$O$21*(K185/Z185)*Y185),TRUNC(agent!$O$21*(K185/Z185)*Y185,3),"没有上级")</f>
        <v>0</v>
      </c>
      <c r="T185" s="28">
        <f>IF(ISNUMBER(agent!$O$24*(K185/Z185)*Y185),TRUNC(agent!$O$24*(K185/Z185)*Y185,3),"没有上级")</f>
        <v>0</v>
      </c>
      <c r="U185" s="28">
        <f>IF(ISNUMBER(agent!$O$27*(K185/Z185)*Y185),TRUNC(agent!$O$27*(K185/Z185)*Y185,3),"没有上级")</f>
        <v>0</v>
      </c>
      <c r="V185" s="28">
        <f>IF(ISNUMBER(agent!$O$30*(K185/Z185)*Y185),TRUNC(agent!$O$30*(K185/Z185)*Y185,3),"没有上级")</f>
        <v>0</v>
      </c>
      <c r="W185" s="28">
        <f>IF(ISNUMBER(agent!$O$33*(K185/Z185)*Y185),TRUNC(agent!$O$33*(K185/Z185)*Y185,3),"没有上级")</f>
        <v>0</v>
      </c>
      <c r="X185" s="28"/>
      <c r="Y185">
        <f>TRUNC(0.044,3)</f>
        <v>4.3999999999999997E-2</v>
      </c>
      <c r="Z185" s="28">
        <f>TRUNC(AB185-(9.9-agent!L$3)*10*Y185,3)</f>
        <v>42.46</v>
      </c>
      <c r="AA185" s="28">
        <f>'5Of11Source'!X$2</f>
        <v>0</v>
      </c>
      <c r="AB185">
        <f t="shared" si="30"/>
        <v>43.956000000000003</v>
      </c>
      <c r="AC185" s="28">
        <f>'5Of11Source'!E254</f>
        <v>209.99999999999997</v>
      </c>
      <c r="AD185" s="28">
        <v>39.6</v>
      </c>
      <c r="AE185" s="28"/>
      <c r="AF185" s="28"/>
      <c r="AG185" s="28"/>
      <c r="AH185" s="28"/>
      <c r="AI185" s="28"/>
    </row>
    <row r="186" spans="4:35" x14ac:dyDescent="0.15">
      <c r="D186" s="28" t="s">
        <v>103</v>
      </c>
      <c r="E186" s="28" t="s">
        <v>86</v>
      </c>
      <c r="F186" s="27" t="str">
        <f>'5Of11Source'!$J$51</f>
        <v>07,01 02 03 04 05 06 09 10 08 11</v>
      </c>
      <c r="G186" s="28">
        <f>'5Of11Source'!F199</f>
        <v>0</v>
      </c>
      <c r="H186" s="28">
        <v>1</v>
      </c>
      <c r="I186" s="30">
        <f t="shared" si="31"/>
        <v>720</v>
      </c>
      <c r="J186" s="22">
        <f t="shared" si="25"/>
        <v>0</v>
      </c>
      <c r="K186" s="30">
        <f>'5Of11Source'!L242</f>
        <v>0</v>
      </c>
      <c r="L186" s="28">
        <f t="shared" si="26"/>
        <v>1036487077.3949999</v>
      </c>
      <c r="M186" s="29" t="str">
        <f t="shared" si="29"/>
        <v>03,06,07,08,10</v>
      </c>
      <c r="N186" s="28">
        <f>IF(ISNUMBER(agent!$O$6*(K186/Z186)*Y186),TRUNC(agent!$O$6*(K186/Z186)*Y186,3),"没有上级")</f>
        <v>0</v>
      </c>
      <c r="O186" s="28">
        <f>IF(ISNUMBER(agent!$O$9*(K186/Z186)*Y186),TRUNC(agent!$O$9*(K186/Z186)*Y186,3),"没有上级")</f>
        <v>0</v>
      </c>
      <c r="P186" s="28">
        <f>IF(ISNUMBER(agent!$O$12*(K186/Z186)*Y186),TRUNC(agent!$O$12*(K186/Z186)*Y186,3),"没有上级")</f>
        <v>0</v>
      </c>
      <c r="Q186" s="28">
        <f>IF(ISNUMBER(agent!$O$15*(K186/Z186)*Y186),TRUNC(agent!$O$15*(K186/Z186)*Y186,3),"没有上级")</f>
        <v>0</v>
      </c>
      <c r="R186" s="28">
        <f>IF(ISNUMBER(agent!$O$18*(K186/Z186)*Y186),TRUNC(agent!$O$18*(K186/Z186)*Y186,3),"没有上级")</f>
        <v>0</v>
      </c>
      <c r="S186" s="28">
        <f>IF(ISNUMBER(agent!$O$21*(K186/Z186)*Y186),TRUNC(agent!$O$21*(K186/Z186)*Y186,3),"没有上级")</f>
        <v>0</v>
      </c>
      <c r="T186" s="28">
        <f>IF(ISNUMBER(agent!$O$24*(K186/Z186)*Y186),TRUNC(agent!$O$24*(K186/Z186)*Y186,3),"没有上级")</f>
        <v>0</v>
      </c>
      <c r="U186" s="28">
        <f>IF(ISNUMBER(agent!$O$27*(K186/Z186)*Y186),TRUNC(agent!$O$27*(K186/Z186)*Y186,3),"没有上级")</f>
        <v>0</v>
      </c>
      <c r="V186" s="28">
        <f>IF(ISNUMBER(agent!$O$30*(K186/Z186)*Y186),TRUNC(agent!$O$30*(K186/Z186)*Y186,3),"没有上级")</f>
        <v>0</v>
      </c>
      <c r="W186" s="28">
        <f>IF(ISNUMBER(agent!$O$33*(K186/Z186)*Y186),TRUNC(agent!$O$33*(K186/Z186)*Y186,3),"没有上级")</f>
        <v>0</v>
      </c>
      <c r="X186" s="28"/>
      <c r="Y186">
        <f>TRUNC(0.01642857,3)</f>
        <v>1.6E-2</v>
      </c>
      <c r="Z186" s="28">
        <f>TRUNC(AB186-(9.9-agent!L$3)*10*Y186,3)</f>
        <v>15.89</v>
      </c>
      <c r="AA186" s="28">
        <f>'5Of11Source'!X$2</f>
        <v>0</v>
      </c>
      <c r="AB186">
        <f t="shared" si="30"/>
        <v>16.434000000000001</v>
      </c>
      <c r="AC186" s="28">
        <f>'5Of11Source'!E256</f>
        <v>120</v>
      </c>
      <c r="AD186" s="28">
        <v>14.85</v>
      </c>
      <c r="AE186" s="28"/>
      <c r="AF186" s="28"/>
      <c r="AG186" s="28"/>
      <c r="AH186" s="28"/>
      <c r="AI186" s="28"/>
    </row>
    <row r="187" spans="4:35" x14ac:dyDescent="0.15">
      <c r="D187" s="31" t="s">
        <v>23</v>
      </c>
      <c r="E187" s="31" t="s">
        <v>25</v>
      </c>
      <c r="F187" s="31" t="str">
        <f>'5Of11Source'!$J$2</f>
        <v>01 02 03 04 05 06 07 08 09 10 11,01 02 03 04 05 06 07 08 09 10 11,01 02 03 04 05 06 07 08 09 10 11</v>
      </c>
      <c r="G187" s="31">
        <f>'5Of11Source'!F187:F189</f>
        <v>5</v>
      </c>
      <c r="H187" s="31">
        <v>1</v>
      </c>
      <c r="I187" s="30">
        <f t="shared" si="31"/>
        <v>3960</v>
      </c>
      <c r="J187" s="31">
        <f t="shared" si="25"/>
        <v>1820.7569999999998</v>
      </c>
      <c r="K187" s="30">
        <f>'5Of11Source'!L257</f>
        <v>51677.540000000008</v>
      </c>
      <c r="L187" s="31">
        <f>L186-I187+K187</f>
        <v>1036534794.9349998</v>
      </c>
      <c r="M187" s="31" t="str">
        <f>'5Of11Source'!P$2</f>
        <v>03,06,07,08,10</v>
      </c>
      <c r="N187" s="31">
        <f>IF(ISNUMBER(agent!$O$6*(K187/Z187)*Y187),TRUNC(agent!$O$6*(K187/Z187)*Y187,3),"没有上级")</f>
        <v>53.551000000000002</v>
      </c>
      <c r="O187" s="31">
        <f>IF(ISNUMBER(agent!$O$9*(K187/Z187)*Y187),TRUNC(agent!$O$9*(K187/Z187)*Y187,3),"没有上级")</f>
        <v>321.31099999999998</v>
      </c>
      <c r="P187" s="31">
        <f>IF(ISNUMBER(agent!$O$12*(K187/Z187)*Y187),TRUNC(agent!$O$12*(K187/Z187)*Y187,3),"没有上级")</f>
        <v>107.10299999999999</v>
      </c>
      <c r="Q187" s="31">
        <f>IF(ISNUMBER(agent!$O$15*(K187/Z187)*Y187),TRUNC(agent!$O$15*(K187/Z187)*Y187,3),"没有上级")</f>
        <v>214.20699999999999</v>
      </c>
      <c r="R187" s="31">
        <f>IF(ISNUMBER(agent!$O$18*(K187/Z187)*Y187),TRUNC(agent!$O$18*(K187/Z187)*Y187,3),"没有上级")</f>
        <v>160.655</v>
      </c>
      <c r="S187" s="31">
        <f>IF(ISNUMBER(agent!$O$21*(K187/Z187)*Y187),TRUNC(agent!$O$21*(K187/Z187)*Y187,3),"没有上级")</f>
        <v>53.551000000000002</v>
      </c>
      <c r="T187" s="31">
        <f>IF(ISNUMBER(agent!$O$24*(K187/Z187)*Y187),TRUNC(agent!$O$24*(K187/Z187)*Y187,3),"没有上级")</f>
        <v>374.86200000000002</v>
      </c>
      <c r="U187" s="31">
        <f>IF(ISNUMBER(agent!$O$27*(K187/Z187)*Y187),TRUNC(agent!$O$27*(K187/Z187)*Y187,3),"没有上级")</f>
        <v>160.655</v>
      </c>
      <c r="V187" s="31">
        <f>IF(ISNUMBER(agent!$O$30*(K187/Z187)*Y187),TRUNC(agent!$O$30*(K187/Z187)*Y187,3),"没有上级")</f>
        <v>214.20699999999999</v>
      </c>
      <c r="W187" s="31">
        <f>IF(ISNUMBER(agent!$O$33*(K187/Z187)*Y187),TRUNC(agent!$O$33*(K187/Z187)*Y187,3),"没有上级")</f>
        <v>160.655</v>
      </c>
      <c r="X187" s="31" t="s">
        <v>9</v>
      </c>
      <c r="Y187" s="31">
        <f>TRUNC(1.98,3)</f>
        <v>1.98</v>
      </c>
      <c r="Z187" s="31">
        <f>TRUNC(AB187-(9.9-agent!L$3)*10*Y187,3)</f>
        <v>1910.7</v>
      </c>
      <c r="AA187" s="31">
        <f>'5Of11Source'!X$2</f>
        <v>0</v>
      </c>
      <c r="AB187" s="31">
        <f>TRUNC(AD187+Y187*99,4)</f>
        <v>1978.02</v>
      </c>
      <c r="AC187" s="28">
        <f>'5Of11Source'!E257</f>
        <v>45</v>
      </c>
      <c r="AD187" s="31">
        <v>1782</v>
      </c>
      <c r="AE187" s="31">
        <v>1000000000</v>
      </c>
      <c r="AF187" s="31"/>
      <c r="AG187" s="31"/>
      <c r="AH187" s="31"/>
      <c r="AI187" s="31"/>
    </row>
    <row r="188" spans="4:35" x14ac:dyDescent="0.15">
      <c r="D188" s="28" t="s">
        <v>23</v>
      </c>
      <c r="E188" s="28" t="s">
        <v>32</v>
      </c>
      <c r="F188" s="27" t="str">
        <f>'5Of11Source'!$J$5</f>
        <v>01 02 03,04 05 06,07 08 09,02 05 07</v>
      </c>
      <c r="G188" s="28">
        <f>'5Of11Source'!F190</f>
        <v>2</v>
      </c>
      <c r="H188" s="28">
        <v>1</v>
      </c>
      <c r="I188" s="30">
        <f t="shared" si="31"/>
        <v>40</v>
      </c>
      <c r="J188" s="22">
        <f t="shared" si="25"/>
        <v>0</v>
      </c>
      <c r="K188" s="30">
        <f>'5Of11Source'!L258</f>
        <v>0</v>
      </c>
      <c r="L188" s="28">
        <f t="shared" ref="L188:L223" si="32">$L187-$I188+$K188</f>
        <v>1036534754.9349998</v>
      </c>
      <c r="M188" s="29" t="str">
        <f>M187</f>
        <v>03,06,07,08,10</v>
      </c>
      <c r="N188" s="28">
        <f>IF(ISNUMBER(agent!$O$6*(K188/Z188)*Y188),TRUNC(agent!$O$6*(K188/Z188)*Y188,3),"没有上级")</f>
        <v>0</v>
      </c>
      <c r="O188" s="28">
        <f>IF(ISNUMBER(agent!$O$9*(K188/Z188)*Y188),TRUNC(agent!$O$9*(K188/Z188)*Y188,3),"没有上级")</f>
        <v>0</v>
      </c>
      <c r="P188" s="28">
        <f>IF(ISNUMBER(agent!$O$12*(K188/Z188)*Y188),TRUNC(agent!$O$12*(K188/Z188)*Y188,3),"没有上级")</f>
        <v>0</v>
      </c>
      <c r="Q188" s="28">
        <f>IF(ISNUMBER(agent!$O$15*(K188/Z188)*Y188),TRUNC(agent!$O$15*(K188/Z188)*Y188,3),"没有上级")</f>
        <v>0</v>
      </c>
      <c r="R188" s="28">
        <f>IF(ISNUMBER(agent!$O$18*(K188/Z188)*Y188),TRUNC(agent!$O$18*(K188/Z188)*Y188,3),"没有上级")</f>
        <v>0</v>
      </c>
      <c r="S188" s="28">
        <f>IF(ISNUMBER(agent!$O$21*(K188/Z188)*Y188),TRUNC(agent!$O$21*(K188/Z188)*Y188,3),"没有上级")</f>
        <v>0</v>
      </c>
      <c r="T188" s="28">
        <f>IF(ISNUMBER(agent!$O$24*(K188/Z188)*Y188),TRUNC(agent!$O$24*(K188/Z188)*Y188,3),"没有上级")</f>
        <v>0</v>
      </c>
      <c r="U188" s="28">
        <f>IF(ISNUMBER(agent!$O$27*(K188/Z188)*Y188),TRUNC(agent!$O$27*(K188/Z188)*Y188,3),"没有上级")</f>
        <v>0</v>
      </c>
      <c r="V188" s="28">
        <f>IF(ISNUMBER(agent!$O$30*(K188/Z188)*Y188),TRUNC(agent!$O$30*(K188/Z188)*Y188,3),"没有上级")</f>
        <v>0</v>
      </c>
      <c r="W188" s="28">
        <f>IF(ISNUMBER(agent!$O$33*(K188/Z188)*Y188),TRUNC(agent!$O$33*(K188/Z188)*Y188,3),"没有上级")</f>
        <v>0</v>
      </c>
      <c r="X188" s="28" t="s">
        <v>10</v>
      </c>
      <c r="Y188">
        <f>TRUNC(1.98,3)</f>
        <v>1.98</v>
      </c>
      <c r="Z188" s="28">
        <f>TRUNC(AB188-(9.9-agent!L$3)*10*Y188,3)</f>
        <v>1910.7</v>
      </c>
      <c r="AA188" s="28">
        <f>'5Of11Source'!X$2</f>
        <v>0</v>
      </c>
      <c r="AB188">
        <f t="shared" ref="AB188:AB198" si="33">TRUNC(AD188+Y188*99,4)</f>
        <v>1978.02</v>
      </c>
      <c r="AC188" s="28">
        <f>'5Of11Source'!E260</f>
        <v>4</v>
      </c>
      <c r="AD188" s="28">
        <v>1782</v>
      </c>
      <c r="AE188" s="28"/>
      <c r="AF188" s="29" t="s">
        <v>136</v>
      </c>
      <c r="AG188" s="28"/>
      <c r="AH188" s="27"/>
      <c r="AI188" s="28"/>
    </row>
    <row r="189" spans="4:35" ht="27" x14ac:dyDescent="0.15">
      <c r="D189" s="28" t="s">
        <v>23</v>
      </c>
      <c r="E189" s="28" t="s">
        <v>35</v>
      </c>
      <c r="F189" s="27" t="str">
        <f>'5Of11Source'!$J$6</f>
        <v>01 02 03 04 05 06 07 08 09 10 11</v>
      </c>
      <c r="G189" s="28">
        <f>'5Of11Source'!F191</f>
        <v>3</v>
      </c>
      <c r="H189" s="28">
        <v>1</v>
      </c>
      <c r="I189" s="30">
        <f t="shared" si="31"/>
        <v>990</v>
      </c>
      <c r="J189" s="22">
        <f t="shared" si="25"/>
        <v>2555.598</v>
      </c>
      <c r="K189" s="30">
        <f>'5Of11Source'!L259</f>
        <v>72739.680000000022</v>
      </c>
      <c r="L189" s="28">
        <f t="shared" si="32"/>
        <v>1036606504.6149998</v>
      </c>
      <c r="M189" s="29" t="str">
        <f>M188</f>
        <v>03,06,07,08,10</v>
      </c>
      <c r="N189" s="28">
        <f>IF(ISNUMBER(agent!$O$6*(K189/Z189)*Y189),TRUNC(agent!$O$6*(K189/Z189)*Y189,3),"没有上级")</f>
        <v>75.164000000000001</v>
      </c>
      <c r="O189" s="28">
        <f>IF(ISNUMBER(agent!$O$9*(K189/Z189)*Y189),TRUNC(agent!$O$9*(K189/Z189)*Y189,3),"没有上级")</f>
        <v>450.988</v>
      </c>
      <c r="P189" s="28">
        <f>IF(ISNUMBER(agent!$O$12*(K189/Z189)*Y189),TRUNC(agent!$O$12*(K189/Z189)*Y189,3),"没有上级")</f>
        <v>150.32900000000001</v>
      </c>
      <c r="Q189" s="28">
        <f>IF(ISNUMBER(agent!$O$15*(K189/Z189)*Y189),TRUNC(agent!$O$15*(K189/Z189)*Y189,3),"没有上级")</f>
        <v>300.65899999999999</v>
      </c>
      <c r="R189" s="28">
        <f>IF(ISNUMBER(agent!$O$18*(K189/Z189)*Y189),TRUNC(agent!$O$18*(K189/Z189)*Y189,3),"没有上级")</f>
        <v>225.494</v>
      </c>
      <c r="S189" s="28">
        <f>IF(ISNUMBER(agent!$O$21*(K189/Z189)*Y189),TRUNC(agent!$O$21*(K189/Z189)*Y189,3),"没有上级")</f>
        <v>75.164000000000001</v>
      </c>
      <c r="T189" s="28">
        <f>IF(ISNUMBER(agent!$O$24*(K189/Z189)*Y189),TRUNC(agent!$O$24*(K189/Z189)*Y189,3),"没有上级")</f>
        <v>526.15300000000002</v>
      </c>
      <c r="U189" s="28">
        <f>IF(ISNUMBER(agent!$O$27*(K189/Z189)*Y189),TRUNC(agent!$O$27*(K189/Z189)*Y189,3),"没有上级")</f>
        <v>225.494</v>
      </c>
      <c r="V189" s="28">
        <f>IF(ISNUMBER(agent!$O$30*(K189/Z189)*Y189),TRUNC(agent!$O$30*(K189/Z189)*Y189,3),"没有上级")</f>
        <v>300.65899999999999</v>
      </c>
      <c r="W189" s="28">
        <f>IF(ISNUMBER(agent!$O$33*(K189/Z189)*Y189),TRUNC(agent!$O$33*(K189/Z189)*Y189,3),"没有上级")</f>
        <v>225.494</v>
      </c>
      <c r="X189" s="28"/>
      <c r="Y189">
        <f>TRUNC(0.329857,3)</f>
        <v>0.32900000000000001</v>
      </c>
      <c r="Z189" s="28">
        <f>TRUNC(AB189-(9.9-agent!L$3)*10*Y189,3)</f>
        <v>318.38499999999999</v>
      </c>
      <c r="AA189" s="28">
        <f>'5Of11Source'!X$2</f>
        <v>0</v>
      </c>
      <c r="AB189">
        <f t="shared" si="33"/>
        <v>329.57100000000003</v>
      </c>
      <c r="AC189" s="28">
        <f>'5Of11Source'!E261</f>
        <v>165</v>
      </c>
      <c r="AD189" s="28">
        <v>297</v>
      </c>
      <c r="AE189" s="28"/>
      <c r="AF189" s="29" t="s">
        <v>137</v>
      </c>
      <c r="AG189" s="29" t="s">
        <v>145</v>
      </c>
      <c r="AH189" s="25" t="s">
        <v>146</v>
      </c>
      <c r="AI189" s="29" t="s">
        <v>147</v>
      </c>
    </row>
    <row r="190" spans="4:35" x14ac:dyDescent="0.15">
      <c r="D190" s="28" t="s">
        <v>23</v>
      </c>
      <c r="E190" s="28" t="s">
        <v>36</v>
      </c>
      <c r="F190" s="27" t="str">
        <f>'5Of11Source'!$D$7</f>
        <v>01 02 03,06 07 08,09 10 11,05 02 07</v>
      </c>
      <c r="G190" s="28">
        <f>'5Of11Source'!F192</f>
        <v>1</v>
      </c>
      <c r="H190" s="28">
        <v>1</v>
      </c>
      <c r="I190" s="30">
        <f t="shared" si="31"/>
        <v>32</v>
      </c>
      <c r="J190" s="22">
        <f t="shared" si="25"/>
        <v>0</v>
      </c>
      <c r="K190" s="30">
        <f>'5Of11Source'!L260</f>
        <v>0</v>
      </c>
      <c r="L190" s="28">
        <f t="shared" si="32"/>
        <v>1036606472.6149998</v>
      </c>
      <c r="M190" s="29" t="str">
        <f>M189</f>
        <v>03,06,07,08,10</v>
      </c>
      <c r="N190" s="28">
        <f>IF(ISNUMBER(agent!$O$6*(K190/Z190)*Y190),TRUNC(agent!$O$6*(K190/Z190)*Y190,3),"没有上级")</f>
        <v>0</v>
      </c>
      <c r="O190" s="28">
        <f>IF(ISNUMBER(agent!$O$9*(K190/Z190)*Y190),TRUNC(agent!$O$9*(K190/Z190)*Y190,3),"没有上级")</f>
        <v>0</v>
      </c>
      <c r="P190" s="28">
        <f>IF(ISNUMBER(agent!$O$12*(K190/Z190)*Y190),TRUNC(agent!$O$12*(K190/Z190)*Y190,3),"没有上级")</f>
        <v>0</v>
      </c>
      <c r="Q190" s="28">
        <f>IF(ISNUMBER(agent!$O$15*(K190/Z190)*Y190),TRUNC(agent!$O$15*(K190/Z190)*Y190,3),"没有上级")</f>
        <v>0</v>
      </c>
      <c r="R190" s="28">
        <f>IF(ISNUMBER(agent!$O$18*(K190/Z190)*Y190),TRUNC(agent!$O$18*(K190/Z190)*Y190,3),"没有上级")</f>
        <v>0</v>
      </c>
      <c r="S190" s="28">
        <f>IF(ISNUMBER(agent!$O$21*(K190/Z190)*Y190),TRUNC(agent!$O$21*(K190/Z190)*Y190,3),"没有上级")</f>
        <v>0</v>
      </c>
      <c r="T190" s="28">
        <f>IF(ISNUMBER(agent!$O$24*(K190/Z190)*Y190),TRUNC(agent!$O$24*(K190/Z190)*Y190,3),"没有上级")</f>
        <v>0</v>
      </c>
      <c r="U190" s="28">
        <f>IF(ISNUMBER(agent!$O$27*(K190/Z190)*Y190),TRUNC(agent!$O$27*(K190/Z190)*Y190,3),"没有上级")</f>
        <v>0</v>
      </c>
      <c r="V190" s="28">
        <f>IF(ISNUMBER(agent!$O$30*(K190/Z190)*Y190),TRUNC(agent!$O$30*(K190/Z190)*Y190,3),"没有上级")</f>
        <v>0</v>
      </c>
      <c r="W190" s="28">
        <f>IF(ISNUMBER(agent!$O$33*(K190/Z190)*Y190),TRUNC(agent!$O$33*(K190/Z190)*Y190,3),"没有上级")</f>
        <v>0</v>
      </c>
      <c r="X190" s="28"/>
      <c r="Y190">
        <f>TRUNC(0.329857,3)</f>
        <v>0.32900000000000001</v>
      </c>
      <c r="Z190" s="28">
        <f>TRUNC(AB190-(9.9-agent!L$3)*10*Y190,3)</f>
        <v>318.38499999999999</v>
      </c>
      <c r="AA190" s="28">
        <f>'5Of11Source'!X$2</f>
        <v>0</v>
      </c>
      <c r="AB190">
        <f t="shared" si="33"/>
        <v>329.57100000000003</v>
      </c>
      <c r="AC190" s="28">
        <f>'5Of11Source'!E262</f>
        <v>4</v>
      </c>
      <c r="AD190" s="28">
        <v>297</v>
      </c>
      <c r="AE190" s="28"/>
      <c r="AF190" s="29" t="s">
        <v>138</v>
      </c>
      <c r="AG190" s="28">
        <f>TRUNC(0.154,3)</f>
        <v>0.154</v>
      </c>
      <c r="AH190" s="27">
        <f>TRUNC(AI190-(9.9-agent!$L$3)*AG190,3)</f>
        <v>14.722</v>
      </c>
      <c r="AI190" s="28">
        <f t="shared" ref="AI190:AI195" si="34">TRUNC(AD230+AG190*99,4)</f>
        <v>15.246</v>
      </c>
    </row>
    <row r="191" spans="4:35" x14ac:dyDescent="0.15">
      <c r="D191" s="28" t="s">
        <v>23</v>
      </c>
      <c r="E191" s="28" t="s">
        <v>38</v>
      </c>
      <c r="F191" s="27" t="str">
        <f>'5Of11Source'!$J$8</f>
        <v>07,01 02 03 04 05 06 08 09 10 11</v>
      </c>
      <c r="G191" s="28">
        <f>'5Of11Source'!F193</f>
        <v>0</v>
      </c>
      <c r="H191" s="28">
        <v>1</v>
      </c>
      <c r="I191" s="30">
        <f t="shared" si="31"/>
        <v>180</v>
      </c>
      <c r="J191" s="22">
        <f t="shared" si="25"/>
        <v>0</v>
      </c>
      <c r="K191" s="30">
        <f>'5Of11Source'!L261</f>
        <v>0</v>
      </c>
      <c r="L191" s="28">
        <f t="shared" si="32"/>
        <v>1036606292.6149998</v>
      </c>
      <c r="M191" s="29" t="str">
        <f>M190</f>
        <v>03,06,07,08,10</v>
      </c>
      <c r="N191" s="28">
        <f>IF(ISNUMBER(agent!$O$6*(K191/Z191)*Y191),TRUNC(agent!$O$6*(K191/Z191)*Y191,3),"没有上级")</f>
        <v>0</v>
      </c>
      <c r="O191" s="28">
        <f>IF(ISNUMBER(agent!$O$9*(K191/Z191)*Y191),TRUNC(agent!$O$9*(K191/Z191)*Y191,3),"没有上级")</f>
        <v>0</v>
      </c>
      <c r="P191" s="28">
        <f>IF(ISNUMBER(agent!$O$12*(K191/Z191)*Y191),TRUNC(agent!$O$12*(K191/Z191)*Y191,3),"没有上级")</f>
        <v>0</v>
      </c>
      <c r="Q191" s="28">
        <f>IF(ISNUMBER(agent!$O$15*(K191/Z191)*Y191),TRUNC(agent!$O$15*(K191/Z191)*Y191,3),"没有上级")</f>
        <v>0</v>
      </c>
      <c r="R191" s="28">
        <f>IF(ISNUMBER(agent!$O$18*(K191/Z191)*Y191),TRUNC(agent!$O$18*(K191/Z191)*Y191,3),"没有上级")</f>
        <v>0</v>
      </c>
      <c r="S191" s="28">
        <f>IF(ISNUMBER(agent!$O$21*(K191/Z191)*Y191),TRUNC(agent!$O$21*(K191/Z191)*Y191,3),"没有上级")</f>
        <v>0</v>
      </c>
      <c r="T191" s="28">
        <f>IF(ISNUMBER(agent!$O$24*(K191/Z191)*Y191),TRUNC(agent!$O$24*(K191/Z191)*Y191,3),"没有上级")</f>
        <v>0</v>
      </c>
      <c r="U191" s="28">
        <f>IF(ISNUMBER(agent!$O$27*(K191/Z191)*Y191),TRUNC(agent!$O$27*(K191/Z191)*Y191,3),"没有上级")</f>
        <v>0</v>
      </c>
      <c r="V191" s="28">
        <f>IF(ISNUMBER(agent!$O$30*(K191/Z191)*Y191),TRUNC(agent!$O$30*(K191/Z191)*Y191,3),"没有上级")</f>
        <v>0</v>
      </c>
      <c r="W191" s="28">
        <f>IF(ISNUMBER(agent!$O$33*(K191/Z191)*Y191),TRUNC(agent!$O$33*(K191/Z191)*Y191,3),"没有上级")</f>
        <v>0</v>
      </c>
      <c r="X191" s="28"/>
      <c r="Y191">
        <f>TRUNC(0.329857,3)</f>
        <v>0.32900000000000001</v>
      </c>
      <c r="Z191" s="28">
        <f>TRUNC(AB191-(9.9-agent!L$3)*10*Y191,3)</f>
        <v>318.38499999999999</v>
      </c>
      <c r="AA191" s="28">
        <f>'5Of11Source'!X$2</f>
        <v>0</v>
      </c>
      <c r="AB191">
        <f t="shared" si="33"/>
        <v>329.57100000000003</v>
      </c>
      <c r="AC191" s="28">
        <f>'5Of11Source'!E263</f>
        <v>45</v>
      </c>
      <c r="AD191" s="28">
        <v>297</v>
      </c>
      <c r="AE191" s="28"/>
      <c r="AF191" s="29" t="s">
        <v>139</v>
      </c>
      <c r="AG191" s="28">
        <f>TRUNC(0.01242857,3)</f>
        <v>1.2E-2</v>
      </c>
      <c r="AH191" s="27">
        <f>TRUNC(AI191-(9.9-agent!$L$3)*AG191,3)</f>
        <v>1.147</v>
      </c>
      <c r="AI191" s="28">
        <f t="shared" si="34"/>
        <v>1.1879999999999999</v>
      </c>
    </row>
    <row r="192" spans="4:35" ht="27" x14ac:dyDescent="0.15">
      <c r="D192" s="28" t="s">
        <v>41</v>
      </c>
      <c r="E192" s="28" t="s">
        <v>43</v>
      </c>
      <c r="F192" s="27" t="str">
        <f>'5Of11Source'!$J$10</f>
        <v>01 02 03 04 05 06 07 08 09 10 11,01 02 03 04 05 06 07 08 09 10 11</v>
      </c>
      <c r="G192" s="28">
        <f>'5Of11Source'!F195</f>
        <v>0</v>
      </c>
      <c r="H192" s="28">
        <v>1</v>
      </c>
      <c r="I192" s="30">
        <f t="shared" si="31"/>
        <v>1100</v>
      </c>
      <c r="J192" s="22">
        <f t="shared" si="25"/>
        <v>4276.6319999999996</v>
      </c>
      <c r="K192" s="30">
        <f>'5Of11Source'!L262</f>
        <v>121381.05000000003</v>
      </c>
      <c r="L192" s="28">
        <f t="shared" si="32"/>
        <v>1036726573.6649997</v>
      </c>
      <c r="M192" s="29" t="str">
        <f>M191</f>
        <v>03,06,07,08,10</v>
      </c>
      <c r="N192" s="28">
        <f>IF(ISNUMBER(agent!$O$6*(K192/Z192)*Y192),TRUNC(agent!$O$6*(K192/Z192)*Y192,3),"没有上级")</f>
        <v>125.783</v>
      </c>
      <c r="O192" s="28">
        <f>IF(ISNUMBER(agent!$O$9*(K192/Z192)*Y192),TRUNC(agent!$O$9*(K192/Z192)*Y192,3),"没有上级")</f>
        <v>754.7</v>
      </c>
      <c r="P192" s="28">
        <f>IF(ISNUMBER(agent!$O$12*(K192/Z192)*Y192),TRUNC(agent!$O$12*(K192/Z192)*Y192,3),"没有上级")</f>
        <v>251.566</v>
      </c>
      <c r="Q192" s="28">
        <f>IF(ISNUMBER(agent!$O$15*(K192/Z192)*Y192),TRUNC(agent!$O$15*(K192/Z192)*Y192,3),"没有上级")</f>
        <v>503.13299999999998</v>
      </c>
      <c r="R192" s="28">
        <f>IF(ISNUMBER(agent!$O$18*(K192/Z192)*Y192),TRUNC(agent!$O$18*(K192/Z192)*Y192,3),"没有上级")</f>
        <v>377.35</v>
      </c>
      <c r="S192" s="28">
        <f>IF(ISNUMBER(agent!$O$21*(K192/Z192)*Y192),TRUNC(agent!$O$21*(K192/Z192)*Y192,3),"没有上级")</f>
        <v>125.783</v>
      </c>
      <c r="T192" s="28">
        <f>IF(ISNUMBER(agent!$O$24*(K192/Z192)*Y192),TRUNC(agent!$O$24*(K192/Z192)*Y192,3),"没有上级")</f>
        <v>880.48400000000004</v>
      </c>
      <c r="U192" s="28">
        <f>IF(ISNUMBER(agent!$O$27*(K192/Z192)*Y192),TRUNC(agent!$O$27*(K192/Z192)*Y192,3),"没有上级")</f>
        <v>377.35</v>
      </c>
      <c r="V192" s="28">
        <f>IF(ISNUMBER(agent!$O$30*(K192/Z192)*Y192),TRUNC(agent!$O$30*(K192/Z192)*Y192,3),"没有上级")</f>
        <v>503.13299999999998</v>
      </c>
      <c r="W192" s="28">
        <f>IF(ISNUMBER(agent!$O$33*(K192/Z192)*Y192),TRUNC(agent!$O$33*(K192/Z192)*Y192,3),"没有上级")</f>
        <v>377.35</v>
      </c>
      <c r="X192" s="28" t="s">
        <v>12</v>
      </c>
      <c r="Y192">
        <f>TRUNC(0.22,3)</f>
        <v>0.22</v>
      </c>
      <c r="Z192" s="28">
        <f>TRUNC(AB192-(9.9-agent!L$3)*10*Y192,3)</f>
        <v>212.3</v>
      </c>
      <c r="AA192" s="28">
        <f>'5Of11Source'!X$2</f>
        <v>0</v>
      </c>
      <c r="AB192">
        <f t="shared" si="33"/>
        <v>219.78</v>
      </c>
      <c r="AC192" s="28">
        <f>'5Of11Source'!E265</f>
        <v>121</v>
      </c>
      <c r="AD192" s="28">
        <v>198</v>
      </c>
      <c r="AE192" s="28"/>
      <c r="AF192" s="29" t="s">
        <v>140</v>
      </c>
      <c r="AG192" s="28">
        <f>TRUNC(0.0047,3)</f>
        <v>4.0000000000000001E-3</v>
      </c>
      <c r="AH192" s="27">
        <f>TRUNC(AI192-(9.9-agent!$L$3)*AG192,3)</f>
        <v>0.38200000000000001</v>
      </c>
      <c r="AI192" s="28">
        <f t="shared" si="34"/>
        <v>0.39600000000000002</v>
      </c>
    </row>
    <row r="193" spans="4:35" x14ac:dyDescent="0.15">
      <c r="D193" s="28" t="s">
        <v>41</v>
      </c>
      <c r="E193" s="28" t="s">
        <v>45</v>
      </c>
      <c r="F193" s="27" t="str">
        <f>'5Of11Source'!$J$12</f>
        <v>01 02,02 05,05 02,07 08,09 10</v>
      </c>
      <c r="G193" s="28">
        <f>'5Of11Source'!F197</f>
        <v>0</v>
      </c>
      <c r="H193" s="28">
        <v>1</v>
      </c>
      <c r="I193" s="30">
        <f t="shared" si="31"/>
        <v>30</v>
      </c>
      <c r="J193" s="22">
        <f t="shared" si="25"/>
        <v>0</v>
      </c>
      <c r="K193" s="30">
        <f>'5Of11Source'!L263</f>
        <v>0</v>
      </c>
      <c r="L193" s="28">
        <f t="shared" si="32"/>
        <v>1036726543.6649997</v>
      </c>
      <c r="M193" s="29" t="str">
        <f t="shared" ref="M193:M223" si="35">M192</f>
        <v>03,06,07,08,10</v>
      </c>
      <c r="N193" s="28">
        <f>IF(ISNUMBER(agent!$O$6*(K193/Z193)*Y193),TRUNC(agent!$O$6*(K193/Z193)*Y193,3),"没有上级")</f>
        <v>0</v>
      </c>
      <c r="O193" s="28">
        <f>IF(ISNUMBER(agent!$O$9*(K193/Z193)*Y193),TRUNC(agent!$O$9*(K193/Z193)*Y193,3),"没有上级")</f>
        <v>0</v>
      </c>
      <c r="P193" s="28">
        <f>IF(ISNUMBER(agent!$O$12*(K193/Z193)*Y193),TRUNC(agent!$O$12*(K193/Z193)*Y193,3),"没有上级")</f>
        <v>0</v>
      </c>
      <c r="Q193" s="28">
        <f>IF(ISNUMBER(agent!$O$15*(K193/Z193)*Y193),TRUNC(agent!$O$15*(K193/Z193)*Y193,3),"没有上级")</f>
        <v>0</v>
      </c>
      <c r="R193" s="28">
        <f>IF(ISNUMBER(agent!$O$18*(K193/Z193)*Y193),TRUNC(agent!$O$18*(K193/Z193)*Y193,3),"没有上级")</f>
        <v>0</v>
      </c>
      <c r="S193" s="28">
        <f>IF(ISNUMBER(agent!$O$21*(K193/Z193)*Y193),TRUNC(agent!$O$21*(K193/Z193)*Y193,3),"没有上级")</f>
        <v>0</v>
      </c>
      <c r="T193" s="28">
        <f>IF(ISNUMBER(agent!$O$24*(K193/Z193)*Y193),TRUNC(agent!$O$24*(K193/Z193)*Y193,3),"没有上级")</f>
        <v>0</v>
      </c>
      <c r="U193" s="28">
        <f>IF(ISNUMBER(agent!$O$27*(K193/Z193)*Y193),TRUNC(agent!$O$27*(K193/Z193)*Y193,3),"没有上级")</f>
        <v>0</v>
      </c>
      <c r="V193" s="28">
        <f>IF(ISNUMBER(agent!$O$30*(K193/Z193)*Y193),TRUNC(agent!$O$30*(K193/Z193)*Y193,3),"没有上级")</f>
        <v>0</v>
      </c>
      <c r="W193" s="28">
        <f>IF(ISNUMBER(agent!$O$33*(K193/Z193)*Y193),TRUNC(agent!$O$33*(K193/Z193)*Y193,3),"没有上级")</f>
        <v>0</v>
      </c>
      <c r="X193" s="28"/>
      <c r="Y193">
        <f>TRUNC(0.22,3)</f>
        <v>0.22</v>
      </c>
      <c r="Z193" s="28">
        <f>TRUNC(AB193-(9.9-agent!L$3)*10*Y193,3)</f>
        <v>212.3</v>
      </c>
      <c r="AA193" s="28">
        <f>'5Of11Source'!X$2</f>
        <v>0</v>
      </c>
      <c r="AB193">
        <f t="shared" si="33"/>
        <v>219.78</v>
      </c>
      <c r="AC193" s="28">
        <f>'5Of11Source'!E267</f>
        <v>5</v>
      </c>
      <c r="AD193" s="28">
        <v>198</v>
      </c>
      <c r="AE193" s="28"/>
      <c r="AF193" s="29" t="s">
        <v>141</v>
      </c>
      <c r="AG193" s="28">
        <f>TRUNC(0.006142857,3)</f>
        <v>6.0000000000000001E-3</v>
      </c>
      <c r="AH193" s="27">
        <f>TRUNC(AI193-(9.9-agent!$L$3)*AG193,3)</f>
        <v>0.57299999999999995</v>
      </c>
      <c r="AI193" s="28">
        <f t="shared" si="34"/>
        <v>0.59399999999999997</v>
      </c>
    </row>
    <row r="194" spans="4:35" x14ac:dyDescent="0.15">
      <c r="D194" s="28" t="s">
        <v>41</v>
      </c>
      <c r="E194" s="28" t="s">
        <v>47</v>
      </c>
      <c r="F194" s="27" t="str">
        <f>'5Of11Source'!$J$13</f>
        <v>01 02 03 04 05 06 07 08 09 10 11</v>
      </c>
      <c r="G194" s="28">
        <f>'5Of11Source'!F198</f>
        <v>5</v>
      </c>
      <c r="H194" s="28">
        <v>1</v>
      </c>
      <c r="I194" s="30">
        <f t="shared" si="31"/>
        <v>110</v>
      </c>
      <c r="J194" s="22">
        <f t="shared" ref="J194:J223" si="36">SUM(N194:W194)</f>
        <v>820.98400000000015</v>
      </c>
      <c r="K194" s="30">
        <f>'5Of11Source'!L264</f>
        <v>23301.600000000006</v>
      </c>
      <c r="L194" s="28">
        <f t="shared" si="32"/>
        <v>1036749735.2649997</v>
      </c>
      <c r="M194" s="29" t="str">
        <f t="shared" si="35"/>
        <v>03,06,07,08,10</v>
      </c>
      <c r="N194" s="28">
        <f>IF(ISNUMBER(agent!$O$6*(K194/Z194)*Y194),TRUNC(agent!$O$6*(K194/Z194)*Y194,3),"没有上级")</f>
        <v>24.146000000000001</v>
      </c>
      <c r="O194" s="28">
        <f>IF(ISNUMBER(agent!$O$9*(K194/Z194)*Y194),TRUNC(agent!$O$9*(K194/Z194)*Y194,3),"没有上级")</f>
        <v>144.88</v>
      </c>
      <c r="P194" s="28">
        <f>IF(ISNUMBER(agent!$O$12*(K194/Z194)*Y194),TRUNC(agent!$O$12*(K194/Z194)*Y194,3),"没有上级")</f>
        <v>48.292999999999999</v>
      </c>
      <c r="Q194" s="28">
        <f>IF(ISNUMBER(agent!$O$15*(K194/Z194)*Y194),TRUNC(agent!$O$15*(K194/Z194)*Y194,3),"没有上级")</f>
        <v>96.585999999999999</v>
      </c>
      <c r="R194" s="28">
        <f>IF(ISNUMBER(agent!$O$18*(K194/Z194)*Y194),TRUNC(agent!$O$18*(K194/Z194)*Y194,3),"没有上级")</f>
        <v>72.44</v>
      </c>
      <c r="S194" s="28">
        <f>IF(ISNUMBER(agent!$O$21*(K194/Z194)*Y194),TRUNC(agent!$O$21*(K194/Z194)*Y194,3),"没有上级")</f>
        <v>24.146000000000001</v>
      </c>
      <c r="T194" s="28">
        <f>IF(ISNUMBER(agent!$O$24*(K194/Z194)*Y194),TRUNC(agent!$O$24*(K194/Z194)*Y194,3),"没有上级")</f>
        <v>169.02699999999999</v>
      </c>
      <c r="U194" s="28">
        <f>IF(ISNUMBER(agent!$O$27*(K194/Z194)*Y194),TRUNC(agent!$O$27*(K194/Z194)*Y194,3),"没有上级")</f>
        <v>72.44</v>
      </c>
      <c r="V194" s="28">
        <f>IF(ISNUMBER(agent!$O$30*(K194/Z194)*Y194),TRUNC(agent!$O$30*(K194/Z194)*Y194,3),"没有上级")</f>
        <v>96.585999999999999</v>
      </c>
      <c r="W194" s="28">
        <f>IF(ISNUMBER(agent!$O$33*(K194/Z194)*Y194),TRUNC(agent!$O$33*(K194/Z194)*Y194,3),"没有上级")</f>
        <v>72.44</v>
      </c>
      <c r="X194" s="28"/>
      <c r="Y194">
        <f>TRUNC(0.11,3)</f>
        <v>0.11</v>
      </c>
      <c r="Z194" s="28">
        <f>TRUNC(AB194-(9.9-agent!L$3)*10*Y194,3)</f>
        <v>106.15</v>
      </c>
      <c r="AA194" s="28">
        <f>'5Of11Source'!X$2</f>
        <v>0</v>
      </c>
      <c r="AB194">
        <f t="shared" si="33"/>
        <v>109.89</v>
      </c>
      <c r="AC194" s="28">
        <f>'5Of11Source'!E268</f>
        <v>55</v>
      </c>
      <c r="AD194" s="28">
        <v>99</v>
      </c>
      <c r="AE194" s="28"/>
      <c r="AF194" s="29" t="s">
        <v>142</v>
      </c>
      <c r="AG194" s="28">
        <f>TRUNC(0.0307,3)</f>
        <v>0.03</v>
      </c>
      <c r="AH194" s="27">
        <f>TRUNC(AI194-(9.9-agent!$L$3)*AG194,3)</f>
        <v>2.8679999999999999</v>
      </c>
      <c r="AI194" s="28">
        <f t="shared" si="34"/>
        <v>2.97</v>
      </c>
    </row>
    <row r="195" spans="4:35" x14ac:dyDescent="0.15">
      <c r="D195" s="28" t="s">
        <v>41</v>
      </c>
      <c r="E195" s="28" t="s">
        <v>51</v>
      </c>
      <c r="F195" s="27" t="str">
        <f>'5Of11Source'!$J$14</f>
        <v>01 02,02 01,05 02,07 08,09 10,11 07</v>
      </c>
      <c r="G195" s="28">
        <f>'5Of11Source'!F199</f>
        <v>0</v>
      </c>
      <c r="H195" s="28">
        <v>1</v>
      </c>
      <c r="I195" s="30">
        <f t="shared" si="31"/>
        <v>20</v>
      </c>
      <c r="J195" s="22">
        <f t="shared" si="36"/>
        <v>0</v>
      </c>
      <c r="K195" s="30">
        <f>'5Of11Source'!L265</f>
        <v>0</v>
      </c>
      <c r="L195" s="28">
        <f t="shared" si="32"/>
        <v>1036749715.2649997</v>
      </c>
      <c r="M195" s="29" t="str">
        <f t="shared" si="35"/>
        <v>03,06,07,08,10</v>
      </c>
      <c r="N195" s="28">
        <f>IF(ISNUMBER(agent!$O$6*(K195/Z195)*Y195),TRUNC(agent!$O$6*(K195/Z195)*Y195,3),"没有上级")</f>
        <v>0</v>
      </c>
      <c r="O195" s="28">
        <f>IF(ISNUMBER(agent!$O$9*(K195/Z195)*Y195),TRUNC(agent!$O$9*(K195/Z195)*Y195,3),"没有上级")</f>
        <v>0</v>
      </c>
      <c r="P195" s="28">
        <f>IF(ISNUMBER(agent!$O$12*(K195/Z195)*Y195),TRUNC(agent!$O$12*(K195/Z195)*Y195,3),"没有上级")</f>
        <v>0</v>
      </c>
      <c r="Q195" s="28">
        <f>IF(ISNUMBER(agent!$O$15*(K195/Z195)*Y195),TRUNC(agent!$O$15*(K195/Z195)*Y195,3),"没有上级")</f>
        <v>0</v>
      </c>
      <c r="R195" s="28">
        <f>IF(ISNUMBER(agent!$O$18*(K195/Z195)*Y195),TRUNC(agent!$O$18*(K195/Z195)*Y195,3),"没有上级")</f>
        <v>0</v>
      </c>
      <c r="S195" s="28">
        <f>IF(ISNUMBER(agent!$O$21*(K195/Z195)*Y195),TRUNC(agent!$O$21*(K195/Z195)*Y195,3),"没有上级")</f>
        <v>0</v>
      </c>
      <c r="T195" s="28">
        <f>IF(ISNUMBER(agent!$O$24*(K195/Z195)*Y195),TRUNC(agent!$O$24*(K195/Z195)*Y195,3),"没有上级")</f>
        <v>0</v>
      </c>
      <c r="U195" s="28">
        <f>IF(ISNUMBER(agent!$O$27*(K195/Z195)*Y195),TRUNC(agent!$O$27*(K195/Z195)*Y195,3),"没有上级")</f>
        <v>0</v>
      </c>
      <c r="V195" s="28">
        <f>IF(ISNUMBER(agent!$O$30*(K195/Z195)*Y195),TRUNC(agent!$O$30*(K195/Z195)*Y195,3),"没有上级")</f>
        <v>0</v>
      </c>
      <c r="W195" s="28">
        <f>IF(ISNUMBER(agent!$O$33*(K195/Z195)*Y195),TRUNC(agent!$O$33*(K195/Z195)*Y195,3),"没有上级")</f>
        <v>0</v>
      </c>
      <c r="X195" s="28"/>
      <c r="Y195">
        <f>TRUNC(0.11,3)</f>
        <v>0.11</v>
      </c>
      <c r="Z195" s="28">
        <f>TRUNC(AB195-(9.9-agent!L$3)*10*Y195,3)</f>
        <v>106.15</v>
      </c>
      <c r="AA195" s="28">
        <f>'5Of11Source'!X$2</f>
        <v>0</v>
      </c>
      <c r="AB195">
        <f t="shared" si="33"/>
        <v>109.89</v>
      </c>
      <c r="AC195" s="28">
        <f>'5Of11Source'!E269</f>
        <v>5</v>
      </c>
      <c r="AD195" s="28">
        <v>99</v>
      </c>
      <c r="AE195" s="28"/>
      <c r="AF195" s="29" t="s">
        <v>143</v>
      </c>
      <c r="AG195" s="28">
        <f>TRUNC(0.924,3)</f>
        <v>0.92400000000000004</v>
      </c>
      <c r="AH195" s="27">
        <f>TRUNC(AI195-(9.9-agent!$L$3)*AG195,3)</f>
        <v>88.334000000000003</v>
      </c>
      <c r="AI195" s="28">
        <f t="shared" si="34"/>
        <v>91.475999999999999</v>
      </c>
    </row>
    <row r="196" spans="4:35" x14ac:dyDescent="0.15">
      <c r="D196" s="28" t="s">
        <v>41</v>
      </c>
      <c r="E196" s="28" t="s">
        <v>49</v>
      </c>
      <c r="F196" s="27" t="str">
        <f>'5Of11Source'!$J$15</f>
        <v>01,02 03 04 05 06 07 08 09 10 11</v>
      </c>
      <c r="G196" s="28">
        <f>'5Of11Source'!F200</f>
        <v>5</v>
      </c>
      <c r="H196" s="28">
        <v>1</v>
      </c>
      <c r="I196" s="30">
        <f t="shared" si="31"/>
        <v>60</v>
      </c>
      <c r="J196" s="22">
        <f t="shared" si="36"/>
        <v>2462.962</v>
      </c>
      <c r="K196" s="30">
        <f>'5Of11Source'!L266</f>
        <v>69904.800000000017</v>
      </c>
      <c r="L196" s="28">
        <f t="shared" si="32"/>
        <v>1036819560.0649997</v>
      </c>
      <c r="M196" s="29" t="str">
        <f t="shared" si="35"/>
        <v>03,06,07,08,10</v>
      </c>
      <c r="N196" s="28">
        <f>IF(ISNUMBER(agent!$O$6*(K196/Z196)*Y196),TRUNC(agent!$O$6*(K196/Z196)*Y196,3),"没有上级")</f>
        <v>72.44</v>
      </c>
      <c r="O196" s="28">
        <f>IF(ISNUMBER(agent!$O$9*(K196/Z196)*Y196),TRUNC(agent!$O$9*(K196/Z196)*Y196,3),"没有上级")</f>
        <v>434.64100000000002</v>
      </c>
      <c r="P196" s="28">
        <f>IF(ISNUMBER(agent!$O$12*(K196/Z196)*Y196),TRUNC(agent!$O$12*(K196/Z196)*Y196,3),"没有上级")</f>
        <v>144.88</v>
      </c>
      <c r="Q196" s="28">
        <f>IF(ISNUMBER(agent!$O$15*(K196/Z196)*Y196),TRUNC(agent!$O$15*(K196/Z196)*Y196,3),"没有上级")</f>
        <v>289.76</v>
      </c>
      <c r="R196" s="28">
        <f>IF(ISNUMBER(agent!$O$18*(K196/Z196)*Y196),TRUNC(agent!$O$18*(K196/Z196)*Y196,3),"没有上级")</f>
        <v>217.32</v>
      </c>
      <c r="S196" s="28">
        <f>IF(ISNUMBER(agent!$O$21*(K196/Z196)*Y196),TRUNC(agent!$O$21*(K196/Z196)*Y196,3),"没有上级")</f>
        <v>72.44</v>
      </c>
      <c r="T196" s="28">
        <f>IF(ISNUMBER(agent!$O$24*(K196/Z196)*Y196),TRUNC(agent!$O$24*(K196/Z196)*Y196,3),"没有上级")</f>
        <v>507.08100000000002</v>
      </c>
      <c r="U196" s="28">
        <f>IF(ISNUMBER(agent!$O$27*(K196/Z196)*Y196),TRUNC(agent!$O$27*(K196/Z196)*Y196,3),"没有上级")</f>
        <v>217.32</v>
      </c>
      <c r="V196" s="28">
        <f>IF(ISNUMBER(agent!$O$30*(K196/Z196)*Y196),TRUNC(agent!$O$30*(K196/Z196)*Y196,3),"没有上级")</f>
        <v>289.76</v>
      </c>
      <c r="W196" s="28">
        <f>IF(ISNUMBER(agent!$O$33*(K196/Z196)*Y196),TRUNC(agent!$O$33*(K196/Z196)*Y196,3),"没有上级")</f>
        <v>217.32</v>
      </c>
      <c r="X196" s="28" t="s">
        <v>10</v>
      </c>
      <c r="Y196">
        <f>TRUNC(0.11,3)</f>
        <v>0.11</v>
      </c>
      <c r="Z196" s="28">
        <f>TRUNC(AB196-(9.9-agent!L$3)*10*Y196,3)</f>
        <v>106.15</v>
      </c>
      <c r="AA196" s="28">
        <f>'5Of11Source'!X$2</f>
        <v>0</v>
      </c>
      <c r="AB196">
        <f t="shared" si="33"/>
        <v>109.89</v>
      </c>
      <c r="AC196" s="28">
        <f>'5Of11Source'!E270</f>
        <v>10</v>
      </c>
      <c r="AD196" s="28">
        <v>99</v>
      </c>
      <c r="AE196" s="28"/>
      <c r="AF196" s="29" t="s">
        <v>144</v>
      </c>
      <c r="AG196" s="28"/>
      <c r="AH196" s="27"/>
      <c r="AI196" s="28"/>
    </row>
    <row r="197" spans="4:35" x14ac:dyDescent="0.15">
      <c r="D197" s="28" t="s">
        <v>56</v>
      </c>
      <c r="E197" s="28" t="s">
        <v>58</v>
      </c>
      <c r="F197" s="27" t="str">
        <f>'5Of11Source'!$J$17</f>
        <v>01 02 03 04 05 06 07 08 09 10 11</v>
      </c>
      <c r="G197" s="28">
        <f>'5Of11Source'!F202</f>
        <v>4</v>
      </c>
      <c r="H197" s="28">
        <v>1</v>
      </c>
      <c r="I197" s="30">
        <f t="shared" si="31"/>
        <v>110</v>
      </c>
      <c r="J197" s="22">
        <f t="shared" si="36"/>
        <v>11805.265999999998</v>
      </c>
      <c r="K197" s="30">
        <f>'5Of11Source'!L267</f>
        <v>349942.05000000005</v>
      </c>
      <c r="L197" s="28">
        <f t="shared" si="32"/>
        <v>1037169392.1149997</v>
      </c>
      <c r="M197" s="29" t="str">
        <f t="shared" si="35"/>
        <v>03,06,07,08,10</v>
      </c>
      <c r="N197" s="28">
        <f>IF(ISNUMBER(agent!$O$6*(K197/Z197)*Y197),TRUNC(agent!$O$6*(K197/Z197)*Y197,3),"没有上级")</f>
        <v>347.21300000000002</v>
      </c>
      <c r="O197" s="28">
        <f>IF(ISNUMBER(agent!$O$9*(K197/Z197)*Y197),TRUNC(agent!$O$9*(K197/Z197)*Y197,3),"没有上级")</f>
        <v>2083.2829999999999</v>
      </c>
      <c r="P197" s="28">
        <f>IF(ISNUMBER(agent!$O$12*(K197/Z197)*Y197),TRUNC(agent!$O$12*(K197/Z197)*Y197,3),"没有上级")</f>
        <v>694.42700000000002</v>
      </c>
      <c r="Q197" s="28">
        <f>IF(ISNUMBER(agent!$O$15*(K197/Z197)*Y197),TRUNC(agent!$O$15*(K197/Z197)*Y197,3),"没有上级")</f>
        <v>1388.855</v>
      </c>
      <c r="R197" s="28">
        <f>IF(ISNUMBER(agent!$O$18*(K197/Z197)*Y197),TRUNC(agent!$O$18*(K197/Z197)*Y197,3),"没有上级")</f>
        <v>1041.6410000000001</v>
      </c>
      <c r="S197" s="28">
        <f>IF(ISNUMBER(agent!$O$21*(K197/Z197)*Y197),TRUNC(agent!$O$21*(K197/Z197)*Y197,3),"没有上级")</f>
        <v>347.21300000000002</v>
      </c>
      <c r="T197" s="28">
        <f>IF(ISNUMBER(agent!$O$24*(K197/Z197)*Y197),TRUNC(agent!$O$24*(K197/Z197)*Y197,3),"没有上级")</f>
        <v>2430.4969999999998</v>
      </c>
      <c r="U197" s="28">
        <f>IF(ISNUMBER(agent!$O$27*(K197/Z197)*Y197),TRUNC(agent!$O$27*(K197/Z197)*Y197,3),"没有上级")</f>
        <v>1041.6410000000001</v>
      </c>
      <c r="V197" s="28">
        <f>IF(ISNUMBER(agent!$O$30*(K197/Z197)*Y197),TRUNC(agent!$O$30*(K197/Z197)*Y197,3),"没有上级")</f>
        <v>1388.855</v>
      </c>
      <c r="W197" s="28">
        <f>IF(ISNUMBER(agent!$O$33*(K197/Z197)*Y197),TRUNC(agent!$O$33*(K197/Z197)*Y197,3),"没有上级")</f>
        <v>1041.6410000000001</v>
      </c>
      <c r="X197" s="28"/>
      <c r="Y197">
        <f>TRUNC(0.0072857,3)</f>
        <v>7.0000000000000001E-3</v>
      </c>
      <c r="Z197" s="28">
        <f>TRUNC(AB197-(9.9-agent!L$3)*10*Y197,3)</f>
        <v>7.0549999999999997</v>
      </c>
      <c r="AA197" s="28">
        <f>'5Of11Source'!X$2</f>
        <v>0</v>
      </c>
      <c r="AB197">
        <f t="shared" si="33"/>
        <v>7.2930000000000001</v>
      </c>
      <c r="AC197" s="28">
        <f>'5Of11Source'!E272</f>
        <v>11</v>
      </c>
      <c r="AD197" s="28">
        <v>6.6</v>
      </c>
      <c r="AE197" s="28"/>
      <c r="AF197" s="19" t="str">
        <f>3&amp;"/"&amp;9</f>
        <v>3/9</v>
      </c>
      <c r="AG197" s="28">
        <f>TRUNC(0.033,3)</f>
        <v>3.3000000000000002E-2</v>
      </c>
      <c r="AH197" s="27">
        <f>TRUNC(AI197-(9.9-agent!$L$3)*AG197,3)</f>
        <v>3.1539999999999999</v>
      </c>
      <c r="AI197" s="28">
        <f>TRUNC(AD237+AG197*99,4)</f>
        <v>3.2669999999999999</v>
      </c>
    </row>
    <row r="198" spans="4:35" ht="40.5" x14ac:dyDescent="0.15">
      <c r="D198" s="28" t="s">
        <v>60</v>
      </c>
      <c r="E198" s="28" t="s">
        <v>61</v>
      </c>
      <c r="F198" s="27" t="str">
        <f>'5Of11Source'!$J$18</f>
        <v>01 02 03 04 05 06 07 08 09 10 11,01 02 03 04 05 06 07 08 09 10 11,01 02 03 04 05 06 07 08 09 10 11</v>
      </c>
      <c r="G198" s="28">
        <f>'5Of11Source'!F203</f>
        <v>0</v>
      </c>
      <c r="H198" s="28">
        <v>1</v>
      </c>
      <c r="I198" s="30">
        <f t="shared" si="31"/>
        <v>132</v>
      </c>
      <c r="J198" s="22">
        <f t="shared" si="36"/>
        <v>7192.6320000000005</v>
      </c>
      <c r="K198" s="30">
        <f>'5Of11Source'!L268</f>
        <v>204143.84999999998</v>
      </c>
      <c r="L198" s="28">
        <f t="shared" si="32"/>
        <v>1037373403.9649997</v>
      </c>
      <c r="M198" s="29" t="str">
        <f t="shared" si="35"/>
        <v>03,06,07,08,10</v>
      </c>
      <c r="N198" s="28">
        <f>IF(ISNUMBER(agent!$O$6*(K198/Z198)*Y198),TRUNC(agent!$O$6*(K198/Z198)*Y198,3),"没有上级")</f>
        <v>211.548</v>
      </c>
      <c r="O198" s="28">
        <f>IF(ISNUMBER(agent!$O$9*(K198/Z198)*Y198),TRUNC(agent!$O$9*(K198/Z198)*Y198,3),"没有上级")</f>
        <v>1269.288</v>
      </c>
      <c r="P198" s="28">
        <f>IF(ISNUMBER(agent!$O$12*(K198/Z198)*Y198),TRUNC(agent!$O$12*(K198/Z198)*Y198,3),"没有上级")</f>
        <v>423.096</v>
      </c>
      <c r="Q198" s="28">
        <f>IF(ISNUMBER(agent!$O$15*(K198/Z198)*Y198),TRUNC(agent!$O$15*(K198/Z198)*Y198,3),"没有上级")</f>
        <v>846.19200000000001</v>
      </c>
      <c r="R198" s="28">
        <f>IF(ISNUMBER(agent!$O$18*(K198/Z198)*Y198),TRUNC(agent!$O$18*(K198/Z198)*Y198,3),"没有上级")</f>
        <v>634.64400000000001</v>
      </c>
      <c r="S198" s="28">
        <f>IF(ISNUMBER(agent!$O$21*(K198/Z198)*Y198),TRUNC(agent!$O$21*(K198/Z198)*Y198,3),"没有上级")</f>
        <v>211.548</v>
      </c>
      <c r="T198" s="28">
        <f>IF(ISNUMBER(agent!$O$24*(K198/Z198)*Y198),TRUNC(agent!$O$24*(K198/Z198)*Y198,3),"没有上级")</f>
        <v>1480.836</v>
      </c>
      <c r="U198" s="28">
        <f>IF(ISNUMBER(agent!$O$27*(K198/Z198)*Y198),TRUNC(agent!$O$27*(K198/Z198)*Y198,3),"没有上级")</f>
        <v>634.64400000000001</v>
      </c>
      <c r="V198" s="28">
        <f>IF(ISNUMBER(agent!$O$30*(K198/Z198)*Y198),TRUNC(agent!$O$30*(K198/Z198)*Y198,3),"没有上级")</f>
        <v>846.19200000000001</v>
      </c>
      <c r="W198" s="28">
        <f>IF(ISNUMBER(agent!$O$33*(K198/Z198)*Y198),TRUNC(agent!$O$33*(K198/Z198)*Y198,3),"没有上级")</f>
        <v>634.64400000000001</v>
      </c>
      <c r="X198" s="28"/>
      <c r="Y198">
        <f>TRUNC(0.022,3)</f>
        <v>2.1999999999999999E-2</v>
      </c>
      <c r="Z198" s="28">
        <f>TRUNC(AB198-(9.9-agent!L$3)*10*Y198,3)</f>
        <v>21.23</v>
      </c>
      <c r="AA198" s="28">
        <f>'5Of11Source'!X$2</f>
        <v>0</v>
      </c>
      <c r="AB198">
        <f t="shared" si="33"/>
        <v>21.978000000000002</v>
      </c>
      <c r="AC198" s="28">
        <f>'5Of11Source'!E273</f>
        <v>33</v>
      </c>
      <c r="AD198" s="28">
        <v>19.8</v>
      </c>
      <c r="AE198" s="28"/>
      <c r="AF198" s="18" t="str">
        <f>4&amp;"/"&amp;8</f>
        <v>4/8</v>
      </c>
      <c r="AG198" s="28">
        <f>TRUNC(0.01457,3)</f>
        <v>1.4E-2</v>
      </c>
      <c r="AH198" s="27">
        <f>TRUNC(AI198-(9.9-agent!$L$3)*AG198,3)</f>
        <v>1.3380000000000001</v>
      </c>
      <c r="AI198" s="28">
        <f>TRUNC(AD238+AG198*99,4)</f>
        <v>1.3859999999999999</v>
      </c>
    </row>
    <row r="199" spans="4:35" x14ac:dyDescent="0.15">
      <c r="D199" s="28" t="s">
        <v>63</v>
      </c>
      <c r="E199" s="28" t="s">
        <v>65</v>
      </c>
      <c r="F199" s="27" t="str">
        <f>'5Of11Source'!$J$21</f>
        <v>5单0双 4单1双 3单2双 2单3双 1单4双 0单5双</v>
      </c>
      <c r="G199" s="28">
        <f>'5Of11Source'!F206</f>
        <v>2</v>
      </c>
      <c r="H199" s="28">
        <v>1</v>
      </c>
      <c r="I199" s="30">
        <f t="shared" si="31"/>
        <v>60</v>
      </c>
      <c r="J199" s="22">
        <f t="shared" si="36"/>
        <v>5.1000000000000005</v>
      </c>
      <c r="K199" s="30">
        <f>'5Of11Source'!L269</f>
        <v>148.35000000000002</v>
      </c>
      <c r="L199" s="28">
        <f t="shared" si="32"/>
        <v>1037373492.3149997</v>
      </c>
      <c r="M199" s="29" t="str">
        <f t="shared" si="35"/>
        <v>03,06,07,08,10</v>
      </c>
      <c r="N199" s="28">
        <f>IF(ISNUMBER(agent!$O$6*(K199/Z199)*Y199),TRUNC(agent!$O$6*(K199/Z199)*Y199,3),"没有上级")</f>
        <v>0.15</v>
      </c>
      <c r="O199" s="28">
        <f>IF(ISNUMBER(agent!$O$9*(K199/Z199)*Y199),TRUNC(agent!$O$9*(K199/Z199)*Y199,3),"没有上级")</f>
        <v>0.9</v>
      </c>
      <c r="P199" s="28">
        <f>IF(ISNUMBER(agent!$O$12*(K199/Z199)*Y199),TRUNC(agent!$O$12*(K199/Z199)*Y199,3),"没有上级")</f>
        <v>0.3</v>
      </c>
      <c r="Q199" s="28">
        <f>IF(ISNUMBER(agent!$O$15*(K199/Z199)*Y199),TRUNC(agent!$O$15*(K199/Z199)*Y199,3),"没有上级")</f>
        <v>0.6</v>
      </c>
      <c r="R199" s="28">
        <f>IF(ISNUMBER(agent!$O$18*(K199/Z199)*Y199),TRUNC(agent!$O$18*(K199/Z199)*Y199,3),"没有上级")</f>
        <v>0.45</v>
      </c>
      <c r="S199" s="28">
        <f>IF(ISNUMBER(agent!$O$21*(K199/Z199)*Y199),TRUNC(agent!$O$21*(K199/Z199)*Y199,3),"没有上级")</f>
        <v>0.15</v>
      </c>
      <c r="T199" s="28">
        <f>IF(ISNUMBER(agent!$O$24*(K199/Z199)*Y199),TRUNC(agent!$O$24*(K199/Z199)*Y199,3),"没有上级")</f>
        <v>1.05</v>
      </c>
      <c r="U199" s="28">
        <f>IF(ISNUMBER(agent!$O$27*(K199/Z199)*Y199),TRUNC(agent!$O$27*(K199/Z199)*Y199,3),"没有上级")</f>
        <v>0.45</v>
      </c>
      <c r="V199" s="28">
        <f>IF(ISNUMBER(agent!$O$30*(K199/Z199)*Y199),TRUNC(agent!$O$30*(K199/Z199)*Y199,3),"没有上级")</f>
        <v>0.6</v>
      </c>
      <c r="W199" s="28">
        <f>IF(ISNUMBER(agent!$O$33*(K199/Z199)*Y199),TRUNC(agent!$O$33*(K199/Z199)*Y199,3),"没有上级")</f>
        <v>0.45</v>
      </c>
      <c r="X199" s="28"/>
      <c r="Y199">
        <f>SUM('5Of11Source'!U270:U275)</f>
        <v>0.03</v>
      </c>
      <c r="Z199" s="26">
        <f>'5Of11Source'!K276</f>
        <v>29.67</v>
      </c>
      <c r="AA199" s="28">
        <f>'5Of11Source'!X$2</f>
        <v>0</v>
      </c>
      <c r="AC199" s="28">
        <f>'5Of11Source'!E276</f>
        <v>6</v>
      </c>
      <c r="AD199" s="28"/>
      <c r="AE199" s="28"/>
      <c r="AF199" s="18" t="str">
        <f>5&amp;"/"&amp;7</f>
        <v>5/7</v>
      </c>
      <c r="AG199" s="28">
        <f>TRUNC(0.010142857,3)</f>
        <v>0.01</v>
      </c>
      <c r="AH199" s="27">
        <f>TRUNC(AI199-(9.9-agent!$L$3)*AG199,3)</f>
        <v>0.95599999999999996</v>
      </c>
      <c r="AI199" s="28">
        <f>TRUNC(AD239+AG199*99,4)</f>
        <v>0.99</v>
      </c>
    </row>
    <row r="200" spans="4:35" x14ac:dyDescent="0.15">
      <c r="D200" s="28" t="s">
        <v>63</v>
      </c>
      <c r="E200" s="28" t="s">
        <v>68</v>
      </c>
      <c r="F200" s="27" t="str">
        <f>'5Of11Source'!$J$22</f>
        <v>03 04 05 06 07 08 09</v>
      </c>
      <c r="G200" s="28">
        <f>'5Of11Source'!F207</f>
        <v>0</v>
      </c>
      <c r="H200" s="28">
        <v>1</v>
      </c>
      <c r="I200" s="30">
        <f t="shared" si="31"/>
        <v>28</v>
      </c>
      <c r="J200" s="22">
        <f t="shared" si="36"/>
        <v>0.95199999999999996</v>
      </c>
      <c r="K200" s="30">
        <f>'5Of11Source'!L270</f>
        <v>28.22</v>
      </c>
      <c r="L200" s="28">
        <f t="shared" si="32"/>
        <v>1037373492.5349997</v>
      </c>
      <c r="M200" s="29" t="str">
        <f t="shared" si="35"/>
        <v>03,06,07,08,10</v>
      </c>
      <c r="N200" s="28">
        <f>IF(ISNUMBER(agent!$O$6*(K200/Z200)*Y200),TRUNC(agent!$O$6*(K200/Z200)*Y200,3),"没有上级")</f>
        <v>2.8000000000000001E-2</v>
      </c>
      <c r="O200" s="28">
        <f>IF(ISNUMBER(agent!$O$9*(K200/Z200)*Y200),TRUNC(agent!$O$9*(K200/Z200)*Y200,3),"没有上级")</f>
        <v>0.16800000000000001</v>
      </c>
      <c r="P200" s="28">
        <f>IF(ISNUMBER(agent!$O$12*(K200/Z200)*Y200),TRUNC(agent!$O$12*(K200/Z200)*Y200,3),"没有上级")</f>
        <v>5.6000000000000001E-2</v>
      </c>
      <c r="Q200" s="28">
        <f>IF(ISNUMBER(agent!$O$15*(K200/Z200)*Y200),TRUNC(agent!$O$15*(K200/Z200)*Y200,3),"没有上级")</f>
        <v>0.112</v>
      </c>
      <c r="R200" s="28">
        <f>IF(ISNUMBER(agent!$O$18*(K200/Z200)*Y200),TRUNC(agent!$O$18*(K200/Z200)*Y200,3),"没有上级")</f>
        <v>8.4000000000000005E-2</v>
      </c>
      <c r="S200" s="28">
        <f>IF(ISNUMBER(agent!$O$21*(K200/Z200)*Y200),TRUNC(agent!$O$21*(K200/Z200)*Y200,3),"没有上级")</f>
        <v>2.8000000000000001E-2</v>
      </c>
      <c r="T200" s="28">
        <f>IF(ISNUMBER(agent!$O$24*(K200/Z200)*Y200),TRUNC(agent!$O$24*(K200/Z200)*Y200,3),"没有上级")</f>
        <v>0.19600000000000001</v>
      </c>
      <c r="U200" s="28">
        <f>IF(ISNUMBER(agent!$O$27*(K200/Z200)*Y200),TRUNC(agent!$O$27*(K200/Z200)*Y200,3),"没有上级")</f>
        <v>8.4000000000000005E-2</v>
      </c>
      <c r="V200" s="28">
        <f>IF(ISNUMBER(agent!$O$30*(K200/Z200)*Y200),TRUNC(agent!$O$30*(K200/Z200)*Y200,3),"没有上级")</f>
        <v>0.112</v>
      </c>
      <c r="W200" s="28">
        <f>IF(ISNUMBER(agent!$O$33*(K200/Z200)*Y200),TRUNC(agent!$O$33*(K200/Z200)*Y200,3),"没有上级")</f>
        <v>8.4000000000000005E-2</v>
      </c>
      <c r="X200" s="28" t="s">
        <v>12</v>
      </c>
      <c r="Y200">
        <f>SUM('5Of11Source'!U277:U280)</f>
        <v>1.4E-2</v>
      </c>
      <c r="Z200" s="26">
        <f>'5Of11Source'!K277</f>
        <v>14.11</v>
      </c>
      <c r="AA200" s="28">
        <f>'5Of11Source'!X$2</f>
        <v>0</v>
      </c>
      <c r="AC200" s="28">
        <f>'5Of11Source'!E277</f>
        <v>7</v>
      </c>
      <c r="AD200" s="28"/>
      <c r="AE200" s="28"/>
      <c r="AF200" s="28">
        <v>6</v>
      </c>
      <c r="AG200" s="28">
        <f>TRUNC(0.0092857,3)</f>
        <v>8.9999999999999993E-3</v>
      </c>
      <c r="AH200" s="27">
        <f>TRUNC(AI200-(9.9-agent!$L$3)*AG200,3)</f>
        <v>0.86</v>
      </c>
      <c r="AI200" s="28">
        <f>TRUNC(AD240+AG200*99,4)</f>
        <v>0.89100000000000001</v>
      </c>
    </row>
    <row r="201" spans="4:35" x14ac:dyDescent="0.15">
      <c r="D201" s="28" t="s">
        <v>70</v>
      </c>
      <c r="E201" s="28" t="s">
        <v>72</v>
      </c>
      <c r="F201" s="27" t="str">
        <f>'5Of11Source'!$J$23</f>
        <v>01 02 03 04 05 06 07 08 09 10 11</v>
      </c>
      <c r="G201" s="28">
        <f>'5Of11Source'!F208</f>
        <v>0</v>
      </c>
      <c r="H201" s="28">
        <v>1</v>
      </c>
      <c r="I201" s="30">
        <f t="shared" si="31"/>
        <v>22</v>
      </c>
      <c r="J201" s="22">
        <f t="shared" si="36"/>
        <v>5334.1820000000007</v>
      </c>
      <c r="K201" s="30">
        <f>'5Of11Source'!L271</f>
        <v>165516.77500000002</v>
      </c>
      <c r="L201" s="28">
        <f t="shared" si="32"/>
        <v>1037538987.3099997</v>
      </c>
      <c r="M201" s="29" t="str">
        <f t="shared" si="35"/>
        <v>03,06,07,08,10</v>
      </c>
      <c r="N201" s="28">
        <f>IF(ISNUMBER(agent!$O$6*(K201/Z201)*Y201),TRUNC(agent!$O$6*(K201/Z201)*Y201,3),"没有上级")</f>
        <v>156.887</v>
      </c>
      <c r="O201" s="28">
        <f>IF(ISNUMBER(agent!$O$9*(K201/Z201)*Y201),TRUNC(agent!$O$9*(K201/Z201)*Y201,3),"没有上级")</f>
        <v>941.327</v>
      </c>
      <c r="P201" s="28">
        <f>IF(ISNUMBER(agent!$O$12*(K201/Z201)*Y201),TRUNC(agent!$O$12*(K201/Z201)*Y201,3),"没有上级")</f>
        <v>313.77499999999998</v>
      </c>
      <c r="Q201" s="28">
        <f>IF(ISNUMBER(agent!$O$15*(K201/Z201)*Y201),TRUNC(agent!$O$15*(K201/Z201)*Y201,3),"没有上级")</f>
        <v>627.55100000000004</v>
      </c>
      <c r="R201" s="28">
        <f>IF(ISNUMBER(agent!$O$18*(K201/Z201)*Y201),TRUNC(agent!$O$18*(K201/Z201)*Y201,3),"没有上级")</f>
        <v>470.66300000000001</v>
      </c>
      <c r="S201" s="28">
        <f>IF(ISNUMBER(agent!$O$21*(K201/Z201)*Y201),TRUNC(agent!$O$21*(K201/Z201)*Y201,3),"没有上级")</f>
        <v>156.887</v>
      </c>
      <c r="T201" s="28">
        <f>IF(ISNUMBER(agent!$O$24*(K201/Z201)*Y201),TRUNC(agent!$O$24*(K201/Z201)*Y201,3),"没有上级")</f>
        <v>1098.2149999999999</v>
      </c>
      <c r="U201" s="28">
        <f>IF(ISNUMBER(agent!$O$27*(K201/Z201)*Y201),TRUNC(agent!$O$27*(K201/Z201)*Y201,3),"没有上级")</f>
        <v>470.66300000000001</v>
      </c>
      <c r="V201" s="28">
        <f>IF(ISNUMBER(agent!$O$30*(K201/Z201)*Y201),TRUNC(agent!$O$30*(K201/Z201)*Y201,3),"没有上级")</f>
        <v>627.55100000000004</v>
      </c>
      <c r="W201" s="28">
        <f>IF(ISNUMBER(agent!$O$33*(K201/Z201)*Y201),TRUNC(agent!$O$33*(K201/Z201)*Y201,3),"没有上级")</f>
        <v>470.66300000000001</v>
      </c>
      <c r="X201" s="28"/>
      <c r="Y201">
        <f>TRUNC(0.0042857,3)</f>
        <v>4.0000000000000001E-3</v>
      </c>
      <c r="Z201" s="28">
        <f>TRUNC(AB201-(9.9-agent!L$3)*10*Y201,3)</f>
        <v>4.22</v>
      </c>
      <c r="AA201" s="28">
        <f>'5Of11Source'!X$2</f>
        <v>0</v>
      </c>
      <c r="AB201">
        <f t="shared" ref="AB201:AB223" si="37">TRUNC(AD201+Y201*99,4)</f>
        <v>4.3559999999999999</v>
      </c>
      <c r="AC201" s="28">
        <f>'5Of11Source'!E278</f>
        <v>11</v>
      </c>
      <c r="AD201" s="28">
        <v>3.96</v>
      </c>
      <c r="AE201" s="28"/>
      <c r="AF201" s="28"/>
      <c r="AG201" s="28"/>
      <c r="AH201" s="28"/>
      <c r="AI201" s="28"/>
    </row>
    <row r="202" spans="4:35" x14ac:dyDescent="0.15">
      <c r="D202" s="28" t="s">
        <v>70</v>
      </c>
      <c r="E202" s="28" t="s">
        <v>74</v>
      </c>
      <c r="F202" s="27" t="str">
        <f>'5Of11Source'!$J$24</f>
        <v>01 02 03 04 05 06 07 08 09 10 11</v>
      </c>
      <c r="G202" s="28">
        <f>'5Of11Source'!F209</f>
        <v>5</v>
      </c>
      <c r="H202" s="28">
        <v>1</v>
      </c>
      <c r="I202" s="30">
        <f t="shared" si="31"/>
        <v>220</v>
      </c>
      <c r="J202" s="22">
        <f t="shared" si="36"/>
        <v>23243.067999999999</v>
      </c>
      <c r="K202" s="30">
        <f>'5Of11Source'!L272</f>
        <v>659693.1</v>
      </c>
      <c r="L202" s="28">
        <f t="shared" si="32"/>
        <v>1038198460.4099997</v>
      </c>
      <c r="M202" s="29" t="str">
        <f t="shared" si="35"/>
        <v>03,06,07,08,10</v>
      </c>
      <c r="N202" s="28">
        <f>IF(ISNUMBER(agent!$O$6*(K202/Z202)*Y202),TRUNC(agent!$O$6*(K202/Z202)*Y202,3),"没有上级")</f>
        <v>683.61900000000003</v>
      </c>
      <c r="O202" s="28">
        <f>IF(ISNUMBER(agent!$O$9*(K202/Z202)*Y202),TRUNC(agent!$O$9*(K202/Z202)*Y202,3),"没有上级")</f>
        <v>4101.7179999999998</v>
      </c>
      <c r="P202" s="28">
        <f>IF(ISNUMBER(agent!$O$12*(K202/Z202)*Y202),TRUNC(agent!$O$12*(K202/Z202)*Y202,3),"没有上级")</f>
        <v>1367.239</v>
      </c>
      <c r="Q202" s="28">
        <f>IF(ISNUMBER(agent!$O$15*(K202/Z202)*Y202),TRUNC(agent!$O$15*(K202/Z202)*Y202,3),"没有上级")</f>
        <v>2734.4789999999998</v>
      </c>
      <c r="R202" s="28">
        <f>IF(ISNUMBER(agent!$O$18*(K202/Z202)*Y202),TRUNC(agent!$O$18*(K202/Z202)*Y202,3),"没有上级")</f>
        <v>2050.8589999999999</v>
      </c>
      <c r="S202" s="28">
        <f>IF(ISNUMBER(agent!$O$21*(K202/Z202)*Y202),TRUNC(agent!$O$21*(K202/Z202)*Y202,3),"没有上级")</f>
        <v>683.61900000000003</v>
      </c>
      <c r="T202" s="28">
        <f>IF(ISNUMBER(agent!$O$24*(K202/Z202)*Y202),TRUNC(agent!$O$24*(K202/Z202)*Y202,3),"没有上级")</f>
        <v>4785.3379999999997</v>
      </c>
      <c r="U202" s="28">
        <f>IF(ISNUMBER(agent!$O$27*(K202/Z202)*Y202),TRUNC(agent!$O$27*(K202/Z202)*Y202,3),"没有上级")</f>
        <v>2050.8589999999999</v>
      </c>
      <c r="V202" s="28">
        <f>IF(ISNUMBER(agent!$O$30*(K202/Z202)*Y202),TRUNC(agent!$O$30*(K202/Z202)*Y202,3),"没有上级")</f>
        <v>2734.4789999999998</v>
      </c>
      <c r="W202" s="28">
        <f>IF(ISNUMBER(agent!$O$33*(K202/Z202)*Y202),TRUNC(agent!$O$33*(K202/Z202)*Y202,3),"没有上级")</f>
        <v>2050.8589999999999</v>
      </c>
      <c r="X202" s="28"/>
      <c r="Y202">
        <f>TRUNC(0.011,3)</f>
        <v>1.0999999999999999E-2</v>
      </c>
      <c r="Z202" s="28">
        <f>TRUNC(AB202-(9.9-agent!L$3)*10*Y202,3)</f>
        <v>10.615</v>
      </c>
      <c r="AA202" s="28">
        <f>'5Of11Source'!X$2</f>
        <v>0</v>
      </c>
      <c r="AB202">
        <f t="shared" si="37"/>
        <v>10.989000000000001</v>
      </c>
      <c r="AC202" s="28">
        <f>'5Of11Source'!E279</f>
        <v>55</v>
      </c>
      <c r="AD202" s="28">
        <v>9.9</v>
      </c>
      <c r="AE202" s="28"/>
      <c r="AF202" s="28"/>
      <c r="AG202" s="28"/>
      <c r="AH202" s="28"/>
      <c r="AI202" s="28"/>
    </row>
    <row r="203" spans="4:35" x14ac:dyDescent="0.15">
      <c r="D203" s="28" t="s">
        <v>70</v>
      </c>
      <c r="E203" s="28" t="s">
        <v>76</v>
      </c>
      <c r="F203" s="27" t="str">
        <f>'5Of11Source'!$J$25</f>
        <v>01 02 03 04 05 06 07 08 09 10 11</v>
      </c>
      <c r="G203" s="28">
        <f>'5Of11Source'!F210</f>
        <v>3</v>
      </c>
      <c r="H203" s="28">
        <v>1</v>
      </c>
      <c r="I203" s="30">
        <f t="shared" si="31"/>
        <v>990</v>
      </c>
      <c r="J203" s="22">
        <f t="shared" si="36"/>
        <v>32900.100999999995</v>
      </c>
      <c r="K203" s="30">
        <f>'5Of11Source'!L273</f>
        <v>933782.4</v>
      </c>
      <c r="L203" s="28">
        <f t="shared" si="32"/>
        <v>1039131252.8099997</v>
      </c>
      <c r="M203" s="29" t="str">
        <f t="shared" si="35"/>
        <v>03,06,07,08,10</v>
      </c>
      <c r="N203" s="28">
        <f>IF(ISNUMBER(agent!$O$6*(K203/Z203)*Y203),TRUNC(agent!$O$6*(K203/Z203)*Y203,3),"没有上级")</f>
        <v>967.65</v>
      </c>
      <c r="O203" s="28">
        <f>IF(ISNUMBER(agent!$O$9*(K203/Z203)*Y203),TRUNC(agent!$O$9*(K203/Z203)*Y203,3),"没有上级")</f>
        <v>5805.9</v>
      </c>
      <c r="P203" s="28">
        <f>IF(ISNUMBER(agent!$O$12*(K203/Z203)*Y203),TRUNC(agent!$O$12*(K203/Z203)*Y203,3),"没有上级")</f>
        <v>1935.3</v>
      </c>
      <c r="Q203" s="28">
        <f>IF(ISNUMBER(agent!$O$15*(K203/Z203)*Y203),TRUNC(agent!$O$15*(K203/Z203)*Y203,3),"没有上级")</f>
        <v>3870.6</v>
      </c>
      <c r="R203" s="28">
        <f>IF(ISNUMBER(agent!$O$18*(K203/Z203)*Y203),TRUNC(agent!$O$18*(K203/Z203)*Y203,3),"没有上级")</f>
        <v>2902.95</v>
      </c>
      <c r="S203" s="28">
        <f>IF(ISNUMBER(agent!$O$21*(K203/Z203)*Y203),TRUNC(agent!$O$21*(K203/Z203)*Y203,3),"没有上级")</f>
        <v>967.65</v>
      </c>
      <c r="T203" s="28">
        <f>IF(ISNUMBER(agent!$O$24*(K203/Z203)*Y203),TRUNC(agent!$O$24*(K203/Z203)*Y203,3),"没有上级")</f>
        <v>6773.5510000000004</v>
      </c>
      <c r="U203" s="28">
        <f>IF(ISNUMBER(agent!$O$27*(K203/Z203)*Y203),TRUNC(agent!$O$27*(K203/Z203)*Y203,3),"没有上级")</f>
        <v>2902.95</v>
      </c>
      <c r="V203" s="28">
        <f>IF(ISNUMBER(agent!$O$30*(K203/Z203)*Y203),TRUNC(agent!$O$30*(K203/Z203)*Y203,3),"没有上级")</f>
        <v>3870.6</v>
      </c>
      <c r="W203" s="28">
        <f>IF(ISNUMBER(agent!$O$33*(K203/Z203)*Y203),TRUNC(agent!$O$33*(K203/Z203)*Y203,3),"没有上级")</f>
        <v>2902.95</v>
      </c>
      <c r="X203" s="28"/>
      <c r="Y203">
        <f>TRUNC(0.033,3)</f>
        <v>3.3000000000000002E-2</v>
      </c>
      <c r="Z203" s="28">
        <f>TRUNC(AB203-(9.9-agent!L$3)*10*Y203,3)</f>
        <v>31.844999999999999</v>
      </c>
      <c r="AA203" s="28">
        <f>'5Of11Source'!X$2</f>
        <v>0</v>
      </c>
      <c r="AB203">
        <f t="shared" si="37"/>
        <v>32.966999999999999</v>
      </c>
      <c r="AC203" s="28">
        <f>'5Of11Source'!E280</f>
        <v>165</v>
      </c>
      <c r="AD203" s="28">
        <v>29.7</v>
      </c>
      <c r="AE203" s="28"/>
      <c r="AF203" s="28"/>
      <c r="AG203" s="28"/>
      <c r="AH203" s="28"/>
      <c r="AI203" s="28"/>
    </row>
    <row r="204" spans="4:35" x14ac:dyDescent="0.15">
      <c r="D204" s="28" t="s">
        <v>70</v>
      </c>
      <c r="E204" s="28" t="s">
        <v>78</v>
      </c>
      <c r="F204" s="27" t="str">
        <f>'5Of11Source'!$J$26</f>
        <v>01 02 03 04 05 06 07 08 09 10 11</v>
      </c>
      <c r="G204" s="28">
        <f>'5Of11Source'!F211</f>
        <v>4</v>
      </c>
      <c r="H204" s="28">
        <v>1</v>
      </c>
      <c r="I204" s="30">
        <f t="shared" si="31"/>
        <v>3300</v>
      </c>
      <c r="J204" s="22">
        <f t="shared" si="36"/>
        <v>27409.173000000003</v>
      </c>
      <c r="K204" s="30">
        <f>'5Of11Source'!L274</f>
        <v>777937.00000000012</v>
      </c>
      <c r="L204" s="28">
        <f t="shared" si="32"/>
        <v>1039905889.8099997</v>
      </c>
      <c r="M204" s="29" t="str">
        <f t="shared" si="35"/>
        <v>03,06,07,08,10</v>
      </c>
      <c r="N204" s="28">
        <f>IF(ISNUMBER(agent!$O$6*(K204/Z204)*Y204),TRUNC(agent!$O$6*(K204/Z204)*Y204,3),"没有上级")</f>
        <v>806.15200000000004</v>
      </c>
      <c r="O204" s="28">
        <f>IF(ISNUMBER(agent!$O$9*(K204/Z204)*Y204),TRUNC(agent!$O$9*(K204/Z204)*Y204,3),"没有上级")</f>
        <v>4836.9129999999996</v>
      </c>
      <c r="P204" s="28">
        <f>IF(ISNUMBER(agent!$O$12*(K204/Z204)*Y204),TRUNC(agent!$O$12*(K204/Z204)*Y204,3),"没有上级")</f>
        <v>1612.3040000000001</v>
      </c>
      <c r="Q204" s="28">
        <f>IF(ISNUMBER(agent!$O$15*(K204/Z204)*Y204),TRUNC(agent!$O$15*(K204/Z204)*Y204,3),"没有上级")</f>
        <v>3224.6089999999999</v>
      </c>
      <c r="R204" s="28">
        <f>IF(ISNUMBER(agent!$O$18*(K204/Z204)*Y204),TRUNC(agent!$O$18*(K204/Z204)*Y204,3),"没有上级")</f>
        <v>2418.4560000000001</v>
      </c>
      <c r="S204" s="28">
        <f>IF(ISNUMBER(agent!$O$21*(K204/Z204)*Y204),TRUNC(agent!$O$21*(K204/Z204)*Y204,3),"没有上级")</f>
        <v>806.15200000000004</v>
      </c>
      <c r="T204" s="28">
        <f>IF(ISNUMBER(agent!$O$24*(K204/Z204)*Y204),TRUNC(agent!$O$24*(K204/Z204)*Y204,3),"没有上级")</f>
        <v>5643.0659999999998</v>
      </c>
      <c r="U204" s="28">
        <f>IF(ISNUMBER(agent!$O$27*(K204/Z204)*Y204),TRUNC(agent!$O$27*(K204/Z204)*Y204,3),"没有上级")</f>
        <v>2418.4560000000001</v>
      </c>
      <c r="V204" s="28">
        <f>IF(ISNUMBER(agent!$O$30*(K204/Z204)*Y204),TRUNC(agent!$O$30*(K204/Z204)*Y204,3),"没有上级")</f>
        <v>3224.6089999999999</v>
      </c>
      <c r="W204" s="28">
        <f>IF(ISNUMBER(agent!$O$33*(K204/Z204)*Y204),TRUNC(agent!$O$33*(K204/Z204)*Y204,3),"没有上级")</f>
        <v>2418.4560000000001</v>
      </c>
      <c r="X204" s="28" t="s">
        <v>10</v>
      </c>
      <c r="Y204">
        <f>TRUNC(0.132,3)</f>
        <v>0.13200000000000001</v>
      </c>
      <c r="Z204" s="28">
        <f>TRUNC(AB204-(9.9-agent!L$3)*10*Y204,3)</f>
        <v>127.38</v>
      </c>
      <c r="AA204" s="28">
        <f>'5Of11Source'!X$2</f>
        <v>0</v>
      </c>
      <c r="AB204">
        <f t="shared" si="37"/>
        <v>131.86799999999999</v>
      </c>
      <c r="AC204" s="28">
        <f>'5Of11Source'!E281</f>
        <v>330</v>
      </c>
      <c r="AD204" s="28">
        <v>118.8</v>
      </c>
      <c r="AE204" s="28"/>
      <c r="AF204" s="28"/>
      <c r="AG204" s="28"/>
      <c r="AH204" s="28"/>
      <c r="AI204" s="28"/>
    </row>
    <row r="205" spans="4:35" x14ac:dyDescent="0.15">
      <c r="D205" s="28" t="s">
        <v>70</v>
      </c>
      <c r="E205" s="28" t="s">
        <v>80</v>
      </c>
      <c r="F205" s="27" t="str">
        <f>'5Of11Source'!$J$27</f>
        <v>01 02 03 04 05 06 07 08 09 10 11</v>
      </c>
      <c r="G205" s="28">
        <f>'5Of11Source'!F212</f>
        <v>2</v>
      </c>
      <c r="H205" s="28">
        <v>1</v>
      </c>
      <c r="I205" s="30">
        <f t="shared" si="31"/>
        <v>3695.9999999999995</v>
      </c>
      <c r="J205" s="22">
        <f t="shared" si="36"/>
        <v>4386.5339999999997</v>
      </c>
      <c r="K205" s="30">
        <f>'5Of11Source'!L275</f>
        <v>124500.32</v>
      </c>
      <c r="L205" s="28">
        <f t="shared" si="32"/>
        <v>1040026694.1299998</v>
      </c>
      <c r="M205" s="29" t="str">
        <f t="shared" si="35"/>
        <v>03,06,07,08,10</v>
      </c>
      <c r="N205" s="28">
        <f>IF(ISNUMBER(agent!$O$6*(K205/Z205)*Y205),TRUNC(agent!$O$6*(K205/Z205)*Y205,3),"没有上级")</f>
        <v>129.01499999999999</v>
      </c>
      <c r="O205" s="28">
        <f>IF(ISNUMBER(agent!$O$9*(K205/Z205)*Y205),TRUNC(agent!$O$9*(K205/Z205)*Y205,3),"没有上级")</f>
        <v>774.09500000000003</v>
      </c>
      <c r="P205" s="28">
        <f>IF(ISNUMBER(agent!$O$12*(K205/Z205)*Y205),TRUNC(agent!$O$12*(K205/Z205)*Y205,3),"没有上级")</f>
        <v>258.03100000000001</v>
      </c>
      <c r="Q205" s="28">
        <f>IF(ISNUMBER(agent!$O$15*(K205/Z205)*Y205),TRUNC(agent!$O$15*(K205/Z205)*Y205,3),"没有上级")</f>
        <v>516.06299999999999</v>
      </c>
      <c r="R205" s="28">
        <f>IF(ISNUMBER(agent!$O$18*(K205/Z205)*Y205),TRUNC(agent!$O$18*(K205/Z205)*Y205,3),"没有上级")</f>
        <v>387.04700000000003</v>
      </c>
      <c r="S205" s="28">
        <f>IF(ISNUMBER(agent!$O$21*(K205/Z205)*Y205),TRUNC(agent!$O$21*(K205/Z205)*Y205,3),"没有上级")</f>
        <v>129.01499999999999</v>
      </c>
      <c r="T205" s="28">
        <f>IF(ISNUMBER(agent!$O$24*(K205/Z205)*Y205),TRUNC(agent!$O$24*(K205/Z205)*Y205,3),"没有上级")</f>
        <v>903.11099999999999</v>
      </c>
      <c r="U205" s="28">
        <f>IF(ISNUMBER(agent!$O$27*(K205/Z205)*Y205),TRUNC(agent!$O$27*(K205/Z205)*Y205,3),"没有上级")</f>
        <v>387.04700000000003</v>
      </c>
      <c r="V205" s="28">
        <f>IF(ISNUMBER(agent!$O$30*(K205/Z205)*Y205),TRUNC(agent!$O$30*(K205/Z205)*Y205,3),"没有上级")</f>
        <v>516.06299999999999</v>
      </c>
      <c r="W205" s="28">
        <f>IF(ISNUMBER(agent!$O$33*(K205/Z205)*Y205),TRUNC(agent!$O$33*(K205/Z205)*Y205,3),"没有上级")</f>
        <v>387.04700000000003</v>
      </c>
      <c r="X205" s="28"/>
      <c r="Y205">
        <f>TRUNC(0.924,3)</f>
        <v>0.92400000000000004</v>
      </c>
      <c r="Z205" s="28">
        <f>TRUNC(AB205-(9.9-agent!L$3)*10*Y205,3)</f>
        <v>891.66</v>
      </c>
      <c r="AA205" s="28">
        <f>'5Of11Source'!X$2</f>
        <v>0</v>
      </c>
      <c r="AB205">
        <f t="shared" si="37"/>
        <v>923.07600000000002</v>
      </c>
      <c r="AC205" s="28">
        <f>'5Of11Source'!E282</f>
        <v>461.99999999999994</v>
      </c>
      <c r="AD205" s="28">
        <v>831.6</v>
      </c>
      <c r="AE205" s="28"/>
      <c r="AF205" s="28"/>
      <c r="AG205" s="28"/>
      <c r="AH205" s="28"/>
      <c r="AI205" s="28"/>
    </row>
    <row r="206" spans="4:35" x14ac:dyDescent="0.15">
      <c r="D206" s="28" t="s">
        <v>70</v>
      </c>
      <c r="E206" s="28" t="s">
        <v>82</v>
      </c>
      <c r="F206" s="27" t="str">
        <f>'5Of11Source'!$J$28</f>
        <v>01 02 03 04 05 06 07 08 09 10 11</v>
      </c>
      <c r="G206" s="28">
        <f>'5Of11Source'!F213</f>
        <v>0</v>
      </c>
      <c r="H206" s="28">
        <v>1</v>
      </c>
      <c r="I206" s="30">
        <f t="shared" si="31"/>
        <v>3695.9999999999995</v>
      </c>
      <c r="J206" s="22">
        <f t="shared" si="36"/>
        <v>26312.806</v>
      </c>
      <c r="K206" s="30">
        <f>'5Of11Source'!L276</f>
        <v>746819.52</v>
      </c>
      <c r="L206" s="28">
        <f t="shared" si="32"/>
        <v>1040769817.6499997</v>
      </c>
      <c r="M206" s="29" t="str">
        <f t="shared" si="35"/>
        <v>03,06,07,08,10</v>
      </c>
      <c r="N206" s="28">
        <f>IF(ISNUMBER(agent!$O$6*(K206/Z206)*Y206),TRUNC(agent!$O$6*(K206/Z206)*Y206,3),"没有上级")</f>
        <v>773.90599999999995</v>
      </c>
      <c r="O206" s="28">
        <f>IF(ISNUMBER(agent!$O$9*(K206/Z206)*Y206),TRUNC(agent!$O$9*(K206/Z206)*Y206,3),"没有上级")</f>
        <v>4643.4369999999999</v>
      </c>
      <c r="P206" s="28">
        <f>IF(ISNUMBER(agent!$O$12*(K206/Z206)*Y206),TRUNC(agent!$O$12*(K206/Z206)*Y206,3),"没有上级")</f>
        <v>1547.8119999999999</v>
      </c>
      <c r="Q206" s="28">
        <f>IF(ISNUMBER(agent!$O$15*(K206/Z206)*Y206),TRUNC(agent!$O$15*(K206/Z206)*Y206,3),"没有上级")</f>
        <v>3095.6239999999998</v>
      </c>
      <c r="R206" s="28">
        <f>IF(ISNUMBER(agent!$O$18*(K206/Z206)*Y206),TRUNC(agent!$O$18*(K206/Z206)*Y206,3),"没有上级")</f>
        <v>2321.7179999999998</v>
      </c>
      <c r="S206" s="28">
        <f>IF(ISNUMBER(agent!$O$21*(K206/Z206)*Y206),TRUNC(agent!$O$21*(K206/Z206)*Y206,3),"没有上级")</f>
        <v>773.90599999999995</v>
      </c>
      <c r="T206" s="28">
        <f>IF(ISNUMBER(agent!$O$24*(K206/Z206)*Y206),TRUNC(agent!$O$24*(K206/Z206)*Y206,3),"没有上级")</f>
        <v>5417.3429999999998</v>
      </c>
      <c r="U206" s="28">
        <f>IF(ISNUMBER(agent!$O$27*(K206/Z206)*Y206),TRUNC(agent!$O$27*(K206/Z206)*Y206,3),"没有上级")</f>
        <v>2321.7179999999998</v>
      </c>
      <c r="V206" s="28">
        <f>IF(ISNUMBER(agent!$O$30*(K206/Z206)*Y206),TRUNC(agent!$O$30*(K206/Z206)*Y206,3),"没有上级")</f>
        <v>3095.6239999999998</v>
      </c>
      <c r="W206" s="28">
        <f>IF(ISNUMBER(agent!$O$33*(K206/Z206)*Y206),TRUNC(agent!$O$33*(K206/Z206)*Y206,3),"没有上级")</f>
        <v>2321.7179999999998</v>
      </c>
      <c r="X206" s="28"/>
      <c r="Y206">
        <f>TRUNC(0.154,3)</f>
        <v>0.154</v>
      </c>
      <c r="Z206" s="28">
        <f>TRUNC(AB206-(9.9-agent!L$3)*10*Y206,3)</f>
        <v>148.61000000000001</v>
      </c>
      <c r="AA206" s="28">
        <f>'5Of11Source'!X$2</f>
        <v>0</v>
      </c>
      <c r="AB206">
        <f t="shared" si="37"/>
        <v>153.846</v>
      </c>
      <c r="AC206" s="28">
        <f>'5Of11Source'!E283</f>
        <v>461.99999999999994</v>
      </c>
      <c r="AD206" s="28">
        <v>138.6</v>
      </c>
      <c r="AE206" s="28"/>
      <c r="AF206" s="28"/>
      <c r="AG206" s="28"/>
      <c r="AH206" s="28"/>
      <c r="AI206" s="28"/>
    </row>
    <row r="207" spans="4:35" x14ac:dyDescent="0.15">
      <c r="D207" s="28" t="s">
        <v>70</v>
      </c>
      <c r="E207" s="28" t="s">
        <v>84</v>
      </c>
      <c r="F207" s="27" t="str">
        <f>'5Of11Source'!$J$29</f>
        <v>01 02 03 04 05 06 07 08 09 10 11</v>
      </c>
      <c r="G207" s="28">
        <f>'5Of11Source'!F214</f>
        <v>5</v>
      </c>
      <c r="H207" s="28">
        <v>1</v>
      </c>
      <c r="I207" s="30">
        <f t="shared" si="31"/>
        <v>1980</v>
      </c>
      <c r="J207" s="22">
        <f t="shared" si="36"/>
        <v>47836.960000000006</v>
      </c>
      <c r="K207" s="30">
        <f>'5Of11Source'!L277</f>
        <v>1357725.6</v>
      </c>
      <c r="L207" s="28">
        <f t="shared" si="32"/>
        <v>1042125563.2499998</v>
      </c>
      <c r="M207" s="29" t="str">
        <f t="shared" si="35"/>
        <v>03,06,07,08,10</v>
      </c>
      <c r="N207" s="28">
        <f>IF(ISNUMBER(agent!$O$6*(K207/Z207)*Y207),TRUNC(agent!$O$6*(K207/Z207)*Y207,3),"没有上级")</f>
        <v>1406.9690000000001</v>
      </c>
      <c r="O207" s="28">
        <f>IF(ISNUMBER(agent!$O$9*(K207/Z207)*Y207),TRUNC(agent!$O$9*(K207/Z207)*Y207,3),"没有上级")</f>
        <v>8441.8169999999991</v>
      </c>
      <c r="P207" s="28">
        <f>IF(ISNUMBER(agent!$O$12*(K207/Z207)*Y207),TRUNC(agent!$O$12*(K207/Z207)*Y207,3),"没有上级")</f>
        <v>2813.9389999999999</v>
      </c>
      <c r="Q207" s="28">
        <f>IF(ISNUMBER(agent!$O$15*(K207/Z207)*Y207),TRUNC(agent!$O$15*(K207/Z207)*Y207,3),"没有上级")</f>
        <v>5627.8779999999997</v>
      </c>
      <c r="R207" s="28">
        <f>IF(ISNUMBER(agent!$O$18*(K207/Z207)*Y207),TRUNC(agent!$O$18*(K207/Z207)*Y207,3),"没有上级")</f>
        <v>4220.9080000000004</v>
      </c>
      <c r="S207" s="28">
        <f>IF(ISNUMBER(agent!$O$21*(K207/Z207)*Y207),TRUNC(agent!$O$21*(K207/Z207)*Y207,3),"没有上级")</f>
        <v>1406.9690000000001</v>
      </c>
      <c r="T207" s="28">
        <f>IF(ISNUMBER(agent!$O$24*(K207/Z207)*Y207),TRUNC(agent!$O$24*(K207/Z207)*Y207,3),"没有上级")</f>
        <v>9848.7860000000001</v>
      </c>
      <c r="U207" s="28">
        <f>IF(ISNUMBER(agent!$O$27*(K207/Z207)*Y207),TRUNC(agent!$O$27*(K207/Z207)*Y207,3),"没有上级")</f>
        <v>4220.9080000000004</v>
      </c>
      <c r="V207" s="28">
        <f>IF(ISNUMBER(agent!$O$30*(K207/Z207)*Y207),TRUNC(agent!$O$30*(K207/Z207)*Y207,3),"没有上级")</f>
        <v>5627.8779999999997</v>
      </c>
      <c r="W207" s="28">
        <f>IF(ISNUMBER(agent!$O$33*(K207/Z207)*Y207),TRUNC(agent!$O$33*(K207/Z207)*Y207,3),"没有上级")</f>
        <v>4220.9080000000004</v>
      </c>
      <c r="X207" s="28"/>
      <c r="Y207">
        <f>TRUNC(0.044,3)</f>
        <v>4.3999999999999997E-2</v>
      </c>
      <c r="Z207" s="28">
        <f>TRUNC(AB207-(9.9-agent!L$3)*10*Y207,3)</f>
        <v>42.46</v>
      </c>
      <c r="AA207" s="28">
        <f>'5Of11Source'!X$2</f>
        <v>0</v>
      </c>
      <c r="AB207">
        <f t="shared" si="37"/>
        <v>43.956000000000003</v>
      </c>
      <c r="AC207" s="28">
        <f>'5Of11Source'!E284</f>
        <v>330</v>
      </c>
      <c r="AD207" s="28">
        <v>39.6</v>
      </c>
      <c r="AE207" s="28"/>
      <c r="AF207" s="28"/>
      <c r="AG207" s="28"/>
      <c r="AH207" s="28"/>
      <c r="AI207" s="28"/>
    </row>
    <row r="208" spans="4:35" x14ac:dyDescent="0.15">
      <c r="D208" s="28" t="s">
        <v>70</v>
      </c>
      <c r="E208" s="28" t="s">
        <v>86</v>
      </c>
      <c r="F208" s="27" t="str">
        <f>'5Of11Source'!$J$30</f>
        <v>01 02 03 04 05 06 07 08 09 10 11</v>
      </c>
      <c r="G208" s="28">
        <f>'5Of11Source'!F215</f>
        <v>0</v>
      </c>
      <c r="H208" s="28">
        <v>1</v>
      </c>
      <c r="I208" s="30">
        <f t="shared" si="31"/>
        <v>990</v>
      </c>
      <c r="J208" s="22">
        <f t="shared" si="36"/>
        <v>62220.135999999999</v>
      </c>
      <c r="K208" s="30">
        <f>'5Of11Source'!L278</f>
        <v>1817422.8</v>
      </c>
      <c r="L208" s="28">
        <f t="shared" si="32"/>
        <v>1043941996.0499997</v>
      </c>
      <c r="M208" s="29" t="str">
        <f t="shared" si="35"/>
        <v>03,06,07,08,10</v>
      </c>
      <c r="N208" s="28">
        <f>IF(ISNUMBER(agent!$O$6*(K208/Z208)*Y208),TRUNC(agent!$O$6*(K208/Z208)*Y208,3),"没有上级")</f>
        <v>1830.0039999999999</v>
      </c>
      <c r="O208" s="28">
        <f>IF(ISNUMBER(agent!$O$9*(K208/Z208)*Y208),TRUNC(agent!$O$9*(K208/Z208)*Y208,3),"没有上级")</f>
        <v>10980.023999999999</v>
      </c>
      <c r="P208" s="28">
        <f>IF(ISNUMBER(agent!$O$12*(K208/Z208)*Y208),TRUNC(agent!$O$12*(K208/Z208)*Y208,3),"没有上级")</f>
        <v>3660.0079999999998</v>
      </c>
      <c r="Q208" s="28">
        <f>IF(ISNUMBER(agent!$O$15*(K208/Z208)*Y208),TRUNC(agent!$O$15*(K208/Z208)*Y208,3),"没有上级")</f>
        <v>7320.0159999999996</v>
      </c>
      <c r="R208" s="28">
        <f>IF(ISNUMBER(agent!$O$18*(K208/Z208)*Y208),TRUNC(agent!$O$18*(K208/Z208)*Y208,3),"没有上级")</f>
        <v>5490.0119999999997</v>
      </c>
      <c r="S208" s="28">
        <f>IF(ISNUMBER(agent!$O$21*(K208/Z208)*Y208),TRUNC(agent!$O$21*(K208/Z208)*Y208,3),"没有上级")</f>
        <v>1830.0039999999999</v>
      </c>
      <c r="T208" s="28">
        <f>IF(ISNUMBER(agent!$O$24*(K208/Z208)*Y208),TRUNC(agent!$O$24*(K208/Z208)*Y208,3),"没有上级")</f>
        <v>12810.028</v>
      </c>
      <c r="U208" s="28">
        <f>IF(ISNUMBER(agent!$O$27*(K208/Z208)*Y208),TRUNC(agent!$O$27*(K208/Z208)*Y208,3),"没有上级")</f>
        <v>5490.0119999999997</v>
      </c>
      <c r="V208" s="28">
        <f>IF(ISNUMBER(agent!$O$30*(K208/Z208)*Y208),TRUNC(agent!$O$30*(K208/Z208)*Y208,3),"没有上级")</f>
        <v>7320.0159999999996</v>
      </c>
      <c r="W208" s="28">
        <f>IF(ISNUMBER(agent!$O$33*(K208/Z208)*Y208),TRUNC(agent!$O$33*(K208/Z208)*Y208,3),"没有上级")</f>
        <v>5490.0119999999997</v>
      </c>
      <c r="X208" s="28" t="s">
        <v>12</v>
      </c>
      <c r="Y208">
        <f>TRUNC(0.01642857,3)</f>
        <v>1.6E-2</v>
      </c>
      <c r="Z208" s="28">
        <f>TRUNC(AB208-(9.9-agent!L$3)*10*Y208,3)</f>
        <v>15.89</v>
      </c>
      <c r="AA208" s="28">
        <f>'5Of11Source'!X$2</f>
        <v>0</v>
      </c>
      <c r="AB208">
        <f t="shared" si="37"/>
        <v>16.434000000000001</v>
      </c>
      <c r="AC208" s="28">
        <f>'5Of11Source'!E285</f>
        <v>165</v>
      </c>
      <c r="AD208" s="28">
        <v>14.85</v>
      </c>
      <c r="AE208" s="28"/>
      <c r="AF208" s="28"/>
      <c r="AG208" s="28"/>
      <c r="AH208" s="28"/>
      <c r="AI208" s="28"/>
    </row>
    <row r="209" spans="4:35" x14ac:dyDescent="0.15">
      <c r="D209" s="28" t="s">
        <v>96</v>
      </c>
      <c r="E209" s="28" t="s">
        <v>72</v>
      </c>
      <c r="F209" s="27" t="str">
        <f>'5Of11Source'!$J$31</f>
        <v>01,02,03,04,05,06,07,08,09,10,11</v>
      </c>
      <c r="G209" s="28">
        <f>'5Of11Source'!F216</f>
        <v>3</v>
      </c>
      <c r="H209" s="28">
        <v>1</v>
      </c>
      <c r="I209" s="30">
        <f t="shared" si="31"/>
        <v>88</v>
      </c>
      <c r="J209" s="22">
        <f t="shared" si="36"/>
        <v>19447.140000000003</v>
      </c>
      <c r="K209" s="30">
        <f>'5Of11Source'!L279</f>
        <v>603433.6</v>
      </c>
      <c r="L209" s="28">
        <f t="shared" si="32"/>
        <v>1044545341.6499997</v>
      </c>
      <c r="M209" s="29" t="str">
        <f t="shared" si="35"/>
        <v>03,06,07,08,10</v>
      </c>
      <c r="N209" s="28">
        <f>IF(ISNUMBER(agent!$O$6*(K209/Z209)*Y209),TRUNC(agent!$O$6*(K209/Z209)*Y209,3),"没有上级")</f>
        <v>571.97400000000005</v>
      </c>
      <c r="O209" s="28">
        <f>IF(ISNUMBER(agent!$O$9*(K209/Z209)*Y209),TRUNC(agent!$O$9*(K209/Z209)*Y209,3),"没有上级")</f>
        <v>3431.8490000000002</v>
      </c>
      <c r="P209" s="28">
        <f>IF(ISNUMBER(agent!$O$12*(K209/Z209)*Y209),TRUNC(agent!$O$12*(K209/Z209)*Y209,3),"没有上级")</f>
        <v>1143.9490000000001</v>
      </c>
      <c r="Q209" s="28">
        <f>IF(ISNUMBER(agent!$O$15*(K209/Z209)*Y209),TRUNC(agent!$O$15*(K209/Z209)*Y209,3),"没有上级")</f>
        <v>2287.8989999999999</v>
      </c>
      <c r="R209" s="28">
        <f>IF(ISNUMBER(agent!$O$18*(K209/Z209)*Y209),TRUNC(agent!$O$18*(K209/Z209)*Y209,3),"没有上级")</f>
        <v>1715.924</v>
      </c>
      <c r="S209" s="28">
        <f>IF(ISNUMBER(agent!$O$21*(K209/Z209)*Y209),TRUNC(agent!$O$21*(K209/Z209)*Y209,3),"没有上级")</f>
        <v>571.97400000000005</v>
      </c>
      <c r="T209" s="28">
        <f>IF(ISNUMBER(agent!$O$24*(K209/Z209)*Y209),TRUNC(agent!$O$24*(K209/Z209)*Y209,3),"没有上级")</f>
        <v>4003.8240000000001</v>
      </c>
      <c r="U209" s="28">
        <f>IF(ISNUMBER(agent!$O$27*(K209/Z209)*Y209),TRUNC(agent!$O$27*(K209/Z209)*Y209,3),"没有上级")</f>
        <v>1715.924</v>
      </c>
      <c r="V209" s="28">
        <f>IF(ISNUMBER(agent!$O$30*(K209/Z209)*Y209),TRUNC(agent!$O$30*(K209/Z209)*Y209,3),"没有上级")</f>
        <v>2287.8989999999999</v>
      </c>
      <c r="W209" s="28">
        <f>IF(ISNUMBER(agent!$O$33*(K209/Z209)*Y209),TRUNC(agent!$O$33*(K209/Z209)*Y209,3),"没有上级")</f>
        <v>1715.924</v>
      </c>
      <c r="X209" s="28"/>
      <c r="Y209">
        <f>TRUNC(0.0042857,3)</f>
        <v>4.0000000000000001E-3</v>
      </c>
      <c r="Z209" s="28">
        <f>TRUNC(AB209-(9.9-agent!L$3)*10*Y209,3)</f>
        <v>4.22</v>
      </c>
      <c r="AA209" s="28">
        <f>'5Of11Source'!X$2</f>
        <v>0</v>
      </c>
      <c r="AB209">
        <f t="shared" si="37"/>
        <v>4.3559999999999999</v>
      </c>
      <c r="AC209" s="28">
        <f>'5Of11Source'!E286</f>
        <v>11</v>
      </c>
      <c r="AD209" s="28">
        <v>3.96</v>
      </c>
      <c r="AE209" s="28"/>
      <c r="AF209" s="28"/>
      <c r="AG209" s="28"/>
      <c r="AH209" s="28"/>
      <c r="AI209" s="28"/>
    </row>
    <row r="210" spans="4:35" x14ac:dyDescent="0.15">
      <c r="D210" s="28" t="s">
        <v>96</v>
      </c>
      <c r="E210" s="28" t="s">
        <v>74</v>
      </c>
      <c r="F210" s="27" t="str">
        <f>'5Of11Source'!$J$32</f>
        <v>01 09,03 04,05 06,07 08,09 10</v>
      </c>
      <c r="G210" s="28">
        <f>'5Of11Source'!F217</f>
        <v>1</v>
      </c>
      <c r="H210" s="28">
        <v>1</v>
      </c>
      <c r="I210" s="30">
        <f t="shared" si="31"/>
        <v>50</v>
      </c>
      <c r="J210" s="22">
        <f t="shared" si="36"/>
        <v>0</v>
      </c>
      <c r="K210" s="30">
        <f>'5Of11Source'!L280</f>
        <v>0</v>
      </c>
      <c r="L210" s="28">
        <f t="shared" si="32"/>
        <v>1044545291.6499997</v>
      </c>
      <c r="M210" s="29" t="str">
        <f t="shared" si="35"/>
        <v>03,06,07,08,10</v>
      </c>
      <c r="N210" s="28">
        <f>IF(ISNUMBER(agent!$O$6*(K210/Z210)*Y210),TRUNC(agent!$O$6*(K210/Z210)*Y210,3),"没有上级")</f>
        <v>0</v>
      </c>
      <c r="O210" s="28">
        <f>IF(ISNUMBER(agent!$O$9*(K210/Z210)*Y210),TRUNC(agent!$O$9*(K210/Z210)*Y210,3),"没有上级")</f>
        <v>0</v>
      </c>
      <c r="P210" s="28">
        <f>IF(ISNUMBER(agent!$O$12*(K210/Z210)*Y210),TRUNC(agent!$O$12*(K210/Z210)*Y210,3),"没有上级")</f>
        <v>0</v>
      </c>
      <c r="Q210" s="28">
        <f>IF(ISNUMBER(agent!$O$15*(K210/Z210)*Y210),TRUNC(agent!$O$15*(K210/Z210)*Y210,3),"没有上级")</f>
        <v>0</v>
      </c>
      <c r="R210" s="28">
        <f>IF(ISNUMBER(agent!$O$18*(K210/Z210)*Y210),TRUNC(agent!$O$18*(K210/Z210)*Y210,3),"没有上级")</f>
        <v>0</v>
      </c>
      <c r="S210" s="28">
        <f>IF(ISNUMBER(agent!$O$21*(K210/Z210)*Y210),TRUNC(agent!$O$21*(K210/Z210)*Y210,3),"没有上级")</f>
        <v>0</v>
      </c>
      <c r="T210" s="28">
        <f>IF(ISNUMBER(agent!$O$24*(K210/Z210)*Y210),TRUNC(agent!$O$24*(K210/Z210)*Y210,3),"没有上级")</f>
        <v>0</v>
      </c>
      <c r="U210" s="28">
        <f>IF(ISNUMBER(agent!$O$27*(K210/Z210)*Y210),TRUNC(agent!$O$27*(K210/Z210)*Y210,3),"没有上级")</f>
        <v>0</v>
      </c>
      <c r="V210" s="28">
        <f>IF(ISNUMBER(agent!$O$30*(K210/Z210)*Y210),TRUNC(agent!$O$30*(K210/Z210)*Y210,3),"没有上级")</f>
        <v>0</v>
      </c>
      <c r="W210" s="28">
        <f>IF(ISNUMBER(agent!$O$33*(K210/Z210)*Y210),TRUNC(agent!$O$33*(K210/Z210)*Y210,3),"没有上级")</f>
        <v>0</v>
      </c>
      <c r="X210" s="28"/>
      <c r="Y210">
        <f>TRUNC(0.011,3)</f>
        <v>1.0999999999999999E-2</v>
      </c>
      <c r="Z210" s="28">
        <f>TRUNC(AB210-(9.9-agent!L$3)*10*Y210,3)</f>
        <v>10.615</v>
      </c>
      <c r="AA210" s="28">
        <f>'5Of11Source'!X$2</f>
        <v>0</v>
      </c>
      <c r="AB210">
        <f t="shared" si="37"/>
        <v>10.989000000000001</v>
      </c>
      <c r="AC210" s="28">
        <f>'5Of11Source'!E287</f>
        <v>5</v>
      </c>
      <c r="AD210" s="28">
        <v>9.9</v>
      </c>
      <c r="AE210" s="28"/>
      <c r="AF210" s="28"/>
      <c r="AG210" s="28"/>
      <c r="AH210" s="28"/>
      <c r="AI210" s="28"/>
    </row>
    <row r="211" spans="4:35" x14ac:dyDescent="0.15">
      <c r="D211" s="28" t="s">
        <v>96</v>
      </c>
      <c r="E211" s="28" t="s">
        <v>76</v>
      </c>
      <c r="F211" s="27" t="str">
        <f>'5Of11Source'!$J$33</f>
        <v>01 02 03,04 05 06,07 08 09,10 11 01</v>
      </c>
      <c r="G211" s="28">
        <f>'5Of11Source'!F218</f>
        <v>2</v>
      </c>
      <c r="H211" s="28">
        <v>1</v>
      </c>
      <c r="I211" s="30">
        <f t="shared" si="31"/>
        <v>40</v>
      </c>
      <c r="J211" s="22">
        <f t="shared" si="36"/>
        <v>0</v>
      </c>
      <c r="K211" s="30">
        <f>'5Of11Source'!L281</f>
        <v>0</v>
      </c>
      <c r="L211" s="28">
        <f t="shared" si="32"/>
        <v>1044545251.6499997</v>
      </c>
      <c r="M211" s="29" t="str">
        <f t="shared" si="35"/>
        <v>03,06,07,08,10</v>
      </c>
      <c r="N211" s="28">
        <f>IF(ISNUMBER(agent!$O$6*(K211/Z211)*Y211),TRUNC(agent!$O$6*(K211/Z211)*Y211,3),"没有上级")</f>
        <v>0</v>
      </c>
      <c r="O211" s="28">
        <f>IF(ISNUMBER(agent!$O$9*(K211/Z211)*Y211),TRUNC(agent!$O$9*(K211/Z211)*Y211,3),"没有上级")</f>
        <v>0</v>
      </c>
      <c r="P211" s="28">
        <f>IF(ISNUMBER(agent!$O$12*(K211/Z211)*Y211),TRUNC(agent!$O$12*(K211/Z211)*Y211,3),"没有上级")</f>
        <v>0</v>
      </c>
      <c r="Q211" s="28">
        <f>IF(ISNUMBER(agent!$O$15*(K211/Z211)*Y211),TRUNC(agent!$O$15*(K211/Z211)*Y211,3),"没有上级")</f>
        <v>0</v>
      </c>
      <c r="R211" s="28">
        <f>IF(ISNUMBER(agent!$O$18*(K211/Z211)*Y211),TRUNC(agent!$O$18*(K211/Z211)*Y211,3),"没有上级")</f>
        <v>0</v>
      </c>
      <c r="S211" s="28">
        <f>IF(ISNUMBER(agent!$O$21*(K211/Z211)*Y211),TRUNC(agent!$O$21*(K211/Z211)*Y211,3),"没有上级")</f>
        <v>0</v>
      </c>
      <c r="T211" s="28">
        <f>IF(ISNUMBER(agent!$O$24*(K211/Z211)*Y211),TRUNC(agent!$O$24*(K211/Z211)*Y211,3),"没有上级")</f>
        <v>0</v>
      </c>
      <c r="U211" s="28">
        <f>IF(ISNUMBER(agent!$O$27*(K211/Z211)*Y211),TRUNC(agent!$O$27*(K211/Z211)*Y211,3),"没有上级")</f>
        <v>0</v>
      </c>
      <c r="V211" s="28">
        <f>IF(ISNUMBER(agent!$O$30*(K211/Z211)*Y211),TRUNC(agent!$O$30*(K211/Z211)*Y211,3),"没有上级")</f>
        <v>0</v>
      </c>
      <c r="W211" s="28">
        <f>IF(ISNUMBER(agent!$O$33*(K211/Z211)*Y211),TRUNC(agent!$O$33*(K211/Z211)*Y211,3),"没有上级")</f>
        <v>0</v>
      </c>
      <c r="X211" s="28"/>
      <c r="Y211">
        <f>TRUNC(0.033,3)</f>
        <v>3.3000000000000002E-2</v>
      </c>
      <c r="Z211" s="28">
        <f>TRUNC(AB211-(9.9-agent!L$3)*10*Y211,3)</f>
        <v>31.844999999999999</v>
      </c>
      <c r="AA211" s="28">
        <f>'5Of11Source'!X$2</f>
        <v>0</v>
      </c>
      <c r="AB211">
        <f t="shared" si="37"/>
        <v>32.966999999999999</v>
      </c>
      <c r="AC211" s="28">
        <f>'5Of11Source'!E288</f>
        <v>4</v>
      </c>
      <c r="AD211" s="28">
        <v>29.7</v>
      </c>
      <c r="AE211" s="28"/>
      <c r="AF211" s="28"/>
      <c r="AG211" s="28"/>
      <c r="AH211" s="28"/>
      <c r="AI211" s="28"/>
    </row>
    <row r="212" spans="4:35" x14ac:dyDescent="0.15">
      <c r="D212" s="28" t="s">
        <v>96</v>
      </c>
      <c r="E212" s="28" t="s">
        <v>78</v>
      </c>
      <c r="F212" s="27" t="str">
        <f>'5Of11Source'!$J$34</f>
        <v>01 02 03 04,09 10 11 05,06 07 08 09</v>
      </c>
      <c r="G212" s="28">
        <f>'5Of11Source'!F219</f>
        <v>3</v>
      </c>
      <c r="H212" s="28">
        <v>1</v>
      </c>
      <c r="I212" s="30">
        <f t="shared" si="31"/>
        <v>30</v>
      </c>
      <c r="J212" s="22">
        <f t="shared" si="36"/>
        <v>0</v>
      </c>
      <c r="K212" s="30">
        <f>'5Of11Source'!L282</f>
        <v>0</v>
      </c>
      <c r="L212" s="28">
        <f t="shared" si="32"/>
        <v>1044545221.6499997</v>
      </c>
      <c r="M212" s="29" t="str">
        <f t="shared" si="35"/>
        <v>03,06,07,08,10</v>
      </c>
      <c r="N212" s="28">
        <f>IF(ISNUMBER(agent!$O$6*(K212/Z212)*Y212),TRUNC(agent!$O$6*(K212/Z212)*Y212,3),"没有上级")</f>
        <v>0</v>
      </c>
      <c r="O212" s="28">
        <f>IF(ISNUMBER(agent!$O$9*(K212/Z212)*Y212),TRUNC(agent!$O$9*(K212/Z212)*Y212,3),"没有上级")</f>
        <v>0</v>
      </c>
      <c r="P212" s="28">
        <f>IF(ISNUMBER(agent!$O$12*(K212/Z212)*Y212),TRUNC(agent!$O$12*(K212/Z212)*Y212,3),"没有上级")</f>
        <v>0</v>
      </c>
      <c r="Q212" s="28">
        <f>IF(ISNUMBER(agent!$O$15*(K212/Z212)*Y212),TRUNC(agent!$O$15*(K212/Z212)*Y212,3),"没有上级")</f>
        <v>0</v>
      </c>
      <c r="R212" s="28">
        <f>IF(ISNUMBER(agent!$O$18*(K212/Z212)*Y212),TRUNC(agent!$O$18*(K212/Z212)*Y212,3),"没有上级")</f>
        <v>0</v>
      </c>
      <c r="S212" s="28">
        <f>IF(ISNUMBER(agent!$O$21*(K212/Z212)*Y212),TRUNC(agent!$O$21*(K212/Z212)*Y212,3),"没有上级")</f>
        <v>0</v>
      </c>
      <c r="T212" s="28">
        <f>IF(ISNUMBER(agent!$O$24*(K212/Z212)*Y212),TRUNC(agent!$O$24*(K212/Z212)*Y212,3),"没有上级")</f>
        <v>0</v>
      </c>
      <c r="U212" s="28">
        <f>IF(ISNUMBER(agent!$O$27*(K212/Z212)*Y212),TRUNC(agent!$O$27*(K212/Z212)*Y212,3),"没有上级")</f>
        <v>0</v>
      </c>
      <c r="V212" s="28">
        <f>IF(ISNUMBER(agent!$O$30*(K212/Z212)*Y212),TRUNC(agent!$O$30*(K212/Z212)*Y212,3),"没有上级")</f>
        <v>0</v>
      </c>
      <c r="W212" s="28">
        <f>IF(ISNUMBER(agent!$O$33*(K212/Z212)*Y212),TRUNC(agent!$O$33*(K212/Z212)*Y212,3),"没有上级")</f>
        <v>0</v>
      </c>
      <c r="X212" s="28"/>
      <c r="Y212">
        <f>TRUNC(0.132,3)</f>
        <v>0.13200000000000001</v>
      </c>
      <c r="Z212" s="28">
        <f>TRUNC(AB212-(9.9-agent!L$3)*10*Y212,3)</f>
        <v>127.38</v>
      </c>
      <c r="AA212" s="28">
        <f>'5Of11Source'!X$2</f>
        <v>0</v>
      </c>
      <c r="AB212">
        <f t="shared" si="37"/>
        <v>131.86799999999999</v>
      </c>
      <c r="AC212" s="28">
        <f>'5Of11Source'!E289</f>
        <v>3</v>
      </c>
      <c r="AD212" s="28">
        <v>118.8</v>
      </c>
      <c r="AE212" s="28"/>
      <c r="AF212" s="28"/>
      <c r="AG212" s="28"/>
      <c r="AH212" s="28"/>
      <c r="AI212" s="28"/>
    </row>
    <row r="213" spans="4:35" x14ac:dyDescent="0.15">
      <c r="D213" s="28" t="s">
        <v>96</v>
      </c>
      <c r="E213" s="28" t="s">
        <v>80</v>
      </c>
      <c r="F213" s="27" t="str">
        <f>'5Of11Source'!$J$35</f>
        <v>01 02 06 04 08,06 07 08 09 10</v>
      </c>
      <c r="G213" s="28">
        <f>'5Of11Source'!F220</f>
        <v>0</v>
      </c>
      <c r="H213" s="28">
        <v>1</v>
      </c>
      <c r="I213" s="30">
        <f t="shared" si="31"/>
        <v>32</v>
      </c>
      <c r="J213" s="22">
        <f t="shared" si="36"/>
        <v>0</v>
      </c>
      <c r="K213" s="30">
        <f>'5Of11Source'!L283</f>
        <v>0</v>
      </c>
      <c r="L213" s="28">
        <f t="shared" si="32"/>
        <v>1044545189.6499997</v>
      </c>
      <c r="M213" s="29" t="str">
        <f t="shared" si="35"/>
        <v>03,06,07,08,10</v>
      </c>
      <c r="N213" s="28">
        <f>IF(ISNUMBER(agent!$O$6*(K213/Z213)*Y213),TRUNC(agent!$O$6*(K213/Z213)*Y213,3),"没有上级")</f>
        <v>0</v>
      </c>
      <c r="O213" s="28">
        <f>IF(ISNUMBER(agent!$O$9*(K213/Z213)*Y213),TRUNC(agent!$O$9*(K213/Z213)*Y213,3),"没有上级")</f>
        <v>0</v>
      </c>
      <c r="P213" s="28">
        <f>IF(ISNUMBER(agent!$O$12*(K213/Z213)*Y213),TRUNC(agent!$O$12*(K213/Z213)*Y213,3),"没有上级")</f>
        <v>0</v>
      </c>
      <c r="Q213" s="28">
        <f>IF(ISNUMBER(agent!$O$15*(K213/Z213)*Y213),TRUNC(agent!$O$15*(K213/Z213)*Y213,3),"没有上级")</f>
        <v>0</v>
      </c>
      <c r="R213" s="28">
        <f>IF(ISNUMBER(agent!$O$18*(K213/Z213)*Y213),TRUNC(agent!$O$18*(K213/Z213)*Y213,3),"没有上级")</f>
        <v>0</v>
      </c>
      <c r="S213" s="28">
        <f>IF(ISNUMBER(agent!$O$21*(K213/Z213)*Y213),TRUNC(agent!$O$21*(K213/Z213)*Y213,3),"没有上级")</f>
        <v>0</v>
      </c>
      <c r="T213" s="28">
        <f>IF(ISNUMBER(agent!$O$24*(K213/Z213)*Y213),TRUNC(agent!$O$24*(K213/Z213)*Y213,3),"没有上级")</f>
        <v>0</v>
      </c>
      <c r="U213" s="28">
        <f>IF(ISNUMBER(agent!$O$27*(K213/Z213)*Y213),TRUNC(agent!$O$27*(K213/Z213)*Y213,3),"没有上级")</f>
        <v>0</v>
      </c>
      <c r="V213" s="28">
        <f>IF(ISNUMBER(agent!$O$30*(K213/Z213)*Y213),TRUNC(agent!$O$30*(K213/Z213)*Y213,3),"没有上级")</f>
        <v>0</v>
      </c>
      <c r="W213" s="28">
        <f>IF(ISNUMBER(agent!$O$33*(K213/Z213)*Y213),TRUNC(agent!$O$33*(K213/Z213)*Y213,3),"没有上级")</f>
        <v>0</v>
      </c>
      <c r="X213" s="28"/>
      <c r="Y213">
        <f>TRUNC(0.924,3)</f>
        <v>0.92400000000000004</v>
      </c>
      <c r="Z213" s="28">
        <f>TRUNC(AB213-(9.9-agent!L$3)*10*Y213,3)</f>
        <v>891.66</v>
      </c>
      <c r="AA213" s="28">
        <f>'5Of11Source'!X$2</f>
        <v>0</v>
      </c>
      <c r="AB213">
        <f t="shared" si="37"/>
        <v>923.07600000000002</v>
      </c>
      <c r="AC213" s="28">
        <f>'5Of11Source'!E290</f>
        <v>2</v>
      </c>
      <c r="AD213" s="28">
        <v>831.6</v>
      </c>
      <c r="AE213" s="28"/>
      <c r="AF213" s="28"/>
      <c r="AG213" s="28"/>
      <c r="AH213" s="28"/>
      <c r="AI213" s="28"/>
    </row>
    <row r="214" spans="4:35" x14ac:dyDescent="0.15">
      <c r="D214" s="28" t="s">
        <v>96</v>
      </c>
      <c r="E214" s="28" t="s">
        <v>82</v>
      </c>
      <c r="F214" s="27" t="str">
        <f>'5Of11Source'!$J$36</f>
        <v>01 02 08 04 05 06,07 08 09 10 11 02</v>
      </c>
      <c r="G214" s="28">
        <f>'5Of11Source'!F221</f>
        <v>5</v>
      </c>
      <c r="H214" s="28">
        <v>1</v>
      </c>
      <c r="I214" s="30">
        <f t="shared" si="31"/>
        <v>8</v>
      </c>
      <c r="J214" s="22">
        <f t="shared" si="36"/>
        <v>0</v>
      </c>
      <c r="K214" s="30">
        <f>'5Of11Source'!L284</f>
        <v>0</v>
      </c>
      <c r="L214" s="28">
        <f t="shared" si="32"/>
        <v>1044545181.6499997</v>
      </c>
      <c r="M214" s="29" t="str">
        <f t="shared" si="35"/>
        <v>03,06,07,08,10</v>
      </c>
      <c r="N214" s="28">
        <f>IF(ISNUMBER(agent!$O$6*(K214/Z214)*Y214),TRUNC(agent!$O$6*(K214/Z214)*Y214,3),"没有上级")</f>
        <v>0</v>
      </c>
      <c r="O214" s="28">
        <f>IF(ISNUMBER(agent!$O$9*(K214/Z214)*Y214),TRUNC(agent!$O$9*(K214/Z214)*Y214,3),"没有上级")</f>
        <v>0</v>
      </c>
      <c r="P214" s="28">
        <f>IF(ISNUMBER(agent!$O$12*(K214/Z214)*Y214),TRUNC(agent!$O$12*(K214/Z214)*Y214,3),"没有上级")</f>
        <v>0</v>
      </c>
      <c r="Q214" s="28">
        <f>IF(ISNUMBER(agent!$O$15*(K214/Z214)*Y214),TRUNC(agent!$O$15*(K214/Z214)*Y214,3),"没有上级")</f>
        <v>0</v>
      </c>
      <c r="R214" s="28">
        <f>IF(ISNUMBER(agent!$O$18*(K214/Z214)*Y214),TRUNC(agent!$O$18*(K214/Z214)*Y214,3),"没有上级")</f>
        <v>0</v>
      </c>
      <c r="S214" s="28">
        <f>IF(ISNUMBER(agent!$O$21*(K214/Z214)*Y214),TRUNC(agent!$O$21*(K214/Z214)*Y214,3),"没有上级")</f>
        <v>0</v>
      </c>
      <c r="T214" s="28">
        <f>IF(ISNUMBER(agent!$O$24*(K214/Z214)*Y214),TRUNC(agent!$O$24*(K214/Z214)*Y214,3),"没有上级")</f>
        <v>0</v>
      </c>
      <c r="U214" s="28">
        <f>IF(ISNUMBER(agent!$O$27*(K214/Z214)*Y214),TRUNC(agent!$O$27*(K214/Z214)*Y214,3),"没有上级")</f>
        <v>0</v>
      </c>
      <c r="V214" s="28">
        <f>IF(ISNUMBER(agent!$O$30*(K214/Z214)*Y214),TRUNC(agent!$O$30*(K214/Z214)*Y214,3),"没有上级")</f>
        <v>0</v>
      </c>
      <c r="W214" s="28">
        <f>IF(ISNUMBER(agent!$O$33*(K214/Z214)*Y214),TRUNC(agent!$O$33*(K214/Z214)*Y214,3),"没有上级")</f>
        <v>0</v>
      </c>
      <c r="X214" s="28"/>
      <c r="Y214">
        <f>TRUNC(0.154,3)</f>
        <v>0.154</v>
      </c>
      <c r="Z214" s="28">
        <f>TRUNC(AB214-(9.9-agent!L$3)*10*Y214,3)</f>
        <v>148.61000000000001</v>
      </c>
      <c r="AA214" s="28">
        <f>'5Of11Source'!X$2</f>
        <v>0</v>
      </c>
      <c r="AB214">
        <f t="shared" si="37"/>
        <v>153.846</v>
      </c>
      <c r="AC214" s="28">
        <f>'5Of11Source'!E291</f>
        <v>2</v>
      </c>
      <c r="AD214" s="28">
        <v>138.6</v>
      </c>
      <c r="AE214" s="28"/>
      <c r="AF214" s="28"/>
      <c r="AG214" s="28"/>
      <c r="AH214" s="28"/>
      <c r="AI214" s="28"/>
    </row>
    <row r="215" spans="4:35" x14ac:dyDescent="0.15">
      <c r="D215" s="28" t="s">
        <v>96</v>
      </c>
      <c r="E215" s="28" t="s">
        <v>84</v>
      </c>
      <c r="F215" s="27" t="str">
        <f>'5Of11Source'!$J$37</f>
        <v>01 02 03 04 05 06 07,11 10 09 08 07 06 05</v>
      </c>
      <c r="G215" s="28">
        <f>'5Of11Source'!F222</f>
        <v>2</v>
      </c>
      <c r="H215" s="28">
        <v>1</v>
      </c>
      <c r="I215" s="30">
        <f t="shared" si="31"/>
        <v>8</v>
      </c>
      <c r="J215" s="22">
        <f t="shared" si="36"/>
        <v>0</v>
      </c>
      <c r="K215" s="30">
        <f>'5Of11Source'!L285</f>
        <v>0</v>
      </c>
      <c r="L215" s="28">
        <f t="shared" si="32"/>
        <v>1044545173.6499997</v>
      </c>
      <c r="M215" s="29" t="str">
        <f t="shared" si="35"/>
        <v>03,06,07,08,10</v>
      </c>
      <c r="N215" s="28">
        <f>IF(ISNUMBER(agent!$O$6*(K215/Z215)*Y215),TRUNC(agent!$O$6*(K215/Z215)*Y215,3),"没有上级")</f>
        <v>0</v>
      </c>
      <c r="O215" s="28">
        <f>IF(ISNUMBER(agent!$O$9*(K215/Z215)*Y215),TRUNC(agent!$O$9*(K215/Z215)*Y215,3),"没有上级")</f>
        <v>0</v>
      </c>
      <c r="P215" s="28">
        <f>IF(ISNUMBER(agent!$O$12*(K215/Z215)*Y215),TRUNC(agent!$O$12*(K215/Z215)*Y215,3),"没有上级")</f>
        <v>0</v>
      </c>
      <c r="Q215" s="28">
        <f>IF(ISNUMBER(agent!$O$15*(K215/Z215)*Y215),TRUNC(agent!$O$15*(K215/Z215)*Y215,3),"没有上级")</f>
        <v>0</v>
      </c>
      <c r="R215" s="28">
        <f>IF(ISNUMBER(agent!$O$18*(K215/Z215)*Y215),TRUNC(agent!$O$18*(K215/Z215)*Y215,3),"没有上级")</f>
        <v>0</v>
      </c>
      <c r="S215" s="28">
        <f>IF(ISNUMBER(agent!$O$21*(K215/Z215)*Y215),TRUNC(agent!$O$21*(K215/Z215)*Y215,3),"没有上级")</f>
        <v>0</v>
      </c>
      <c r="T215" s="28">
        <f>IF(ISNUMBER(agent!$O$24*(K215/Z215)*Y215),TRUNC(agent!$O$24*(K215/Z215)*Y215,3),"没有上级")</f>
        <v>0</v>
      </c>
      <c r="U215" s="28">
        <f>IF(ISNUMBER(agent!$O$27*(K215/Z215)*Y215),TRUNC(agent!$O$27*(K215/Z215)*Y215,3),"没有上级")</f>
        <v>0</v>
      </c>
      <c r="V215" s="28">
        <f>IF(ISNUMBER(agent!$O$30*(K215/Z215)*Y215),TRUNC(agent!$O$30*(K215/Z215)*Y215,3),"没有上级")</f>
        <v>0</v>
      </c>
      <c r="W215" s="28">
        <f>IF(ISNUMBER(agent!$O$33*(K215/Z215)*Y215),TRUNC(agent!$O$33*(K215/Z215)*Y215,3),"没有上级")</f>
        <v>0</v>
      </c>
      <c r="X215" s="28" t="s">
        <v>13</v>
      </c>
      <c r="Y215">
        <f>TRUNC(0.044,3)</f>
        <v>4.3999999999999997E-2</v>
      </c>
      <c r="Z215" s="28">
        <f>TRUNC(AB215-(9.9-agent!L$3)*10*Y215,3)</f>
        <v>42.46</v>
      </c>
      <c r="AA215" s="28">
        <f>'5Of11Source'!X$2</f>
        <v>0</v>
      </c>
      <c r="AB215">
        <f t="shared" si="37"/>
        <v>43.956000000000003</v>
      </c>
      <c r="AC215" s="28">
        <f>'5Of11Source'!E292</f>
        <v>2</v>
      </c>
      <c r="AD215" s="28">
        <v>39.6</v>
      </c>
      <c r="AE215" s="28"/>
      <c r="AF215" s="28"/>
      <c r="AG215" s="28"/>
      <c r="AH215" s="28"/>
      <c r="AI215" s="28"/>
    </row>
    <row r="216" spans="4:35" ht="27" x14ac:dyDescent="0.15">
      <c r="D216" s="28" t="s">
        <v>96</v>
      </c>
      <c r="E216" s="28" t="s">
        <v>86</v>
      </c>
      <c r="F216" s="27" t="str">
        <f>'5Of11Source'!$J$38</f>
        <v>01 02 03 04 05 06 07 08,11 10 09 08 07 06 05 04</v>
      </c>
      <c r="G216" s="28">
        <f>'5Of11Source'!F223</f>
        <v>0</v>
      </c>
      <c r="H216" s="28">
        <v>1</v>
      </c>
      <c r="I216" s="30">
        <f t="shared" si="31"/>
        <v>12</v>
      </c>
      <c r="J216" s="22">
        <f t="shared" si="36"/>
        <v>0</v>
      </c>
      <c r="K216" s="30">
        <f>'5Of11Source'!L286</f>
        <v>0</v>
      </c>
      <c r="L216" s="28">
        <f t="shared" si="32"/>
        <v>1044545161.6499997</v>
      </c>
      <c r="M216" s="29" t="str">
        <f t="shared" si="35"/>
        <v>03,06,07,08,10</v>
      </c>
      <c r="N216" s="28">
        <f>IF(ISNUMBER(agent!$O$6*(K216/Z216)*Y216),TRUNC(agent!$O$6*(K216/Z216)*Y216,3),"没有上级")</f>
        <v>0</v>
      </c>
      <c r="O216" s="28">
        <f>IF(ISNUMBER(agent!$O$9*(K216/Z216)*Y216),TRUNC(agent!$O$9*(K216/Z216)*Y216,3),"没有上级")</f>
        <v>0</v>
      </c>
      <c r="P216" s="28">
        <f>IF(ISNUMBER(agent!$O$12*(K216/Z216)*Y216),TRUNC(agent!$O$12*(K216/Z216)*Y216,3),"没有上级")</f>
        <v>0</v>
      </c>
      <c r="Q216" s="28">
        <f>IF(ISNUMBER(agent!$O$15*(K216/Z216)*Y216),TRUNC(agent!$O$15*(K216/Z216)*Y216,3),"没有上级")</f>
        <v>0</v>
      </c>
      <c r="R216" s="28">
        <f>IF(ISNUMBER(agent!$O$18*(K216/Z216)*Y216),TRUNC(agent!$O$18*(K216/Z216)*Y216,3),"没有上级")</f>
        <v>0</v>
      </c>
      <c r="S216" s="28">
        <f>IF(ISNUMBER(agent!$O$21*(K216/Z216)*Y216),TRUNC(agent!$O$21*(K216/Z216)*Y216,3),"没有上级")</f>
        <v>0</v>
      </c>
      <c r="T216" s="28">
        <f>IF(ISNUMBER(agent!$O$24*(K216/Z216)*Y216),TRUNC(agent!$O$24*(K216/Z216)*Y216,3),"没有上级")</f>
        <v>0</v>
      </c>
      <c r="U216" s="28">
        <f>IF(ISNUMBER(agent!$O$27*(K216/Z216)*Y216),TRUNC(agent!$O$27*(K216/Z216)*Y216,3),"没有上级")</f>
        <v>0</v>
      </c>
      <c r="V216" s="28">
        <f>IF(ISNUMBER(agent!$O$30*(K216/Z216)*Y216),TRUNC(agent!$O$30*(K216/Z216)*Y216,3),"没有上级")</f>
        <v>0</v>
      </c>
      <c r="W216" s="28">
        <f>IF(ISNUMBER(agent!$O$33*(K216/Z216)*Y216),TRUNC(agent!$O$33*(K216/Z216)*Y216,3),"没有上级")</f>
        <v>0</v>
      </c>
      <c r="X216" s="28"/>
      <c r="Y216">
        <f>TRUNC(0.01642857,3)</f>
        <v>1.6E-2</v>
      </c>
      <c r="Z216" s="28">
        <f>TRUNC(AB216-(9.9-agent!L$3)*10*Y216,3)</f>
        <v>15.89</v>
      </c>
      <c r="AA216" s="28">
        <f>'5Of11Source'!X$2</f>
        <v>0</v>
      </c>
      <c r="AB216">
        <f t="shared" si="37"/>
        <v>16.434000000000001</v>
      </c>
      <c r="AC216" s="28">
        <f>'5Of11Source'!E293</f>
        <v>2</v>
      </c>
      <c r="AD216" s="28">
        <v>14.85</v>
      </c>
      <c r="AE216" s="28"/>
      <c r="AF216" s="28"/>
      <c r="AG216" s="28"/>
      <c r="AH216" s="28"/>
      <c r="AI216" s="28"/>
    </row>
    <row r="217" spans="4:35" x14ac:dyDescent="0.15">
      <c r="D217" s="28" t="s">
        <v>103</v>
      </c>
      <c r="E217" s="28" t="s">
        <v>74</v>
      </c>
      <c r="F217" s="27" t="str">
        <f>'5Of11Source'!$J$39</f>
        <v>01,02 03 04 05 06 07 08 09 10 11</v>
      </c>
      <c r="G217" s="28">
        <f>'5Of11Source'!F224</f>
        <v>0</v>
      </c>
      <c r="H217" s="28">
        <v>1</v>
      </c>
      <c r="I217" s="30">
        <f t="shared" si="31"/>
        <v>20</v>
      </c>
      <c r="J217" s="22">
        <f t="shared" si="36"/>
        <v>3999.3379999999997</v>
      </c>
      <c r="K217" s="30">
        <f>'5Of11Source'!L287</f>
        <v>113510.76000000001</v>
      </c>
      <c r="L217" s="28">
        <f t="shared" si="32"/>
        <v>1044658652.4099997</v>
      </c>
      <c r="M217" s="29" t="str">
        <f t="shared" si="35"/>
        <v>03,06,07,08,10</v>
      </c>
      <c r="N217" s="28">
        <f>IF(ISNUMBER(agent!$O$6*(K217/Z217)*Y217),TRUNC(agent!$O$6*(K217/Z217)*Y217,3),"没有上级")</f>
        <v>117.627</v>
      </c>
      <c r="O217" s="28">
        <f>IF(ISNUMBER(agent!$O$9*(K217/Z217)*Y217),TRUNC(agent!$O$9*(K217/Z217)*Y217,3),"没有上级")</f>
        <v>705.76599999999996</v>
      </c>
      <c r="P217" s="28">
        <f>IF(ISNUMBER(agent!$O$12*(K217/Z217)*Y217),TRUNC(agent!$O$12*(K217/Z217)*Y217,3),"没有上级")</f>
        <v>235.255</v>
      </c>
      <c r="Q217" s="28">
        <f>IF(ISNUMBER(agent!$O$15*(K217/Z217)*Y217),TRUNC(agent!$O$15*(K217/Z217)*Y217,3),"没有上级")</f>
        <v>470.51</v>
      </c>
      <c r="R217" s="28">
        <f>IF(ISNUMBER(agent!$O$18*(K217/Z217)*Y217),TRUNC(agent!$O$18*(K217/Z217)*Y217,3),"没有上级")</f>
        <v>352.88299999999998</v>
      </c>
      <c r="S217" s="28">
        <f>IF(ISNUMBER(agent!$O$21*(K217/Z217)*Y217),TRUNC(agent!$O$21*(K217/Z217)*Y217,3),"没有上级")</f>
        <v>117.627</v>
      </c>
      <c r="T217" s="28">
        <f>IF(ISNUMBER(agent!$O$24*(K217/Z217)*Y217),TRUNC(agent!$O$24*(K217/Z217)*Y217,3),"没有上级")</f>
        <v>823.39400000000001</v>
      </c>
      <c r="U217" s="28">
        <f>IF(ISNUMBER(agent!$O$27*(K217/Z217)*Y217),TRUNC(agent!$O$27*(K217/Z217)*Y217,3),"没有上级")</f>
        <v>352.88299999999998</v>
      </c>
      <c r="V217" s="28">
        <f>IF(ISNUMBER(agent!$O$30*(K217/Z217)*Y217),TRUNC(agent!$O$30*(K217/Z217)*Y217,3),"没有上级")</f>
        <v>470.51</v>
      </c>
      <c r="W217" s="28">
        <f>IF(ISNUMBER(agent!$O$33*(K217/Z217)*Y217),TRUNC(agent!$O$33*(K217/Z217)*Y217,3),"没有上级")</f>
        <v>352.88299999999998</v>
      </c>
      <c r="X217" s="28" t="s">
        <v>10</v>
      </c>
      <c r="Y217">
        <f>TRUNC(0.011,3)</f>
        <v>1.0999999999999999E-2</v>
      </c>
      <c r="Z217" s="28">
        <f>TRUNC(AB217-(9.9-agent!L$3)*10*Y217,3)</f>
        <v>10.615</v>
      </c>
      <c r="AA217" s="28">
        <f>'5Of11Source'!X$2</f>
        <v>0</v>
      </c>
      <c r="AB217">
        <f t="shared" si="37"/>
        <v>10.989000000000001</v>
      </c>
      <c r="AC217" s="28">
        <f>'5Of11Source'!E295</f>
        <v>10</v>
      </c>
      <c r="AD217" s="28">
        <v>9.9</v>
      </c>
      <c r="AE217" s="28"/>
      <c r="AF217" s="28"/>
      <c r="AG217" s="28"/>
      <c r="AH217" s="28"/>
      <c r="AI217" s="28"/>
    </row>
    <row r="218" spans="4:35" x14ac:dyDescent="0.15">
      <c r="D218" s="28" t="s">
        <v>103</v>
      </c>
      <c r="E218" s="28" t="s">
        <v>76</v>
      </c>
      <c r="F218" s="27" t="str">
        <f>'5Of11Source'!$J$41</f>
        <v>02,01 03 04 05 06 07 08 09 10 11</v>
      </c>
      <c r="G218" s="28">
        <f>'5Of11Source'!F226</f>
        <v>2</v>
      </c>
      <c r="H218" s="28">
        <v>1</v>
      </c>
      <c r="I218" s="30">
        <f t="shared" si="31"/>
        <v>270</v>
      </c>
      <c r="J218" s="22">
        <f t="shared" si="36"/>
        <v>20730.392999999996</v>
      </c>
      <c r="K218" s="30">
        <f>'5Of11Source'!L288</f>
        <v>588377.52</v>
      </c>
      <c r="L218" s="28">
        <f t="shared" si="32"/>
        <v>1045246759.9299997</v>
      </c>
      <c r="M218" s="29" t="str">
        <f t="shared" si="35"/>
        <v>03,06,07,08,10</v>
      </c>
      <c r="N218" s="28">
        <f>IF(ISNUMBER(agent!$O$6*(K218/Z218)*Y218),TRUNC(agent!$O$6*(K218/Z218)*Y218,3),"没有上级")</f>
        <v>609.71699999999998</v>
      </c>
      <c r="O218" s="28">
        <f>IF(ISNUMBER(agent!$O$9*(K218/Z218)*Y218),TRUNC(agent!$O$9*(K218/Z218)*Y218,3),"没有上级")</f>
        <v>3658.3049999999998</v>
      </c>
      <c r="P218" s="28">
        <f>IF(ISNUMBER(agent!$O$12*(K218/Z218)*Y218),TRUNC(agent!$O$12*(K218/Z218)*Y218,3),"没有上级")</f>
        <v>1219.4349999999999</v>
      </c>
      <c r="Q218" s="28">
        <f>IF(ISNUMBER(agent!$O$15*(K218/Z218)*Y218),TRUNC(agent!$O$15*(K218/Z218)*Y218,3),"没有上级")</f>
        <v>2438.87</v>
      </c>
      <c r="R218" s="28">
        <f>IF(ISNUMBER(agent!$O$18*(K218/Z218)*Y218),TRUNC(agent!$O$18*(K218/Z218)*Y218,3),"没有上级")</f>
        <v>1829.152</v>
      </c>
      <c r="S218" s="28">
        <f>IF(ISNUMBER(agent!$O$21*(K218/Z218)*Y218),TRUNC(agent!$O$21*(K218/Z218)*Y218,3),"没有上级")</f>
        <v>609.71699999999998</v>
      </c>
      <c r="T218" s="28">
        <f>IF(ISNUMBER(agent!$O$24*(K218/Z218)*Y218),TRUNC(agent!$O$24*(K218/Z218)*Y218,3),"没有上级")</f>
        <v>4268.0230000000001</v>
      </c>
      <c r="U218" s="28">
        <f>IF(ISNUMBER(agent!$O$27*(K218/Z218)*Y218),TRUNC(agent!$O$27*(K218/Z218)*Y218,3),"没有上级")</f>
        <v>1829.152</v>
      </c>
      <c r="V218" s="28">
        <f>IF(ISNUMBER(agent!$O$30*(K218/Z218)*Y218),TRUNC(agent!$O$30*(K218/Z218)*Y218,3),"没有上级")</f>
        <v>2438.87</v>
      </c>
      <c r="W218" s="28">
        <f>IF(ISNUMBER(agent!$O$33*(K218/Z218)*Y218),TRUNC(agent!$O$33*(K218/Z218)*Y218,3),"没有上级")</f>
        <v>1829.152</v>
      </c>
      <c r="X218" s="28"/>
      <c r="Y218">
        <f>TRUNC(0.033,3)</f>
        <v>3.3000000000000002E-2</v>
      </c>
      <c r="Z218" s="28">
        <f>TRUNC(AB218-(9.9-agent!L$3)*10*Y218,3)</f>
        <v>31.844999999999999</v>
      </c>
      <c r="AA218" s="28">
        <f>'5Of11Source'!X$2</f>
        <v>0</v>
      </c>
      <c r="AB218">
        <f t="shared" si="37"/>
        <v>32.966999999999999</v>
      </c>
      <c r="AC218" s="28">
        <f>'5Of11Source'!E297</f>
        <v>45</v>
      </c>
      <c r="AD218" s="28">
        <v>29.7</v>
      </c>
      <c r="AE218" s="28"/>
      <c r="AF218" s="28"/>
      <c r="AG218" s="28"/>
      <c r="AH218" s="28"/>
      <c r="AI218" s="28"/>
    </row>
    <row r="219" spans="4:35" x14ac:dyDescent="0.15">
      <c r="D219" s="28" t="s">
        <v>103</v>
      </c>
      <c r="E219" s="28" t="s">
        <v>78</v>
      </c>
      <c r="F219" s="27" t="str">
        <f>'5Of11Source'!$J$43</f>
        <v>03,01 02 04 05 06 07 08 09 10 11</v>
      </c>
      <c r="G219" s="28">
        <f>'5Of11Source'!F228</f>
        <v>2</v>
      </c>
      <c r="H219" s="28">
        <v>1</v>
      </c>
      <c r="I219" s="30">
        <f t="shared" si="31"/>
        <v>960</v>
      </c>
      <c r="J219" s="22">
        <f t="shared" si="36"/>
        <v>0</v>
      </c>
      <c r="K219" s="30">
        <f>'5Of11Source'!L289</f>
        <v>0</v>
      </c>
      <c r="L219" s="28">
        <f t="shared" si="32"/>
        <v>1045245799.9299997</v>
      </c>
      <c r="M219" s="29" t="str">
        <f t="shared" si="35"/>
        <v>03,06,07,08,10</v>
      </c>
      <c r="N219" s="28">
        <f>IF(ISNUMBER(agent!$O$6*(K219/Z219)*Y219),TRUNC(agent!$O$6*(K219/Z219)*Y219,3),"没有上级")</f>
        <v>0</v>
      </c>
      <c r="O219" s="28">
        <f>IF(ISNUMBER(agent!$O$9*(K219/Z219)*Y219),TRUNC(agent!$O$9*(K219/Z219)*Y219,3),"没有上级")</f>
        <v>0</v>
      </c>
      <c r="P219" s="28">
        <f>IF(ISNUMBER(agent!$O$12*(K219/Z219)*Y219),TRUNC(agent!$O$12*(K219/Z219)*Y219,3),"没有上级")</f>
        <v>0</v>
      </c>
      <c r="Q219" s="28">
        <f>IF(ISNUMBER(agent!$O$15*(K219/Z219)*Y219),TRUNC(agent!$O$15*(K219/Z219)*Y219,3),"没有上级")</f>
        <v>0</v>
      </c>
      <c r="R219" s="28">
        <f>IF(ISNUMBER(agent!$O$18*(K219/Z219)*Y219),TRUNC(agent!$O$18*(K219/Z219)*Y219,3),"没有上级")</f>
        <v>0</v>
      </c>
      <c r="S219" s="28">
        <f>IF(ISNUMBER(agent!$O$21*(K219/Z219)*Y219),TRUNC(agent!$O$21*(K219/Z219)*Y219,3),"没有上级")</f>
        <v>0</v>
      </c>
      <c r="T219" s="28">
        <f>IF(ISNUMBER(agent!$O$24*(K219/Z219)*Y219),TRUNC(agent!$O$24*(K219/Z219)*Y219,3),"没有上级")</f>
        <v>0</v>
      </c>
      <c r="U219" s="28">
        <f>IF(ISNUMBER(agent!$O$27*(K219/Z219)*Y219),TRUNC(agent!$O$27*(K219/Z219)*Y219,3),"没有上级")</f>
        <v>0</v>
      </c>
      <c r="V219" s="28">
        <f>IF(ISNUMBER(agent!$O$30*(K219/Z219)*Y219),TRUNC(agent!$O$30*(K219/Z219)*Y219,3),"没有上级")</f>
        <v>0</v>
      </c>
      <c r="W219" s="28">
        <f>IF(ISNUMBER(agent!$O$33*(K219/Z219)*Y219),TRUNC(agent!$O$33*(K219/Z219)*Y219,3),"没有上级")</f>
        <v>0</v>
      </c>
      <c r="X219" s="28"/>
      <c r="Y219">
        <f>TRUNC(0.132,3)</f>
        <v>0.13200000000000001</v>
      </c>
      <c r="Z219" s="28">
        <f>TRUNC(AB219-(9.9-agent!L$3)*10*Y219,3)</f>
        <v>127.38</v>
      </c>
      <c r="AA219" s="28">
        <f>'5Of11Source'!X$2</f>
        <v>0</v>
      </c>
      <c r="AB219">
        <f t="shared" si="37"/>
        <v>131.86799999999999</v>
      </c>
      <c r="AC219" s="28">
        <f>'5Of11Source'!E299</f>
        <v>120</v>
      </c>
      <c r="AD219" s="28">
        <v>118.8</v>
      </c>
      <c r="AE219" s="28"/>
      <c r="AF219" s="28"/>
      <c r="AG219" s="28"/>
      <c r="AH219" s="28"/>
      <c r="AI219" s="28"/>
    </row>
    <row r="220" spans="4:35" x14ac:dyDescent="0.15">
      <c r="D220" s="28" t="s">
        <v>103</v>
      </c>
      <c r="E220" s="28" t="s">
        <v>80</v>
      </c>
      <c r="F220" s="27" t="str">
        <f>'5Of11Source'!$J$45</f>
        <v>04,01 02 03 07 09 10 05 06 08 11</v>
      </c>
      <c r="G220" s="28">
        <f>'5Of11Source'!F230</f>
        <v>5</v>
      </c>
      <c r="H220" s="28">
        <v>1</v>
      </c>
      <c r="I220" s="30">
        <f t="shared" si="31"/>
        <v>2099.9999999999995</v>
      </c>
      <c r="J220" s="22">
        <f t="shared" si="36"/>
        <v>4999.1710000000003</v>
      </c>
      <c r="K220" s="30">
        <f>'5Of11Source'!L290</f>
        <v>141888.45000000001</v>
      </c>
      <c r="L220" s="28">
        <f t="shared" si="32"/>
        <v>1045385588.3799998</v>
      </c>
      <c r="M220" s="29" t="str">
        <f t="shared" si="35"/>
        <v>03,06,07,08,10</v>
      </c>
      <c r="N220" s="28">
        <f>IF(ISNUMBER(agent!$O$6*(K220/Z220)*Y220),TRUNC(agent!$O$6*(K220/Z220)*Y220,3),"没有上级")</f>
        <v>147.03399999999999</v>
      </c>
      <c r="O220" s="28">
        <f>IF(ISNUMBER(agent!$O$9*(K220/Z220)*Y220),TRUNC(agent!$O$9*(K220/Z220)*Y220,3),"没有上级")</f>
        <v>882.20699999999999</v>
      </c>
      <c r="P220" s="28">
        <f>IF(ISNUMBER(agent!$O$12*(K220/Z220)*Y220),TRUNC(agent!$O$12*(K220/Z220)*Y220,3),"没有上级")</f>
        <v>294.06900000000002</v>
      </c>
      <c r="Q220" s="28">
        <f>IF(ISNUMBER(agent!$O$15*(K220/Z220)*Y220),TRUNC(agent!$O$15*(K220/Z220)*Y220,3),"没有上级")</f>
        <v>588.13800000000003</v>
      </c>
      <c r="R220" s="28">
        <f>IF(ISNUMBER(agent!$O$18*(K220/Z220)*Y220),TRUNC(agent!$O$18*(K220/Z220)*Y220,3),"没有上级")</f>
        <v>441.10300000000001</v>
      </c>
      <c r="S220" s="28">
        <f>IF(ISNUMBER(agent!$O$21*(K220/Z220)*Y220),TRUNC(agent!$O$21*(K220/Z220)*Y220,3),"没有上级")</f>
        <v>147.03399999999999</v>
      </c>
      <c r="T220" s="28">
        <f>IF(ISNUMBER(agent!$O$24*(K220/Z220)*Y220),TRUNC(agent!$O$24*(K220/Z220)*Y220,3),"没有上级")</f>
        <v>1029.242</v>
      </c>
      <c r="U220" s="28">
        <f>IF(ISNUMBER(agent!$O$27*(K220/Z220)*Y220),TRUNC(agent!$O$27*(K220/Z220)*Y220,3),"没有上级")</f>
        <v>441.10300000000001</v>
      </c>
      <c r="V220" s="28">
        <f>IF(ISNUMBER(agent!$O$30*(K220/Z220)*Y220),TRUNC(agent!$O$30*(K220/Z220)*Y220,3),"没有上级")</f>
        <v>588.13800000000003</v>
      </c>
      <c r="W220" s="28">
        <f>IF(ISNUMBER(agent!$O$33*(K220/Z220)*Y220),TRUNC(agent!$O$33*(K220/Z220)*Y220,3),"没有上级")</f>
        <v>441.10300000000001</v>
      </c>
      <c r="X220" s="28"/>
      <c r="Y220">
        <f>TRUNC(0.924,3)</f>
        <v>0.92400000000000004</v>
      </c>
      <c r="Z220" s="28">
        <f>TRUNC(AB220-(9.9-agent!L$3)*10*Y220,3)</f>
        <v>891.66</v>
      </c>
      <c r="AA220" s="28">
        <f>'5Of11Source'!X$2</f>
        <v>0</v>
      </c>
      <c r="AB220">
        <f t="shared" si="37"/>
        <v>923.07600000000002</v>
      </c>
      <c r="AC220" s="28">
        <f>'5Of11Source'!E301</f>
        <v>209.99999999999997</v>
      </c>
      <c r="AD220" s="28">
        <v>831.6</v>
      </c>
      <c r="AE220" s="28"/>
      <c r="AF220" s="28"/>
      <c r="AG220" s="28"/>
      <c r="AH220" s="28"/>
      <c r="AI220" s="28"/>
    </row>
    <row r="221" spans="4:35" x14ac:dyDescent="0.15">
      <c r="D221" s="28" t="s">
        <v>103</v>
      </c>
      <c r="E221" s="28" t="s">
        <v>82</v>
      </c>
      <c r="F221" s="27" t="str">
        <f>'5Of11Source'!$J$47</f>
        <v>05,01 02 03 04 06 07 08 09 10 11</v>
      </c>
      <c r="G221" s="28">
        <f>'5Of11Source'!F232</f>
        <v>4</v>
      </c>
      <c r="H221" s="28">
        <v>1</v>
      </c>
      <c r="I221" s="30">
        <f t="shared" si="31"/>
        <v>2520</v>
      </c>
      <c r="J221" s="22">
        <f t="shared" si="36"/>
        <v>0</v>
      </c>
      <c r="K221" s="30">
        <f>'5Of11Source'!L291</f>
        <v>0</v>
      </c>
      <c r="L221" s="28">
        <f t="shared" si="32"/>
        <v>1045383068.3799998</v>
      </c>
      <c r="M221" s="29" t="str">
        <f t="shared" si="35"/>
        <v>03,06,07,08,10</v>
      </c>
      <c r="N221" s="28">
        <f>IF(ISNUMBER(agent!$O$6*(K221/Z221)*Y221),TRUNC(agent!$O$6*(K221/Z221)*Y221,3),"没有上级")</f>
        <v>0</v>
      </c>
      <c r="O221" s="28">
        <f>IF(ISNUMBER(agent!$O$9*(K221/Z221)*Y221),TRUNC(agent!$O$9*(K221/Z221)*Y221,3),"没有上级")</f>
        <v>0</v>
      </c>
      <c r="P221" s="28">
        <f>IF(ISNUMBER(agent!$O$12*(K221/Z221)*Y221),TRUNC(agent!$O$12*(K221/Z221)*Y221,3),"没有上级")</f>
        <v>0</v>
      </c>
      <c r="Q221" s="28">
        <f>IF(ISNUMBER(agent!$O$15*(K221/Z221)*Y221),TRUNC(agent!$O$15*(K221/Z221)*Y221,3),"没有上级")</f>
        <v>0</v>
      </c>
      <c r="R221" s="28">
        <f>IF(ISNUMBER(agent!$O$18*(K221/Z221)*Y221),TRUNC(agent!$O$18*(K221/Z221)*Y221,3),"没有上级")</f>
        <v>0</v>
      </c>
      <c r="S221" s="28">
        <f>IF(ISNUMBER(agent!$O$21*(K221/Z221)*Y221),TRUNC(agent!$O$21*(K221/Z221)*Y221,3),"没有上级")</f>
        <v>0</v>
      </c>
      <c r="T221" s="28">
        <f>IF(ISNUMBER(agent!$O$24*(K221/Z221)*Y221),TRUNC(agent!$O$24*(K221/Z221)*Y221,3),"没有上级")</f>
        <v>0</v>
      </c>
      <c r="U221" s="28">
        <f>IF(ISNUMBER(agent!$O$27*(K221/Z221)*Y221),TRUNC(agent!$O$27*(K221/Z221)*Y221,3),"没有上级")</f>
        <v>0</v>
      </c>
      <c r="V221" s="28">
        <f>IF(ISNUMBER(agent!$O$30*(K221/Z221)*Y221),TRUNC(agent!$O$30*(K221/Z221)*Y221,3),"没有上级")</f>
        <v>0</v>
      </c>
      <c r="W221" s="28">
        <f>IF(ISNUMBER(agent!$O$33*(K221/Z221)*Y221),TRUNC(agent!$O$33*(K221/Z221)*Y221,3),"没有上级")</f>
        <v>0</v>
      </c>
      <c r="X221" s="28" t="s">
        <v>12</v>
      </c>
      <c r="Y221">
        <f>TRUNC(0.154,3)</f>
        <v>0.154</v>
      </c>
      <c r="Z221" s="28">
        <f>TRUNC(AB221-(9.9-agent!L$3)*10*Y221,3)</f>
        <v>148.61000000000001</v>
      </c>
      <c r="AA221" s="28">
        <f>'5Of11Source'!X$2</f>
        <v>0</v>
      </c>
      <c r="AB221">
        <f t="shared" si="37"/>
        <v>153.846</v>
      </c>
      <c r="AC221" s="28">
        <f>'5Of11Source'!E303</f>
        <v>252</v>
      </c>
      <c r="AD221" s="28">
        <v>138.6</v>
      </c>
      <c r="AE221" s="28"/>
      <c r="AF221" s="28"/>
      <c r="AG221" s="28"/>
      <c r="AH221" s="28"/>
      <c r="AI221" s="28"/>
    </row>
    <row r="222" spans="4:35" x14ac:dyDescent="0.15">
      <c r="D222" s="28" t="s">
        <v>103</v>
      </c>
      <c r="E222" s="28" t="s">
        <v>84</v>
      </c>
      <c r="F222" s="27" t="str">
        <f>'5Of11Source'!$J$49</f>
        <v>06,01 02 03 04 05 07 08 09 10 11</v>
      </c>
      <c r="G222" s="28">
        <f>'5Of11Source'!F234</f>
        <v>3</v>
      </c>
      <c r="H222" s="28">
        <v>1</v>
      </c>
      <c r="I222" s="30">
        <f t="shared" si="31"/>
        <v>1679.9999999999998</v>
      </c>
      <c r="J222" s="22">
        <f t="shared" si="36"/>
        <v>59990.134000000005</v>
      </c>
      <c r="K222" s="30">
        <f>'5Of11Source'!L292</f>
        <v>1702661.4000000001</v>
      </c>
      <c r="L222" s="28">
        <f t="shared" si="32"/>
        <v>1047084049.7799997</v>
      </c>
      <c r="M222" s="29" t="str">
        <f t="shared" si="35"/>
        <v>03,06,07,08,10</v>
      </c>
      <c r="N222" s="28">
        <f>IF(ISNUMBER(agent!$O$6*(K222/Z222)*Y222),TRUNC(agent!$O$6*(K222/Z222)*Y222,3),"没有上级")</f>
        <v>1764.415</v>
      </c>
      <c r="O222" s="28">
        <f>IF(ISNUMBER(agent!$O$9*(K222/Z222)*Y222),TRUNC(agent!$O$9*(K222/Z222)*Y222,3),"没有上级")</f>
        <v>10586.495000000001</v>
      </c>
      <c r="P222" s="28">
        <f>IF(ISNUMBER(agent!$O$12*(K222/Z222)*Y222),TRUNC(agent!$O$12*(K222/Z222)*Y222,3),"没有上级")</f>
        <v>3528.8310000000001</v>
      </c>
      <c r="Q222" s="28">
        <f>IF(ISNUMBER(agent!$O$15*(K222/Z222)*Y222),TRUNC(agent!$O$15*(K222/Z222)*Y222,3),"没有上级")</f>
        <v>7057.6629999999996</v>
      </c>
      <c r="R222" s="28">
        <f>IF(ISNUMBER(agent!$O$18*(K222/Z222)*Y222),TRUNC(agent!$O$18*(K222/Z222)*Y222,3),"没有上级")</f>
        <v>5293.2470000000003</v>
      </c>
      <c r="S222" s="28">
        <f>IF(ISNUMBER(agent!$O$21*(K222/Z222)*Y222),TRUNC(agent!$O$21*(K222/Z222)*Y222,3),"没有上级")</f>
        <v>1764.415</v>
      </c>
      <c r="T222" s="28">
        <f>IF(ISNUMBER(agent!$O$24*(K222/Z222)*Y222),TRUNC(agent!$O$24*(K222/Z222)*Y222,3),"没有上级")</f>
        <v>12350.911</v>
      </c>
      <c r="U222" s="28">
        <f>IF(ISNUMBER(agent!$O$27*(K222/Z222)*Y222),TRUNC(agent!$O$27*(K222/Z222)*Y222,3),"没有上级")</f>
        <v>5293.2470000000003</v>
      </c>
      <c r="V222" s="28">
        <f>IF(ISNUMBER(agent!$O$30*(K222/Z222)*Y222),TRUNC(agent!$O$30*(K222/Z222)*Y222,3),"没有上级")</f>
        <v>7057.6629999999996</v>
      </c>
      <c r="W222" s="28">
        <f>IF(ISNUMBER(agent!$O$33*(K222/Z222)*Y222),TRUNC(agent!$O$33*(K222/Z222)*Y222,3),"没有上级")</f>
        <v>5293.2470000000003</v>
      </c>
      <c r="X222" s="28"/>
      <c r="Y222">
        <f>TRUNC(0.044,3)</f>
        <v>4.3999999999999997E-2</v>
      </c>
      <c r="Z222" s="28">
        <f>TRUNC(AB222-(9.9-agent!L$3)*10*Y222,3)</f>
        <v>42.46</v>
      </c>
      <c r="AA222" s="28">
        <f>'5Of11Source'!X$2</f>
        <v>0</v>
      </c>
      <c r="AB222">
        <f t="shared" si="37"/>
        <v>43.956000000000003</v>
      </c>
      <c r="AC222" s="28">
        <f>'5Of11Source'!E305</f>
        <v>209.99999999999997</v>
      </c>
      <c r="AD222" s="28">
        <v>39.6</v>
      </c>
      <c r="AE222" s="28"/>
      <c r="AF222" s="28"/>
      <c r="AG222" s="28"/>
      <c r="AH222" s="28"/>
      <c r="AI222" s="28"/>
    </row>
    <row r="223" spans="4:35" x14ac:dyDescent="0.15">
      <c r="D223" s="28" t="s">
        <v>103</v>
      </c>
      <c r="E223" s="28" t="s">
        <v>86</v>
      </c>
      <c r="F223" s="27" t="str">
        <f>'5Of11Source'!$J$51</f>
        <v>07,01 02 03 04 05 06 09 10 08 11</v>
      </c>
      <c r="G223" s="28">
        <f>'5Of11Source'!F236</f>
        <v>5</v>
      </c>
      <c r="H223" s="28">
        <v>1</v>
      </c>
      <c r="I223" s="30">
        <f t="shared" si="31"/>
        <v>720</v>
      </c>
      <c r="J223" s="22">
        <f t="shared" si="36"/>
        <v>0</v>
      </c>
      <c r="K223" s="30">
        <f>'5Of11Source'!L293</f>
        <v>0</v>
      </c>
      <c r="L223" s="28">
        <f t="shared" si="32"/>
        <v>1047083329.7799997</v>
      </c>
      <c r="M223" s="29" t="str">
        <f t="shared" si="35"/>
        <v>03,06,07,08,10</v>
      </c>
      <c r="N223" s="28">
        <f>IF(ISNUMBER(agent!$O$6*(K223/Z223)*Y223),TRUNC(agent!$O$6*(K223/Z223)*Y223,3),"没有上级")</f>
        <v>0</v>
      </c>
      <c r="O223" s="28">
        <f>IF(ISNUMBER(agent!$O$9*(K223/Z223)*Y223),TRUNC(agent!$O$9*(K223/Z223)*Y223,3),"没有上级")</f>
        <v>0</v>
      </c>
      <c r="P223" s="28">
        <f>IF(ISNUMBER(agent!$O$12*(K223/Z223)*Y223),TRUNC(agent!$O$12*(K223/Z223)*Y223,3),"没有上级")</f>
        <v>0</v>
      </c>
      <c r="Q223" s="28">
        <f>IF(ISNUMBER(agent!$O$15*(K223/Z223)*Y223),TRUNC(agent!$O$15*(K223/Z223)*Y223,3),"没有上级")</f>
        <v>0</v>
      </c>
      <c r="R223" s="28">
        <f>IF(ISNUMBER(agent!$O$18*(K223/Z223)*Y223),TRUNC(agent!$O$18*(K223/Z223)*Y223,3),"没有上级")</f>
        <v>0</v>
      </c>
      <c r="S223" s="28">
        <f>IF(ISNUMBER(agent!$O$21*(K223/Z223)*Y223),TRUNC(agent!$O$21*(K223/Z223)*Y223,3),"没有上级")</f>
        <v>0</v>
      </c>
      <c r="T223" s="28">
        <f>IF(ISNUMBER(agent!$O$24*(K223/Z223)*Y223),TRUNC(agent!$O$24*(K223/Z223)*Y223,3),"没有上级")</f>
        <v>0</v>
      </c>
      <c r="U223" s="28">
        <f>IF(ISNUMBER(agent!$O$27*(K223/Z223)*Y223),TRUNC(agent!$O$27*(K223/Z223)*Y223,3),"没有上级")</f>
        <v>0</v>
      </c>
      <c r="V223" s="28">
        <f>IF(ISNUMBER(agent!$O$30*(K223/Z223)*Y223),TRUNC(agent!$O$30*(K223/Z223)*Y223,3),"没有上级")</f>
        <v>0</v>
      </c>
      <c r="W223" s="28">
        <f>IF(ISNUMBER(agent!$O$33*(K223/Z223)*Y223),TRUNC(agent!$O$33*(K223/Z223)*Y223,3),"没有上级")</f>
        <v>0</v>
      </c>
      <c r="X223" s="28"/>
      <c r="Y223">
        <f>TRUNC(0.01642857,3)</f>
        <v>1.6E-2</v>
      </c>
      <c r="Z223" s="28">
        <f>TRUNC(AB223-(9.9-agent!L$3)*10*Y223,3)</f>
        <v>15.89</v>
      </c>
      <c r="AA223" s="28">
        <f>'5Of11Source'!X$2</f>
        <v>0</v>
      </c>
      <c r="AB223">
        <f t="shared" si="37"/>
        <v>16.434000000000001</v>
      </c>
      <c r="AC223" s="28">
        <f>'5Of11Source'!E307</f>
        <v>120</v>
      </c>
      <c r="AD223" s="28">
        <v>14.85</v>
      </c>
      <c r="AE223" s="28"/>
      <c r="AF223" s="28"/>
      <c r="AG223" s="28"/>
      <c r="AH223" s="28"/>
      <c r="AI223" s="28"/>
    </row>
  </sheetData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463"/>
  <sheetViews>
    <sheetView workbookViewId="0">
      <pane ySplit="1" topLeftCell="A2" activePane="bottomLeft" state="frozen"/>
      <selection pane="bottomLeft" activeCell="G13" sqref="G13"/>
    </sheetView>
  </sheetViews>
  <sheetFormatPr defaultRowHeight="20.100000000000001" customHeight="1" x14ac:dyDescent="0.15"/>
  <cols>
    <col min="1" max="1" width="9.5" style="36" customWidth="1"/>
    <col min="2" max="2" width="12.125" style="36" customWidth="1"/>
    <col min="3" max="3" width="8.875" style="36" customWidth="1"/>
    <col min="4" max="4" width="38.75" style="49" customWidth="1"/>
    <col min="5" max="5" width="17" style="49" customWidth="1"/>
    <col min="6" max="6" width="9" style="49" customWidth="1"/>
    <col min="7" max="7" width="17.375" style="36" customWidth="1"/>
    <col min="8" max="8" width="9.5" style="36" customWidth="1"/>
    <col min="9" max="9" width="18.125" style="36" customWidth="1"/>
    <col min="10" max="10" width="39.125" style="37" customWidth="1"/>
    <col min="11" max="12" width="15.5" style="37" customWidth="1"/>
    <col min="13" max="13" width="15.5" style="78" customWidth="1"/>
    <col min="14" max="14" width="15.5" style="37" customWidth="1"/>
    <col min="15" max="15" width="15.5" style="73" customWidth="1"/>
    <col min="16" max="16" width="18" style="36" customWidth="1"/>
    <col min="17" max="17" width="16.5" style="36" customWidth="1"/>
    <col min="18" max="18" width="17" style="36" customWidth="1"/>
    <col min="19" max="19" width="14.5" style="36" customWidth="1"/>
    <col min="20" max="16384" width="9" style="36"/>
  </cols>
  <sheetData>
    <row r="1" spans="1:21" ht="20.100000000000001" customHeight="1" x14ac:dyDescent="0.15">
      <c r="A1" s="36" t="s">
        <v>0</v>
      </c>
      <c r="B1" s="36" t="s">
        <v>1</v>
      </c>
      <c r="C1" s="36" t="s">
        <v>2</v>
      </c>
      <c r="D1" s="37" t="s">
        <v>3</v>
      </c>
      <c r="E1" s="38" t="s">
        <v>114</v>
      </c>
      <c r="F1" s="36" t="s">
        <v>7</v>
      </c>
      <c r="H1" s="39" t="s">
        <v>21</v>
      </c>
      <c r="I1" s="39" t="s">
        <v>217</v>
      </c>
      <c r="K1" s="38" t="s">
        <v>218</v>
      </c>
      <c r="L1" s="38"/>
      <c r="M1" s="72" t="s">
        <v>323</v>
      </c>
      <c r="N1" s="72" t="s">
        <v>789</v>
      </c>
      <c r="P1" s="39" t="s">
        <v>113</v>
      </c>
      <c r="S1" s="39" t="s">
        <v>226</v>
      </c>
    </row>
    <row r="2" spans="1:21" ht="26.25" customHeight="1" x14ac:dyDescent="0.15">
      <c r="A2" s="40" t="s">
        <v>23</v>
      </c>
      <c r="B2" s="40" t="s">
        <v>25</v>
      </c>
      <c r="C2" s="39" t="s">
        <v>26</v>
      </c>
      <c r="D2" s="38" t="s">
        <v>313</v>
      </c>
      <c r="E2" s="82">
        <v>990</v>
      </c>
      <c r="F2" s="82">
        <v>2</v>
      </c>
      <c r="G2" s="39">
        <f>IF(AND(ISNUMBER(FIND(P5,D2,1)),LEN($P2)&lt;&gt;0),1,0)</f>
        <v>1</v>
      </c>
      <c r="H2" s="83">
        <f>IF(SUM(G2:G4)=3,1,0)</f>
        <v>1</v>
      </c>
      <c r="I2" s="91">
        <f>H2*K2*F2</f>
        <v>3821.4</v>
      </c>
      <c r="J2" s="86" t="str">
        <f>TRIM(IF(LEN(D2)=0,"-",SUBSTITUTE(D2,","," ")))&amp;","&amp;TRIM(IF(LEN(D3)=0,"-",SUBSTITUTE(D3,","," ")))&amp;","&amp;TRIM(IF(LEN(D4)=0,"-",SUBSTITUTE(D4,","," ")))</f>
        <v>01 02 03 04 05 06 07 08 09 10 11,01 02 03 04 05 06 07 08 09 10 11,01 02 03 04 05 06 07 08 09 10 11</v>
      </c>
      <c r="K2" s="86">
        <f>'5Of11'!Z2</f>
        <v>1910.7</v>
      </c>
      <c r="L2" s="37" t="s">
        <v>788</v>
      </c>
      <c r="M2" s="78" t="str">
        <f>辅助!F2</f>
        <v>01,02,03,04,05</v>
      </c>
      <c r="N2" s="72">
        <v>44952.965000000004</v>
      </c>
      <c r="O2" s="70" t="s">
        <v>787</v>
      </c>
      <c r="P2" s="39" t="str">
        <f>O2</f>
        <v>03,06,07,08,10</v>
      </c>
      <c r="Q2" s="36" t="str">
        <f>SUBSTITUTE(SUBSTITUTE(P2,Q3,),",",)</f>
        <v>03060708</v>
      </c>
      <c r="R2" s="36" t="str">
        <f>SUBSTITUTE(Q2,R3,)</f>
        <v>030607</v>
      </c>
      <c r="S2" s="36" t="str">
        <f>0&amp;MAX(INT(S5),INT(S6),INT(S7))</f>
        <v>07</v>
      </c>
    </row>
    <row r="3" spans="1:21" ht="20.100000000000001" customHeight="1" x14ac:dyDescent="0.15">
      <c r="A3" s="40" t="s">
        <v>23</v>
      </c>
      <c r="B3" s="40" t="s">
        <v>25</v>
      </c>
      <c r="C3" s="39" t="s">
        <v>27</v>
      </c>
      <c r="D3" s="38" t="s">
        <v>314</v>
      </c>
      <c r="E3" s="82"/>
      <c r="F3" s="82"/>
      <c r="G3" s="39">
        <f>IF(AND(ISNUMBER(FIND(P6,D3,1)),LEN($P2)&lt;&gt;0),1,0)</f>
        <v>1</v>
      </c>
      <c r="H3" s="83"/>
      <c r="I3" s="83"/>
      <c r="J3" s="86"/>
      <c r="K3" s="86"/>
      <c r="L3" s="38"/>
      <c r="M3" s="78" t="str">
        <f>辅助!F3</f>
        <v>01,02,03,04,06</v>
      </c>
      <c r="N3" s="72">
        <v>43049.865000000005</v>
      </c>
      <c r="O3" s="70" t="s">
        <v>327</v>
      </c>
      <c r="P3" s="36">
        <v>45271.415000000008</v>
      </c>
      <c r="Q3" s="36">
        <f>IF(MAX(INT(P5),INT(P6),INT(P7),INT(P8),INT(P9))&lt;10,0&amp;MAX(INT(P5),INT(P6),INT(P7),INT(P8),INT(P9)),MAX(INT(P5),INT(P6),INT(P7),INT(P8),INT(P9)))</f>
        <v>10</v>
      </c>
      <c r="R3" s="36" t="str">
        <f>IF(MAX(INT(R5),INT(R6),INT(R7),INT(R8))&lt;10,0&amp;MAX(INT(R5),INT(R6),INT(R7),INT(R8)),MAX(INT(R5),INT(R6),INT(R7),INT(R8)))</f>
        <v>08</v>
      </c>
    </row>
    <row r="4" spans="1:21" ht="20.100000000000001" customHeight="1" x14ac:dyDescent="0.15">
      <c r="A4" s="40" t="s">
        <v>23</v>
      </c>
      <c r="B4" s="40" t="s">
        <v>25</v>
      </c>
      <c r="C4" s="39" t="s">
        <v>28</v>
      </c>
      <c r="D4" s="38" t="s">
        <v>314</v>
      </c>
      <c r="E4" s="82"/>
      <c r="F4" s="82"/>
      <c r="G4" s="39">
        <f>IF(AND(ISNUMBER(FIND(P7,D4,1)),LEN($P2)&lt;&gt;0),1,0)</f>
        <v>1</v>
      </c>
      <c r="H4" s="83"/>
      <c r="I4" s="83"/>
      <c r="J4" s="86"/>
      <c r="K4" s="86"/>
      <c r="M4" s="78" t="str">
        <f>辅助!F4</f>
        <v>01,02,03,04,07</v>
      </c>
      <c r="N4" s="74">
        <v>41448.065000000002</v>
      </c>
      <c r="O4" s="71" t="s">
        <v>310</v>
      </c>
      <c r="P4" s="36" t="str">
        <f>SUBSTITUTE(LEFT(P3,5),","," ")</f>
        <v>45271</v>
      </c>
    </row>
    <row r="5" spans="1:21" ht="20.100000000000001" customHeight="1" x14ac:dyDescent="0.15">
      <c r="A5" s="40" t="s">
        <v>23</v>
      </c>
      <c r="B5" s="39" t="s">
        <v>32</v>
      </c>
      <c r="D5" s="38" t="s">
        <v>220</v>
      </c>
      <c r="E5" s="38">
        <f>LEN(SUBSTITUTE(SUBSTITUTE(D5,",",)," ",))/6</f>
        <v>4</v>
      </c>
      <c r="F5" s="38">
        <v>5</v>
      </c>
      <c r="G5" s="39">
        <f>IF(AND(ISNUMBER(FIND(SUBSTITUTE(LEFT(P2,8),","," "),D5,1)),LEN($P2)&lt;&gt;0),1,0)</f>
        <v>0</v>
      </c>
      <c r="H5" s="36">
        <f>G5</f>
        <v>0</v>
      </c>
      <c r="I5" s="36">
        <f>H5*K5*F5</f>
        <v>0</v>
      </c>
      <c r="J5" s="37" t="str">
        <f>TRIM(IF(LEN(D5)=0,"-",SUBSTITUTE(D5," "," ")))</f>
        <v>01 02 03,04 05 06,07 08 09,02 05 07</v>
      </c>
      <c r="K5" s="37">
        <f>'5Of11'!Z3</f>
        <v>1910.7</v>
      </c>
      <c r="M5" s="78" t="str">
        <f>辅助!F5</f>
        <v>01,02,03,04,08</v>
      </c>
      <c r="N5" s="74">
        <v>40417.345000000008</v>
      </c>
      <c r="O5" s="71" t="s">
        <v>311</v>
      </c>
      <c r="P5" s="36" t="str">
        <f>LEFT(P2,2)</f>
        <v>03</v>
      </c>
      <c r="Q5" s="36">
        <f>MOD(P5,2)</f>
        <v>1</v>
      </c>
      <c r="R5" s="36" t="str">
        <f>LEFT(Q2,2)</f>
        <v>03</v>
      </c>
      <c r="S5" s="36" t="str">
        <f>LEFT(R2,2)</f>
        <v>03</v>
      </c>
    </row>
    <row r="6" spans="1:21" ht="20.100000000000001" customHeight="1" x14ac:dyDescent="0.15">
      <c r="A6" s="40" t="s">
        <v>23</v>
      </c>
      <c r="B6" s="39" t="s">
        <v>35</v>
      </c>
      <c r="C6" s="39" t="s">
        <v>39</v>
      </c>
      <c r="D6" s="38" t="s">
        <v>314</v>
      </c>
      <c r="E6" s="38">
        <f>COMBIN(LEN(SUBSTITUTE(D6,",",))/2,3)</f>
        <v>165</v>
      </c>
      <c r="F6" s="38">
        <v>3</v>
      </c>
      <c r="G6" s="39"/>
      <c r="H6" s="36">
        <v>1</v>
      </c>
      <c r="I6" s="36">
        <f>IF(AND(P5&lt;&gt;P6,P5&lt;&gt;P7,P6&lt;&gt;P7),IF(SUM(N(ISNUMBER(FIND(P5,J6,1))),N(ISNUMBER(FIND(P6,J6,1))),N(ISNUMBER(FIND(P7,J6,1))))=3,F6*K6,0),0)</f>
        <v>955.15499999999997</v>
      </c>
      <c r="J6" s="37" t="str">
        <f>TRIM(IF(LEN('5Of11Source'!D6)=0,"-",SUBSTITUTE('5Of11Source'!D6,","," ")))</f>
        <v>01 02 03 04 05 06 07 08 09 10 11</v>
      </c>
      <c r="K6" s="37">
        <f>'5Of11'!Z4</f>
        <v>318.38499999999999</v>
      </c>
      <c r="M6" s="78" t="str">
        <f>辅助!F6</f>
        <v>01,02,03,04,09</v>
      </c>
      <c r="N6" s="74">
        <v>40514.895000000004</v>
      </c>
      <c r="O6" s="71" t="s">
        <v>312</v>
      </c>
      <c r="P6" s="36" t="str">
        <f>MID(P2,4,2)</f>
        <v>06</v>
      </c>
      <c r="Q6" s="36">
        <f t="shared" ref="Q6:Q9" si="0">MOD(P6,2)</f>
        <v>0</v>
      </c>
      <c r="R6" s="36" t="str">
        <f>MID(Q2,3,2)</f>
        <v>06</v>
      </c>
      <c r="S6" s="36" t="str">
        <f>MID(R2,3,2)</f>
        <v>06</v>
      </c>
    </row>
    <row r="7" spans="1:21" ht="20.100000000000001" customHeight="1" x14ac:dyDescent="0.15">
      <c r="A7" s="40" t="s">
        <v>23</v>
      </c>
      <c r="B7" s="39" t="s">
        <v>36</v>
      </c>
      <c r="D7" s="38" t="s">
        <v>222</v>
      </c>
      <c r="E7" s="38">
        <f>LEN(SUBSTITUTE(SUBSTITUTE(D7,",",)," ",))/6</f>
        <v>4</v>
      </c>
      <c r="F7" s="38">
        <v>4</v>
      </c>
      <c r="G7" s="39"/>
      <c r="I7" s="36">
        <f>IF(OR(ISNUMBER(FIND(P5&amp;" "&amp;P6&amp;" "&amp;P7,D7,1)),ISNUMBER(FIND(P5&amp;" "&amp;P7&amp;" "&amp;P6,D7,1)),ISNUMBER(FIND(P6&amp;" "&amp;P5&amp;" "&amp;P7,D7,1)),ISNUMBER(FIND(P6&amp;" "&amp;P7&amp;" "&amp;P5,D7,1)),ISNUMBER(FIND(P7&amp;" "&amp;P5&amp;" "&amp;P6,D7,1)),ISNUMBER(FIND(P7&amp;" "&amp;P6&amp;" "&amp;P5,D7,1))),F7*K7,0)</f>
        <v>0</v>
      </c>
      <c r="J7" s="37" t="str">
        <f>TRIM(IF(LEN('5Of11Source'!D7)=0,"-",SUBSTITUTE('5Of11Source'!D7,","," ")))</f>
        <v>01 02 03 06 07 08 09 10 11 05 02 07</v>
      </c>
      <c r="K7" s="37">
        <f>'5Of11'!Z5</f>
        <v>318.38499999999999</v>
      </c>
      <c r="M7" s="78" t="str">
        <f>辅助!F7</f>
        <v>01,02,03,04,10</v>
      </c>
      <c r="N7" s="74">
        <v>40416.345000000008</v>
      </c>
      <c r="O7" s="39" t="s">
        <v>238</v>
      </c>
      <c r="P7" s="36" t="str">
        <f>MID(P2,7,2)</f>
        <v>07</v>
      </c>
      <c r="Q7" s="36">
        <f t="shared" si="0"/>
        <v>1</v>
      </c>
      <c r="R7" s="36" t="str">
        <f>MID(Q2,5,2)</f>
        <v>07</v>
      </c>
      <c r="S7" s="36" t="str">
        <f>MID(R2,5,2)</f>
        <v>07</v>
      </c>
    </row>
    <row r="8" spans="1:21" ht="20.100000000000001" customHeight="1" x14ac:dyDescent="0.15">
      <c r="A8" s="40" t="s">
        <v>23</v>
      </c>
      <c r="B8" s="40" t="s">
        <v>38</v>
      </c>
      <c r="C8" s="39" t="s">
        <v>30</v>
      </c>
      <c r="D8" s="38" t="s">
        <v>258</v>
      </c>
      <c r="E8" s="82">
        <f>COMBIN(LEN(SUBSTITUTE(D9,",",))/2,3-LEN(SUBSTITUTE(D8,",",))/2)</f>
        <v>45</v>
      </c>
      <c r="F8" s="82">
        <v>2</v>
      </c>
      <c r="G8" s="36" t="str">
        <f>IF(AND(ISNUMBER(FIND(SUBSTITUTE(MID(D8,2,2),",",),P3,1)),ISNUMBER(FIND(SUBSTITUTE(MID(D8,5,2),",",),P3,1))),SUBSTITUTE(P3,MID(D8,2,2),),"此订单未中奖！")</f>
        <v>此订单未中奖！</v>
      </c>
      <c r="H8" s="36" t="str">
        <f>IF(AND(ISNUMBER(FIND(SUBSTITUTE(MID(D8,2,2),",",),P3,1)),ISNUMBER(FIND(SUBSTITUTE(MID(D8,5,2),",",),P3,1))),SUBSTITUTE(G8,MID(D8,5,2),),"此订单未中奖！")</f>
        <v>此订单未中奖！</v>
      </c>
      <c r="I8" s="90">
        <f>IF(G9&gt;0,G9*K8*F8,0)</f>
        <v>0</v>
      </c>
      <c r="J8" s="86" t="str">
        <f>TRIM(IF(LEN(D8)=0,"-",SUBSTITUTE(D8,","," ")))&amp;","&amp;TRIM(IF(LEN(D9)=0,"-",SUBSTITUTE(D9,","," ")))</f>
        <v>07,01 02 03 04 05 06 08 09 10 11</v>
      </c>
      <c r="K8" s="86">
        <f>'5Of11'!Z6</f>
        <v>318.38499999999999</v>
      </c>
      <c r="M8" s="78" t="str">
        <f>辅助!F8</f>
        <v>01,02,03,04,11</v>
      </c>
      <c r="N8" s="37">
        <v>40408.745000000003</v>
      </c>
      <c r="P8" s="36" t="str">
        <f>MID(P2,10,2)</f>
        <v>08</v>
      </c>
      <c r="Q8" s="36">
        <f t="shared" si="0"/>
        <v>0</v>
      </c>
      <c r="R8" s="36" t="str">
        <f>MID(Q2,7,2)</f>
        <v>08</v>
      </c>
    </row>
    <row r="9" spans="1:21" ht="20.100000000000001" customHeight="1" x14ac:dyDescent="0.15">
      <c r="A9" s="40" t="s">
        <v>23</v>
      </c>
      <c r="B9" s="40" t="s">
        <v>38</v>
      </c>
      <c r="C9" s="39" t="s">
        <v>31</v>
      </c>
      <c r="D9" s="38" t="s">
        <v>320</v>
      </c>
      <c r="E9" s="82"/>
      <c r="F9" s="82"/>
      <c r="G9" s="39">
        <f>N(ISNUMBER(FIND(TRIM(H8),D9,1)))</f>
        <v>0</v>
      </c>
      <c r="H9" s="43"/>
      <c r="I9" s="90"/>
      <c r="J9" s="86"/>
      <c r="K9" s="86"/>
      <c r="M9" s="78" t="str">
        <f>辅助!F9</f>
        <v>01,02,03,05,06</v>
      </c>
      <c r="N9" s="37">
        <v>42405.365000000005</v>
      </c>
      <c r="P9" s="36" t="str">
        <f>RIGHT(P2,2)</f>
        <v>10</v>
      </c>
      <c r="Q9" s="36">
        <f t="shared" si="0"/>
        <v>0</v>
      </c>
    </row>
    <row r="10" spans="1:21" ht="20.100000000000001" customHeight="1" x14ac:dyDescent="0.15">
      <c r="A10" s="40" t="s">
        <v>41</v>
      </c>
      <c r="B10" s="40" t="s">
        <v>43</v>
      </c>
      <c r="C10" s="39" t="s">
        <v>52</v>
      </c>
      <c r="D10" s="38" t="s">
        <v>313</v>
      </c>
      <c r="E10" s="82">
        <f>(LEN(SUBSTITUTE(D10,",",))/2)*(LEN(SUBSTITUTE(D11,",",))/2)-11</f>
        <v>110</v>
      </c>
      <c r="F10" s="82">
        <v>5</v>
      </c>
      <c r="G10" s="39">
        <f>IF(AND(ISNUMBER(FIND(P5,D10,1)),LEN($P2)&lt;&gt;0),1,0)</f>
        <v>1</v>
      </c>
      <c r="H10" s="83">
        <f>IF(SUM(G10:G11)=2,1,0)</f>
        <v>1</v>
      </c>
      <c r="I10" s="83">
        <f>H10*F10*K10</f>
        <v>1061.5</v>
      </c>
      <c r="J10" s="86" t="str">
        <f>TRIM(IF(LEN(D10)=0,"-",SUBSTITUTE(D10,","," ")))&amp;","&amp;TRIM(IF(LEN(D11)=0,"-",SUBSTITUTE(D11,","," ")))</f>
        <v>01 02 03 04 05 06 07 08 09 10 11,01 02 03 04 05 06 07 08 09 10 11</v>
      </c>
      <c r="K10" s="86">
        <f>'5Of11'!Z7</f>
        <v>212.3</v>
      </c>
      <c r="M10" s="78" t="str">
        <f>辅助!F10</f>
        <v>01,02,03,05,07</v>
      </c>
      <c r="N10" s="37">
        <v>40742.265000000007</v>
      </c>
      <c r="P10" s="36" t="str">
        <f>SUM(Q5:Q9)&amp;"单"&amp;5-SUM(Q5:Q9)&amp;"双"</f>
        <v>2单3双</v>
      </c>
    </row>
    <row r="11" spans="1:21" ht="20.100000000000001" customHeight="1" x14ac:dyDescent="0.15">
      <c r="A11" s="40" t="s">
        <v>41</v>
      </c>
      <c r="B11" s="40" t="s">
        <v>43</v>
      </c>
      <c r="C11" s="39" t="s">
        <v>27</v>
      </c>
      <c r="D11" s="38" t="s">
        <v>314</v>
      </c>
      <c r="E11" s="82"/>
      <c r="F11" s="82"/>
      <c r="G11" s="39">
        <f>IF(AND(ISNUMBER(FIND(P6,D11,1)),LEN($P2)&lt;&gt;0),1,0)</f>
        <v>1</v>
      </c>
      <c r="H11" s="83"/>
      <c r="I11" s="83"/>
      <c r="J11" s="86"/>
      <c r="K11" s="86"/>
      <c r="M11" s="78" t="str">
        <f>辅助!F11</f>
        <v>01,02,03,05,08</v>
      </c>
      <c r="N11" s="37">
        <v>39666.695000000007</v>
      </c>
      <c r="P11" s="37">
        <f>SUM(I2:I52)</f>
        <v>26220.950000000004</v>
      </c>
    </row>
    <row r="12" spans="1:21" ht="20.100000000000001" customHeight="1" x14ac:dyDescent="0.15">
      <c r="A12" s="40" t="s">
        <v>41</v>
      </c>
      <c r="B12" s="39" t="s">
        <v>45</v>
      </c>
      <c r="D12" s="38" t="s">
        <v>262</v>
      </c>
      <c r="E12" s="38">
        <f>LEN(SUBSTITUTE(SUBSTITUTE(D12,",",)," ",))/4</f>
        <v>5</v>
      </c>
      <c r="F12" s="38">
        <v>3</v>
      </c>
      <c r="G12" s="39">
        <f>IF(AND(ISNUMBER(FIND(SUBSTITUTE(LEFT(P2,5),","," "),D12,1)),LEN($P2)&lt;&gt;0),1,0)</f>
        <v>0</v>
      </c>
      <c r="H12" s="36">
        <f>G12</f>
        <v>0</v>
      </c>
      <c r="I12" s="36">
        <f>H12*F12*K12</f>
        <v>0</v>
      </c>
      <c r="J12" s="37" t="str">
        <f>TRIM(D12)</f>
        <v>01 02,02 05,05 02,07 08,09 10</v>
      </c>
      <c r="K12" s="37">
        <f>'5Of11'!Z8</f>
        <v>212.3</v>
      </c>
      <c r="M12" s="78" t="str">
        <f>辅助!F12</f>
        <v>01,02,03,05,09</v>
      </c>
      <c r="N12" s="37">
        <v>39809.095000000008</v>
      </c>
    </row>
    <row r="13" spans="1:21" ht="20.100000000000001" customHeight="1" x14ac:dyDescent="0.15">
      <c r="A13" s="40" t="s">
        <v>41</v>
      </c>
      <c r="B13" s="39" t="s">
        <v>47</v>
      </c>
      <c r="C13" s="39" t="s">
        <v>53</v>
      </c>
      <c r="D13" s="38" t="s">
        <v>315</v>
      </c>
      <c r="E13" s="38">
        <f>COMBIN(LEN(SUBSTITUTE(D13,",",))/2,2)</f>
        <v>55</v>
      </c>
      <c r="F13" s="38">
        <v>1</v>
      </c>
      <c r="G13" s="39"/>
      <c r="I13" s="36">
        <f>IF(OR(ISNUMBER(FIND(P5,D13,1)),ISNUMBER(FIND(P6,D13,1))),F13*K13,0)</f>
        <v>106.15</v>
      </c>
      <c r="J13" s="37" t="str">
        <f>TRIM(IF(LEN('5Of11Source'!D13)=0,"-",SUBSTITUTE('5Of11Source'!D13,","," ")))</f>
        <v>01 02 03 04 05 06 07 08 09 10 11</v>
      </c>
      <c r="K13" s="37">
        <f>'5Of11'!Z9</f>
        <v>106.15</v>
      </c>
      <c r="M13" s="78" t="str">
        <f>辅助!F13</f>
        <v>01,02,03,05,10</v>
      </c>
      <c r="N13" s="37">
        <v>39665.695000000007</v>
      </c>
      <c r="P13" s="39" t="s">
        <v>136</v>
      </c>
      <c r="R13" s="37"/>
    </row>
    <row r="14" spans="1:21" ht="20.100000000000001" customHeight="1" x14ac:dyDescent="0.15">
      <c r="A14" s="40" t="s">
        <v>41</v>
      </c>
      <c r="B14" s="39" t="s">
        <v>51</v>
      </c>
      <c r="D14" s="38" t="s">
        <v>225</v>
      </c>
      <c r="E14" s="38">
        <f>LEN(SUBSTITUTE(SUBSTITUTE(D14,",",)," ",))/4-1</f>
        <v>5</v>
      </c>
      <c r="F14" s="38">
        <v>2</v>
      </c>
      <c r="G14" s="39"/>
      <c r="I14" s="36">
        <f>IF(OR(ISNUMBER(FIND(P5&amp;" "&amp;P6,D14,1)),ISNUMBER(FIND(P6&amp;" "&amp;P5,D14,1))),K14*F14,0)</f>
        <v>0</v>
      </c>
      <c r="J14" s="37" t="str">
        <f>TRIM(D14)</f>
        <v>01 02,02 01,05 02,07 08,09 10,11 07</v>
      </c>
      <c r="K14" s="37">
        <f>'5Of11'!Z10</f>
        <v>106.15</v>
      </c>
      <c r="M14" s="78" t="str">
        <f>辅助!F14</f>
        <v>01,02,03,05,11</v>
      </c>
      <c r="N14" s="37">
        <v>39702.945000000007</v>
      </c>
      <c r="P14" s="39" t="s">
        <v>137</v>
      </c>
      <c r="Q14" s="39" t="s">
        <v>145</v>
      </c>
      <c r="R14" s="38" t="s">
        <v>146</v>
      </c>
      <c r="S14" s="39" t="s">
        <v>147</v>
      </c>
    </row>
    <row r="15" spans="1:21" ht="20.100000000000001" customHeight="1" x14ac:dyDescent="0.15">
      <c r="A15" s="40" t="s">
        <v>41</v>
      </c>
      <c r="B15" s="40" t="s">
        <v>49</v>
      </c>
      <c r="C15" s="39" t="s">
        <v>54</v>
      </c>
      <c r="D15" s="38" t="str">
        <f>0&amp;1</f>
        <v>01</v>
      </c>
      <c r="E15" s="82">
        <f>LEN(SUBSTITUTE(D16,",",))/2</f>
        <v>10</v>
      </c>
      <c r="F15" s="82">
        <v>3</v>
      </c>
      <c r="G15" s="36" t="str">
        <f>IF(ISNUMBER(FIND(SUBSTITUTE(MID(D15,2,2),",",),P4,1)),SUBSTITUTE(P4,D15,),"此订单未中奖！")</f>
        <v>45271</v>
      </c>
      <c r="H15" s="36" t="str">
        <f>IF(ISNUMBER(FIND(SUBSTITUTE(MID(D15,5,2),",",),P4,1)),SUBSTITUTE(G15,D15,),"此订单未中奖！")</f>
        <v>45271</v>
      </c>
      <c r="I15" s="90">
        <f>IF(G16&gt;0,G16*K15*F15,0)</f>
        <v>0</v>
      </c>
      <c r="J15" s="86" t="str">
        <f>TRIM(IF(LEN(D15)=0,"-",SUBSTITUTE(D15,","," ")))&amp;","&amp;TRIM(IF(LEN(D16)=0,"-",SUBSTITUTE(D16,","," ")))</f>
        <v>01,02 03 04 05 06 07 08 09 10 11</v>
      </c>
      <c r="K15" s="86">
        <f>'5Of11'!Z11</f>
        <v>106.15</v>
      </c>
      <c r="M15" s="78" t="str">
        <f>辅助!F15</f>
        <v>01,02,03,06,07</v>
      </c>
      <c r="N15" s="37">
        <v>38794.315000000002</v>
      </c>
      <c r="P15" s="39" t="s">
        <v>138</v>
      </c>
      <c r="Q15" s="36">
        <f>TRUNC(0.154,3)</f>
        <v>0.154</v>
      </c>
      <c r="R15" s="37">
        <f>TRUNC(S15-(9.9-agent!$L$3)*Q15*10,3)</f>
        <v>148.61000000000001</v>
      </c>
      <c r="S15" s="36">
        <f>TRUNC(138.6+Q15*99,3)</f>
        <v>153.846</v>
      </c>
      <c r="T15" s="36">
        <f>IF(ISNUMBER(FIND(P10,P15,1)),R15,0)</f>
        <v>0</v>
      </c>
      <c r="U15" s="36">
        <f>IF(T15=0,0,Q15)</f>
        <v>0</v>
      </c>
    </row>
    <row r="16" spans="1:21" ht="20.100000000000001" customHeight="1" x14ac:dyDescent="0.15">
      <c r="A16" s="40" t="s">
        <v>41</v>
      </c>
      <c r="B16" s="40" t="s">
        <v>49</v>
      </c>
      <c r="C16" s="39" t="s">
        <v>55</v>
      </c>
      <c r="D16" s="38" t="s">
        <v>316</v>
      </c>
      <c r="E16" s="82"/>
      <c r="F16" s="82"/>
      <c r="G16" s="39">
        <f>N(ISNUMBER(FIND(TRIM(H15),D16,1)))</f>
        <v>0</v>
      </c>
      <c r="I16" s="90"/>
      <c r="J16" s="86"/>
      <c r="K16" s="86"/>
      <c r="M16" s="78" t="str">
        <f>辅助!F16</f>
        <v>01,02,03,06,08</v>
      </c>
      <c r="N16" s="37">
        <v>37763.595000000001</v>
      </c>
      <c r="P16" s="39" t="s">
        <v>139</v>
      </c>
      <c r="Q16" s="36">
        <f>TRUNC(0.01242857,3)</f>
        <v>1.2E-2</v>
      </c>
      <c r="R16" s="37">
        <f>TRUNC(S16-(9.9-agent!$L$3)*Q16*10,3)</f>
        <v>11.86</v>
      </c>
      <c r="S16" s="36">
        <f>TRUNC(11.08+Q16*99,3)</f>
        <v>12.268000000000001</v>
      </c>
      <c r="T16" s="36">
        <f>IF(ISNUMBER(FIND(P10,P16,1)),R16,0)</f>
        <v>0</v>
      </c>
      <c r="U16" s="36">
        <f t="shared" ref="U16:U25" si="1">IF(T16=0,0,Q16)</f>
        <v>0</v>
      </c>
    </row>
    <row r="17" spans="1:21" ht="20.100000000000001" customHeight="1" x14ac:dyDescent="0.15">
      <c r="A17" s="39" t="s">
        <v>56</v>
      </c>
      <c r="B17" s="39" t="s">
        <v>58</v>
      </c>
      <c r="C17" s="39" t="s">
        <v>59</v>
      </c>
      <c r="D17" s="38" t="s">
        <v>317</v>
      </c>
      <c r="E17" s="38">
        <f>LEN(SUBSTITUTE(D17,",",))/2</f>
        <v>11</v>
      </c>
      <c r="F17" s="38">
        <v>5</v>
      </c>
      <c r="G17" s="39"/>
      <c r="I17" s="36">
        <f>(N(ISNUMBER(FIND(P5,D17,1)))+N(ISNUMBER(FIND(P6,D17,1)))+N(ISNUMBER(FIND(P7,D17,1))))*F17*K17</f>
        <v>105.82499999999999</v>
      </c>
      <c r="J17" s="37" t="str">
        <f>TRIM(IF(LEN('5Of11Source'!D17)=0,"-",SUBSTITUTE('5Of11Source'!D17,","," ")))</f>
        <v>01 02 03 04 05 06 07 08 09 10 11</v>
      </c>
      <c r="K17" s="37">
        <f>'5Of11'!Z12</f>
        <v>7.0549999999999997</v>
      </c>
      <c r="M17" s="78" t="str">
        <f>辅助!F17</f>
        <v>01,02,03,06,09</v>
      </c>
      <c r="N17" s="37">
        <v>37861.145000000004</v>
      </c>
      <c r="P17" s="39" t="s">
        <v>140</v>
      </c>
      <c r="Q17" s="36">
        <f>TRUNC(0.0047,3)</f>
        <v>4.0000000000000001E-3</v>
      </c>
      <c r="R17" s="37">
        <f>TRUNC(S17-(9.9-agent!$L$3)*Q17*10,3)</f>
        <v>4.41</v>
      </c>
      <c r="S17" s="36">
        <f>TRUNC(4.15+Q17*99,3)</f>
        <v>4.5460000000000003</v>
      </c>
      <c r="T17" s="36">
        <f>IF(ISNUMBER(FIND(P10,P17,1)),R17,0)</f>
        <v>0</v>
      </c>
      <c r="U17" s="36">
        <f t="shared" si="1"/>
        <v>0</v>
      </c>
    </row>
    <row r="18" spans="1:21" ht="20.100000000000001" customHeight="1" x14ac:dyDescent="0.15">
      <c r="A18" s="40" t="s">
        <v>60</v>
      </c>
      <c r="B18" s="40" t="s">
        <v>61</v>
      </c>
      <c r="C18" s="39" t="s">
        <v>26</v>
      </c>
      <c r="D18" s="38" t="s">
        <v>315</v>
      </c>
      <c r="E18" s="79">
        <f>LEN(SUBSTITUTE(D18,",",))/2+LEN(SUBSTITUTE(D19,",",))/2+LEN(SUBSTITUTE(D20,",",))/2</f>
        <v>33</v>
      </c>
      <c r="F18" s="82">
        <v>2</v>
      </c>
      <c r="I18" s="83">
        <f>(N(ISNUMBER(FIND(P5,D18,1)))+N(ISNUMBER(FIND(P6,D19,1)))+N(ISNUMBER(FIND(P7,D20,1))))*F18*K18</f>
        <v>127.38</v>
      </c>
      <c r="J18" s="86" t="str">
        <f>TRIM(IF(LEN(D18)=0,"-",SUBSTITUTE(D18,","," ")))&amp;","&amp;TRIM(IF(LEN(D19)=0,"-",SUBSTITUTE(D19,","," ")))&amp;","&amp;TRIM(IF(LEN(D20)=0,"-",SUBSTITUTE(D20,","," ")))</f>
        <v>01 02 03 04 05 06 07 08 09 10 11,01 02 03 04 05 06 07 08 09 10 11,01 02 03 04 05 06 07 08 09 10 11</v>
      </c>
      <c r="K18" s="86">
        <f>'5Of11'!Z13</f>
        <v>21.23</v>
      </c>
      <c r="M18" s="78" t="str">
        <f>辅助!F18</f>
        <v>01,02,03,06,10</v>
      </c>
      <c r="N18" s="37">
        <v>37762.595000000001</v>
      </c>
      <c r="P18" s="39" t="s">
        <v>141</v>
      </c>
      <c r="Q18" s="36">
        <f>TRUNC(0.006142857,3)</f>
        <v>6.0000000000000001E-3</v>
      </c>
      <c r="R18" s="37">
        <f>TRUNC(S18-(9.9-agent!$L$3)*Q18*10,3)</f>
        <v>5.93</v>
      </c>
      <c r="S18" s="36">
        <f>TRUNC(5.54+Q18*99,3)</f>
        <v>6.1340000000000003</v>
      </c>
      <c r="T18" s="36">
        <f>IF(ISNUMBER(FIND(P10,P18,1)),R18,0)</f>
        <v>5.93</v>
      </c>
      <c r="U18" s="36">
        <f t="shared" si="1"/>
        <v>6.0000000000000001E-3</v>
      </c>
    </row>
    <row r="19" spans="1:21" ht="20.100000000000001" customHeight="1" x14ac:dyDescent="0.15">
      <c r="A19" s="40" t="s">
        <v>60</v>
      </c>
      <c r="B19" s="40" t="s">
        <v>61</v>
      </c>
      <c r="C19" s="39" t="s">
        <v>27</v>
      </c>
      <c r="D19" s="38" t="s">
        <v>318</v>
      </c>
      <c r="E19" s="80"/>
      <c r="F19" s="82"/>
      <c r="I19" s="83"/>
      <c r="J19" s="86"/>
      <c r="K19" s="86"/>
      <c r="M19" s="78" t="str">
        <f>辅助!F19</f>
        <v>01,02,03,06,11</v>
      </c>
      <c r="N19" s="37">
        <v>37754.995000000003</v>
      </c>
      <c r="P19" s="39" t="s">
        <v>142</v>
      </c>
      <c r="Q19" s="36">
        <f>TRUNC(0.0307,3)</f>
        <v>0.03</v>
      </c>
      <c r="R19" s="37">
        <f>TRUNC(S19-(9.9-agent!$L$3)*Q19*10,3)</f>
        <v>29.67</v>
      </c>
      <c r="S19" s="36">
        <f>TRUNC(27.72+Q19*99,3)</f>
        <v>30.69</v>
      </c>
      <c r="T19" s="36">
        <f>IF(ISNUMBER(FIND(P10,P19,1)),R19,0)</f>
        <v>0</v>
      </c>
      <c r="U19" s="36">
        <f t="shared" si="1"/>
        <v>0</v>
      </c>
    </row>
    <row r="20" spans="1:21" ht="20.100000000000001" customHeight="1" x14ac:dyDescent="0.15">
      <c r="A20" s="40" t="s">
        <v>60</v>
      </c>
      <c r="B20" s="40" t="s">
        <v>61</v>
      </c>
      <c r="C20" s="39" t="s">
        <v>28</v>
      </c>
      <c r="D20" s="38" t="s">
        <v>319</v>
      </c>
      <c r="E20" s="81"/>
      <c r="F20" s="82"/>
      <c r="I20" s="83"/>
      <c r="J20" s="86"/>
      <c r="K20" s="86"/>
      <c r="M20" s="78" t="str">
        <f>辅助!F20</f>
        <v>01,02,03,07,08</v>
      </c>
      <c r="N20" s="37">
        <v>36161.795000000006</v>
      </c>
      <c r="P20" s="39" t="s">
        <v>143</v>
      </c>
      <c r="Q20" s="36">
        <f>TRUNC(0.924,3)</f>
        <v>0.92400000000000004</v>
      </c>
      <c r="R20" s="37">
        <f>TRUNC(S20-(9.9-agent!$L$3)*Q20*10,3)</f>
        <v>891.66</v>
      </c>
      <c r="S20" s="36">
        <f>TRUNC(831.6+Q20*99,3)</f>
        <v>923.07600000000002</v>
      </c>
      <c r="T20" s="36">
        <f>IF(ISNUMBER(FIND(P10,P20,1)),R20,0)</f>
        <v>0</v>
      </c>
      <c r="U20" s="36">
        <f t="shared" si="1"/>
        <v>0</v>
      </c>
    </row>
    <row r="21" spans="1:21" ht="34.5" customHeight="1" x14ac:dyDescent="0.15">
      <c r="A21" s="40" t="s">
        <v>63</v>
      </c>
      <c r="B21" s="39" t="s">
        <v>65</v>
      </c>
      <c r="C21" s="39" t="s">
        <v>66</v>
      </c>
      <c r="D21" s="38" t="s">
        <v>110</v>
      </c>
      <c r="E21" s="38">
        <v>6</v>
      </c>
      <c r="F21" s="38">
        <v>5</v>
      </c>
      <c r="G21" s="39"/>
      <c r="I21" s="36">
        <f>N(ISNUMBER(FIND(P10,D21,1)))*F21*K21</f>
        <v>29.65</v>
      </c>
      <c r="J21" s="37" t="str">
        <f>TRIM(IF(LEN('5Of11Source'!D21)=0,"-",SUBSTITUTE('5Of11Source'!D21,","," ")))</f>
        <v>5单0双 4单1双 3单2双 2单3双 1单4双 0单5双</v>
      </c>
      <c r="K21" s="38">
        <f>SUM(T15:T20)</f>
        <v>5.93</v>
      </c>
      <c r="L21" s="38"/>
      <c r="M21" s="78" t="str">
        <f>辅助!F21</f>
        <v>01,02,03,07,09</v>
      </c>
      <c r="N21" s="38">
        <v>36304.195000000007</v>
      </c>
      <c r="O21" s="72"/>
      <c r="P21" s="39" t="s">
        <v>144</v>
      </c>
      <c r="R21" s="37"/>
    </row>
    <row r="22" spans="1:21" ht="20.100000000000001" customHeight="1" x14ac:dyDescent="0.15">
      <c r="A22" s="40" t="s">
        <v>63</v>
      </c>
      <c r="B22" s="39" t="s">
        <v>68</v>
      </c>
      <c r="C22" s="39" t="s">
        <v>68</v>
      </c>
      <c r="D22" s="38" t="s">
        <v>111</v>
      </c>
      <c r="E22" s="38">
        <f>LEN(SUBSTITUTE(D22,",",))/2</f>
        <v>7</v>
      </c>
      <c r="F22" s="38">
        <v>2</v>
      </c>
      <c r="I22" s="36">
        <f>N(ISNUMBER(FIND(S2,D22,1)))*F22*K22</f>
        <v>19.78</v>
      </c>
      <c r="J22" s="37" t="str">
        <f>TRIM(IF(LEN('5Of11Source'!D22)=0,"-",SUBSTITUTE('5Of11Source'!D22,","," ")))</f>
        <v>03 04 05 06 07 08 09</v>
      </c>
      <c r="K22" s="37">
        <f>SUM(T22:T25)</f>
        <v>9.89</v>
      </c>
      <c r="M22" s="78" t="str">
        <f>辅助!F22</f>
        <v>01,02,03,07,10</v>
      </c>
      <c r="N22" s="37">
        <v>36160.795000000006</v>
      </c>
      <c r="P22" s="44" t="str">
        <f>0&amp;3&amp;"/"&amp;0&amp;9</f>
        <v>03/09</v>
      </c>
      <c r="Q22" s="36">
        <f>TRUNC(0.033,3)</f>
        <v>3.3000000000000002E-2</v>
      </c>
      <c r="R22" s="37">
        <f>TRUNC(S22-(9.9-agent!$L$3)*Q22*10,3)</f>
        <v>31.844999999999999</v>
      </c>
      <c r="S22" s="36">
        <f>TRUNC(29.7+Q22*99,3)</f>
        <v>32.966999999999999</v>
      </c>
      <c r="T22" s="39">
        <f>IF(ISNUMBER(FIND(S2,P22,1)),R22,0)</f>
        <v>0</v>
      </c>
      <c r="U22" s="36">
        <f t="shared" si="1"/>
        <v>0</v>
      </c>
    </row>
    <row r="23" spans="1:21" ht="20.100000000000001" customHeight="1" x14ac:dyDescent="0.15">
      <c r="A23" s="40" t="s">
        <v>70</v>
      </c>
      <c r="B23" s="39" t="s">
        <v>72</v>
      </c>
      <c r="C23" s="39" t="s">
        <v>87</v>
      </c>
      <c r="D23" s="72" t="s">
        <v>319</v>
      </c>
      <c r="E23" s="38">
        <f t="shared" ref="E23" si="2">LEN(SUBSTITUTE(D23,",",))/2</f>
        <v>11</v>
      </c>
      <c r="F23" s="38">
        <v>1</v>
      </c>
      <c r="I23" s="36">
        <f>(N(ISNUMBER(FIND(P5,D23,1)))+N(ISNUMBER(FIND(P6,D23,1)))+N(ISNUMBER(FIND(P7,D23,1)))+N(ISNUMBER(FIND(P8,D23,1)))+N(ISNUMBER(FIND(P9,D23,1))))*F23*K23</f>
        <v>21.099999999999998</v>
      </c>
      <c r="J23" s="37" t="str">
        <f>TRIM(IF(LEN('5Of11Source'!D23)=0,"-",SUBSTITUTE('5Of11Source'!D23,","," ")))</f>
        <v>01 02 03 04 05 06 07 08 09 10 11</v>
      </c>
      <c r="K23" s="37">
        <f>'5Of11'!Z16</f>
        <v>4.22</v>
      </c>
      <c r="M23" s="78" t="str">
        <f>辅助!F23</f>
        <v>01,02,03,07,11</v>
      </c>
      <c r="N23" s="37">
        <v>36198.045000000006</v>
      </c>
      <c r="P23" s="45" t="str">
        <f>0&amp;4&amp;"/"&amp;0&amp;8</f>
        <v>04/08</v>
      </c>
      <c r="Q23" s="36">
        <f>TRUNC(0.01457,3)</f>
        <v>1.4E-2</v>
      </c>
      <c r="R23" s="37">
        <f>TRUNC(S23-(9.9-agent!$L$3)*Q23*10,3)</f>
        <v>14.11</v>
      </c>
      <c r="S23" s="36">
        <f>TRUNC(13.2+Q23*99,3)</f>
        <v>14.586</v>
      </c>
      <c r="T23" s="39">
        <f>IF(ISNUMBER(FIND(S2,P23,1)),R23,0)</f>
        <v>0</v>
      </c>
      <c r="U23" s="36">
        <f t="shared" si="1"/>
        <v>0</v>
      </c>
    </row>
    <row r="24" spans="1:21" ht="20.100000000000001" customHeight="1" x14ac:dyDescent="0.15">
      <c r="A24" s="40" t="s">
        <v>70</v>
      </c>
      <c r="B24" s="39" t="s">
        <v>74</v>
      </c>
      <c r="C24" s="39" t="s">
        <v>88</v>
      </c>
      <c r="D24" s="72" t="s">
        <v>319</v>
      </c>
      <c r="E24" s="38">
        <f>COMBIN(LEN(SUBSTITUTE(D24,",",))/2,2)</f>
        <v>55</v>
      </c>
      <c r="F24" s="38">
        <v>2</v>
      </c>
      <c r="I24" s="46">
        <f>COMBIN(5,2)*F24*K24</f>
        <v>212.3</v>
      </c>
      <c r="J24" s="37" t="str">
        <f>TRIM(IF(LEN('5Of11Source'!D24)=0,"-",SUBSTITUTE('5Of11Source'!D24,","," ")))</f>
        <v>01 02 03 04 05 06 07 08 09 10 11</v>
      </c>
      <c r="K24" s="37">
        <f>'5Of11'!Z17</f>
        <v>10.615</v>
      </c>
      <c r="M24" s="78" t="str">
        <f>辅助!F24</f>
        <v>01,02,03,08,09</v>
      </c>
      <c r="N24" s="37">
        <v>35313.545000000006</v>
      </c>
      <c r="P24" s="45" t="str">
        <f>0&amp;5&amp;"/"&amp;0&amp;7</f>
        <v>05/07</v>
      </c>
      <c r="Q24" s="36">
        <f>TRUNC(0.010142857,3)</f>
        <v>0.01</v>
      </c>
      <c r="R24" s="37">
        <f>TRUNC(S24-(9.9-agent!$L$3)*Q24*10,3)</f>
        <v>9.89</v>
      </c>
      <c r="S24" s="36">
        <f>TRUNC(9.24+Q24*99,3)</f>
        <v>10.23</v>
      </c>
      <c r="T24" s="39">
        <f>IF(ISNUMBER(FIND(S2,P24,1)),R24,0)</f>
        <v>9.89</v>
      </c>
      <c r="U24" s="36">
        <f t="shared" si="1"/>
        <v>0.01</v>
      </c>
    </row>
    <row r="25" spans="1:21" ht="20.100000000000001" customHeight="1" x14ac:dyDescent="0.15">
      <c r="A25" s="40" t="s">
        <v>70</v>
      </c>
      <c r="B25" s="39" t="s">
        <v>76</v>
      </c>
      <c r="C25" s="39" t="s">
        <v>89</v>
      </c>
      <c r="D25" s="72" t="s">
        <v>319</v>
      </c>
      <c r="E25" s="38">
        <f>COMBIN(LEN(SUBSTITUTE(D25,",",))/2,3)</f>
        <v>165</v>
      </c>
      <c r="F25" s="38">
        <v>3</v>
      </c>
      <c r="I25" s="46">
        <f>COMBIN(5,3)*F25*K25</f>
        <v>955.34999999999991</v>
      </c>
      <c r="J25" s="37" t="str">
        <f>TRIM(IF(LEN('5Of11Source'!D25)=0,"-",SUBSTITUTE('5Of11Source'!D25,","," ")))</f>
        <v>01 02 03 04 05 06 07 08 09 10 11</v>
      </c>
      <c r="K25" s="37">
        <f>'5Of11'!Z18</f>
        <v>31.844999999999999</v>
      </c>
      <c r="M25" s="78" t="str">
        <f>辅助!F25</f>
        <v>01,02,03,08,10</v>
      </c>
      <c r="N25" s="37">
        <v>35214.995000000003</v>
      </c>
      <c r="P25" s="39" t="str">
        <f>0&amp;6</f>
        <v>06</v>
      </c>
      <c r="Q25" s="36">
        <f>TRUNC(0.0092857,3)</f>
        <v>8.9999999999999993E-3</v>
      </c>
      <c r="R25" s="37">
        <f>TRUNC(S25-(9.9-agent!$L$3)*Q25*10,3)</f>
        <v>8.8949999999999996</v>
      </c>
      <c r="S25" s="36">
        <f>TRUNC(8.31+Q25*99,3)</f>
        <v>9.2010000000000005</v>
      </c>
      <c r="T25" s="39">
        <f>IF(ISNUMBER(FIND(S2,P25,1)),R25,0)</f>
        <v>0</v>
      </c>
      <c r="U25" s="36">
        <f t="shared" si="1"/>
        <v>0</v>
      </c>
    </row>
    <row r="26" spans="1:21" ht="20.100000000000001" customHeight="1" x14ac:dyDescent="0.15">
      <c r="A26" s="40" t="s">
        <v>70</v>
      </c>
      <c r="B26" s="39" t="s">
        <v>78</v>
      </c>
      <c r="C26" s="39" t="s">
        <v>90</v>
      </c>
      <c r="D26" s="72" t="s">
        <v>319</v>
      </c>
      <c r="E26" s="38">
        <f>COMBIN(LEN(SUBSTITUTE(D26,",",))/2,4)</f>
        <v>330</v>
      </c>
      <c r="F26" s="38">
        <v>5</v>
      </c>
      <c r="H26" s="43"/>
      <c r="I26" s="46">
        <f>COMBIN(5,4)*F26*K26</f>
        <v>3184.5</v>
      </c>
      <c r="J26" s="37" t="str">
        <f>TRIM(IF(LEN('5Of11Source'!D26)=0,"-",SUBSTITUTE('5Of11Source'!D26,","," ")))</f>
        <v>01 02 03 04 05 06 07 08 09 10 11</v>
      </c>
      <c r="K26" s="37">
        <f>'5Of11'!Z19</f>
        <v>127.38</v>
      </c>
      <c r="M26" s="78" t="str">
        <f>辅助!F26</f>
        <v>01,02,03,08,11</v>
      </c>
      <c r="N26" s="37">
        <v>35207.395000000004</v>
      </c>
    </row>
    <row r="27" spans="1:21" ht="20.100000000000001" customHeight="1" x14ac:dyDescent="0.15">
      <c r="A27" s="40" t="s">
        <v>70</v>
      </c>
      <c r="B27" s="39" t="s">
        <v>80</v>
      </c>
      <c r="C27" s="39" t="s">
        <v>91</v>
      </c>
      <c r="D27" s="72" t="s">
        <v>319</v>
      </c>
      <c r="E27" s="38">
        <f>COMBIN(LEN(SUBSTITUTE(D27,",",))/2,5)</f>
        <v>461.99999999999994</v>
      </c>
      <c r="F27" s="38">
        <v>4</v>
      </c>
      <c r="H27" s="43"/>
      <c r="I27" s="36">
        <f>(N(AND(ISNUMBER(FIND(P5,D27,1)),ISNUMBER(FIND(P6,D27,1)),ISNUMBER(FIND(P7,D27,1)),ISNUMBER(FIND(P8,D27,1)),ISNUMBER(FIND(P9,D27,1)))))*F27*K27</f>
        <v>3566.64</v>
      </c>
      <c r="J27" s="37" t="str">
        <f>TRIM(IF(LEN('5Of11Source'!D27)=0,"-",SUBSTITUTE('5Of11Source'!D27,","," ")))</f>
        <v>01 02 03 04 05 06 07 08 09 10 11</v>
      </c>
      <c r="K27" s="37">
        <f>'5Of11'!Z20</f>
        <v>891.66</v>
      </c>
      <c r="M27" s="78" t="str">
        <f>辅助!F27</f>
        <v>01,02,03,09,10</v>
      </c>
      <c r="N27" s="37">
        <v>35313.545000000006</v>
      </c>
    </row>
    <row r="28" spans="1:21" ht="20.100000000000001" customHeight="1" x14ac:dyDescent="0.15">
      <c r="A28" s="40" t="s">
        <v>70</v>
      </c>
      <c r="B28" s="39" t="s">
        <v>82</v>
      </c>
      <c r="C28" s="39" t="s">
        <v>92</v>
      </c>
      <c r="D28" s="72" t="s">
        <v>319</v>
      </c>
      <c r="E28" s="38">
        <f>COMBIN(LEN(SUBSTITUTE(D28,",",))/2,6)</f>
        <v>461.99999999999994</v>
      </c>
      <c r="F28" s="38">
        <v>4</v>
      </c>
      <c r="I28" s="36">
        <f>IF(AND(ISNUMBER(FIND(P5,D28,1)),ISNUMBER(FIND(P6,D28,1)),ISNUMBER(FIND(P7,D28,1)),ISNUMBER(FIND(P8,D28,1)),ISNUMBER(FIND(P9,D28,1))),(LEN(SUBSTITUTE(D28,",",))-10)/2*F28*K28,0)</f>
        <v>3566.6400000000003</v>
      </c>
      <c r="J28" s="37" t="str">
        <f>TRIM(IF(LEN('5Of11Source'!D28)=0,"-",SUBSTITUTE('5Of11Source'!D28,","," ")))</f>
        <v>01 02 03 04 05 06 07 08 09 10 11</v>
      </c>
      <c r="K28" s="37">
        <f>'5Of11'!Z21</f>
        <v>148.61000000000001</v>
      </c>
      <c r="M28" s="78" t="str">
        <f>辅助!F28</f>
        <v>01,02,03,09,11</v>
      </c>
      <c r="N28" s="37">
        <v>35350.795000000006</v>
      </c>
    </row>
    <row r="29" spans="1:21" ht="20.100000000000001" customHeight="1" x14ac:dyDescent="0.15">
      <c r="A29" s="40" t="s">
        <v>70</v>
      </c>
      <c r="B29" s="39" t="s">
        <v>84</v>
      </c>
      <c r="C29" s="39" t="s">
        <v>93</v>
      </c>
      <c r="D29" s="72" t="s">
        <v>319</v>
      </c>
      <c r="E29" s="38">
        <f>COMBIN(LEN(SUBSTITUTE(D29,",",))/2,7)</f>
        <v>330</v>
      </c>
      <c r="F29" s="38">
        <v>3</v>
      </c>
      <c r="I29" s="36">
        <f>IF(AND(ISNUMBER(FIND(P5,D29,1)),ISNUMBER(FIND(P6,D29,1)),ISNUMBER(FIND(P7,D29,1)),ISNUMBER(FIND(P8,D29,1)),ISNUMBER(FIND(P9,D29,1))),COMBIN((LEN(SUBSTITUTE(D29,",",))-10)/2,2)*F29*K29,0)</f>
        <v>1910.7</v>
      </c>
      <c r="J29" s="37" t="str">
        <f>TRIM(IF(LEN('5Of11Source'!D29)=0,"-",SUBSTITUTE('5Of11Source'!D29,","," ")))</f>
        <v>01 02 03 04 05 06 07 08 09 10 11</v>
      </c>
      <c r="K29" s="37">
        <f>'5Of11'!Z22</f>
        <v>42.46</v>
      </c>
      <c r="M29" s="78" t="str">
        <f>辅助!F29</f>
        <v>01,02,03,10,11</v>
      </c>
      <c r="N29" s="37">
        <v>35143.705000000002</v>
      </c>
    </row>
    <row r="30" spans="1:21" ht="20.100000000000001" customHeight="1" x14ac:dyDescent="0.15">
      <c r="A30" s="40" t="s">
        <v>70</v>
      </c>
      <c r="B30" s="39" t="s">
        <v>86</v>
      </c>
      <c r="C30" s="39" t="s">
        <v>94</v>
      </c>
      <c r="D30" s="72" t="s">
        <v>319</v>
      </c>
      <c r="E30" s="38">
        <f>COMBIN(LEN(SUBSTITUTE(D30,",",))/2,8)</f>
        <v>165</v>
      </c>
      <c r="F30" s="38">
        <v>3</v>
      </c>
      <c r="I30" s="36">
        <f>IF(AND(ISNUMBER(FIND(P5,D30,1)),ISNUMBER(FIND(P6,D30,1)),ISNUMBER(FIND(P7,D30,1)),ISNUMBER(FIND(P8,D30,1)),ISNUMBER(FIND(P9,D30,1))),COMBIN((LEN(SUBSTITUTE(D30,",",))-10)/2,3)*F30*K30,0)</f>
        <v>953.40000000000009</v>
      </c>
      <c r="J30" s="37" t="str">
        <f>TRIM(IF(LEN('5Of11Source'!D30)=0,"-",SUBSTITUTE('5Of11Source'!D30,","," ")))</f>
        <v>01 02 03 04 05 06 07 08 09 10 11</v>
      </c>
      <c r="K30" s="37">
        <f>'5Of11'!Z23</f>
        <v>15.89</v>
      </c>
      <c r="M30" s="78" t="str">
        <f>辅助!F30</f>
        <v>01,02,04,05,06</v>
      </c>
      <c r="N30" s="37">
        <v>34267.894999999997</v>
      </c>
    </row>
    <row r="31" spans="1:21" ht="20.100000000000001" customHeight="1" x14ac:dyDescent="0.15">
      <c r="A31" s="40" t="s">
        <v>96</v>
      </c>
      <c r="B31" s="39" t="s">
        <v>72</v>
      </c>
      <c r="C31" s="39" t="s">
        <v>97</v>
      </c>
      <c r="D31" s="72" t="s">
        <v>319</v>
      </c>
      <c r="E31" s="38">
        <f>LEN(SUBSTITUTE(D31,",",))/2</f>
        <v>11</v>
      </c>
      <c r="F31" s="38">
        <v>4</v>
      </c>
      <c r="I31" s="36">
        <f>(N(ISNUMBER(FIND(P5,D31,1)))+N(ISNUMBER(FIND(P6,D31,1)))+N(ISNUMBER(FIND(P7,D31,1)))+N(ISNUMBER(FIND(P8,D31,1)))+N(ISNUMBER(FIND(P9,D31,1))))*F31*K31</f>
        <v>84.399999999999991</v>
      </c>
      <c r="J31" s="37" t="str">
        <f>TRIM(IF(LEN('5Of11Source'!D31)=0,"-",D31))</f>
        <v>01,02,03,04,05,06,07,08,09,10,11</v>
      </c>
      <c r="K31" s="37">
        <f>'5Of11'!Z24</f>
        <v>4.22</v>
      </c>
      <c r="M31" s="78" t="str">
        <f>辅助!F31</f>
        <v>01,02,04,05,07</v>
      </c>
      <c r="N31" s="37">
        <v>32103.5</v>
      </c>
    </row>
    <row r="32" spans="1:21" ht="20.100000000000001" customHeight="1" x14ac:dyDescent="0.15">
      <c r="A32" s="40" t="s">
        <v>96</v>
      </c>
      <c r="B32" s="39" t="s">
        <v>74</v>
      </c>
      <c r="C32" s="36" t="s">
        <v>11</v>
      </c>
      <c r="D32" s="38" t="s">
        <v>268</v>
      </c>
      <c r="E32" s="38">
        <f>LEN(SUBSTITUTE(SUBSTITUTE(D32,",",)," ",))/4</f>
        <v>5</v>
      </c>
      <c r="F32" s="38">
        <v>5</v>
      </c>
      <c r="H32" s="36">
        <v>2</v>
      </c>
      <c r="I32" s="36">
        <f>SUM(N(AND(ISNUMBER(FIND(LEFT(D32,2),P2,1)),ISNUMBER(FIND(MID(D32,4,2),P2,1))))+N(AND(ISNUMBER(FIND(MID(D32,7,2),P2,1)),ISNUMBER(FIND(MID(D32,10,2),P2,1))))+N(AND(ISNUMBER(FIND(MID(D32,13,2),P2,1)),ISNUMBER(FIND(MID(D32,16,2),P2,1)))))*K32*F32*2</f>
        <v>0</v>
      </c>
      <c r="J32" s="37" t="str">
        <f>TRIM(IF(LEN('5Of11Source'!D32)=0,"-",D32))</f>
        <v>01 09,03 04,05 06,07 08,09 10</v>
      </c>
      <c r="K32" s="37">
        <f>'5Of11'!Z25</f>
        <v>10.615</v>
      </c>
      <c r="M32" s="78" t="str">
        <f>辅助!F32</f>
        <v>01,02,04,05,08</v>
      </c>
      <c r="N32" s="37">
        <v>31370</v>
      </c>
      <c r="P32" s="39"/>
      <c r="Q32" s="39"/>
    </row>
    <row r="33" spans="1:19" ht="20.100000000000001" customHeight="1" x14ac:dyDescent="0.15">
      <c r="A33" s="40" t="s">
        <v>96</v>
      </c>
      <c r="B33" s="39" t="s">
        <v>76</v>
      </c>
      <c r="C33" s="39" t="s">
        <v>98</v>
      </c>
      <c r="D33" s="38" t="s">
        <v>269</v>
      </c>
      <c r="E33" s="38">
        <f>LEN(SUBSTITUTE(SUBSTITUTE(D33,",",)," ",))/6</f>
        <v>4</v>
      </c>
      <c r="F33" s="38">
        <v>5</v>
      </c>
      <c r="I33" s="36">
        <f>SUM(N(AND(ISNUMBER(FIND(LEFT(D33,2),P2,1)),ISNUMBER(FIND(MID(D33,4,2),P2,1)),ISNUMBER(FIND(MID(D33,7,2),P2,1)))),N(AND(ISNUMBER(FIND(MID(D33,10,2),P2,1)),ISNUMBER(FIND(MID(D33,13,2),P2,1)),ISNUMBER(FIND(MID(D33,16,2),P2,1)))))*K33*F33</f>
        <v>0</v>
      </c>
      <c r="J33" s="37" t="str">
        <f>TRIM(IF(LEN('5Of11Source'!D33)=0,"-",D33))</f>
        <v>01 02 03,04 05 06,07 08 09,10 11 01</v>
      </c>
      <c r="K33" s="37">
        <f>'5Of11'!Z26</f>
        <v>31.844999999999999</v>
      </c>
      <c r="M33" s="78" t="str">
        <f>辅助!F33</f>
        <v>01,02,04,05,09</v>
      </c>
      <c r="N33" s="37">
        <v>31170.33</v>
      </c>
    </row>
    <row r="34" spans="1:19" ht="20.100000000000001" customHeight="1" x14ac:dyDescent="0.15">
      <c r="A34" s="40" t="s">
        <v>96</v>
      </c>
      <c r="B34" s="39" t="s">
        <v>78</v>
      </c>
      <c r="C34" s="39" t="s">
        <v>99</v>
      </c>
      <c r="D34" s="38" t="s">
        <v>270</v>
      </c>
      <c r="E34" s="38">
        <f>LEN(SUBSTITUTE(SUBSTITUTE(D34,",",)," ",))/8</f>
        <v>3</v>
      </c>
      <c r="F34" s="38">
        <v>5</v>
      </c>
      <c r="I34" s="36">
        <f>SUM(N(AND(ISNUMBER(FIND(LEFT(D34,2),P2,1)),ISNUMBER(FIND(MID(D34,4,2),P2,1)),ISNUMBER(FIND(MID(D34,7,2),P2,1)),ISNUMBER(FIND(MID(D34,10,2),P2,1)))),N(AND(ISNUMBER(FIND(MID(D34,13,2),P2,1)),ISNUMBER(FIND(MID(D34,16,2),P2,1)),ISNUMBER(FIND(MID(D34,19,2),P2,1)),ISNUMBER(FIND(MID(D34,22,2),P2,1)))))*K34*F34</f>
        <v>0</v>
      </c>
      <c r="J34" s="37" t="str">
        <f>TRIM(IF(LEN('5Of11Source'!D34)=0,"-",D34))</f>
        <v>01 02 03 04,09 10 11 05,06 07 08 09</v>
      </c>
      <c r="K34" s="37">
        <f>'5Of11'!Z27</f>
        <v>127.38</v>
      </c>
      <c r="M34" s="78" t="str">
        <f>辅助!F34</f>
        <v>01,02,04,05,10</v>
      </c>
      <c r="N34" s="37">
        <v>31071.78</v>
      </c>
    </row>
    <row r="35" spans="1:19" ht="20.100000000000001" customHeight="1" x14ac:dyDescent="0.15">
      <c r="A35" s="40" t="s">
        <v>96</v>
      </c>
      <c r="B35" s="39" t="s">
        <v>80</v>
      </c>
      <c r="C35" s="39" t="s">
        <v>100</v>
      </c>
      <c r="D35" s="38" t="s">
        <v>271</v>
      </c>
      <c r="E35" s="38">
        <f>LEN(SUBSTITUTE(SUBSTITUTE(D35,",",)," ",))/10</f>
        <v>2</v>
      </c>
      <c r="F35" s="38">
        <v>8</v>
      </c>
      <c r="I35" s="36">
        <f>SUM(N(AND(ISNUMBER(FIND(LEFT(D35,2),P2,1)),ISNUMBER(FIND(MID(D35,4,2),P2,1)),ISNUMBER(FIND(MID(D35,7,2),P2,1)),ISNUMBER(FIND(MID(D35,10,2),P2,1)),ISNUMBER(FIND(MID(D35,13,2),P2,1)))),N(AND(ISNUMBER(FIND(MID(D35,16,2),P2,1)),ISNUMBER(FIND(MID(D35,19,2),P2,1)),ISNUMBER(FIND(MID(D35,22,2),P2,1)),ISNUMBER(FIND(MID(D35,25,2),P2,1)),ISNUMBER(FIND(MID(D35,28,2),P2,1)))))*K35*F35</f>
        <v>0</v>
      </c>
      <c r="J35" s="37" t="str">
        <f>TRIM(IF(LEN('5Of11Source'!D35)=0,"-",D35))</f>
        <v>01 02 06 04 08,06 07 08 09 10</v>
      </c>
      <c r="K35" s="37">
        <f>'5Of11'!Z28</f>
        <v>891.66</v>
      </c>
      <c r="M35" s="78" t="str">
        <f>辅助!F35</f>
        <v>01,02,04,05,11</v>
      </c>
      <c r="N35" s="37">
        <v>31064.18</v>
      </c>
    </row>
    <row r="36" spans="1:19" ht="20.100000000000001" customHeight="1" x14ac:dyDescent="0.15">
      <c r="A36" s="40" t="s">
        <v>96</v>
      </c>
      <c r="B36" s="39" t="s">
        <v>82</v>
      </c>
      <c r="C36" s="39" t="s">
        <v>101</v>
      </c>
      <c r="D36" s="38" t="s">
        <v>241</v>
      </c>
      <c r="E36" s="38">
        <f>LEN(SUBSTITUTE(SUBSTITUTE(D36,",",)," ",))/12</f>
        <v>2</v>
      </c>
      <c r="F36" s="38">
        <v>2</v>
      </c>
      <c r="I36" s="36">
        <f>SUM(N(SUM(ISNUMBER(FIND(LEFT(D36,2),P2,1)),ISNUMBER(FIND(MID(D36,4,2),P2,1)),ISNUMBER(FIND(MID(D36,7,2),P2,1)),ISNUMBER(FIND(MID(D36,10,2),P2,1)),ISNUMBER(FIND(MID(D36,13,2),P2,1)),ISNUMBER(FIND(MID(D36,16,2),P2,1)))&gt;4),N(SUM(ISNUMBER(FIND(MID(D36,19,2),P2,1)),ISNUMBER(FIND(MID(D36,22,2),P2,1)),ISNUMBER(FIND(MID(D36,25,2),P2,1)),ISNUMBER(FIND(MID(D36,28,2),P2,1)),ISNUMBER(FIND(MID(D36,31,2),P2,1)),ISNUMBER(FIND(MID(D36,34,2),P2,1)))&gt;4))*K36*F36</f>
        <v>0</v>
      </c>
      <c r="J36" s="37" t="str">
        <f>TRIM(IF(LEN('5Of11Source'!D36)=0,"-",D36))</f>
        <v>01 02 08 04 05 06,07 08 09 10 11 02</v>
      </c>
      <c r="K36" s="37">
        <f>'5Of11'!Z29</f>
        <v>148.61000000000001</v>
      </c>
      <c r="M36" s="78" t="str">
        <f>辅助!F36</f>
        <v>01,02,04,06,07</v>
      </c>
      <c r="N36" s="37">
        <v>30200.399999999998</v>
      </c>
    </row>
    <row r="37" spans="1:19" ht="33.75" customHeight="1" x14ac:dyDescent="0.15">
      <c r="A37" s="40" t="s">
        <v>96</v>
      </c>
      <c r="B37" s="39" t="s">
        <v>84</v>
      </c>
      <c r="C37" s="39" t="s">
        <v>98</v>
      </c>
      <c r="D37" s="38" t="s">
        <v>272</v>
      </c>
      <c r="E37" s="38">
        <f>LEN(SUBSTITUTE(SUBSTITUTE(D37,",",)," ",))/14</f>
        <v>2</v>
      </c>
      <c r="F37" s="38">
        <v>2</v>
      </c>
      <c r="I37" s="36">
        <f>N(SUM(ISNUMBER(FIND(LEFT(D37,2),P2,1)),ISNUMBER(FIND(MID(D37,4,2),P2,1)),ISNUMBER(FIND(MID(D37,7,2),P2,1)),ISNUMBER(FIND(MID(D37,10,2),P2,1)),ISNUMBER(FIND(MID(D37,13,2),P2,1)),ISNUMBER(FIND(MID(D37,16,2),P2,1)),ISNUMBER(FIND(MID(D37,19,2),P2,1)))&gt;4)*K37*F37</f>
        <v>0</v>
      </c>
      <c r="J37" s="37" t="str">
        <f>TRIM(IF(LEN('5Of11Source'!D37)=0,"-",D37))</f>
        <v>01 02 03 04 05 06 07,11 10 09 08 07 06 05</v>
      </c>
      <c r="K37" s="37">
        <f>'5Of11'!Z30</f>
        <v>42.46</v>
      </c>
      <c r="M37" s="78" t="str">
        <f>辅助!F37</f>
        <v>01,02,04,06,08</v>
      </c>
      <c r="N37" s="37">
        <v>36711.279999999999</v>
      </c>
    </row>
    <row r="38" spans="1:19" ht="33" customHeight="1" x14ac:dyDescent="0.15">
      <c r="A38" s="40" t="s">
        <v>96</v>
      </c>
      <c r="B38" s="39" t="s">
        <v>86</v>
      </c>
      <c r="C38" s="36" t="s">
        <v>11</v>
      </c>
      <c r="D38" s="38" t="s">
        <v>273</v>
      </c>
      <c r="E38" s="38">
        <f>LEN(SUBSTITUTE(SUBSTITUTE(D38,",",)," ",))/16</f>
        <v>2</v>
      </c>
      <c r="F38" s="38">
        <v>3</v>
      </c>
      <c r="I38" s="36">
        <f>N(SUM(N(ISNUMBER(FIND(P5,LEFT(D38,23),1))),N(ISNUMBER(FIND(P6,LEFT(D38,23),1))),N(ISNUMBER(FIND(P7,LEFT(D38,23),1))),N(ISNUMBER(FIND(P8,LEFT(D38,23),1))),N(ISNUMBER(FIND(P9,LEFT(D38,23),1))))&gt;4)+N(SUM(N(ISNUMBER(FIND(P5,RIGHT(D38,23),1))),N(ISNUMBER(FIND(P6,RIGHT(D38,23),1))),N(ISNUMBER(FIND(P7,RIGHT(D38,23),1))),N(ISNUMBER(FIND(P8,RIGHT(D38,23),1))),N(ISNUMBER(FIND(P9,RIGHT(D38,23),1))))&gt;4)*K38*F38</f>
        <v>0</v>
      </c>
      <c r="J38" s="37" t="str">
        <f>TRIM(IF(LEN('5Of11Source'!D38)=0,"-",D38))</f>
        <v>01 02 03 04 05 06 07 08,11 10 09 08 07 06 05 04</v>
      </c>
      <c r="K38" s="37">
        <f>'5Of11'!Z31</f>
        <v>15.89</v>
      </c>
      <c r="M38" s="78" t="str">
        <f>辅助!F38</f>
        <v>01,02,04,06,09</v>
      </c>
      <c r="N38" s="37">
        <v>29267.23</v>
      </c>
    </row>
    <row r="39" spans="1:19" ht="24.75" customHeight="1" x14ac:dyDescent="0.15">
      <c r="A39" s="40" t="s">
        <v>103</v>
      </c>
      <c r="B39" s="40" t="s">
        <v>74</v>
      </c>
      <c r="C39" s="39" t="s">
        <v>30</v>
      </c>
      <c r="D39" s="38" t="s">
        <v>242</v>
      </c>
      <c r="E39" s="38">
        <f>LEN(SUBSTITUTE(D39,",",))/2</f>
        <v>1</v>
      </c>
      <c r="F39" s="82">
        <v>1</v>
      </c>
      <c r="H39" s="83">
        <v>4</v>
      </c>
      <c r="I39" s="83">
        <f>IF(AND(P39,P40&gt;=(B40-E39)),COMBIN(P40,B40-E39)*K39*F39,0)</f>
        <v>0</v>
      </c>
      <c r="J39" s="86" t="str">
        <f>TRIM(IF(LEN(D39)=0,"-",SUBSTITUTE(D39,","," ")))&amp;","&amp;TRIM(IF(LEN(D40)=0,"-",SUBSTITUTE(D40,","," ")))</f>
        <v>01,02 03 04 05 06 07 08 09 10 11</v>
      </c>
      <c r="K39" s="86">
        <f>'5Of11'!Z32</f>
        <v>10.615</v>
      </c>
      <c r="M39" s="78" t="str">
        <f>辅助!F39</f>
        <v>01,02,04,06,10</v>
      </c>
      <c r="N39" s="37">
        <v>29279.78</v>
      </c>
      <c r="P39" s="36" t="b">
        <f>ISNUMBER(FIND(SUBSTITUTE(D39,",",),P2,1))</f>
        <v>0</v>
      </c>
      <c r="Q39" s="36" t="str">
        <f>IF(P39,IF(FIND(SUBSTITUTE(D39,",",),P2,1)&lt;3,SUBSTITUTE(P2,RIGHT(D39,3),),SUBSTITUTE(P2,LEFT(D39,3),)),"此订单未中奖！")</f>
        <v>此订单未中奖！</v>
      </c>
    </row>
    <row r="40" spans="1:19" ht="20.100000000000001" customHeight="1" x14ac:dyDescent="0.15">
      <c r="A40" s="40" t="s">
        <v>103</v>
      </c>
      <c r="B40" s="40">
        <v>2</v>
      </c>
      <c r="C40" s="39" t="s">
        <v>104</v>
      </c>
      <c r="D40" s="38" t="s">
        <v>112</v>
      </c>
      <c r="E40" s="34">
        <f>COMBIN(LEN(SUBSTITUTE(D40,",",))/2,B40-E39)</f>
        <v>10</v>
      </c>
      <c r="F40" s="82"/>
      <c r="H40" s="83"/>
      <c r="I40" s="83"/>
      <c r="J40" s="86"/>
      <c r="K40" s="86"/>
      <c r="M40" s="78" t="str">
        <f>辅助!F40</f>
        <v>01,02,04,06,11</v>
      </c>
      <c r="N40" s="37">
        <v>29161.079999999998</v>
      </c>
      <c r="P40" s="36">
        <f>IF(LEN(SUBSTITUTE(Q39,",",))/2=4,SUM(N(ISNUMBER(FIND(LEFT(Q39,2),D40,1))),N(ISNUMBER(FIND(MID(Q39,4,2),D40,1))),N(ISNUMBER(FIND(MID(Q39,7,2),D40,1))),N(ISNUMBER(FIND(RIGHT(Q39,2),D40,1)))),IF(LEN(SUBSTITUTE(Q39,",",))/2=3,SUM(N(ISNUMBER(FIND(LEFT(Q39,2),D40,1))),N(ISNUMBER(FIND(MID(Q39,4,2),D40,1))),N(ISNUMBER(FIND(RIGHT(Q39,2),D40,1)))),IF(LEN(SUBSTITUTE(Q39,",",))/2=2,SUM(N(ISNUMBER(FIND(LEFT(Q39,2),D40,1))),N(ISNUMBER(FIND(RIGHT(Q39,2),D40,1)))),N(ISNUMBER(FIND(Q39,D40,1))))))</f>
        <v>0</v>
      </c>
    </row>
    <row r="41" spans="1:19" ht="20.100000000000001" customHeight="1" x14ac:dyDescent="0.15">
      <c r="A41" s="40" t="s">
        <v>103</v>
      </c>
      <c r="B41" s="40" t="s">
        <v>76</v>
      </c>
      <c r="C41" s="39" t="s">
        <v>30</v>
      </c>
      <c r="D41" s="38" t="s">
        <v>274</v>
      </c>
      <c r="E41" s="38">
        <f>LEN(SUBSTITUTE(D41,",",))/2</f>
        <v>1</v>
      </c>
      <c r="F41" s="82">
        <v>3</v>
      </c>
      <c r="H41" s="83">
        <v>3</v>
      </c>
      <c r="I41" s="83">
        <f>IF(AND(P41,P42&gt;=(B42-E41)),COMBIN(P42,B42-E41)*K41*F41,0)</f>
        <v>0</v>
      </c>
      <c r="J41" s="86" t="str">
        <f>TRIM(IF(LEN(D41)=0,"-",SUBSTITUTE(D41,","," ")))&amp;","&amp;TRIM(IF(LEN(D42)=0,"-",SUBSTITUTE(D42,","," ")))</f>
        <v>02,01 03 04 05 06 07 08 09 10 11</v>
      </c>
      <c r="K41" s="86">
        <f>'5Of11'!Z33</f>
        <v>31.844999999999999</v>
      </c>
      <c r="M41" s="78" t="str">
        <f>辅助!F41</f>
        <v>01,02,04,07,08</v>
      </c>
      <c r="N41" s="37">
        <v>27567.88</v>
      </c>
      <c r="P41" s="36" t="b">
        <f>AND(ISNUMBER(FIND(SUBSTITUTE(MID(D41,2,2),",",),P2,1)),ISNUMBER(FIND(SUBSTITUTE(MID(D41,5,2),",",),P2,1)))</f>
        <v>0</v>
      </c>
      <c r="Q41" s="36" t="str">
        <f>IF(P41,IF(FIND(SUBSTITUTE(MID(D41,2,2),",",),P2,1)&lt;3,SUBSTITUTE(P2,MID(D41,2,3),),SUBSTITUTE(P2,LEFT(D41,3),)),"此订单未中奖！")</f>
        <v>此订单未中奖！</v>
      </c>
      <c r="R41" s="36" t="str">
        <f>IF(P41,IF(FIND(SUBSTITUTE(MID(D41,5,2),",",),Q41,1)&lt;3,SUBSTITUTE(Q41,RIGHT(D41,3),),SUBSTITUTE(Q41,MID(D41,4,3),)),"此订单未中奖！")</f>
        <v>此订单未中奖！</v>
      </c>
    </row>
    <row r="42" spans="1:19" ht="20.100000000000001" customHeight="1" x14ac:dyDescent="0.15">
      <c r="A42" s="40" t="s">
        <v>103</v>
      </c>
      <c r="B42" s="40">
        <v>3</v>
      </c>
      <c r="C42" s="39" t="s">
        <v>104</v>
      </c>
      <c r="D42" s="38" t="s">
        <v>275</v>
      </c>
      <c r="E42" s="34">
        <f>COMBIN(LEN(SUBSTITUTE(D42,",",))/2,B42-E41)</f>
        <v>45</v>
      </c>
      <c r="F42" s="82"/>
      <c r="H42" s="83"/>
      <c r="I42" s="83"/>
      <c r="J42" s="86"/>
      <c r="K42" s="86"/>
      <c r="M42" s="78" t="str">
        <f>辅助!F42</f>
        <v>01,02,04,07,09</v>
      </c>
      <c r="N42" s="37">
        <v>27665.430000000004</v>
      </c>
      <c r="P42" s="41">
        <f>IF(LEN(SUBSTITUTE(R41,",",))/2=4,SUM(N(ISNUMBER(FIND(LEFT(R41,2),D42,1))),N(ISNUMBER(FIND(MID(R41,4,2),D42,1))),N(ISNUMBER(FIND(MID(R41,7,2),D42,1))),N(ISNUMBER(FIND(RIGHT(R41,2),D42,1)))),IF(LEN(SUBSTITUTE(R41,",",))/2=3,SUM(N(ISNUMBER(FIND(LEFT(R41,2),D42,1))),N(ISNUMBER(FIND(MID(R41,4,2),D42,1))),N(ISNUMBER(FIND(RIGHT(R41,2),D42,1)))),IF(LEN(SUBSTITUTE(R41,",",))/2=2,SUM(N(ISNUMBER(FIND(LEFT(R41,2),D42,1))),N(ISNUMBER(FIND(RIGHT(R41,2),D42,1)))),N(ISNUMBER(FIND(R41,D42,1))))))</f>
        <v>0</v>
      </c>
    </row>
    <row r="43" spans="1:19" ht="20.100000000000001" customHeight="1" x14ac:dyDescent="0.15">
      <c r="A43" s="40" t="s">
        <v>103</v>
      </c>
      <c r="B43" s="40" t="s">
        <v>78</v>
      </c>
      <c r="C43" s="39" t="s">
        <v>30</v>
      </c>
      <c r="D43" s="38" t="s">
        <v>276</v>
      </c>
      <c r="E43" s="38">
        <f>LEN(SUBSTITUTE(D43,",",))/2</f>
        <v>1</v>
      </c>
      <c r="F43" s="82">
        <v>4</v>
      </c>
      <c r="H43" s="83">
        <v>3</v>
      </c>
      <c r="I43" s="83">
        <f>IF(AND(P43,P44&gt;=(B44-E43)),COMBIN(P44,B44-E43)*K43*F43,0)</f>
        <v>2038.08</v>
      </c>
      <c r="J43" s="86" t="str">
        <f>TRIM(IF(LEN(D43)=0,"-",SUBSTITUTE(D43,","," ")))&amp;","&amp;TRIM(IF(LEN(D44)=0,"-",SUBSTITUTE(D44,","," ")))</f>
        <v>03,01 02 04 05 06 07 08 09 10 11</v>
      </c>
      <c r="K43" s="86">
        <f>'5Of11'!Z34</f>
        <v>127.38</v>
      </c>
      <c r="M43" s="78" t="str">
        <f>辅助!F43</f>
        <v>01,02,04,07,10</v>
      </c>
      <c r="N43" s="37">
        <v>27566.880000000001</v>
      </c>
      <c r="P43" s="36" t="b">
        <f>AND(ISNUMBER(FIND(SUBSTITUTE(MID(D43,2,2),",",),P2,1)),ISNUMBER(FIND(SUBSTITUTE(MID(D43,5,2),",",),P2,1)))</f>
        <v>1</v>
      </c>
      <c r="Q43" s="36" t="str">
        <f>IF(P43,IF(FIND(SUBSTITUTE(MID(D43,2,2),",",),P2,1)&lt;3,SUBSTITUTE(P2,MID(D43,2,3),),SUBSTITUTE(P2,LEFT(D43,3),)),"此订单未中奖！")</f>
        <v>06,07,08,10</v>
      </c>
      <c r="R43" s="36" t="str">
        <f>IF(P43,IF(FIND(SUBSTITUTE(MID(D43,5,2),",",),Q43,1)&lt;3,SUBSTITUTE(Q43,RIGHT(D43,3),),SUBSTITUTE(Q43,MID(D43,4,3),)),"此订单未中奖！")</f>
        <v>06,07,08,10</v>
      </c>
    </row>
    <row r="44" spans="1:19" ht="20.100000000000001" customHeight="1" x14ac:dyDescent="0.15">
      <c r="A44" s="40" t="s">
        <v>103</v>
      </c>
      <c r="B44" s="40">
        <v>4</v>
      </c>
      <c r="C44" s="39" t="s">
        <v>104</v>
      </c>
      <c r="D44" s="38" t="s">
        <v>321</v>
      </c>
      <c r="E44" s="34">
        <f>COMBIN(LEN(SUBSTITUTE(D44,",",))/2,B44-E43)</f>
        <v>120</v>
      </c>
      <c r="F44" s="82"/>
      <c r="H44" s="83"/>
      <c r="I44" s="83"/>
      <c r="J44" s="86"/>
      <c r="K44" s="86"/>
      <c r="M44" s="78" t="str">
        <f>辅助!F44</f>
        <v>01,02,04,07,11</v>
      </c>
      <c r="N44" s="37">
        <v>27559.280000000002</v>
      </c>
      <c r="P44" s="41">
        <f>IF(LEN(SUBSTITUTE(R43,",",))/2=4,SUM(N(ISNUMBER(FIND(LEFT(R43,2),D44,1))),N(ISNUMBER(FIND(MID(R43,4,2),D44,1))),N(ISNUMBER(FIND(MID(R43,7,2),D44,1))),N(ISNUMBER(FIND(RIGHT(R43,2),D44,1)))),IF(LEN(SUBSTITUTE(R43,",",))/2=3,SUM(N(ISNUMBER(FIND(LEFT(R43,2),D44,1))),N(ISNUMBER(FIND(MID(R43,4,2),D44,1))),N(ISNUMBER(FIND(RIGHT(R43,2),D44,1)))),IF(LEN(SUBSTITUTE(R43,",",))/2=2,SUM(N(ISNUMBER(FIND(LEFT(R43,2),D44,1))),N(ISNUMBER(FIND(RIGHT(R43,2),D44,1)))),N(ISNUMBER(FIND(R43,D44,1))))))</f>
        <v>4</v>
      </c>
    </row>
    <row r="45" spans="1:19" ht="20.100000000000001" customHeight="1" x14ac:dyDescent="0.15">
      <c r="A45" s="40" t="s">
        <v>103</v>
      </c>
      <c r="B45" s="40" t="s">
        <v>80</v>
      </c>
      <c r="C45" s="39" t="s">
        <v>30</v>
      </c>
      <c r="D45" s="38" t="s">
        <v>278</v>
      </c>
      <c r="E45" s="38">
        <f>LEN(SUBSTITUTE(D45,",",))/2</f>
        <v>1</v>
      </c>
      <c r="F45" s="82">
        <v>5</v>
      </c>
      <c r="H45" s="83">
        <v>0</v>
      </c>
      <c r="I45" s="83">
        <f>IF(AND(P45,P46&gt;=(B46-E45)),COMBIN(P46,B46-E45)*K45*F45,0)</f>
        <v>0</v>
      </c>
      <c r="J45" s="86" t="str">
        <f>TRIM(IF(LEN(D45)=0,"-",SUBSTITUTE(D45,","," ")))&amp;","&amp;TRIM(IF(LEN(D46)=0,"-",SUBSTITUTE(D46,","," ")))</f>
        <v>04,01 02 03 07 09 10 05 06 08 11</v>
      </c>
      <c r="K45" s="86">
        <f>'5Of11'!Z35</f>
        <v>891.66</v>
      </c>
      <c r="M45" s="78" t="str">
        <f>辅助!F45</f>
        <v>01,02,04,08,09</v>
      </c>
      <c r="N45" s="37">
        <v>26719.63</v>
      </c>
      <c r="P45" s="36" t="b">
        <f>AND(ISNUMBER(FIND(SUBSTITUTE(MID(D45,2,2),",",),P2,1)),ISNUMBER(FIND(SUBSTITUTE(MID(D45,5,2),",",),P2,1)),ISNUMBER(FIND(SUBSTITUTE(MID(D45,8,2),",",),P2,1)))</f>
        <v>0</v>
      </c>
      <c r="Q45" s="36" t="str">
        <f>IF(P45,IF(FIND(SUBSTITUTE(MID(D45,2,2),",",),P2,1)&lt;3,SUBSTITUTE(P2,MID(D45,2,3),),SUBSTITUTE(P2,LEFT(D45,3),)),"此订单未中奖！")</f>
        <v>此订单未中奖！</v>
      </c>
      <c r="R45" s="36" t="str">
        <f>IF(P45,IF(FIND(SUBSTITUTE(MID(D45,5,2),",",),Q45,1)&lt;3,SUBSTITUTE(Q45,MID(D45,5,3),),SUBSTITUTE(Q45,MID(D45,4,3),)),"此订单未中奖！")</f>
        <v>此订单未中奖！</v>
      </c>
      <c r="S45" s="36" t="str">
        <f>IF(P45,IF(FIND(SUBSTITUTE(MID(D45,8,2),",",),R45,1)&lt;3,SUBSTITUTE(R45,RIGHT(D45,3),),SUBSTITUTE(R45,MID(D45,7,3),)),"此订单未中奖！")</f>
        <v>此订单未中奖！</v>
      </c>
    </row>
    <row r="46" spans="1:19" ht="20.100000000000001" customHeight="1" x14ac:dyDescent="0.15">
      <c r="A46" s="40" t="s">
        <v>103</v>
      </c>
      <c r="B46" s="40">
        <v>5</v>
      </c>
      <c r="C46" s="39" t="s">
        <v>104</v>
      </c>
      <c r="D46" s="38" t="s">
        <v>279</v>
      </c>
      <c r="E46" s="34">
        <f>COMBIN(LEN(SUBSTITUTE(D46,",",))/2,B46-E45)</f>
        <v>209.99999999999997</v>
      </c>
      <c r="F46" s="82"/>
      <c r="H46" s="83"/>
      <c r="I46" s="83"/>
      <c r="J46" s="86"/>
      <c r="K46" s="86"/>
      <c r="M46" s="78" t="str">
        <f>辅助!F46</f>
        <v>01,02,04,08,10</v>
      </c>
      <c r="N46" s="37">
        <v>26732.18</v>
      </c>
      <c r="P46" s="41">
        <f>IF(LEN(SUBSTITUTE(S45,",",))/2=4,SUM(N(ISNUMBER(FIND(LEFT(S45,2),D46,1))),N(ISNUMBER(FIND(MID(S45,4,2),D46,1))),N(ISNUMBER(FIND(MID(S45,7,2),D46,1))),N(ISNUMBER(FIND(RIGHT(S45,2),D46,1)))),IF(LEN(SUBSTITUTE(S45,",",))/2=3,SUM(N(ISNUMBER(FIND(LEFT(S45,2),D46,1))),N(ISNUMBER(FIND(MID(S45,4,2),D46,1))),N(ISNUMBER(FIND(RIGHT(S45,2),D46,1)))),IF(LEN(SUBSTITUTE(S45,",",))/2=2,SUM(N(ISNUMBER(FIND(LEFT(S45,2),D46,1))),N(ISNUMBER(FIND(RIGHT(S45,2),D46,1)))),N(ISNUMBER(FIND(S45,D46,1))))))</f>
        <v>0</v>
      </c>
    </row>
    <row r="47" spans="1:19" ht="20.100000000000001" customHeight="1" x14ac:dyDescent="0.15">
      <c r="A47" s="40" t="s">
        <v>103</v>
      </c>
      <c r="B47" s="40" t="s">
        <v>82</v>
      </c>
      <c r="C47" s="39" t="s">
        <v>30</v>
      </c>
      <c r="D47" s="38" t="s">
        <v>280</v>
      </c>
      <c r="E47" s="38">
        <f>LEN(SUBSTITUTE(D47,",",))/2</f>
        <v>1</v>
      </c>
      <c r="F47" s="82">
        <v>5</v>
      </c>
      <c r="H47" s="83">
        <v>0</v>
      </c>
      <c r="I47" s="83">
        <f>IF(AND(P47,P48&gt;=(5-E47)),COMBIN(LEN(SUBSTITUTE(D48,",",))/2-P48,B48-5)*K47*F47,0)</f>
        <v>0</v>
      </c>
      <c r="J47" s="86" t="str">
        <f>TRIM(IF(LEN(D47)=0,"-",SUBSTITUTE(D47,","," ")))&amp;","&amp;TRIM(IF(LEN(D48)=0,"-",SUBSTITUTE(D48,","," ")))</f>
        <v>05,01 02 03 04 06 07 08 09 10 11</v>
      </c>
      <c r="K47" s="86">
        <f>'5Of11'!Z36</f>
        <v>148.61000000000001</v>
      </c>
      <c r="M47" s="78" t="str">
        <f>辅助!F47</f>
        <v>01,02,04,08,11</v>
      </c>
      <c r="N47" s="37">
        <v>26613.48</v>
      </c>
      <c r="P47" s="36" t="b">
        <f>AND(ISNUMBER(FIND(SUBSTITUTE(MID(D47,2,2),",",),P2,1)),ISNUMBER(FIND(SUBSTITUTE(MID(D47,5,2),",",),P2,1)))</f>
        <v>0</v>
      </c>
      <c r="Q47" s="36" t="str">
        <f>IF(P47,IF(FIND(SUBSTITUTE(MID(D47,2,2),",",),P2,1)&lt;3,SUBSTITUTE(P2,MID(D47,2,3),),SUBSTITUTE(P2,LEFT(D47,3),)),"此订单未中奖！")</f>
        <v>此订单未中奖！</v>
      </c>
      <c r="R47" s="36" t="str">
        <f>IF(P47,IF(FIND(SUBSTITUTE(MID(D47,5,2),",",),Q47,1)&lt;3,SUBSTITUTE(Q47,RIGHT(D47,3),),SUBSTITUTE(Q47,MID(D47,4,3),)),"此订单未中奖！")</f>
        <v>此订单未中奖！</v>
      </c>
    </row>
    <row r="48" spans="1:19" ht="20.100000000000001" customHeight="1" x14ac:dyDescent="0.15">
      <c r="A48" s="40" t="s">
        <v>103</v>
      </c>
      <c r="B48" s="40">
        <v>6</v>
      </c>
      <c r="C48" s="39" t="s">
        <v>104</v>
      </c>
      <c r="D48" s="38" t="s">
        <v>281</v>
      </c>
      <c r="E48" s="34">
        <f>COMBIN(LEN(SUBSTITUTE(D48,",",))/2,B48-E47)</f>
        <v>252</v>
      </c>
      <c r="F48" s="82"/>
      <c r="H48" s="83"/>
      <c r="I48" s="83"/>
      <c r="J48" s="86"/>
      <c r="K48" s="86"/>
      <c r="M48" s="78" t="str">
        <f>辅助!F48</f>
        <v>01,02,04,09,10</v>
      </c>
      <c r="N48" s="37">
        <v>26719.63</v>
      </c>
      <c r="P48" s="41">
        <f>IF(LEN(SUBSTITUTE(R47,",",))/2=4,SUM(N(ISNUMBER(FIND(LEFT(R47,2),D48,1))),N(ISNUMBER(FIND(MID(R47,4,2),D48,1))),N(ISNUMBER(FIND(MID(R47,7,2),D48,1))),N(ISNUMBER(FIND(RIGHT(R47,2),D48,1)))),IF(LEN(SUBSTITUTE(R47,",",))/2=3,SUM(N(ISNUMBER(FIND(LEFT(R47,2),D48,1))),N(ISNUMBER(FIND(MID(R47,4,2),D48,1))),N(ISNUMBER(FIND(RIGHT(R47,2),D48,1)))),IF(LEN(SUBSTITUTE(R47,",",))/2=2,SUM(N(ISNUMBER(FIND(LEFT(R47,2),D48,1))),N(ISNUMBER(FIND(RIGHT(R47,2),D48,1)))),N(ISNUMBER(FIND(R47,D48,1))))))</f>
        <v>0</v>
      </c>
    </row>
    <row r="49" spans="1:22" ht="20.100000000000001" customHeight="1" x14ac:dyDescent="0.15">
      <c r="A49" s="40" t="s">
        <v>103</v>
      </c>
      <c r="B49" s="40" t="s">
        <v>84</v>
      </c>
      <c r="C49" s="39" t="s">
        <v>30</v>
      </c>
      <c r="D49" s="38" t="s">
        <v>282</v>
      </c>
      <c r="E49" s="38">
        <f>LEN(SUBSTITUTE(D49,",",))/2</f>
        <v>1</v>
      </c>
      <c r="F49" s="82">
        <v>4</v>
      </c>
      <c r="H49" s="83">
        <v>0</v>
      </c>
      <c r="I49" s="83">
        <f>IF(AND(P49,P50&gt;=(5-E49)),COMBIN(LEN(SUBSTITUTE(D50,",",))/2-P50,B50-5)*K49*F49,0)</f>
        <v>2547.6</v>
      </c>
      <c r="J49" s="86" t="str">
        <f>TRIM(IF(LEN(D49)=0,"-",SUBSTITUTE(D49,","," ")))&amp;","&amp;TRIM(IF(LEN(D50)=0,"-",SUBSTITUTE(D50,","," ")))</f>
        <v>06,01 02 03 04 05 07 08 09 10 11</v>
      </c>
      <c r="K49" s="86">
        <f>'5Of11'!Z37</f>
        <v>42.46</v>
      </c>
      <c r="M49" s="78" t="str">
        <f>辅助!F49</f>
        <v>01,02,04,09,11</v>
      </c>
      <c r="N49" s="37">
        <v>26712.030000000002</v>
      </c>
      <c r="P49" s="36" t="b">
        <f>AND(ISNUMBER(FIND(SUBSTITUTE(MID(D49,2,2),",",),P2,1)),ISNUMBER(FIND(SUBSTITUTE(MID(D49,5,2),",",),P2,1)),ISNUMBER(FIND(SUBSTITUTE(MID(D49,8,2),",",),P2,1)))</f>
        <v>1</v>
      </c>
      <c r="Q49" s="36" t="str">
        <f>IF(P49,IF(FIND(SUBSTITUTE(MID(D49,2,2),",",),P2,1)&lt;3,SUBSTITUTE(P2,MID(D49,2,3),),SUBSTITUTE(P2,LEFT(D49,3),)),"此订单未中奖！")</f>
        <v>03,07,08,10</v>
      </c>
      <c r="R49" s="36" t="str">
        <f>IF(P49,IF(FIND(SUBSTITUTE(MID(D49,5,2),",",),Q49,1)&lt;3,SUBSTITUTE(Q49,MID(D49,5,3),),SUBSTITUTE(Q49,MID(D49,4,3),)),"此订单未中奖！")</f>
        <v>03,07,08,10</v>
      </c>
      <c r="S49" s="36" t="str">
        <f>IF(P49,IF(FIND(SUBSTITUTE(MID(D49,8,2),",",),R49,1)&lt;3,SUBSTITUTE(R49,RIGHT(D49,3),),SUBSTITUTE(R49,MID(D49,7,3),)),"此订单未中奖！")</f>
        <v>03,07,08,10</v>
      </c>
    </row>
    <row r="50" spans="1:22" ht="20.100000000000001" customHeight="1" x14ac:dyDescent="0.15">
      <c r="A50" s="40" t="s">
        <v>103</v>
      </c>
      <c r="B50" s="40">
        <v>7</v>
      </c>
      <c r="C50" s="39" t="s">
        <v>104</v>
      </c>
      <c r="D50" s="38" t="s">
        <v>283</v>
      </c>
      <c r="E50" s="34">
        <f>COMBIN(LEN(SUBSTITUTE(D50,",",))/2,B50-E49)</f>
        <v>209.99999999999997</v>
      </c>
      <c r="F50" s="82"/>
      <c r="H50" s="83"/>
      <c r="I50" s="83"/>
      <c r="J50" s="86"/>
      <c r="K50" s="86"/>
      <c r="M50" s="78" t="str">
        <f>辅助!F50</f>
        <v>01,02,04,10,11</v>
      </c>
      <c r="N50" s="37">
        <v>26585.260000000002</v>
      </c>
      <c r="P50" s="41">
        <f>IF(LEN(SUBSTITUTE(S49,",",))/2=4,SUM(N(ISNUMBER(FIND(LEFT(S49,2),D50,1))),N(ISNUMBER(FIND(MID(S49,4,2),D50,1))),N(ISNUMBER(FIND(MID(S49,7,2),D50,1))),N(ISNUMBER(FIND(RIGHT(S49,2),D50,1)))),IF(LEN(SUBSTITUTE(S49,",",))/2=3,SUM(N(ISNUMBER(FIND(LEFT(S49,2),D50,1))),N(ISNUMBER(FIND(MID(S49,4,2),D50,1))),N(ISNUMBER(FIND(RIGHT(S49,2),D50,1)))),IF(LEN(SUBSTITUTE(S49,",",))/2=2,SUM(N(ISNUMBER(FIND(LEFT(S49,2),D50,1))),N(ISNUMBER(FIND(RIGHT(S49,2),D50,1)))),N(ISNUMBER(FIND(S49,D50,1))))))</f>
        <v>4</v>
      </c>
    </row>
    <row r="51" spans="1:22" ht="20.100000000000001" customHeight="1" x14ac:dyDescent="0.15">
      <c r="A51" s="40" t="s">
        <v>103</v>
      </c>
      <c r="B51" s="40" t="s">
        <v>86</v>
      </c>
      <c r="C51" s="39" t="s">
        <v>30</v>
      </c>
      <c r="D51" s="38" t="s">
        <v>258</v>
      </c>
      <c r="E51" s="38">
        <f>LEN(SUBSTITUTE(D51,",",))/2</f>
        <v>1</v>
      </c>
      <c r="F51" s="82">
        <v>3</v>
      </c>
      <c r="H51" s="83">
        <v>0</v>
      </c>
      <c r="I51" s="83">
        <f>IF(AND(P51,P52&gt;=(5-E51)),COMBIN(LEN(SUBSTITUTE(D52,",",))/2-P52,B52-5)*K51*F51,0)</f>
        <v>953.40000000000009</v>
      </c>
      <c r="J51" s="86" t="str">
        <f>TRIM(IF(LEN(D51)=0,"-",SUBSTITUTE(D51,","," ")))&amp;","&amp;TRIM(IF(LEN(D52)=0,"-",SUBSTITUTE(D52,","," ")))</f>
        <v>07,01 02 03 04 05 06 09 10 08 11</v>
      </c>
      <c r="K51" s="86">
        <f>'5Of11'!Z38</f>
        <v>15.89</v>
      </c>
      <c r="M51" s="78" t="str">
        <f>辅助!F51</f>
        <v>01,02,05,06,07</v>
      </c>
      <c r="N51" s="37">
        <v>30290.510000000002</v>
      </c>
      <c r="P51" s="36" t="b">
        <f>AND(ISNUMBER(FIND(SUBSTITUTE(MID(D51,2,2),",",),P2,1)),ISNUMBER(FIND(SUBSTITUTE(MID(D51,5,2),",",),P2,1)))</f>
        <v>1</v>
      </c>
      <c r="Q51" s="36" t="str">
        <f>IF(P51,IF(FIND(SUBSTITUTE(MID(D51,2,2),",",),P2,1)&lt;3,SUBSTITUTE(P2,MID(D51,2,3),),SUBSTITUTE(P2,LEFT(D51,3),)),"此订单未中奖！")</f>
        <v>03,06,08,10</v>
      </c>
      <c r="R51" s="36" t="str">
        <f>IF(P51,IF(FIND(SUBSTITUTE(MID(D51,5,2),",",),Q51,1)&lt;3,SUBSTITUTE(Q51,RIGHT(D51,3),),SUBSTITUTE(Q51,MID(D51,4,3),)),"此订单未中奖！")</f>
        <v>03,06,08,10</v>
      </c>
    </row>
    <row r="52" spans="1:22" ht="20.100000000000001" customHeight="1" x14ac:dyDescent="0.15">
      <c r="A52" s="40" t="s">
        <v>103</v>
      </c>
      <c r="B52" s="40">
        <v>8</v>
      </c>
      <c r="C52" s="39" t="s">
        <v>104</v>
      </c>
      <c r="D52" s="38" t="s">
        <v>284</v>
      </c>
      <c r="E52" s="34">
        <f>COMBIN(LEN(SUBSTITUTE(D52,",",))/2,B52-E51)</f>
        <v>120</v>
      </c>
      <c r="F52" s="82"/>
      <c r="H52" s="83"/>
      <c r="I52" s="83"/>
      <c r="J52" s="86"/>
      <c r="K52" s="86"/>
      <c r="M52" s="78" t="str">
        <f>辅助!F52</f>
        <v>01,02,05,06,08</v>
      </c>
      <c r="N52" s="37">
        <v>29557.010000000002</v>
      </c>
      <c r="P52" s="41">
        <f>IF(LEN(SUBSTITUTE(R51,",",))/2=4,SUM(N(ISNUMBER(FIND(LEFT(R51,2),D52,1))),N(ISNUMBER(FIND(MID(R51,4,2),D52,1))),N(ISNUMBER(FIND(MID(R51,7,2),D52,1))),N(ISNUMBER(FIND(RIGHT(R51,2),D52,1)))),IF(LEN(SUBSTITUTE(R51,",",))/2=3,SUM(N(ISNUMBER(FIND(LEFT(R51,2),D52,1))),N(ISNUMBER(FIND(MID(R51,4,2),D52,1))),N(ISNUMBER(FIND(RIGHT(R51,2),D52,1)))),IF(LEN(SUBSTITUTE(R51,",",))/2=2,SUM(N(ISNUMBER(FIND(LEFT(R51,2),D52,1))),N(ISNUMBER(FIND(RIGHT(R51,2),D52,1)))),N(ISNUMBER(FIND(R51,D52,1))))))</f>
        <v>4</v>
      </c>
    </row>
    <row r="53" spans="1:22" s="47" customFormat="1" ht="20.100000000000001" customHeight="1" x14ac:dyDescent="0.15">
      <c r="A53" s="32" t="s">
        <v>23</v>
      </c>
      <c r="B53" s="32" t="s">
        <v>25</v>
      </c>
      <c r="C53" s="33" t="s">
        <v>26</v>
      </c>
      <c r="D53" s="38" t="s">
        <v>322</v>
      </c>
      <c r="E53" s="82">
        <v>45</v>
      </c>
      <c r="F53" s="100">
        <v>2</v>
      </c>
      <c r="G53" s="33">
        <f>IF(AND(ISNUMBER(FIND(P56,D53,1)),LEN($P53)&lt;&gt;0),1,0)</f>
        <v>1</v>
      </c>
      <c r="H53" s="101">
        <f>IF(SUM(G53:G55)=3,1,0)</f>
        <v>1</v>
      </c>
      <c r="I53" s="101">
        <f>H53*K53*F53</f>
        <v>58714.68</v>
      </c>
      <c r="J53" s="100" t="str">
        <f>TRIM(IF(LEN(D53)=0,"-",SUBSTITUTE(D53,","," ")))&amp;","&amp;TRIM(IF(LEN(D54)=0,"-",SUBSTITUTE(D54,","," ")))&amp;","&amp;TRIM(IF(LEN(D55)=0,"-",SUBSTITUTE(D55,","," ")))</f>
        <v>01 02 03 04 05 06 07 08 09 10 11,01 02 03 04 05 06 07 08 09 10 11,01 02 03 04 05 06 07 08 09 10 11</v>
      </c>
      <c r="K53" s="87">
        <f>N53</f>
        <v>29357.34</v>
      </c>
      <c r="L53" s="34"/>
      <c r="M53" s="78" t="str">
        <f>辅助!F53</f>
        <v>01,02,05,06,09</v>
      </c>
      <c r="N53" s="34">
        <v>29357.34</v>
      </c>
      <c r="O53" s="76"/>
      <c r="P53" s="33" t="str">
        <f>O3</f>
        <v>01,02,03,04,06</v>
      </c>
      <c r="Q53" s="41" t="str">
        <f>SUBSTITUTE(SUBSTITUTE(P53,Q54,),",",)</f>
        <v>01020304</v>
      </c>
      <c r="R53" s="41" t="str">
        <f>SUBSTITUTE(Q53,R54,)</f>
        <v>010203</v>
      </c>
      <c r="S53" s="41" t="str">
        <f>0&amp;MAX(INT(S56),INT(S57),INT(S58))</f>
        <v>03</v>
      </c>
      <c r="T53" s="33"/>
      <c r="U53" s="33"/>
      <c r="V53" s="36"/>
    </row>
    <row r="54" spans="1:22" ht="20.100000000000001" customHeight="1" x14ac:dyDescent="0.15">
      <c r="A54" s="32" t="s">
        <v>23</v>
      </c>
      <c r="B54" s="32" t="s">
        <v>25</v>
      </c>
      <c r="C54" s="33" t="s">
        <v>27</v>
      </c>
      <c r="D54" s="38" t="s">
        <v>254</v>
      </c>
      <c r="E54" s="82"/>
      <c r="F54" s="100"/>
      <c r="G54" s="33">
        <f>IF(AND(ISNUMBER(FIND(P57,D54,1)),LEN($P53)&lt;&gt;0),1,0)</f>
        <v>1</v>
      </c>
      <c r="H54" s="101"/>
      <c r="I54" s="101"/>
      <c r="J54" s="100"/>
      <c r="K54" s="89"/>
      <c r="L54" s="34"/>
      <c r="M54" s="78" t="str">
        <f>辅助!F54</f>
        <v>01,02,05,06,10</v>
      </c>
      <c r="N54" s="34">
        <v>29258.79</v>
      </c>
      <c r="O54" s="76"/>
      <c r="P54" s="33" t="str">
        <f>SUBSTITUTE(LEFT(P53,8),","," ")</f>
        <v>01 02 03</v>
      </c>
      <c r="Q54" s="41" t="str">
        <f>IF(MAX(INT(P56),INT(P57),INT(P58),INT(P59),INT(P60))&lt;10,0&amp;MAX(INT(P56),INT(P57),INT(P58),INT(P59),INT(P60)),MAX(INT(P56),INT(P57),INT(P58),INT(P59),INT(P60)))</f>
        <v>06</v>
      </c>
      <c r="R54" s="41" t="str">
        <f>IF(MAX(INT(R56),INT(R57),INT(R58),INT(R59))&lt;10,0&amp;MAX(INT(R56),INT(R57),INT(R58),INT(R59)),MAX(INT(R56),INT(R57),INT(R58),INT(R59)))</f>
        <v>04</v>
      </c>
      <c r="S54" s="41"/>
      <c r="T54" s="33"/>
      <c r="U54" s="33"/>
    </row>
    <row r="55" spans="1:22" ht="20.100000000000001" customHeight="1" x14ac:dyDescent="0.15">
      <c r="A55" s="32" t="s">
        <v>23</v>
      </c>
      <c r="B55" s="32" t="s">
        <v>25</v>
      </c>
      <c r="C55" s="33" t="s">
        <v>28</v>
      </c>
      <c r="D55" s="38" t="s">
        <v>260</v>
      </c>
      <c r="E55" s="82"/>
      <c r="F55" s="100"/>
      <c r="G55" s="33">
        <f>IF(AND(ISNUMBER(FIND(P58,D55,1)),LEN($P53)&lt;&gt;0),1,0)</f>
        <v>1</v>
      </c>
      <c r="H55" s="101"/>
      <c r="I55" s="101"/>
      <c r="J55" s="100"/>
      <c r="K55" s="88"/>
      <c r="L55" s="34"/>
      <c r="M55" s="78" t="str">
        <f>辅助!F55</f>
        <v>01,02,05,06,11</v>
      </c>
      <c r="N55" s="34">
        <v>29251.190000000002</v>
      </c>
      <c r="O55" s="76"/>
      <c r="P55" s="33" t="str">
        <f>SUBSTITUTE(LEFT(P54,5),","," ")</f>
        <v>01 02</v>
      </c>
      <c r="Q55" s="33"/>
      <c r="R55" s="33"/>
      <c r="S55" s="33"/>
      <c r="T55" s="33"/>
      <c r="U55" s="33"/>
    </row>
    <row r="56" spans="1:22" ht="20.100000000000001" customHeight="1" x14ac:dyDescent="0.15">
      <c r="A56" s="32" t="s">
        <v>23</v>
      </c>
      <c r="B56" s="33" t="s">
        <v>32</v>
      </c>
      <c r="C56" s="33"/>
      <c r="D56" s="38" t="s">
        <v>220</v>
      </c>
      <c r="E56" s="38">
        <f>LEN(SUBSTITUTE(SUBSTITUTE(D56,",",)," ",))/6</f>
        <v>4</v>
      </c>
      <c r="F56" s="34">
        <v>5</v>
      </c>
      <c r="G56" s="33">
        <f>IF(AND(ISNUMBER(FIND(SUBSTITUTE(LEFT(P53,8),","," "),D56,1)),LEN($P53)&lt;&gt;0),1,0)</f>
        <v>1</v>
      </c>
      <c r="H56" s="33">
        <f>G56</f>
        <v>1</v>
      </c>
      <c r="I56" s="33">
        <f>H56*K56*F56</f>
        <v>146293.95000000001</v>
      </c>
      <c r="J56" s="34" t="str">
        <f>TRIM(IF(LEN(D56)=0,"-",SUBSTITUTE(D56," "," ")))</f>
        <v>01 02 03,04 05 06,07 08 09,02 05 07</v>
      </c>
      <c r="K56" s="34">
        <f>N54</f>
        <v>29258.79</v>
      </c>
      <c r="L56" s="34"/>
      <c r="M56" s="78" t="str">
        <f>辅助!F56</f>
        <v>01,02,05,07,08</v>
      </c>
      <c r="N56" s="34">
        <v>27551.840000000004</v>
      </c>
      <c r="O56" s="76"/>
      <c r="P56" s="33" t="str">
        <f>LEFT(P53,2)</f>
        <v>01</v>
      </c>
      <c r="Q56" s="33">
        <f>MOD(P56,2)</f>
        <v>1</v>
      </c>
      <c r="R56" s="33" t="str">
        <f>LEFT(Q53,2)</f>
        <v>01</v>
      </c>
      <c r="S56" s="33" t="str">
        <f>LEFT(R53,2)</f>
        <v>01</v>
      </c>
      <c r="T56" s="33"/>
      <c r="U56" s="33"/>
    </row>
    <row r="57" spans="1:22" ht="20.100000000000001" customHeight="1" x14ac:dyDescent="0.15">
      <c r="A57" s="32" t="s">
        <v>23</v>
      </c>
      <c r="B57" s="33" t="s">
        <v>35</v>
      </c>
      <c r="C57" s="33" t="s">
        <v>39</v>
      </c>
      <c r="D57" s="38" t="s">
        <v>257</v>
      </c>
      <c r="E57" s="38">
        <f>COMBIN(LEN(SUBSTITUTE(D57,",",))/2,3)</f>
        <v>165</v>
      </c>
      <c r="F57" s="34">
        <v>3</v>
      </c>
      <c r="G57" s="33"/>
      <c r="H57" s="33">
        <v>1</v>
      </c>
      <c r="I57" s="33">
        <f>IF(AND(P56&lt;&gt;P57,P56&lt;&gt;P58,P57&lt;&gt;P58),IF(SUM(N(ISNUMBER(FIND(P56,J57,1))),N(ISNUMBER(FIND(P57,J57,1))),N(ISNUMBER(FIND(P58,J57,1))))=3,F57*K57,0),0)</f>
        <v>87753.57</v>
      </c>
      <c r="J57" s="34" t="str">
        <f>TRIM(IF(LEN('5Of11Source'!D57)=0,"-",SUBSTITUTE('5Of11Source'!D57,","," ")))</f>
        <v>01 02 03 04 05 06 07 08 09 10 11</v>
      </c>
      <c r="K57" s="34">
        <f t="shared" ref="K57:K58" si="3">N55</f>
        <v>29251.190000000002</v>
      </c>
      <c r="L57" s="34"/>
      <c r="M57" s="78" t="str">
        <f>辅助!F57</f>
        <v>01,02,05,07,09</v>
      </c>
      <c r="N57" s="34">
        <v>27694.240000000005</v>
      </c>
      <c r="O57" s="76"/>
      <c r="P57" s="33" t="str">
        <f>MID(P53,4,2)</f>
        <v>02</v>
      </c>
      <c r="Q57" s="33">
        <f t="shared" ref="Q57:Q60" si="4">MOD(P57,2)</f>
        <v>0</v>
      </c>
      <c r="R57" s="33" t="str">
        <f>MID(Q53,3,2)</f>
        <v>02</v>
      </c>
      <c r="S57" s="33" t="str">
        <f>MID(R53,3,2)</f>
        <v>02</v>
      </c>
      <c r="T57" s="33"/>
      <c r="U57" s="33"/>
    </row>
    <row r="58" spans="1:22" ht="20.100000000000001" customHeight="1" x14ac:dyDescent="0.15">
      <c r="A58" s="32" t="s">
        <v>23</v>
      </c>
      <c r="B58" s="33" t="s">
        <v>36</v>
      </c>
      <c r="C58" s="33"/>
      <c r="D58" s="38" t="s">
        <v>222</v>
      </c>
      <c r="E58" s="38">
        <f>LEN(SUBSTITUTE(SUBSTITUTE(D58,",",)," ",))/6</f>
        <v>4</v>
      </c>
      <c r="F58" s="34">
        <v>4</v>
      </c>
      <c r="G58" s="33"/>
      <c r="H58" s="33"/>
      <c r="I58" s="33">
        <f>IF(OR(ISNUMBER(FIND(P56&amp;" "&amp;P57&amp;" "&amp;P58,D58,1)),ISNUMBER(FIND(P56&amp;" "&amp;P58&amp;" "&amp;P57,D58,1)),ISNUMBER(FIND(P57&amp;" "&amp;P56&amp;" "&amp;P58,D58,1)),ISNUMBER(FIND(P57&amp;" "&amp;P58&amp;" "&amp;P56,D58,1)),ISNUMBER(FIND(P58&amp;" "&amp;P56&amp;" "&amp;P57,D58,1)),ISNUMBER(FIND(P58&amp;" "&amp;P57&amp;" "&amp;P56,D58,1))),F58*K58,0)</f>
        <v>110207.36000000002</v>
      </c>
      <c r="J58" s="34" t="str">
        <f>TRIM(IF(LEN('5Of11Source'!D58)=0,"-",SUBSTITUTE('5Of11Source'!D58,","," ")))</f>
        <v>01 02 03 06 07 08 09 10 11 05 02 07</v>
      </c>
      <c r="K58" s="34">
        <f t="shared" si="3"/>
        <v>27551.840000000004</v>
      </c>
      <c r="L58" s="34"/>
      <c r="M58" s="78" t="str">
        <f>辅助!F58</f>
        <v>01,02,05,07,10</v>
      </c>
      <c r="N58" s="34">
        <v>27550.840000000004</v>
      </c>
      <c r="O58" s="76"/>
      <c r="P58" s="33" t="str">
        <f>MID(P53,7,2)</f>
        <v>03</v>
      </c>
      <c r="Q58" s="33">
        <f t="shared" si="4"/>
        <v>1</v>
      </c>
      <c r="R58" s="33" t="str">
        <f>MID(Q53,5,2)</f>
        <v>03</v>
      </c>
      <c r="S58" s="33" t="str">
        <f>MID(R53,5,2)</f>
        <v>03</v>
      </c>
      <c r="T58" s="33"/>
      <c r="U58" s="33"/>
    </row>
    <row r="59" spans="1:22" ht="20.100000000000001" customHeight="1" x14ac:dyDescent="0.15">
      <c r="A59" s="32" t="s">
        <v>23</v>
      </c>
      <c r="B59" s="32" t="s">
        <v>38</v>
      </c>
      <c r="C59" s="33" t="s">
        <v>30</v>
      </c>
      <c r="D59" s="38" t="s">
        <v>258</v>
      </c>
      <c r="E59" s="82">
        <f>COMBIN(LEN(SUBSTITUTE(D60,",",))/2,3-LEN(SUBSTITUTE(D59,",",))/2)</f>
        <v>45</v>
      </c>
      <c r="F59" s="100">
        <v>2</v>
      </c>
      <c r="G59" s="33" t="str">
        <f>IF(AND(ISNUMBER(FIND(SUBSTITUTE(MID(D59,2,2),",",),P54,1)),ISNUMBER(FIND(SUBSTITUTE(MID(D59,5,2),",",),P54,1))),SUBSTITUTE(P54,MID(D59,2,2),),"此订单未中奖！")</f>
        <v>此订单未中奖！</v>
      </c>
      <c r="H59" s="33" t="str">
        <f>IF(AND(ISNUMBER(FIND(SUBSTITUTE(MID(D59,2,2),",",),P54,1)),ISNUMBER(FIND(SUBSTITUTE(MID(D59,5,2),",",),P54,1))),SUBSTITUTE(G59,MID(D59,5,2),),"此订单未中奖！")</f>
        <v>此订单未中奖！</v>
      </c>
      <c r="I59" s="101">
        <f>IF(G60&gt;0,G60*K59*F59,0)</f>
        <v>0</v>
      </c>
      <c r="J59" s="100" t="str">
        <f>TRIM(IF(LEN(D59)=0,"-",SUBSTITUTE(D59,","," ")))&amp;","&amp;TRIM(IF(LEN(D60)=0,"-",SUBSTITUTE(D60,","," ")))</f>
        <v>07,01 02 03 04 05 06 08 09 10 11</v>
      </c>
      <c r="K59" s="87">
        <f>N57</f>
        <v>27694.240000000005</v>
      </c>
      <c r="L59" s="34"/>
      <c r="M59" s="78" t="str">
        <f>辅助!F59</f>
        <v>01,02,05,07,11</v>
      </c>
      <c r="N59" s="34">
        <v>27588.090000000004</v>
      </c>
      <c r="O59" s="76"/>
      <c r="P59" s="33" t="str">
        <f>MID(P53,10,2)</f>
        <v>04</v>
      </c>
      <c r="Q59" s="33">
        <f t="shared" si="4"/>
        <v>0</v>
      </c>
      <c r="R59" s="33" t="str">
        <f>MID(Q53,7,2)</f>
        <v>04</v>
      </c>
      <c r="S59" s="33"/>
      <c r="T59" s="33"/>
      <c r="U59" s="33"/>
    </row>
    <row r="60" spans="1:22" ht="20.100000000000001" customHeight="1" x14ac:dyDescent="0.15">
      <c r="A60" s="32" t="s">
        <v>23</v>
      </c>
      <c r="B60" s="32" t="s">
        <v>38</v>
      </c>
      <c r="C60" s="33" t="s">
        <v>31</v>
      </c>
      <c r="D60" s="38" t="s">
        <v>259</v>
      </c>
      <c r="E60" s="82"/>
      <c r="F60" s="100"/>
      <c r="G60" s="33">
        <f>N(ISNUMBER(FIND(TRIM(H59),D60,1)))</f>
        <v>0</v>
      </c>
      <c r="H60" s="32"/>
      <c r="I60" s="101"/>
      <c r="J60" s="100"/>
      <c r="K60" s="88"/>
      <c r="L60" s="34"/>
      <c r="M60" s="78" t="str">
        <f>辅助!F60</f>
        <v>01,02,05,08,09</v>
      </c>
      <c r="N60" s="34">
        <v>26703.590000000004</v>
      </c>
      <c r="O60" s="76"/>
      <c r="P60" s="33" t="str">
        <f>RIGHT(P53,2)</f>
        <v>06</v>
      </c>
      <c r="Q60" s="33">
        <f t="shared" si="4"/>
        <v>0</v>
      </c>
      <c r="R60" s="33"/>
      <c r="S60" s="33"/>
      <c r="T60" s="33"/>
      <c r="U60" s="33"/>
    </row>
    <row r="61" spans="1:22" ht="20.100000000000001" customHeight="1" x14ac:dyDescent="0.15">
      <c r="A61" s="32" t="s">
        <v>41</v>
      </c>
      <c r="B61" s="32" t="s">
        <v>43</v>
      </c>
      <c r="C61" s="33" t="s">
        <v>26</v>
      </c>
      <c r="D61" s="38" t="s">
        <v>261</v>
      </c>
      <c r="E61" s="82">
        <f>(LEN(SUBSTITUTE(D61,",",))/2)*(LEN(SUBSTITUTE(D62,",",))/2)</f>
        <v>121</v>
      </c>
      <c r="F61" s="100">
        <v>5</v>
      </c>
      <c r="G61" s="33">
        <f>IF(AND(ISNUMBER(FIND(P56,D61,1)),LEN($P53)&lt;&gt;0),1,0)</f>
        <v>1</v>
      </c>
      <c r="H61" s="101">
        <f>IF(SUM(G61:G62)=2,1,0)</f>
        <v>1</v>
      </c>
      <c r="I61" s="101">
        <f>H61*F61*K61</f>
        <v>137754.20000000001</v>
      </c>
      <c r="J61" s="100" t="str">
        <f>TRIM(IF(LEN(D61)=0,"-",SUBSTITUTE(D61,","," ")))&amp;","&amp;TRIM(IF(LEN(D62)=0,"-",SUBSTITUTE(D62,","," ")))</f>
        <v>01 02 03 04 05 06 07 08 09 10 11,01 02 03 04 05 06 07 08 09 10 11</v>
      </c>
      <c r="K61" s="87">
        <f>N58</f>
        <v>27550.840000000004</v>
      </c>
      <c r="L61" s="34"/>
      <c r="M61" s="78" t="str">
        <f>辅助!F61</f>
        <v>01,02,05,08,10</v>
      </c>
      <c r="N61" s="34">
        <v>26605.040000000001</v>
      </c>
      <c r="O61" s="76"/>
      <c r="P61" s="33" t="str">
        <f>SUM(Q56:Q60)&amp;"单"&amp;5-SUM(Q56:Q60)&amp;"双"</f>
        <v>2单3双</v>
      </c>
      <c r="Q61" s="33"/>
      <c r="R61" s="33"/>
      <c r="S61" s="33"/>
      <c r="T61" s="33"/>
      <c r="U61" s="33"/>
    </row>
    <row r="62" spans="1:22" ht="20.100000000000001" customHeight="1" x14ac:dyDescent="0.15">
      <c r="A62" s="32" t="s">
        <v>41</v>
      </c>
      <c r="B62" s="32" t="s">
        <v>43</v>
      </c>
      <c r="C62" s="33" t="s">
        <v>27</v>
      </c>
      <c r="D62" s="38" t="s">
        <v>255</v>
      </c>
      <c r="E62" s="82"/>
      <c r="F62" s="100"/>
      <c r="G62" s="33">
        <f>IF(AND(ISNUMBER(FIND(P57,D62,1)),LEN($P53)&lt;&gt;0),1,0)</f>
        <v>1</v>
      </c>
      <c r="H62" s="101"/>
      <c r="I62" s="101"/>
      <c r="J62" s="100"/>
      <c r="K62" s="88"/>
      <c r="L62" s="34"/>
      <c r="M62" s="78" t="str">
        <f>辅助!F62</f>
        <v>01,02,05,08,11</v>
      </c>
      <c r="N62" s="34">
        <v>26597.440000000002</v>
      </c>
      <c r="O62" s="76"/>
      <c r="P62" s="33"/>
      <c r="Q62" s="33"/>
      <c r="R62" s="33"/>
      <c r="S62" s="33"/>
      <c r="T62" s="33"/>
      <c r="U62" s="33"/>
    </row>
    <row r="63" spans="1:22" ht="20.100000000000001" customHeight="1" x14ac:dyDescent="0.15">
      <c r="A63" s="32" t="s">
        <v>41</v>
      </c>
      <c r="B63" s="33" t="s">
        <v>45</v>
      </c>
      <c r="C63" s="33"/>
      <c r="D63" s="38" t="s">
        <v>262</v>
      </c>
      <c r="E63" s="38">
        <f>LEN(SUBSTITUTE(SUBSTITUTE(D63,",",)," ",))/4</f>
        <v>5</v>
      </c>
      <c r="F63" s="34">
        <v>3</v>
      </c>
      <c r="G63" s="33">
        <f>IF(AND(ISNUMBER(FIND(SUBSTITUTE(LEFT(P53,5),","," "),D63,1)),LEN($P53)&lt;&gt;0),1,0)</f>
        <v>1</v>
      </c>
      <c r="H63" s="33">
        <f>G63</f>
        <v>1</v>
      </c>
      <c r="I63" s="33">
        <f>H63*F63*K63</f>
        <v>82764.270000000019</v>
      </c>
      <c r="J63" s="34" t="str">
        <f>TRIM(D63)</f>
        <v>01 02,02 05,05 02,07 08,09 10</v>
      </c>
      <c r="K63" s="34">
        <f>N59</f>
        <v>27588.090000000004</v>
      </c>
      <c r="L63" s="34"/>
      <c r="M63" s="78" t="str">
        <f>辅助!F63</f>
        <v>01,02,05,09,10</v>
      </c>
      <c r="N63" s="34">
        <v>26703.590000000004</v>
      </c>
      <c r="O63" s="76"/>
      <c r="P63" s="33"/>
      <c r="Q63" s="33"/>
      <c r="R63" s="33"/>
      <c r="S63" s="33"/>
      <c r="T63" s="33"/>
      <c r="U63" s="33"/>
    </row>
    <row r="64" spans="1:22" ht="20.100000000000001" customHeight="1" x14ac:dyDescent="0.15">
      <c r="A64" s="32" t="s">
        <v>41</v>
      </c>
      <c r="B64" s="33" t="s">
        <v>47</v>
      </c>
      <c r="C64" s="33" t="s">
        <v>53</v>
      </c>
      <c r="D64" s="38" t="s">
        <v>109</v>
      </c>
      <c r="E64" s="38">
        <f>COMBIN(LEN(SUBSTITUTE(D64,",",))/2,2)</f>
        <v>55</v>
      </c>
      <c r="F64" s="34">
        <v>1</v>
      </c>
      <c r="G64" s="33"/>
      <c r="H64" s="33"/>
      <c r="I64" s="33">
        <f>IF(OR(ISNUMBER(FIND(P56,D64,1)),ISNUMBER(FIND(P57,D64,1))),F64*K64,0)</f>
        <v>26703.590000000004</v>
      </c>
      <c r="J64" s="34" t="str">
        <f>TRIM(IF(LEN('5Of11Source'!D64)=0,"-",SUBSTITUTE('5Of11Source'!D64,","," ")))</f>
        <v>01 02 03 04 05 06 07 08 09 10 11</v>
      </c>
      <c r="K64" s="34">
        <f>N60</f>
        <v>26703.590000000004</v>
      </c>
      <c r="L64" s="34"/>
      <c r="M64" s="78" t="str">
        <f>辅助!F64</f>
        <v>01,02,05,09,11</v>
      </c>
      <c r="N64" s="34">
        <v>26740.840000000004</v>
      </c>
      <c r="O64" s="76"/>
      <c r="P64" s="33" t="s">
        <v>136</v>
      </c>
      <c r="Q64" s="33"/>
      <c r="R64" s="34"/>
      <c r="S64" s="33"/>
      <c r="T64" s="33"/>
      <c r="U64" s="33"/>
    </row>
    <row r="65" spans="1:21" ht="20.100000000000001" customHeight="1" x14ac:dyDescent="0.15">
      <c r="A65" s="32" t="s">
        <v>41</v>
      </c>
      <c r="B65" s="33" t="s">
        <v>51</v>
      </c>
      <c r="C65" s="33"/>
      <c r="D65" s="38" t="s">
        <v>225</v>
      </c>
      <c r="E65" s="38">
        <f>LEN(SUBSTITUTE(SUBSTITUTE(D65,",",)," ",))/4-1</f>
        <v>5</v>
      </c>
      <c r="F65" s="34">
        <v>2</v>
      </c>
      <c r="G65" s="33"/>
      <c r="H65" s="33"/>
      <c r="I65" s="33">
        <f>IF(OR(ISNUMBER(FIND(P56&amp;" "&amp;P57,D65,1)),ISNUMBER(FIND(P57&amp;" "&amp;P56,D65,1))),K65*F65,0)</f>
        <v>53210.080000000002</v>
      </c>
      <c r="J65" s="34" t="str">
        <f>TRIM(D65)</f>
        <v>01 02,02 01,05 02,07 08,09 10,11 07</v>
      </c>
      <c r="K65" s="34">
        <f>N61</f>
        <v>26605.040000000001</v>
      </c>
      <c r="L65" s="34"/>
      <c r="M65" s="78" t="str">
        <f>辅助!F65</f>
        <v>01,02,05,10,11</v>
      </c>
      <c r="N65" s="34">
        <v>26577.66</v>
      </c>
      <c r="O65" s="76"/>
      <c r="P65" s="33" t="s">
        <v>137</v>
      </c>
      <c r="Q65" s="33" t="s">
        <v>244</v>
      </c>
      <c r="R65" s="34" t="s">
        <v>146</v>
      </c>
      <c r="S65" s="33" t="s">
        <v>245</v>
      </c>
      <c r="T65" s="33"/>
      <c r="U65" s="33"/>
    </row>
    <row r="66" spans="1:21" ht="20.100000000000001" customHeight="1" x14ac:dyDescent="0.15">
      <c r="A66" s="32" t="s">
        <v>41</v>
      </c>
      <c r="B66" s="32" t="s">
        <v>49</v>
      </c>
      <c r="C66" s="33" t="s">
        <v>30</v>
      </c>
      <c r="D66" s="38" t="str">
        <f>0&amp;1</f>
        <v>01</v>
      </c>
      <c r="E66" s="82">
        <f>LEN(SUBSTITUTE(D67,",",))/2</f>
        <v>10</v>
      </c>
      <c r="F66" s="100">
        <v>3</v>
      </c>
      <c r="G66" s="33" t="str">
        <f>IF(ISNUMBER(FIND(SUBSTITUTE(MID(D66,2,2),",",),P55,1)),SUBSTITUTE(P55,D66,),"此订单未中奖！")</f>
        <v xml:space="preserve"> 02</v>
      </c>
      <c r="H66" s="33" t="str">
        <f>IF(ISNUMBER(FIND(SUBSTITUTE(MID(D66,5,2),",",),P55,1)),SUBSTITUTE(G66,D66,),"此订单未中奖！")</f>
        <v xml:space="preserve"> 02</v>
      </c>
      <c r="I66" s="101">
        <f>IF(G67&gt;0,G67*K66*F66,0)</f>
        <v>79792.320000000007</v>
      </c>
      <c r="J66" s="100" t="str">
        <f>TRIM(IF(LEN(D66)=0,"-",SUBSTITUTE(D66,","," ")))&amp;","&amp;TRIM(IF(LEN(D67)=0,"-",SUBSTITUTE(D67,","," ")))</f>
        <v>01,02 03 04 05 06 07 08 09 10 11</v>
      </c>
      <c r="K66" s="87">
        <f>N62</f>
        <v>26597.440000000002</v>
      </c>
      <c r="L66" s="34"/>
      <c r="M66" s="78" t="str">
        <f>辅助!F66</f>
        <v>01,02,06,07,08</v>
      </c>
      <c r="N66" s="34">
        <v>25646.75</v>
      </c>
      <c r="O66" s="76"/>
      <c r="P66" s="33" t="s">
        <v>246</v>
      </c>
      <c r="Q66" s="33">
        <f>TRUNC(0.154,3)</f>
        <v>0.154</v>
      </c>
      <c r="R66" s="34">
        <f>TRUNC(S66-(9.9-agent!$L$3)*Q66*10,3)</f>
        <v>148.61000000000001</v>
      </c>
      <c r="S66" s="33">
        <f>TRUNC(138.6+Q66*99,3)</f>
        <v>153.846</v>
      </c>
      <c r="T66" s="41">
        <f>IF(ISNUMBER(FIND(P61,P66,1)),R66,0)</f>
        <v>0</v>
      </c>
      <c r="U66" s="33">
        <f>IF(T66=0,0,Q66)</f>
        <v>0</v>
      </c>
    </row>
    <row r="67" spans="1:21" ht="20.100000000000001" customHeight="1" x14ac:dyDescent="0.15">
      <c r="A67" s="32" t="s">
        <v>41</v>
      </c>
      <c r="B67" s="32" t="s">
        <v>49</v>
      </c>
      <c r="C67" s="33" t="s">
        <v>55</v>
      </c>
      <c r="D67" s="38" t="s">
        <v>263</v>
      </c>
      <c r="E67" s="82"/>
      <c r="F67" s="100"/>
      <c r="G67" s="33">
        <f>N(ISNUMBER(FIND(TRIM(H66),D67,1)))</f>
        <v>1</v>
      </c>
      <c r="H67" s="33"/>
      <c r="I67" s="101"/>
      <c r="J67" s="100"/>
      <c r="K67" s="88"/>
      <c r="L67" s="34"/>
      <c r="M67" s="78" t="str">
        <f>辅助!F67</f>
        <v>01,02,06,07,09</v>
      </c>
      <c r="N67" s="34">
        <v>25744.300000000003</v>
      </c>
      <c r="O67" s="76"/>
      <c r="P67" s="33" t="s">
        <v>247</v>
      </c>
      <c r="Q67" s="33">
        <f>TRUNC(0.01242857,3)</f>
        <v>1.2E-2</v>
      </c>
      <c r="R67" s="34">
        <f>TRUNC(S67-(9.9-agent!$L$3)*Q67*10,3)</f>
        <v>11.86</v>
      </c>
      <c r="S67" s="33">
        <f>TRUNC(11.08+Q67*99,3)</f>
        <v>12.268000000000001</v>
      </c>
      <c r="T67" s="41">
        <f>IF(ISNUMBER(FIND(P61,P67,1)),R67,0)</f>
        <v>0</v>
      </c>
      <c r="U67" s="33">
        <f t="shared" ref="U67:U71" si="5">IF(T67=0,0,Q67)</f>
        <v>0</v>
      </c>
    </row>
    <row r="68" spans="1:21" ht="20.100000000000001" customHeight="1" x14ac:dyDescent="0.15">
      <c r="A68" s="33" t="s">
        <v>56</v>
      </c>
      <c r="B68" s="33" t="s">
        <v>58</v>
      </c>
      <c r="C68" s="33" t="s">
        <v>56</v>
      </c>
      <c r="D68" s="38" t="s">
        <v>105</v>
      </c>
      <c r="E68" s="38">
        <f>LEN(SUBSTITUTE(D68,",",))/2</f>
        <v>11</v>
      </c>
      <c r="F68" s="34">
        <v>5</v>
      </c>
      <c r="G68" s="33"/>
      <c r="H68" s="33"/>
      <c r="I68" s="33">
        <f>(N(ISNUMBER(FIND(P56,D68,1)))+N(ISNUMBER(FIND(P57,D68,1)))+N(ISNUMBER(FIND(P58,D68,1))))*F68*K68</f>
        <v>400553.85000000003</v>
      </c>
      <c r="J68" s="34" t="str">
        <f>TRIM(IF(LEN('5Of11Source'!D68)=0,"-",SUBSTITUTE('5Of11Source'!D68,","," ")))</f>
        <v>01 02 03 04 05 06 07 08 09 10 11</v>
      </c>
      <c r="K68" s="34">
        <f>N63</f>
        <v>26703.590000000004</v>
      </c>
      <c r="L68" s="34"/>
      <c r="M68" s="78" t="str">
        <f>辅助!F68</f>
        <v>01,02,06,07,10</v>
      </c>
      <c r="N68" s="34">
        <v>25645.75</v>
      </c>
      <c r="O68" s="76"/>
      <c r="P68" s="33" t="s">
        <v>248</v>
      </c>
      <c r="Q68" s="33">
        <f>TRUNC(0.0047,3)</f>
        <v>4.0000000000000001E-3</v>
      </c>
      <c r="R68" s="34">
        <f>TRUNC(S68-(9.9-agent!$L$3)*Q68*10,3)</f>
        <v>4.41</v>
      </c>
      <c r="S68" s="33">
        <f>TRUNC(4.15+Q68*99,3)</f>
        <v>4.5460000000000003</v>
      </c>
      <c r="T68" s="41">
        <f>IF(ISNUMBER(FIND(P61,P68,1)),R68,0)</f>
        <v>0</v>
      </c>
      <c r="U68" s="33">
        <f t="shared" si="5"/>
        <v>0</v>
      </c>
    </row>
    <row r="69" spans="1:21" ht="20.100000000000001" customHeight="1" x14ac:dyDescent="0.15">
      <c r="A69" s="32" t="s">
        <v>60</v>
      </c>
      <c r="B69" s="32" t="s">
        <v>61</v>
      </c>
      <c r="C69" s="33" t="s">
        <v>26</v>
      </c>
      <c r="D69" s="38" t="s">
        <v>253</v>
      </c>
      <c r="E69" s="79">
        <f>LEN(SUBSTITUTE(D69,",",))/2+LEN(SUBSTITUTE(D70,",",))/2+LEN(SUBSTITUTE(D71,",",))/2</f>
        <v>33</v>
      </c>
      <c r="F69" s="100">
        <v>2</v>
      </c>
      <c r="G69" s="33"/>
      <c r="H69" s="33"/>
      <c r="I69" s="101">
        <f>(N(ISNUMBER(FIND(P56,D69,1)))+N(ISNUMBER(FIND(P57,D70,1)))+N(ISNUMBER(FIND(P58,D71,1))))*F69*K69</f>
        <v>160445.04000000004</v>
      </c>
      <c r="J69" s="100" t="str">
        <f>TRIM(IF(LEN(D69)=0,"-",SUBSTITUTE(D69,","," ")))&amp;","&amp;TRIM(IF(LEN(D70)=0,"-",SUBSTITUTE(D70,","," ")))&amp;","&amp;TRIM(IF(LEN(D71)=0,"-",SUBSTITUTE(D71,","," ")))</f>
        <v>01 02 03 04 05 06 07 08 09 10 11,01 02 03 04 05 06 07 08 09 10 11,01 02 03 04 05 06 07 08 09 10 11</v>
      </c>
      <c r="K69" s="87">
        <f>N64</f>
        <v>26740.840000000004</v>
      </c>
      <c r="L69" s="34"/>
      <c r="M69" s="78" t="str">
        <f>辅助!F69</f>
        <v>01,02,06,07,11</v>
      </c>
      <c r="N69" s="34">
        <v>25638.15</v>
      </c>
      <c r="O69" s="76"/>
      <c r="P69" s="33" t="s">
        <v>249</v>
      </c>
      <c r="Q69" s="33">
        <f>TRUNC(0.006142857,3)</f>
        <v>6.0000000000000001E-3</v>
      </c>
      <c r="R69" s="34">
        <f>TRUNC(S69-(9.9-agent!$L$3)*Q69*10,3)</f>
        <v>5.93</v>
      </c>
      <c r="S69" s="33">
        <f>TRUNC(5.54+Q69*99,3)</f>
        <v>6.1340000000000003</v>
      </c>
      <c r="T69" s="41">
        <f>IF(ISNUMBER(FIND(P61,P69,1)),R69,0)</f>
        <v>5.93</v>
      </c>
      <c r="U69" s="33">
        <f t="shared" si="5"/>
        <v>6.0000000000000001E-3</v>
      </c>
    </row>
    <row r="70" spans="1:21" ht="20.100000000000001" customHeight="1" x14ac:dyDescent="0.15">
      <c r="A70" s="32" t="s">
        <v>60</v>
      </c>
      <c r="B70" s="32" t="s">
        <v>61</v>
      </c>
      <c r="C70" s="33" t="s">
        <v>27</v>
      </c>
      <c r="D70" s="38" t="s">
        <v>105</v>
      </c>
      <c r="E70" s="80"/>
      <c r="F70" s="100"/>
      <c r="G70" s="33"/>
      <c r="H70" s="33"/>
      <c r="I70" s="101"/>
      <c r="J70" s="100"/>
      <c r="K70" s="89"/>
      <c r="L70" s="34"/>
      <c r="M70" s="78" t="str">
        <f>辅助!F70</f>
        <v>01,02,06,08,09</v>
      </c>
      <c r="N70" s="34">
        <v>24798.5</v>
      </c>
      <c r="O70" s="76"/>
      <c r="P70" s="33" t="s">
        <v>250</v>
      </c>
      <c r="Q70" s="33">
        <f>TRUNC(0.0307,3)</f>
        <v>0.03</v>
      </c>
      <c r="R70" s="34">
        <f>TRUNC(S70-(9.9-agent!$L$3)*Q70*10,3)</f>
        <v>29.67</v>
      </c>
      <c r="S70" s="33">
        <f>TRUNC(27.72+Q70*99,3)</f>
        <v>30.69</v>
      </c>
      <c r="T70" s="41">
        <f>IF(ISNUMBER(FIND(P61,P70,1)),R70,0)</f>
        <v>0</v>
      </c>
      <c r="U70" s="33">
        <f t="shared" si="5"/>
        <v>0</v>
      </c>
    </row>
    <row r="71" spans="1:21" ht="20.100000000000001" customHeight="1" x14ac:dyDescent="0.15">
      <c r="A71" s="32" t="s">
        <v>60</v>
      </c>
      <c r="B71" s="32" t="s">
        <v>61</v>
      </c>
      <c r="C71" s="33" t="s">
        <v>28</v>
      </c>
      <c r="D71" s="38" t="s">
        <v>105</v>
      </c>
      <c r="E71" s="81"/>
      <c r="F71" s="100"/>
      <c r="G71" s="33"/>
      <c r="H71" s="33"/>
      <c r="I71" s="101"/>
      <c r="J71" s="100"/>
      <c r="K71" s="88"/>
      <c r="L71" s="34"/>
      <c r="M71" s="78" t="str">
        <f>辅助!F71</f>
        <v>01,02,06,08,10</v>
      </c>
      <c r="N71" s="34">
        <v>24811.05</v>
      </c>
      <c r="O71" s="76"/>
      <c r="P71" s="33" t="s">
        <v>251</v>
      </c>
      <c r="Q71" s="33">
        <f>TRUNC(0.924,3)</f>
        <v>0.92400000000000004</v>
      </c>
      <c r="R71" s="34">
        <f>TRUNC(S71-(9.9-agent!$L$3)*Q71*10,3)</f>
        <v>891.66</v>
      </c>
      <c r="S71" s="33">
        <f>TRUNC(831.6+Q71*99,3)</f>
        <v>923.07600000000002</v>
      </c>
      <c r="T71" s="41">
        <f>IF(ISNUMBER(FIND(P61,P71,1)),R71,0)</f>
        <v>0</v>
      </c>
      <c r="U71" s="33">
        <f t="shared" si="5"/>
        <v>0</v>
      </c>
    </row>
    <row r="72" spans="1:21" ht="20.100000000000001" customHeight="1" x14ac:dyDescent="0.15">
      <c r="A72" s="32" t="s">
        <v>63</v>
      </c>
      <c r="B72" s="33" t="s">
        <v>65</v>
      </c>
      <c r="C72" s="33" t="s">
        <v>66</v>
      </c>
      <c r="D72" s="38" t="s">
        <v>110</v>
      </c>
      <c r="E72" s="38">
        <v>6</v>
      </c>
      <c r="F72" s="34">
        <v>5</v>
      </c>
      <c r="G72" s="33"/>
      <c r="H72" s="33"/>
      <c r="I72" s="33">
        <f>N(ISNUMBER(FIND(P61,D72,1)))*F72*K72</f>
        <v>29.65</v>
      </c>
      <c r="J72" s="34" t="str">
        <f>TRIM(IF(LEN('5Of11Source'!D72)=0,"-",SUBSTITUTE('5Of11Source'!D72,","," ")))</f>
        <v>5单0双 4单1双 3单2双 2单3双 1单4双 0单5双</v>
      </c>
      <c r="K72" s="38">
        <f>SUM(T66:T71)</f>
        <v>5.93</v>
      </c>
      <c r="L72" s="34"/>
      <c r="M72" s="78" t="str">
        <f>辅助!F72</f>
        <v>01,02,06,08,11</v>
      </c>
      <c r="N72" s="34">
        <v>24692.35</v>
      </c>
      <c r="O72" s="76"/>
      <c r="P72" s="33" t="s">
        <v>144</v>
      </c>
      <c r="Q72" s="33"/>
      <c r="R72" s="34"/>
      <c r="S72" s="33"/>
      <c r="T72" s="41"/>
      <c r="U72" s="33"/>
    </row>
    <row r="73" spans="1:21" ht="20.100000000000001" customHeight="1" x14ac:dyDescent="0.15">
      <c r="A73" s="32" t="s">
        <v>63</v>
      </c>
      <c r="B73" s="33" t="s">
        <v>68</v>
      </c>
      <c r="C73" s="33" t="s">
        <v>68</v>
      </c>
      <c r="D73" s="38" t="s">
        <v>111</v>
      </c>
      <c r="E73" s="38">
        <f>LEN(SUBSTITUTE(D73,",",))/2</f>
        <v>7</v>
      </c>
      <c r="F73" s="34">
        <v>2</v>
      </c>
      <c r="G73" s="33"/>
      <c r="H73" s="33"/>
      <c r="I73" s="33">
        <f>N(ISNUMBER(FIND(S53,D73,1)))*F73*K73</f>
        <v>63.69</v>
      </c>
      <c r="J73" s="34" t="str">
        <f>TRIM(IF(LEN('5Of11Source'!D73)=0,"-",SUBSTITUTE('5Of11Source'!D73,","," ")))</f>
        <v>03 04 05 06 07 08 09</v>
      </c>
      <c r="K73" s="37">
        <f>SUM(T73:T76)</f>
        <v>31.844999999999999</v>
      </c>
      <c r="L73" s="34"/>
      <c r="M73" s="78" t="str">
        <f>辅助!F73</f>
        <v>01,02,06,09,10</v>
      </c>
      <c r="N73" s="34">
        <v>24798.5</v>
      </c>
      <c r="O73" s="76"/>
      <c r="P73" s="35" t="str">
        <f>0&amp;3&amp;"/"&amp;0&amp;9</f>
        <v>03/09</v>
      </c>
      <c r="Q73" s="33">
        <f>TRUNC(0.033,3)</f>
        <v>3.3000000000000002E-2</v>
      </c>
      <c r="R73" s="34">
        <f>TRUNC(S73-(9.9-agent!$L$3)*Q73*10,3)</f>
        <v>31.844999999999999</v>
      </c>
      <c r="S73" s="33">
        <f>TRUNC(29.7+Q73*99,3)</f>
        <v>32.966999999999999</v>
      </c>
      <c r="T73" s="42">
        <f>IF(ISNUMBER(FIND(S53,P73,1)),R73,0)</f>
        <v>31.844999999999999</v>
      </c>
      <c r="U73" s="33">
        <f t="shared" ref="U73:U76" si="6">IF(T73=0,0,Q73)</f>
        <v>3.3000000000000002E-2</v>
      </c>
    </row>
    <row r="74" spans="1:21" ht="20.100000000000001" customHeight="1" x14ac:dyDescent="0.15">
      <c r="A74" s="32" t="s">
        <v>70</v>
      </c>
      <c r="B74" s="33" t="s">
        <v>72</v>
      </c>
      <c r="C74" s="33" t="s">
        <v>87</v>
      </c>
      <c r="D74" s="38" t="s">
        <v>266</v>
      </c>
      <c r="E74" s="38">
        <f t="shared" ref="E74" si="7">LEN(SUBSTITUTE(D74,",",))/2</f>
        <v>11</v>
      </c>
      <c r="F74" s="34">
        <v>1</v>
      </c>
      <c r="G74" s="33"/>
      <c r="H74" s="33"/>
      <c r="I74" s="33">
        <f>(N(ISNUMBER(FIND(P56,D74,1)))+N(ISNUMBER(FIND(P57,D74,1)))+N(ISNUMBER(FIND(P58,D74,1)))+N(ISNUMBER(FIND(P59,D74,1)))+N(ISNUMBER(FIND(P60,D74,1))))*F74*K74</f>
        <v>128721.50000000001</v>
      </c>
      <c r="J74" s="34" t="str">
        <f>TRIM(IF(LEN('5Of11Source'!D74)=0,"-",SUBSTITUTE('5Of11Source'!D74,","," ")))</f>
        <v>01 02 03 04 05 06 07 08 09 10 11</v>
      </c>
      <c r="K74" s="34">
        <f t="shared" ref="K74:K84" si="8">N67</f>
        <v>25744.300000000003</v>
      </c>
      <c r="L74" s="34"/>
      <c r="M74" s="78" t="str">
        <f>辅助!F74</f>
        <v>01,02,06,09,11</v>
      </c>
      <c r="N74" s="34">
        <v>24790.9</v>
      </c>
      <c r="O74" s="76"/>
      <c r="P74" s="35" t="str">
        <f>0&amp;4&amp;"/"&amp;0&amp;8</f>
        <v>04/08</v>
      </c>
      <c r="Q74" s="33">
        <f>TRUNC(0.01457,3)</f>
        <v>1.4E-2</v>
      </c>
      <c r="R74" s="34">
        <f>TRUNC(S74-(9.9-agent!$L$3)*Q74*10,3)</f>
        <v>14.11</v>
      </c>
      <c r="S74" s="33">
        <f>TRUNC(13.2+Q74*99,3)</f>
        <v>14.586</v>
      </c>
      <c r="T74" s="42">
        <f>IF(ISNUMBER(FIND(S53,P74,1)),R74,0)</f>
        <v>0</v>
      </c>
      <c r="U74" s="33">
        <f t="shared" si="6"/>
        <v>0</v>
      </c>
    </row>
    <row r="75" spans="1:21" ht="20.100000000000001" customHeight="1" x14ac:dyDescent="0.15">
      <c r="A75" s="32" t="s">
        <v>70</v>
      </c>
      <c r="B75" s="33" t="s">
        <v>74</v>
      </c>
      <c r="C75" s="33" t="s">
        <v>88</v>
      </c>
      <c r="D75" s="38" t="s">
        <v>264</v>
      </c>
      <c r="E75" s="38">
        <f>COMBIN(LEN(SUBSTITUTE(D75,",",))/2,2)</f>
        <v>55</v>
      </c>
      <c r="F75" s="34">
        <v>2</v>
      </c>
      <c r="G75" s="33"/>
      <c r="H75" s="33"/>
      <c r="I75" s="33">
        <f>COMBIN(5,2)*F75*K75</f>
        <v>512915</v>
      </c>
      <c r="J75" s="34" t="str">
        <f>TRIM(IF(LEN('5Of11Source'!D75)=0,"-",SUBSTITUTE('5Of11Source'!D75,","," ")))</f>
        <v>01 02 03 04 05 06 07 08 09 10 11</v>
      </c>
      <c r="K75" s="34">
        <f t="shared" si="8"/>
        <v>25645.75</v>
      </c>
      <c r="L75" s="34"/>
      <c r="M75" s="78" t="str">
        <f>辅助!F75</f>
        <v>01,02,06,10,11</v>
      </c>
      <c r="N75" s="34">
        <v>24674.560000000001</v>
      </c>
      <c r="O75" s="76"/>
      <c r="P75" s="35" t="str">
        <f>0&amp;5&amp;"/"&amp;0&amp;7</f>
        <v>05/07</v>
      </c>
      <c r="Q75" s="33">
        <f>TRUNC(0.010142857,3)</f>
        <v>0.01</v>
      </c>
      <c r="R75" s="34">
        <f>TRUNC(S75-(9.9-agent!$L$3)*Q75*10,3)</f>
        <v>9.89</v>
      </c>
      <c r="S75" s="33">
        <f>TRUNC(9.24+Q75*99,3)</f>
        <v>10.23</v>
      </c>
      <c r="T75" s="42">
        <f>IF(ISNUMBER(FIND(S53,P75,1)),R75,0)</f>
        <v>0</v>
      </c>
      <c r="U75" s="33">
        <f t="shared" si="6"/>
        <v>0</v>
      </c>
    </row>
    <row r="76" spans="1:21" ht="20.100000000000001" customHeight="1" x14ac:dyDescent="0.15">
      <c r="A76" s="32" t="s">
        <v>70</v>
      </c>
      <c r="B76" s="33" t="s">
        <v>76</v>
      </c>
      <c r="C76" s="33" t="s">
        <v>89</v>
      </c>
      <c r="D76" s="38" t="s">
        <v>264</v>
      </c>
      <c r="E76" s="38">
        <f>COMBIN(LEN(SUBSTITUTE(D76,",",))/2,3)</f>
        <v>165</v>
      </c>
      <c r="F76" s="34">
        <v>3</v>
      </c>
      <c r="G76" s="33"/>
      <c r="H76" s="33"/>
      <c r="I76" s="33">
        <f>COMBIN(5,3)*F76*K76</f>
        <v>769144.5</v>
      </c>
      <c r="J76" s="34" t="str">
        <f>TRIM(IF(LEN('5Of11Source'!D76)=0,"-",SUBSTITUTE('5Of11Source'!D76,","," ")))</f>
        <v>01 02 03 04 05 06 07 08 09 10 11</v>
      </c>
      <c r="K76" s="34">
        <f t="shared" si="8"/>
        <v>25638.15</v>
      </c>
      <c r="L76" s="34"/>
      <c r="M76" s="78" t="str">
        <f>辅助!F76</f>
        <v>01,02,07,08,09</v>
      </c>
      <c r="N76" s="34">
        <v>23198.690000000006</v>
      </c>
      <c r="O76" s="76"/>
      <c r="P76" s="33" t="str">
        <f>0&amp;6</f>
        <v>06</v>
      </c>
      <c r="Q76" s="33">
        <f>TRUNC(0.0092857,3)</f>
        <v>8.9999999999999993E-3</v>
      </c>
      <c r="R76" s="34">
        <f>TRUNC(S76-(9.9-agent!$L$3)*Q76*10,3)</f>
        <v>8.8949999999999996</v>
      </c>
      <c r="S76" s="33">
        <f>TRUNC(8.31+Q76*99,3)</f>
        <v>9.2010000000000005</v>
      </c>
      <c r="T76" s="42">
        <f>IF(ISNUMBER(FIND(S53,P76,1)),R76,0)</f>
        <v>0</v>
      </c>
      <c r="U76" s="33">
        <f t="shared" si="6"/>
        <v>0</v>
      </c>
    </row>
    <row r="77" spans="1:21" ht="20.100000000000001" customHeight="1" x14ac:dyDescent="0.15">
      <c r="A77" s="32" t="s">
        <v>70</v>
      </c>
      <c r="B77" s="33" t="s">
        <v>78</v>
      </c>
      <c r="C77" s="33" t="s">
        <v>90</v>
      </c>
      <c r="D77" s="38" t="s">
        <v>267</v>
      </c>
      <c r="E77" s="38">
        <f>COMBIN(LEN(SUBSTITUTE(D77,",",))/2,4)</f>
        <v>330</v>
      </c>
      <c r="F77" s="34">
        <v>5</v>
      </c>
      <c r="G77" s="33"/>
      <c r="H77" s="32"/>
      <c r="I77" s="33">
        <f>COMBIN(5,4)*F77*K77</f>
        <v>619962.5</v>
      </c>
      <c r="J77" s="34" t="str">
        <f>TRIM(IF(LEN('5Of11Source'!D77)=0,"-",SUBSTITUTE('5Of11Source'!D77,","," ")))</f>
        <v>01 02 03 04 05 06 07 08 09 10 11</v>
      </c>
      <c r="K77" s="34">
        <f t="shared" si="8"/>
        <v>24798.5</v>
      </c>
      <c r="L77" s="34"/>
      <c r="M77" s="78" t="str">
        <f>辅助!F77</f>
        <v>01,02,07,08,10</v>
      </c>
      <c r="N77" s="34">
        <v>23100.140000000003</v>
      </c>
      <c r="O77" s="76"/>
      <c r="P77" s="33"/>
      <c r="Q77" s="33"/>
      <c r="R77" s="33"/>
      <c r="S77" s="33"/>
      <c r="T77" s="33"/>
      <c r="U77" s="33"/>
    </row>
    <row r="78" spans="1:21" ht="20.100000000000001" customHeight="1" x14ac:dyDescent="0.15">
      <c r="A78" s="32" t="s">
        <v>70</v>
      </c>
      <c r="B78" s="33" t="s">
        <v>80</v>
      </c>
      <c r="C78" s="33" t="s">
        <v>91</v>
      </c>
      <c r="D78" s="38" t="s">
        <v>266</v>
      </c>
      <c r="E78" s="38">
        <f>COMBIN(LEN(SUBSTITUTE(D78,",",))/2,5)</f>
        <v>461.99999999999994</v>
      </c>
      <c r="F78" s="34">
        <v>4</v>
      </c>
      <c r="G78" s="33"/>
      <c r="H78" s="32"/>
      <c r="I78" s="33">
        <f>(N(AND(ISNUMBER(FIND(P56,D78,1)),ISNUMBER(FIND(P57,D78,1)),ISNUMBER(FIND(P58,D78,1)),ISNUMBER(FIND(P59,D78,1)),ISNUMBER(FIND(P60,D78,1)))))*F78*K78</f>
        <v>99244.2</v>
      </c>
      <c r="J78" s="34" t="str">
        <f>TRIM(IF(LEN('5Of11Source'!D78)=0,"-",SUBSTITUTE('5Of11Source'!D78,","," ")))</f>
        <v>01 02 03 04 05 06 07 08 09 10 11</v>
      </c>
      <c r="K78" s="34">
        <f t="shared" si="8"/>
        <v>24811.05</v>
      </c>
      <c r="L78" s="34"/>
      <c r="M78" s="78" t="str">
        <f>辅助!F78</f>
        <v>01,02,07,08,11</v>
      </c>
      <c r="N78" s="34">
        <v>23092.540000000005</v>
      </c>
      <c r="O78" s="76"/>
      <c r="P78" s="33"/>
      <c r="Q78" s="33"/>
      <c r="R78" s="33"/>
      <c r="S78" s="33"/>
      <c r="T78" s="33"/>
      <c r="U78" s="33"/>
    </row>
    <row r="79" spans="1:21" ht="20.100000000000001" customHeight="1" x14ac:dyDescent="0.15">
      <c r="A79" s="32" t="s">
        <v>70</v>
      </c>
      <c r="B79" s="33" t="s">
        <v>82</v>
      </c>
      <c r="C79" s="33" t="s">
        <v>92</v>
      </c>
      <c r="D79" s="38" t="s">
        <v>254</v>
      </c>
      <c r="E79" s="38">
        <f>COMBIN(LEN(SUBSTITUTE(D79,",",))/2,6)</f>
        <v>461.99999999999994</v>
      </c>
      <c r="F79" s="34">
        <v>4</v>
      </c>
      <c r="G79" s="33"/>
      <c r="H79" s="33"/>
      <c r="I79" s="33">
        <f>IF(AND(ISNUMBER(FIND(P56,D79,1)),ISNUMBER(FIND(P57,D79,1)),ISNUMBER(FIND(P58,D79,1)),ISNUMBER(FIND(P59,D79,1)),ISNUMBER(FIND(P60,D79,1))),(LEN(SUBSTITUTE(D79,",",))-10)/2*F79*K79,0)</f>
        <v>592616.39999999991</v>
      </c>
      <c r="J79" s="34" t="str">
        <f>TRIM(IF(LEN('5Of11Source'!D79)=0,"-",SUBSTITUTE('5Of11Source'!D79,","," ")))</f>
        <v>01 02 03 04 05 06 07 08 09 10 11</v>
      </c>
      <c r="K79" s="34">
        <f t="shared" si="8"/>
        <v>24692.35</v>
      </c>
      <c r="L79" s="34"/>
      <c r="M79" s="78" t="str">
        <f>辅助!F79</f>
        <v>01,02,07,09,10</v>
      </c>
      <c r="N79" s="34">
        <v>23198.690000000006</v>
      </c>
      <c r="O79" s="76"/>
      <c r="P79" s="33"/>
      <c r="Q79" s="33"/>
      <c r="R79" s="33"/>
      <c r="S79" s="33"/>
      <c r="T79" s="33"/>
      <c r="U79" s="33"/>
    </row>
    <row r="80" spans="1:21" ht="20.100000000000001" customHeight="1" x14ac:dyDescent="0.15">
      <c r="A80" s="32" t="s">
        <v>70</v>
      </c>
      <c r="B80" s="33" t="s">
        <v>84</v>
      </c>
      <c r="C80" s="33" t="s">
        <v>93</v>
      </c>
      <c r="D80" s="38" t="s">
        <v>265</v>
      </c>
      <c r="E80" s="38">
        <f>COMBIN(LEN(SUBSTITUTE(D80,",",))/2,7)</f>
        <v>330</v>
      </c>
      <c r="F80" s="34">
        <v>3</v>
      </c>
      <c r="G80" s="33"/>
      <c r="H80" s="33"/>
      <c r="I80" s="33">
        <f>IF(AND(ISNUMBER(FIND(P56,D80,1)),ISNUMBER(FIND(P57,D80,1)),ISNUMBER(FIND(P58,D80,1)),ISNUMBER(FIND(P59,D80,1)),ISNUMBER(FIND(P60,D80,1))),COMBIN((LEN(SUBSTITUTE(D80,",",))-10)/2,2)*F80*K80,0)</f>
        <v>1115932.5</v>
      </c>
      <c r="J80" s="34" t="str">
        <f>TRIM(IF(LEN('5Of11Source'!D80)=0,"-",SUBSTITUTE('5Of11Source'!D80,","," ")))</f>
        <v>01 02 03 04 05 06 07 08 09 10 11</v>
      </c>
      <c r="K80" s="34">
        <f t="shared" si="8"/>
        <v>24798.5</v>
      </c>
      <c r="L80" s="34"/>
      <c r="M80" s="78" t="str">
        <f>辅助!F80</f>
        <v>01,02,07,09,11</v>
      </c>
      <c r="N80" s="34">
        <v>23235.940000000006</v>
      </c>
      <c r="O80" s="76"/>
      <c r="P80" s="33"/>
      <c r="Q80" s="33"/>
      <c r="R80" s="33"/>
      <c r="S80" s="33"/>
      <c r="T80" s="33"/>
      <c r="U80" s="33"/>
    </row>
    <row r="81" spans="1:21" ht="20.100000000000001" customHeight="1" x14ac:dyDescent="0.15">
      <c r="A81" s="32" t="s">
        <v>70</v>
      </c>
      <c r="B81" s="33" t="s">
        <v>86</v>
      </c>
      <c r="C81" s="33" t="s">
        <v>94</v>
      </c>
      <c r="D81" s="38" t="s">
        <v>264</v>
      </c>
      <c r="E81" s="38">
        <f>COMBIN(LEN(SUBSTITUTE(D81,",",))/2,8)</f>
        <v>165</v>
      </c>
      <c r="F81" s="34">
        <v>3</v>
      </c>
      <c r="G81" s="33"/>
      <c r="H81" s="33"/>
      <c r="I81" s="33">
        <f>IF(AND(ISNUMBER(FIND(P56,D81,1)),ISNUMBER(FIND(P57,D81,1)),ISNUMBER(FIND(P58,D81,1)),ISNUMBER(FIND(P59,D81,1)),ISNUMBER(FIND(P60,D81,1))),COMBIN((LEN(SUBSTITUTE(D81,",",))-10)/2,3)*F81*K81,0)</f>
        <v>1487454</v>
      </c>
      <c r="J81" s="34" t="str">
        <f>TRIM(IF(LEN('5Of11Source'!D81)=0,"-",SUBSTITUTE('5Of11Source'!D81,","," ")))</f>
        <v>01 02 03 04 05 06 07 08 09 10 11</v>
      </c>
      <c r="K81" s="34">
        <f t="shared" si="8"/>
        <v>24790.9</v>
      </c>
      <c r="L81" s="34"/>
      <c r="M81" s="78" t="str">
        <f>辅助!F81</f>
        <v>01,02,07,10,11</v>
      </c>
      <c r="N81" s="34">
        <v>23072.760000000002</v>
      </c>
      <c r="O81" s="76"/>
      <c r="P81" s="33"/>
      <c r="Q81" s="33"/>
      <c r="R81" s="33"/>
      <c r="S81" s="33"/>
      <c r="T81" s="33"/>
      <c r="U81" s="33"/>
    </row>
    <row r="82" spans="1:21" ht="20.100000000000001" customHeight="1" x14ac:dyDescent="0.15">
      <c r="A82" s="32" t="s">
        <v>96</v>
      </c>
      <c r="B82" s="33" t="s">
        <v>72</v>
      </c>
      <c r="C82" s="33" t="s">
        <v>97</v>
      </c>
      <c r="D82" s="38" t="s">
        <v>256</v>
      </c>
      <c r="E82" s="38">
        <f>LEN(SUBSTITUTE(D82,",",))/2</f>
        <v>11</v>
      </c>
      <c r="F82" s="34">
        <v>4</v>
      </c>
      <c r="G82" s="33"/>
      <c r="H82" s="33"/>
      <c r="I82" s="33">
        <f>(N(ISNUMBER(FIND(P56,D82,1)))+N(ISNUMBER(FIND(P57,D82,1)))+N(ISNUMBER(FIND(P58,D82,1)))+N(ISNUMBER(FIND(P59,D82,1)))+N(ISNUMBER(FIND(P60,D82,1))))*F82*K82</f>
        <v>493491.20000000001</v>
      </c>
      <c r="J82" s="34" t="str">
        <f>TRIM(IF(LEN('5Of11Source'!D82)=0,"-",D82))</f>
        <v>,01,02,03,04,05,06,07,08,09,10,11,</v>
      </c>
      <c r="K82" s="34">
        <f t="shared" si="8"/>
        <v>24674.560000000001</v>
      </c>
      <c r="L82" s="34"/>
      <c r="M82" s="78" t="str">
        <f>辅助!F82</f>
        <v>01,02,08,09,10</v>
      </c>
      <c r="N82" s="34">
        <v>22261.33</v>
      </c>
      <c r="O82" s="76"/>
      <c r="P82" s="33"/>
      <c r="Q82" s="33"/>
      <c r="R82" s="33"/>
      <c r="S82" s="33"/>
      <c r="T82" s="33"/>
      <c r="U82" s="33"/>
    </row>
    <row r="83" spans="1:21" ht="20.100000000000001" customHeight="1" x14ac:dyDescent="0.15">
      <c r="A83" s="32" t="s">
        <v>96</v>
      </c>
      <c r="B83" s="33" t="s">
        <v>74</v>
      </c>
      <c r="C83" s="33" t="s">
        <v>11</v>
      </c>
      <c r="D83" s="38" t="s">
        <v>268</v>
      </c>
      <c r="E83" s="38">
        <f>LEN(SUBSTITUTE(SUBSTITUTE(D83,",",)," ",))/4</f>
        <v>5</v>
      </c>
      <c r="F83" s="34">
        <v>5</v>
      </c>
      <c r="G83" s="33"/>
      <c r="H83" s="33"/>
      <c r="I83" s="33">
        <f>SUM(N(AND(ISNUMBER(FIND(LEFT(D83,2),P53,1)),ISNUMBER(FIND(MID(D83,4,2),P53,1))))+N(AND(ISNUMBER(FIND(MID(D83,7,2),P53,1)),ISNUMBER(FIND(MID(D83,10,2),P53,1))))+N(AND(ISNUMBER(FIND(MID(D83,13,2),P53,1)),ISNUMBER(FIND(MID(D83,16,2),P53,1)))))*K83*F83</f>
        <v>115993.45000000003</v>
      </c>
      <c r="J83" s="34" t="str">
        <f>TRIM(IF(LEN('5Of11Source'!D83)=0,"-",D83))</f>
        <v>01 09,03 04,05 06,07 08,09 10</v>
      </c>
      <c r="K83" s="34">
        <f t="shared" si="8"/>
        <v>23198.690000000006</v>
      </c>
      <c r="L83" s="34"/>
      <c r="M83" s="78" t="str">
        <f>辅助!F83</f>
        <v>01,02,08,09,11</v>
      </c>
      <c r="N83" s="34">
        <v>22253.730000000003</v>
      </c>
      <c r="O83" s="76"/>
      <c r="P83" s="33"/>
      <c r="Q83" s="33"/>
      <c r="R83" s="33"/>
      <c r="S83" s="33"/>
      <c r="T83" s="33"/>
      <c r="U83" s="33"/>
    </row>
    <row r="84" spans="1:21" ht="20.100000000000001" customHeight="1" x14ac:dyDescent="0.15">
      <c r="A84" s="32" t="s">
        <v>96</v>
      </c>
      <c r="B84" s="33" t="s">
        <v>76</v>
      </c>
      <c r="C84" s="33" t="s">
        <v>98</v>
      </c>
      <c r="D84" s="38" t="s">
        <v>269</v>
      </c>
      <c r="E84" s="38">
        <f>LEN(SUBSTITUTE(SUBSTITUTE(D84,",",)," ",))/6</f>
        <v>4</v>
      </c>
      <c r="F84" s="34">
        <v>5</v>
      </c>
      <c r="G84" s="33"/>
      <c r="H84" s="33"/>
      <c r="I84" s="33">
        <f>SUM(N(AND(ISNUMBER(FIND(LEFT(D84,2),P53,1)),ISNUMBER(FIND(MID(D84,4,2),P53,1)),ISNUMBER(FIND(MID(D84,7,2),P53,1)))),N(AND(ISNUMBER(FIND(MID(D84,10,2),P53,1)),ISNUMBER(FIND(MID(D84,13,2),P53,1)),ISNUMBER(FIND(MID(D84,16,2),P53,1)))))*K84*F84</f>
        <v>115500.70000000001</v>
      </c>
      <c r="J84" s="34" t="str">
        <f>TRIM(IF(LEN('5Of11Source'!D84)=0,"-",D84))</f>
        <v>01 02 03,04 05 06,07 08 09,10 11 01</v>
      </c>
      <c r="K84" s="34">
        <f t="shared" si="8"/>
        <v>23100.140000000003</v>
      </c>
      <c r="L84" s="34"/>
      <c r="M84" s="78" t="str">
        <f>辅助!F84</f>
        <v>01,02,08,10,11</v>
      </c>
      <c r="N84" s="34">
        <v>22126.960000000003</v>
      </c>
      <c r="O84" s="76"/>
      <c r="P84" s="33"/>
      <c r="Q84" s="33"/>
      <c r="R84" s="33"/>
      <c r="S84" s="33"/>
      <c r="T84" s="33"/>
      <c r="U84" s="33"/>
    </row>
    <row r="85" spans="1:21" ht="20.100000000000001" customHeight="1" x14ac:dyDescent="0.15">
      <c r="A85" s="32" t="s">
        <v>96</v>
      </c>
      <c r="B85" s="33" t="s">
        <v>78</v>
      </c>
      <c r="C85" s="33" t="s">
        <v>99</v>
      </c>
      <c r="D85" s="38" t="s">
        <v>270</v>
      </c>
      <c r="E85" s="38">
        <f>LEN(SUBSTITUTE(SUBSTITUTE(D85,",",)," ",))/8</f>
        <v>3</v>
      </c>
      <c r="F85" s="34">
        <v>5</v>
      </c>
      <c r="G85" s="33"/>
      <c r="H85" s="33"/>
      <c r="I85" s="33">
        <f>SUM(N(AND(ISNUMBER(FIND(LEFT(D85,2),P53,1)),ISNUMBER(FIND(MID(D85,4,2),P53,1)),ISNUMBER(FIND(MID(D85,7,2),P53,1)),ISNUMBER(FIND(MID(D85,10,2),P53,1)))),N(AND(ISNUMBER(FIND(MID(D85,13,2),P53,1)),ISNUMBER(FIND(MID(D85,16,2),P53,1)),ISNUMBER(FIND(MID(D85,19,2),P53,1)),ISNUMBER(FIND(MID(D85,22,2),P53,1)))))*K85*F85</f>
        <v>636.9</v>
      </c>
      <c r="J85" s="34" t="str">
        <f>TRIM(IF(LEN('5Of11Source'!D85)=0,"-",D85))</f>
        <v>01 02 03 04,09 10 11 05,06 07 08 09</v>
      </c>
      <c r="K85" s="34">
        <f>'5Of11'!Z64</f>
        <v>127.38</v>
      </c>
      <c r="L85" s="34"/>
      <c r="M85" s="78" t="str">
        <f>辅助!F85</f>
        <v>01,02,09,10,11</v>
      </c>
      <c r="N85" s="34">
        <v>22225.510000000002</v>
      </c>
      <c r="O85" s="76"/>
      <c r="P85" s="33"/>
      <c r="Q85" s="33"/>
      <c r="R85" s="33"/>
      <c r="S85" s="33"/>
      <c r="T85" s="33"/>
      <c r="U85" s="33"/>
    </row>
    <row r="86" spans="1:21" ht="20.100000000000001" customHeight="1" x14ac:dyDescent="0.15">
      <c r="A86" s="32" t="s">
        <v>96</v>
      </c>
      <c r="B86" s="33" t="s">
        <v>80</v>
      </c>
      <c r="C86" s="33" t="s">
        <v>99</v>
      </c>
      <c r="D86" s="38" t="s">
        <v>271</v>
      </c>
      <c r="E86" s="38">
        <f>LEN(SUBSTITUTE(SUBSTITUTE(D86,",",)," ",))/10</f>
        <v>2</v>
      </c>
      <c r="F86" s="34">
        <v>8</v>
      </c>
      <c r="G86" s="33"/>
      <c r="H86" s="33"/>
      <c r="I86" s="33">
        <f>SUM(N(AND(ISNUMBER(FIND(LEFT(D86,2),P53,1)),ISNUMBER(FIND(MID(D86,4,2),P53,1)),ISNUMBER(FIND(MID(D86,7,2),P53,1)),ISNUMBER(FIND(MID(D86,10,2),P53,1)),ISNUMBER(FIND(MID(D86,13,2),P53,1)))),N(AND(ISNUMBER(FIND(MID(D86,16,2),P53,1)),ISNUMBER(FIND(MID(D86,19,2),P53,1)),ISNUMBER(FIND(MID(D86,22,2),P53,1)),ISNUMBER(FIND(MID(D86,25,2),P53,1)),ISNUMBER(FIND(MID(D86,28,2),P53,1)))))*K86*F86</f>
        <v>0</v>
      </c>
      <c r="J86" s="34" t="str">
        <f>TRIM(IF(LEN('5Of11Source'!D86)=0,"-",D86))</f>
        <v>01 02 06 04 08,06 07 08 09 10</v>
      </c>
      <c r="K86" s="34">
        <f>'5Of11'!Z65</f>
        <v>891.66</v>
      </c>
      <c r="L86" s="34"/>
      <c r="M86" s="78" t="str">
        <f>辅助!F86</f>
        <v>01,03,04,05,06</v>
      </c>
      <c r="N86" s="34">
        <v>34684.894999999997</v>
      </c>
      <c r="O86" s="76"/>
      <c r="P86" s="33"/>
      <c r="Q86" s="33"/>
      <c r="R86" s="33"/>
      <c r="S86" s="33"/>
      <c r="T86" s="33"/>
      <c r="U86" s="33"/>
    </row>
    <row r="87" spans="1:21" ht="20.100000000000001" customHeight="1" x14ac:dyDescent="0.15">
      <c r="A87" s="32" t="s">
        <v>96</v>
      </c>
      <c r="B87" s="33" t="s">
        <v>82</v>
      </c>
      <c r="C87" s="33" t="s">
        <v>99</v>
      </c>
      <c r="D87" s="38" t="s">
        <v>241</v>
      </c>
      <c r="E87" s="38">
        <f>LEN(SUBSTITUTE(SUBSTITUTE(D87,",",)," ",))/12</f>
        <v>2</v>
      </c>
      <c r="F87" s="34">
        <v>2</v>
      </c>
      <c r="G87" s="33"/>
      <c r="H87" s="33"/>
      <c r="I87" s="33">
        <f>SUM(N(SUM(ISNUMBER(FIND(LEFT(D87,2),P53,1)),ISNUMBER(FIND(MID(D87,4,2),P53,1)),ISNUMBER(FIND(MID(D87,7,2),P53,1)),ISNUMBER(FIND(MID(D87,10,2),P53,1)),ISNUMBER(FIND(MID(D87,13,2),P53,1)),ISNUMBER(FIND(MID(D87,16,2),P53,1)))&gt;4),N(SUM(ISNUMBER(FIND(MID(D87,19,2),P53,1)),ISNUMBER(FIND(MID(D87,22,2),P53,1)),ISNUMBER(FIND(MID(D87,25,2),P53,1)),ISNUMBER(FIND(MID(D87,28,2),P53,1)),ISNUMBER(FIND(MID(D87,31,2),P53,1)),ISNUMBER(FIND(MID(D87,34,2),P53,1)))&gt;4))*K87*F87</f>
        <v>0</v>
      </c>
      <c r="J87" s="34" t="str">
        <f>TRIM(IF(LEN('5Of11Source'!D87)=0,"-",D87))</f>
        <v>01 02 08 04 05 06,07 08 09 10 11 02</v>
      </c>
      <c r="K87" s="34">
        <f>'5Of11'!Z66</f>
        <v>148.61000000000001</v>
      </c>
      <c r="L87" s="34"/>
      <c r="M87" s="78" t="str">
        <f>辅助!F87</f>
        <v>01,03,04,05,07</v>
      </c>
      <c r="N87" s="34">
        <v>32862.57</v>
      </c>
      <c r="O87" s="76"/>
      <c r="P87" s="33"/>
      <c r="Q87" s="33"/>
      <c r="R87" s="33"/>
      <c r="S87" s="33"/>
      <c r="T87" s="33"/>
      <c r="U87" s="33"/>
    </row>
    <row r="88" spans="1:21" ht="20.100000000000001" customHeight="1" x14ac:dyDescent="0.15">
      <c r="A88" s="32" t="s">
        <v>96</v>
      </c>
      <c r="B88" s="33" t="s">
        <v>84</v>
      </c>
      <c r="C88" s="33" t="s">
        <v>98</v>
      </c>
      <c r="D88" s="38" t="s">
        <v>272</v>
      </c>
      <c r="E88" s="38">
        <f>LEN(SUBSTITUTE(SUBSTITUTE(D88,",",)," ",))/14</f>
        <v>2</v>
      </c>
      <c r="F88" s="34">
        <v>2</v>
      </c>
      <c r="G88" s="33"/>
      <c r="H88" s="33"/>
      <c r="I88" s="33">
        <f>N(SUM(ISNUMBER(FIND(LEFT(D88,2),P53,1)),ISNUMBER(FIND(MID(D88,4,2),P53,1)),ISNUMBER(FIND(MID(D88,7,2),P53,1)),ISNUMBER(FIND(MID(D88,10,2),P53,1)),ISNUMBER(FIND(MID(D88,13,2),P53,1)),ISNUMBER(FIND(MID(D88,16,2),P53,1)),ISNUMBER(FIND(MID(D88,19,2),P53,1)))&gt;4)*K88*F88</f>
        <v>84.92</v>
      </c>
      <c r="J88" s="34" t="str">
        <f>TRIM(IF(LEN('5Of11Source'!D88)=0,"-",D88))</f>
        <v>01 02 03 04 05 06 07,11 10 09 08 07 06 05</v>
      </c>
      <c r="K88" s="34">
        <f>'5Of11'!Z67</f>
        <v>42.46</v>
      </c>
      <c r="L88" s="34"/>
      <c r="M88" s="78" t="str">
        <f>辅助!F88</f>
        <v>01,03,04,05,08</v>
      </c>
      <c r="N88" s="34">
        <v>31787</v>
      </c>
      <c r="O88" s="76"/>
      <c r="P88" s="33"/>
      <c r="Q88" s="33"/>
      <c r="R88" s="33"/>
      <c r="S88" s="33"/>
      <c r="T88" s="33"/>
      <c r="U88" s="33"/>
    </row>
    <row r="89" spans="1:21" ht="20.100000000000001" customHeight="1" x14ac:dyDescent="0.15">
      <c r="A89" s="32" t="s">
        <v>96</v>
      </c>
      <c r="B89" s="33" t="s">
        <v>86</v>
      </c>
      <c r="C89" s="33" t="s">
        <v>11</v>
      </c>
      <c r="D89" s="38" t="s">
        <v>273</v>
      </c>
      <c r="E89" s="38">
        <f>LEN(SUBSTITUTE(SUBSTITUTE(D89,",",)," ",))/16</f>
        <v>2</v>
      </c>
      <c r="F89" s="34">
        <v>3</v>
      </c>
      <c r="G89" s="33"/>
      <c r="H89" s="33"/>
      <c r="I89" s="33">
        <f>N(SUM(ISNUMBER(FIND(LEFT(D89,2),P53,1)),ISNUMBER(FIND(MID(D89,4,2),P53,1)),ISNUMBER(FIND(MID(D89,7,2),P53,1)),ISNUMBER(FIND(MID(D89,10,2),P53,1)),ISNUMBER(FIND(MID(D89,13,2),P53,1)),ISNUMBER(FIND(MID(D89,16,2),P53,1)),ISNUMBER(FIND(MID(D89,19,2),P53,1)),ISNUMBER(FIND(MID(D89,22,2),P53,1)))&gt;4)*K89*F89</f>
        <v>47.67</v>
      </c>
      <c r="J89" s="34" t="str">
        <f>TRIM(IF(LEN('5Of11Source'!D89)=0,"-",D89))</f>
        <v>01 02 03 04 05 06 07 08,11 10 09 08 07 06 05 04</v>
      </c>
      <c r="K89" s="34">
        <f>'5Of11'!Z68</f>
        <v>15.89</v>
      </c>
      <c r="L89" s="34"/>
      <c r="M89" s="78" t="str">
        <f>辅助!F89</f>
        <v>01,03,04,05,09</v>
      </c>
      <c r="N89" s="34">
        <v>31929.4</v>
      </c>
      <c r="O89" s="76"/>
      <c r="P89" s="33"/>
      <c r="Q89" s="33"/>
      <c r="R89" s="33"/>
      <c r="S89" s="33"/>
      <c r="T89" s="33"/>
      <c r="U89" s="33"/>
    </row>
    <row r="90" spans="1:21" ht="20.100000000000001" customHeight="1" x14ac:dyDescent="0.15">
      <c r="A90" s="32" t="s">
        <v>103</v>
      </c>
      <c r="B90" s="40" t="s">
        <v>74</v>
      </c>
      <c r="C90" s="33" t="s">
        <v>30</v>
      </c>
      <c r="D90" s="38" t="s">
        <v>242</v>
      </c>
      <c r="E90" s="38">
        <f>LEN(SUBSTITUTE(D90,",",))/2</f>
        <v>1</v>
      </c>
      <c r="F90" s="100">
        <v>1</v>
      </c>
      <c r="G90" s="33"/>
      <c r="H90" s="101">
        <v>4</v>
      </c>
      <c r="I90" s="83">
        <f>IF(AND(P90,P91&gt;=(B91-E90)),COMBIN(P91,B91-E90)*K90*F90,0)</f>
        <v>89014.920000000013</v>
      </c>
      <c r="J90" s="100" t="str">
        <f>TRIM(IF(LEN(D90)=0,"-",SUBSTITUTE(D90,","," ")))&amp;","&amp;TRIM(IF(LEN(D91)=0,"-",SUBSTITUTE(D91,","," ")))</f>
        <v>01,02 03 04 05 06 07 08 09 10 11</v>
      </c>
      <c r="K90" s="87">
        <f>N83</f>
        <v>22253.730000000003</v>
      </c>
      <c r="L90" s="34"/>
      <c r="M90" s="78" t="str">
        <f>辅助!F90</f>
        <v>01,03,04,05,10</v>
      </c>
      <c r="N90" s="34">
        <v>31786</v>
      </c>
      <c r="O90" s="76"/>
      <c r="P90" s="41" t="b">
        <f>ISNUMBER(FIND(SUBSTITUTE(D90,",",),P53,1))</f>
        <v>1</v>
      </c>
      <c r="Q90" s="41" t="str">
        <f>IF(P90,IF(FIND(SUBSTITUTE(D90,",",),P53,1)&lt;3,SUBSTITUTE(P53,RIGHT(D90,3),),SUBSTITUTE(P53,LEFT(D90,3),)),"此订单未中奖！")</f>
        <v>02,03,04,06</v>
      </c>
      <c r="R90" s="41"/>
      <c r="S90" s="41"/>
      <c r="T90" s="33"/>
      <c r="U90" s="33"/>
    </row>
    <row r="91" spans="1:21" ht="20.100000000000001" customHeight="1" x14ac:dyDescent="0.15">
      <c r="A91" s="32" t="s">
        <v>103</v>
      </c>
      <c r="B91" s="40">
        <v>2</v>
      </c>
      <c r="C91" s="33" t="s">
        <v>104</v>
      </c>
      <c r="D91" s="38" t="s">
        <v>112</v>
      </c>
      <c r="E91" s="34">
        <f>COMBIN(LEN(SUBSTITUTE(D91,",",))/2,B91-E90)</f>
        <v>10</v>
      </c>
      <c r="F91" s="100"/>
      <c r="G91" s="33"/>
      <c r="H91" s="101"/>
      <c r="I91" s="83"/>
      <c r="J91" s="100"/>
      <c r="K91" s="88"/>
      <c r="L91" s="34"/>
      <c r="M91" s="78" t="str">
        <f>辅助!F91</f>
        <v>01,03,04,05,11</v>
      </c>
      <c r="N91" s="34">
        <v>31823.25</v>
      </c>
      <c r="O91" s="76"/>
      <c r="P91" s="41">
        <f>IF(LEN(SUBSTITUTE(Q90,",",))/2=4,SUM(N(ISNUMBER(FIND(LEFT(Q90,2),D91,1))),N(ISNUMBER(FIND(MID(Q90,4,2),D91,1))),N(ISNUMBER(FIND(MID(Q90,7,2),D91,1))),N(ISNUMBER(FIND(RIGHT(Q90,2),D91,1)))),IF(LEN(SUBSTITUTE(Q90,",",))/2=3,SUM(N(ISNUMBER(FIND(LEFT(Q90,2),D91,1))),N(ISNUMBER(FIND(MID(Q90,4,2),D91,1))),N(ISNUMBER(FIND(RIGHT(Q90,2),D91,1)))),IF(LEN(SUBSTITUTE(Q90,",",))/2=2,SUM(N(ISNUMBER(FIND(LEFT(Q90,2),D91,1))),N(ISNUMBER(FIND(RIGHT(Q90,2),D91,1)))),N(ISNUMBER(FIND(Q90,D91,1))))))</f>
        <v>4</v>
      </c>
      <c r="Q91" s="41"/>
      <c r="R91" s="41"/>
      <c r="S91" s="41"/>
      <c r="T91" s="33"/>
      <c r="U91" s="33"/>
    </row>
    <row r="92" spans="1:21" ht="20.100000000000001" customHeight="1" x14ac:dyDescent="0.15">
      <c r="A92" s="32" t="s">
        <v>103</v>
      </c>
      <c r="B92" s="40" t="s">
        <v>76</v>
      </c>
      <c r="C92" s="33" t="s">
        <v>30</v>
      </c>
      <c r="D92" s="38" t="s">
        <v>274</v>
      </c>
      <c r="E92" s="38">
        <f>LEN(SUBSTITUTE(D92,",",))/2</f>
        <v>1</v>
      </c>
      <c r="F92" s="100">
        <v>3</v>
      </c>
      <c r="G92" s="33"/>
      <c r="H92" s="101">
        <v>3</v>
      </c>
      <c r="I92" s="83">
        <f>IF(AND(P92,P93&gt;=(B93-E92)),COMBIN(P93,B93-E92)*K92*F92,0)</f>
        <v>398285.28</v>
      </c>
      <c r="J92" s="100" t="str">
        <f>TRIM(IF(LEN(D92)=0,"-",SUBSTITUTE(D92,","," ")))&amp;","&amp;TRIM(IF(LEN(D93)=0,"-",SUBSTITUTE(D93,","," ")))</f>
        <v>02,01 03 04 05 06 07 08 09 10 11</v>
      </c>
      <c r="K92" s="87">
        <f>N84</f>
        <v>22126.960000000003</v>
      </c>
      <c r="L92" s="34"/>
      <c r="M92" s="78" t="str">
        <f>辅助!F92</f>
        <v>01,03,04,06,07</v>
      </c>
      <c r="N92" s="34">
        <v>30914.62</v>
      </c>
      <c r="O92" s="76"/>
      <c r="P92" s="41" t="b">
        <f>AND(ISNUMBER(FIND(SUBSTITUTE(MID(D92,2,2),",",),P53,1)),ISNUMBER(FIND(SUBSTITUTE(MID(D92,5,2),",",),P53,1)))</f>
        <v>1</v>
      </c>
      <c r="Q92" s="41" t="str">
        <f>IF(P92,IF(FIND(SUBSTITUTE(MID(D92,2,2),",",),P53,1)&lt;3,SUBSTITUTE(P53,MID(D92,2,3),),SUBSTITUTE(P53,LEFT(D92,3),)),"此订单未中奖！")</f>
        <v>01,03,04,06</v>
      </c>
      <c r="R92" s="41" t="str">
        <f>IF(P92,IF(FIND(SUBSTITUTE(MID(D92,5,2),",",),Q92,1)&lt;3,SUBSTITUTE(Q92,RIGHT(D92,3),),SUBSTITUTE(Q92,MID(D92,4,3),)),"此订单未中奖！")</f>
        <v>01,03,04,06</v>
      </c>
      <c r="S92" s="41"/>
      <c r="T92" s="33"/>
      <c r="U92" s="33"/>
    </row>
    <row r="93" spans="1:21" ht="20.100000000000001" customHeight="1" x14ac:dyDescent="0.15">
      <c r="A93" s="32" t="s">
        <v>103</v>
      </c>
      <c r="B93" s="40">
        <v>3</v>
      </c>
      <c r="C93" s="33" t="s">
        <v>104</v>
      </c>
      <c r="D93" s="38" t="s">
        <v>275</v>
      </c>
      <c r="E93" s="34">
        <f>COMBIN(LEN(SUBSTITUTE(D93,",",))/2,B93-E92)</f>
        <v>45</v>
      </c>
      <c r="F93" s="100"/>
      <c r="G93" s="33"/>
      <c r="H93" s="101"/>
      <c r="I93" s="83"/>
      <c r="J93" s="100"/>
      <c r="K93" s="88"/>
      <c r="L93" s="34"/>
      <c r="M93" s="78" t="str">
        <f>辅助!F93</f>
        <v>01,03,04,06,08</v>
      </c>
      <c r="N93" s="34">
        <v>29883.900000000005</v>
      </c>
      <c r="O93" s="76"/>
      <c r="P93" s="41">
        <f>IF(LEN(SUBSTITUTE(R92,",",))/2=4,SUM(N(ISNUMBER(FIND(LEFT(R92,2),D93,1))),N(ISNUMBER(FIND(MID(R92,4,2),D93,1))),N(ISNUMBER(FIND(MID(R92,7,2),D93,1))),N(ISNUMBER(FIND(RIGHT(R92,2),D93,1)))),IF(LEN(SUBSTITUTE(R92,",",))/2=3,SUM(N(ISNUMBER(FIND(LEFT(R92,2),D93,1))),N(ISNUMBER(FIND(MID(R92,4,2),D93,1))),N(ISNUMBER(FIND(RIGHT(R92,2),D93,1)))),IF(LEN(SUBSTITUTE(R92,",",))/2=2,SUM(N(ISNUMBER(FIND(LEFT(R92,2),D93,1))),N(ISNUMBER(FIND(RIGHT(R92,2),D93,1)))),N(ISNUMBER(FIND(R92,D93,1))))))</f>
        <v>4</v>
      </c>
      <c r="Q93" s="41"/>
      <c r="R93" s="41"/>
      <c r="S93" s="41"/>
      <c r="T93" s="33"/>
      <c r="U93" s="33"/>
    </row>
    <row r="94" spans="1:21" ht="20.100000000000001" customHeight="1" x14ac:dyDescent="0.15">
      <c r="A94" s="32" t="s">
        <v>103</v>
      </c>
      <c r="B94" s="40" t="s">
        <v>78</v>
      </c>
      <c r="C94" s="33" t="s">
        <v>30</v>
      </c>
      <c r="D94" s="38" t="s">
        <v>276</v>
      </c>
      <c r="E94" s="38">
        <f>LEN(SUBSTITUTE(D94,",",))/2</f>
        <v>1</v>
      </c>
      <c r="F94" s="100">
        <v>4</v>
      </c>
      <c r="G94" s="33"/>
      <c r="H94" s="101">
        <v>3</v>
      </c>
      <c r="I94" s="83">
        <f>IF(AND(P94,P95&gt;=(B95-E94)),COMBIN(P95,B95-E94)*K94*F94,0)</f>
        <v>355608.16000000003</v>
      </c>
      <c r="J94" s="100" t="str">
        <f>TRIM(IF(LEN(D94)=0,"-",SUBSTITUTE(D94,","," ")))&amp;","&amp;TRIM(IF(LEN(D95)=0,"-",SUBSTITUTE(D95,","," ")))</f>
        <v>03,01 02 04 05 06 07 08 09 10 11</v>
      </c>
      <c r="K94" s="87">
        <f>N85</f>
        <v>22225.510000000002</v>
      </c>
      <c r="L94" s="34"/>
      <c r="M94" s="78" t="str">
        <f>辅助!F94</f>
        <v>01,03,04,06,09</v>
      </c>
      <c r="N94" s="34">
        <v>29981.45</v>
      </c>
      <c r="O94" s="76"/>
      <c r="P94" s="41" t="b">
        <f>AND(ISNUMBER(FIND(SUBSTITUTE(MID(D94,2,2),",",),P53,1)),ISNUMBER(FIND(SUBSTITUTE(MID(D94,5,2),",",),P53,1)))</f>
        <v>1</v>
      </c>
      <c r="Q94" s="41" t="str">
        <f>IF(P94,IF(FIND(SUBSTITUTE(MID(D94,2,2),",",),P53,1)&lt;3,SUBSTITUTE(P53,MID(D94,2,3),),SUBSTITUTE(P53,LEFT(D94,3),)),"此订单未中奖！")</f>
        <v>01,02,04,06</v>
      </c>
      <c r="R94" s="41" t="str">
        <f>IF(P94,IF(FIND(SUBSTITUTE(MID(D94,5,2),",",),Q94,1)&lt;3,SUBSTITUTE(Q94,RIGHT(D94,3),),SUBSTITUTE(Q94,MID(D94,4,3),)),"此订单未中奖！")</f>
        <v>01,02,04,06</v>
      </c>
      <c r="S94" s="41"/>
      <c r="T94" s="33"/>
      <c r="U94" s="33"/>
    </row>
    <row r="95" spans="1:21" ht="20.100000000000001" customHeight="1" x14ac:dyDescent="0.15">
      <c r="A95" s="32" t="s">
        <v>103</v>
      </c>
      <c r="B95" s="40">
        <v>4</v>
      </c>
      <c r="C95" s="33" t="s">
        <v>104</v>
      </c>
      <c r="D95" s="38" t="s">
        <v>277</v>
      </c>
      <c r="E95" s="34">
        <f>COMBIN(LEN(SUBSTITUTE(D95,",",))/2,B95-E94)</f>
        <v>120</v>
      </c>
      <c r="F95" s="100"/>
      <c r="G95" s="33"/>
      <c r="H95" s="101"/>
      <c r="I95" s="83"/>
      <c r="J95" s="100"/>
      <c r="K95" s="88"/>
      <c r="L95" s="34"/>
      <c r="M95" s="78" t="str">
        <f>辅助!F95</f>
        <v>01,03,04,06,10</v>
      </c>
      <c r="N95" s="34">
        <v>29882.900000000005</v>
      </c>
      <c r="O95" s="76"/>
      <c r="P95" s="41">
        <f>IF(LEN(SUBSTITUTE(R94,",",))/2=4,SUM(N(ISNUMBER(FIND(LEFT(R94,2),D95,1))),N(ISNUMBER(FIND(MID(R94,4,2),D95,1))),N(ISNUMBER(FIND(MID(R94,7,2),D95,1))),N(ISNUMBER(FIND(RIGHT(R94,2),D95,1)))),IF(LEN(SUBSTITUTE(R94,",",))/2=3,SUM(N(ISNUMBER(FIND(LEFT(R94,2),D95,1))),N(ISNUMBER(FIND(MID(R94,4,2),D95,1))),N(ISNUMBER(FIND(RIGHT(R94,2),D95,1)))),IF(LEN(SUBSTITUTE(R94,",",))/2=2,SUM(N(ISNUMBER(FIND(LEFT(R94,2),D95,1))),N(ISNUMBER(FIND(RIGHT(R94,2),D95,1)))),N(ISNUMBER(FIND(R94,D95,1))))))</f>
        <v>4</v>
      </c>
      <c r="Q95" s="41"/>
      <c r="R95" s="41"/>
      <c r="S95" s="41"/>
      <c r="T95" s="33"/>
      <c r="U95" s="33"/>
    </row>
    <row r="96" spans="1:21" ht="20.100000000000001" customHeight="1" x14ac:dyDescent="0.15">
      <c r="A96" s="32" t="s">
        <v>103</v>
      </c>
      <c r="B96" s="40" t="s">
        <v>80</v>
      </c>
      <c r="C96" s="33" t="s">
        <v>30</v>
      </c>
      <c r="D96" s="38" t="s">
        <v>278</v>
      </c>
      <c r="E96" s="38">
        <f>LEN(SUBSTITUTE(D96,",",))/2</f>
        <v>1</v>
      </c>
      <c r="F96" s="100">
        <v>5</v>
      </c>
      <c r="G96" s="33"/>
      <c r="H96" s="101">
        <v>0</v>
      </c>
      <c r="I96" s="83">
        <f>IF(AND(P96,P97&gt;=(B97-E96)),COMBIN(P97,B97-E96)*K96*F96,0)</f>
        <v>173424.47499999998</v>
      </c>
      <c r="J96" s="100" t="str">
        <f>TRIM(IF(LEN(D96)=0,"-",SUBSTITUTE(D96,","," ")))&amp;","&amp;TRIM(IF(LEN(D97)=0,"-",SUBSTITUTE(D97,","," ")))</f>
        <v>04,01 02 03 07 09 10 05 06 08 11</v>
      </c>
      <c r="K96" s="87">
        <f>N86</f>
        <v>34684.894999999997</v>
      </c>
      <c r="L96" s="34"/>
      <c r="M96" s="78" t="str">
        <f>辅助!F96</f>
        <v>01,03,04,06,11</v>
      </c>
      <c r="N96" s="34">
        <v>29875.3</v>
      </c>
      <c r="O96" s="76"/>
      <c r="P96" s="41" t="b">
        <f>AND(ISNUMBER(FIND(SUBSTITUTE(MID(D96,2,2),",",),P53,1)),ISNUMBER(FIND(SUBSTITUTE(MID(D96,5,2),",",),P53,1)),ISNUMBER(FIND(SUBSTITUTE(MID(D96,8,2),",",),P53,1)))</f>
        <v>1</v>
      </c>
      <c r="Q96" s="41" t="str">
        <f>IF(P96,IF(FIND(SUBSTITUTE(MID(D96,2,2),",",),P53,1)&lt;3,SUBSTITUTE(P53,MID(D96,2,3),),SUBSTITUTE(P53,LEFT(D96,3),)),"此订单未中奖！")</f>
        <v>01,02,03,06</v>
      </c>
      <c r="R96" s="41" t="str">
        <f>IF(P96,IF(FIND(SUBSTITUTE(MID(D96,5,2),",",),Q96,1)&lt;3,SUBSTITUTE(Q96,MID(D96,5,3),),SUBSTITUTE(Q96,MID(D96,4,3),)),"此订单未中奖！")</f>
        <v>01,02,03,06</v>
      </c>
      <c r="S96" s="41" t="str">
        <f>IF(P96,IF(FIND(SUBSTITUTE(MID(D96,8,2),",",),R96,1)&lt;3,SUBSTITUTE(R96,RIGHT(D96,3),),SUBSTITUTE(R96,MID(D96,7,3),)),"此订单未中奖！")</f>
        <v>01,02,03,06</v>
      </c>
      <c r="T96" s="33"/>
      <c r="U96" s="33"/>
    </row>
    <row r="97" spans="1:23" ht="20.100000000000001" customHeight="1" x14ac:dyDescent="0.15">
      <c r="A97" s="32" t="s">
        <v>103</v>
      </c>
      <c r="B97" s="40">
        <v>5</v>
      </c>
      <c r="C97" s="33" t="s">
        <v>104</v>
      </c>
      <c r="D97" s="38" t="s">
        <v>279</v>
      </c>
      <c r="E97" s="34">
        <f>COMBIN(LEN(SUBSTITUTE(D97,",",))/2,B97-E96)</f>
        <v>209.99999999999997</v>
      </c>
      <c r="F97" s="100"/>
      <c r="G97" s="33"/>
      <c r="H97" s="101"/>
      <c r="I97" s="83"/>
      <c r="J97" s="100"/>
      <c r="K97" s="88"/>
      <c r="L97" s="34"/>
      <c r="M97" s="78" t="str">
        <f>辅助!F97</f>
        <v>01,03,04,07,08</v>
      </c>
      <c r="N97" s="34">
        <v>28282.100000000002</v>
      </c>
      <c r="O97" s="76"/>
      <c r="P97" s="41">
        <f>IF(LEN(SUBSTITUTE(S96,",",))/2=4,SUM(N(ISNUMBER(FIND(LEFT(S96,2),D97,1))),N(ISNUMBER(FIND(MID(S96,4,2),D97,1))),N(ISNUMBER(FIND(MID(S96,7,2),D97,1))),N(ISNUMBER(FIND(RIGHT(S96,2),D97,1)))),IF(LEN(SUBSTITUTE(S96,",",))/2=3,SUM(N(ISNUMBER(FIND(LEFT(S96,2),D97,1))),N(ISNUMBER(FIND(MID(S96,4,2),D97,1))),N(ISNUMBER(FIND(RIGHT(S96,2),D97,1)))),IF(LEN(SUBSTITUTE(S96,",",))/2=2,SUM(N(ISNUMBER(FIND(LEFT(S96,2),D97,1))),N(ISNUMBER(FIND(RIGHT(S96,2),D97,1)))),N(ISNUMBER(FIND(S96,D97,1))))))</f>
        <v>4</v>
      </c>
      <c r="Q97" s="41"/>
      <c r="R97" s="41"/>
      <c r="S97" s="41"/>
      <c r="T97" s="33"/>
      <c r="U97" s="33"/>
    </row>
    <row r="98" spans="1:23" ht="20.100000000000001" customHeight="1" x14ac:dyDescent="0.15">
      <c r="A98" s="32" t="s">
        <v>103</v>
      </c>
      <c r="B98" s="40" t="s">
        <v>82</v>
      </c>
      <c r="C98" s="33" t="s">
        <v>30</v>
      </c>
      <c r="D98" s="38" t="s">
        <v>280</v>
      </c>
      <c r="E98" s="38">
        <f>LEN(SUBSTITUTE(D98,",",))/2</f>
        <v>1</v>
      </c>
      <c r="F98" s="100">
        <v>5</v>
      </c>
      <c r="G98" s="33"/>
      <c r="H98" s="101">
        <v>0</v>
      </c>
      <c r="I98" s="83">
        <f>IF(AND(P98,P99&gt;=(5-E98)),COMBIN(LEN(SUBSTITUTE(D99,",",))/2-P99,B99-5)*K98*F98,0)</f>
        <v>0</v>
      </c>
      <c r="J98" s="100" t="str">
        <f>TRIM(IF(LEN(D98)=0,"-",SUBSTITUTE(D98,","," ")))&amp;","&amp;TRIM(IF(LEN(D99)=0,"-",SUBSTITUTE(D99,","," ")))</f>
        <v>05,01 02 03 04 06 07 08 09 10 11</v>
      </c>
      <c r="K98" s="87">
        <f>N87</f>
        <v>32862.57</v>
      </c>
      <c r="L98" s="34"/>
      <c r="M98" s="78" t="str">
        <f>辅助!F98</f>
        <v>01,03,04,07,09</v>
      </c>
      <c r="N98" s="34">
        <v>28424.500000000004</v>
      </c>
      <c r="O98" s="76"/>
      <c r="P98" s="41" t="b">
        <f>AND(ISNUMBER(FIND(SUBSTITUTE(MID(D98,2,2),",",),P53,1)),ISNUMBER(FIND(SUBSTITUTE(MID(D98,5,2),",",),P53,1)))</f>
        <v>0</v>
      </c>
      <c r="Q98" s="41" t="str">
        <f>IF(P98,IF(FIND(SUBSTITUTE(MID(D98,2,2),",",),P53,1)&lt;3,SUBSTITUTE(P53,MID(D98,2,3),),SUBSTITUTE(P53,LEFT(D98,3),)),"此订单未中奖！")</f>
        <v>此订单未中奖！</v>
      </c>
      <c r="R98" s="41" t="str">
        <f>IF(P98,IF(FIND(SUBSTITUTE(MID(D98,5,2),",",),Q98,1)&lt;3,SUBSTITUTE(Q98,RIGHT(D98,3),),SUBSTITUTE(Q98,MID(D98,4,3),)),"此订单未中奖！")</f>
        <v>此订单未中奖！</v>
      </c>
      <c r="S98" s="41"/>
      <c r="T98" s="33"/>
      <c r="U98" s="33"/>
    </row>
    <row r="99" spans="1:23" ht="20.100000000000001" customHeight="1" x14ac:dyDescent="0.15">
      <c r="A99" s="32" t="s">
        <v>103</v>
      </c>
      <c r="B99" s="40">
        <v>6</v>
      </c>
      <c r="C99" s="33" t="s">
        <v>104</v>
      </c>
      <c r="D99" s="38" t="s">
        <v>281</v>
      </c>
      <c r="E99" s="34">
        <f>COMBIN(LEN(SUBSTITUTE(D99,",",))/2,B99-E98)</f>
        <v>252</v>
      </c>
      <c r="F99" s="100"/>
      <c r="G99" s="33"/>
      <c r="H99" s="101"/>
      <c r="I99" s="83"/>
      <c r="J99" s="100"/>
      <c r="K99" s="88"/>
      <c r="L99" s="34"/>
      <c r="M99" s="78" t="str">
        <f>辅助!F99</f>
        <v>01,03,04,07,10</v>
      </c>
      <c r="N99" s="34">
        <v>28281.100000000002</v>
      </c>
      <c r="O99" s="76"/>
      <c r="P99" s="41">
        <f>IF(LEN(SUBSTITUTE(R98,",",))/2=4,SUM(N(ISNUMBER(FIND(LEFT(R98,2),D99,1))),N(ISNUMBER(FIND(MID(R98,4,2),D99,1))),N(ISNUMBER(FIND(MID(R98,7,2),D99,1))),N(ISNUMBER(FIND(RIGHT(R98,2),D99,1)))),IF(LEN(SUBSTITUTE(R98,",",))/2=3,SUM(N(ISNUMBER(FIND(LEFT(R98,2),D99,1))),N(ISNUMBER(FIND(MID(R98,4,2),D99,1))),N(ISNUMBER(FIND(RIGHT(R98,2),D99,1)))),IF(LEN(SUBSTITUTE(R98,",",))/2=2,SUM(N(ISNUMBER(FIND(LEFT(R98,2),D99,1))),N(ISNUMBER(FIND(RIGHT(R98,2),D99,1)))),N(ISNUMBER(FIND(R98,D99,1))))))</f>
        <v>0</v>
      </c>
      <c r="Q99" s="41"/>
      <c r="R99" s="41"/>
      <c r="S99" s="41"/>
      <c r="T99" s="33"/>
      <c r="U99" s="33"/>
    </row>
    <row r="100" spans="1:23" ht="20.100000000000001" customHeight="1" x14ac:dyDescent="0.15">
      <c r="A100" s="32" t="s">
        <v>103</v>
      </c>
      <c r="B100" s="40" t="s">
        <v>84</v>
      </c>
      <c r="C100" s="33" t="s">
        <v>30</v>
      </c>
      <c r="D100" s="38" t="s">
        <v>282</v>
      </c>
      <c r="E100" s="38">
        <f>LEN(SUBSTITUTE(D100,",",))/2</f>
        <v>1</v>
      </c>
      <c r="F100" s="100">
        <v>4</v>
      </c>
      <c r="G100" s="33"/>
      <c r="H100" s="101">
        <v>0</v>
      </c>
      <c r="I100" s="83">
        <f>IF(AND(P100,P101&gt;=(5-E100)),COMBIN(LEN(SUBSTITUTE(D101,",",))/2-P101,B101-5)*K100*F100,0)</f>
        <v>1907220</v>
      </c>
      <c r="J100" s="100" t="str">
        <f>TRIM(IF(LEN(D100)=0,"-",SUBSTITUTE(D100,","," ")))&amp;","&amp;TRIM(IF(LEN(D101)=0,"-",SUBSTITUTE(D101,","," ")))</f>
        <v>06,01 02 03 04 05 07 08 09 10 11</v>
      </c>
      <c r="K100" s="87">
        <f>N88</f>
        <v>31787</v>
      </c>
      <c r="L100" s="34"/>
      <c r="M100" s="78" t="str">
        <f>辅助!F100</f>
        <v>01,03,04,07,11</v>
      </c>
      <c r="N100" s="34">
        <v>28318.350000000002</v>
      </c>
      <c r="O100" s="76"/>
      <c r="P100" s="41" t="b">
        <f>AND(ISNUMBER(FIND(SUBSTITUTE(MID(D100,2,2),",",),P53,1)),ISNUMBER(FIND(SUBSTITUTE(MID(D100,5,2),",",),P53,1)),ISNUMBER(FIND(SUBSTITUTE(MID(D100,8,2),",",),P53,1)))</f>
        <v>1</v>
      </c>
      <c r="Q100" s="41" t="str">
        <f>IF(P100,IF(FIND(SUBSTITUTE(MID(D100,2,2),",",),P53,1)&lt;3,SUBSTITUTE(P53,MID(D100,2,3),),SUBSTITUTE(P53,LEFT(D100,3),)),"此订单未中奖！")</f>
        <v>01,02,03,04</v>
      </c>
      <c r="R100" s="41" t="str">
        <f>IF(P100,IF(FIND(SUBSTITUTE(MID(D100,5,2),",",),Q100,1)&lt;3,SUBSTITUTE(Q100,MID(D100,5,3),),SUBSTITUTE(Q100,MID(D100,4,3),)),"此订单未中奖！")</f>
        <v>01,02,03,04</v>
      </c>
      <c r="S100" s="41" t="str">
        <f>IF(P100,IF(FIND(SUBSTITUTE(MID(D100,8,2),",",),R100,1)&lt;3,SUBSTITUTE(R100,RIGHT(D100,3),),SUBSTITUTE(R100,MID(D100,7,3),)),"此订单未中奖！")</f>
        <v>01,02,03,04</v>
      </c>
      <c r="T100" s="33"/>
      <c r="U100" s="33"/>
    </row>
    <row r="101" spans="1:23" ht="20.100000000000001" customHeight="1" x14ac:dyDescent="0.15">
      <c r="A101" s="32" t="s">
        <v>103</v>
      </c>
      <c r="B101" s="40">
        <v>7</v>
      </c>
      <c r="C101" s="33" t="s">
        <v>104</v>
      </c>
      <c r="D101" s="38" t="s">
        <v>283</v>
      </c>
      <c r="E101" s="34">
        <f>COMBIN(LEN(SUBSTITUTE(D101,",",))/2,B101-E100)</f>
        <v>209.99999999999997</v>
      </c>
      <c r="F101" s="100"/>
      <c r="G101" s="33"/>
      <c r="H101" s="101"/>
      <c r="I101" s="83"/>
      <c r="J101" s="100"/>
      <c r="K101" s="88"/>
      <c r="L101" s="34"/>
      <c r="M101" s="78" t="str">
        <f>辅助!F101</f>
        <v>01,03,04,08,09</v>
      </c>
      <c r="N101" s="34">
        <v>27433.850000000002</v>
      </c>
      <c r="O101" s="76"/>
      <c r="P101" s="41">
        <f>IF(LEN(SUBSTITUTE(S100,",",))/2=4,SUM(N(ISNUMBER(FIND(LEFT(S100,2),D101,1))),N(ISNUMBER(FIND(MID(S100,4,2),D101,1))),N(ISNUMBER(FIND(MID(S100,7,2),D101,1))),N(ISNUMBER(FIND(RIGHT(S100,2),D101,1)))),IF(LEN(SUBSTITUTE(S100,",",))/2=3,SUM(N(ISNUMBER(FIND(LEFT(S100,2),D101,1))),N(ISNUMBER(FIND(MID(S100,4,2),D101,1))),N(ISNUMBER(FIND(RIGHT(S100,2),D101,1)))),IF(LEN(SUBSTITUTE(S100,",",))/2=2,SUM(N(ISNUMBER(FIND(LEFT(S100,2),D101,1))),N(ISNUMBER(FIND(RIGHT(S100,2),D101,1)))),N(ISNUMBER(FIND(S100,D101,1))))))</f>
        <v>4</v>
      </c>
      <c r="Q101" s="41"/>
      <c r="R101" s="41"/>
      <c r="S101" s="41"/>
      <c r="T101" s="33"/>
      <c r="U101" s="33"/>
    </row>
    <row r="102" spans="1:23" ht="20.100000000000001" customHeight="1" x14ac:dyDescent="0.15">
      <c r="A102" s="32" t="s">
        <v>103</v>
      </c>
      <c r="B102" s="40" t="s">
        <v>86</v>
      </c>
      <c r="C102" s="33" t="s">
        <v>30</v>
      </c>
      <c r="D102" s="38" t="s">
        <v>258</v>
      </c>
      <c r="E102" s="38">
        <f>LEN(SUBSTITUTE(D102,",",))/2</f>
        <v>1</v>
      </c>
      <c r="F102" s="100">
        <v>3</v>
      </c>
      <c r="G102" s="33"/>
      <c r="H102" s="101">
        <v>0</v>
      </c>
      <c r="I102" s="83">
        <f>IF(AND(P102,P103&gt;=(5-E102)),COMBIN(LEN(SUBSTITUTE(D103,",",))/2-P103,B103-5)*K102*F102,0)</f>
        <v>0</v>
      </c>
      <c r="J102" s="100" t="str">
        <f>TRIM(IF(LEN(D102)=0,"-",SUBSTITUTE(D102,","," ")))&amp;","&amp;TRIM(IF(LEN(D103)=0,"-",SUBSTITUTE(D103,","," ")))</f>
        <v>07,01 02 03 04 05 06 09 10 08 11</v>
      </c>
      <c r="K102" s="87">
        <f>N89</f>
        <v>31929.4</v>
      </c>
      <c r="L102" s="34"/>
      <c r="M102" s="78" t="str">
        <f>辅助!F102</f>
        <v>01,03,04,08,10</v>
      </c>
      <c r="N102" s="34">
        <v>27335.300000000007</v>
      </c>
      <c r="O102" s="76"/>
      <c r="P102" s="41" t="b">
        <f>AND(ISNUMBER(FIND(SUBSTITUTE(MID(D102,2,2),",",),P53,1)),ISNUMBER(FIND(SUBSTITUTE(MID(D102,5,2),",",),P53,1)))</f>
        <v>0</v>
      </c>
      <c r="Q102" s="41" t="str">
        <f>IF(P102,IF(FIND(SUBSTITUTE(MID(D102,2,2),",",),P53,1)&lt;3,SUBSTITUTE(P53,MID(D102,2,3),),SUBSTITUTE(P53,LEFT(D102,3),)),"此订单未中奖！")</f>
        <v>此订单未中奖！</v>
      </c>
      <c r="R102" s="41" t="str">
        <f>IF(P102,IF(FIND(SUBSTITUTE(MID(D102,5,2),",",),Q102,1)&lt;3,SUBSTITUTE(Q102,RIGHT(D102,3),),SUBSTITUTE(Q102,MID(D102,4,3),)),"此订单未中奖！")</f>
        <v>此订单未中奖！</v>
      </c>
      <c r="S102" s="41"/>
      <c r="T102" s="33"/>
      <c r="U102" s="33"/>
    </row>
    <row r="103" spans="1:23" ht="20.100000000000001" customHeight="1" x14ac:dyDescent="0.15">
      <c r="A103" s="32" t="s">
        <v>103</v>
      </c>
      <c r="B103" s="40">
        <v>8</v>
      </c>
      <c r="C103" s="33" t="s">
        <v>104</v>
      </c>
      <c r="D103" s="38" t="s">
        <v>284</v>
      </c>
      <c r="E103" s="34">
        <f>COMBIN(LEN(SUBSTITUTE(D103,",",))/2,B103-E102)</f>
        <v>120</v>
      </c>
      <c r="F103" s="100"/>
      <c r="G103" s="33"/>
      <c r="H103" s="101"/>
      <c r="I103" s="83"/>
      <c r="J103" s="100"/>
      <c r="K103" s="88"/>
      <c r="L103" s="34"/>
      <c r="M103" s="78" t="str">
        <f>辅助!F103</f>
        <v>01,03,04,08,11</v>
      </c>
      <c r="N103" s="34">
        <v>27327.7</v>
      </c>
      <c r="O103" s="76"/>
      <c r="P103" s="41">
        <f>IF(LEN(SUBSTITUTE(R102,",",))/2=4,SUM(N(ISNUMBER(FIND(LEFT(R102,2),D103,1))),N(ISNUMBER(FIND(MID(R102,4,2),D103,1))),N(ISNUMBER(FIND(MID(R102,7,2),D103,1))),N(ISNUMBER(FIND(RIGHT(R102,2),D103,1)))),IF(LEN(SUBSTITUTE(R102,",",))/2=3,SUM(N(ISNUMBER(FIND(LEFT(R102,2),D103,1))),N(ISNUMBER(FIND(MID(R102,4,2),D103,1))),N(ISNUMBER(FIND(RIGHT(R102,2),D103,1)))),IF(LEN(SUBSTITUTE(R102,",",))/2=2,SUM(N(ISNUMBER(FIND(LEFT(R102,2),D103,1))),N(ISNUMBER(FIND(RIGHT(R102,2),D103,1)))),N(ISNUMBER(FIND(R102,D103,1))))))</f>
        <v>0</v>
      </c>
      <c r="Q103" s="41"/>
      <c r="R103" s="41"/>
      <c r="S103" s="41"/>
      <c r="T103" s="33"/>
      <c r="U103" s="33"/>
    </row>
    <row r="104" spans="1:23" ht="20.100000000000001" customHeight="1" x14ac:dyDescent="0.15">
      <c r="A104" s="50" t="s">
        <v>23</v>
      </c>
      <c r="B104" s="50" t="s">
        <v>25</v>
      </c>
      <c r="C104" s="51" t="s">
        <v>26</v>
      </c>
      <c r="D104" s="38" t="s">
        <v>256</v>
      </c>
      <c r="E104" s="82">
        <v>45</v>
      </c>
      <c r="F104" s="95">
        <v>2</v>
      </c>
      <c r="G104" s="52">
        <f>IF(AND(ISNUMBER(FIND(P107,D104,1)),LEN($P104)&lt;&gt;0),1,0)</f>
        <v>1</v>
      </c>
      <c r="H104" s="96">
        <f>IF(SUM(G104:G106)=3,1,0)</f>
        <v>1</v>
      </c>
      <c r="I104" s="99">
        <f>H104*K104*F104</f>
        <v>54867.700000000004</v>
      </c>
      <c r="J104" s="97" t="str">
        <f>TRIM(IF(LEN(D104)=0,"-",SUBSTITUTE(D104,","," ")))&amp;","&amp;TRIM(IF(LEN(D105)=0,"-",SUBSTITUTE(D105,","," ")))&amp;","&amp;TRIM(IF(LEN(D106)=0,"-",SUBSTITUTE(D106,","," ")))</f>
        <v>01 02 03 04 05 06 07 08 09 10 11,01 02 03 04 05 06 07 08 09 10 11,01 02 03 04 05 06 07 08 09 10 11</v>
      </c>
      <c r="K104" s="87">
        <f>N104</f>
        <v>27433.850000000002</v>
      </c>
      <c r="L104" s="53">
        <f>I104</f>
        <v>54867.700000000004</v>
      </c>
      <c r="M104" s="78" t="str">
        <f>辅助!F104</f>
        <v>01,03,04,09,10</v>
      </c>
      <c r="N104" s="34">
        <v>27433.850000000002</v>
      </c>
      <c r="O104" s="76"/>
      <c r="P104" s="52" t="str">
        <f>O4</f>
        <v>06,10,01,05,08</v>
      </c>
      <c r="Q104" s="41" t="str">
        <f>SUBSTITUTE(SUBSTITUTE(P104,Q105,),",",)</f>
        <v>06010508</v>
      </c>
      <c r="R104" s="41" t="str">
        <f>SUBSTITUTE(Q104,R105,)</f>
        <v>060105</v>
      </c>
      <c r="S104" s="41" t="str">
        <f>0&amp;MAX(INT(S107),INT(S108),INT(S109))</f>
        <v>06</v>
      </c>
      <c r="T104" s="54"/>
      <c r="U104" s="54"/>
      <c r="V104" s="54"/>
      <c r="W104" s="47"/>
    </row>
    <row r="105" spans="1:23" ht="20.100000000000001" customHeight="1" x14ac:dyDescent="0.15">
      <c r="A105" s="55" t="s">
        <v>23</v>
      </c>
      <c r="B105" s="55" t="s">
        <v>25</v>
      </c>
      <c r="C105" s="52" t="s">
        <v>27</v>
      </c>
      <c r="D105" s="38" t="s">
        <v>254</v>
      </c>
      <c r="E105" s="82"/>
      <c r="F105" s="95"/>
      <c r="G105" s="52">
        <f>IF(AND(ISNUMBER(FIND(P108,D105,1)),LEN($P104)&lt;&gt;0),1,0)</f>
        <v>1</v>
      </c>
      <c r="H105" s="96"/>
      <c r="I105" s="96"/>
      <c r="J105" s="97"/>
      <c r="K105" s="89"/>
      <c r="L105" s="53">
        <f>I107</f>
        <v>0</v>
      </c>
      <c r="M105" s="78" t="str">
        <f>辅助!F105</f>
        <v>01,03,04,09,11</v>
      </c>
      <c r="N105" s="34">
        <v>27471.100000000002</v>
      </c>
      <c r="O105" s="76"/>
      <c r="P105" s="54" t="str">
        <f>SUBSTITUTE(LEFT(P104,8),","," ")</f>
        <v>06 10 01</v>
      </c>
      <c r="Q105" s="41">
        <f>IF(MAX(INT(P107),INT(P108),INT(P109),INT(P110),INT(P111))&lt;10,0&amp;MAX(INT(P107),INT(P108),INT(P109),INT(P110),INT(P111)),MAX(INT(P107),INT(P108),INT(P109),INT(P110),INT(P111)))</f>
        <v>10</v>
      </c>
      <c r="R105" s="41" t="str">
        <f>IF(MAX(INT(R107),INT(R108),INT(R109),INT(R110))&lt;10,0&amp;MAX(INT(R107),INT(R108),INT(R109),INT(R110)),MAX(INT(R107),INT(R108),INT(R109),INT(R110)))</f>
        <v>08</v>
      </c>
      <c r="S105" s="41"/>
      <c r="T105" s="54"/>
      <c r="U105" s="54"/>
      <c r="V105" s="54"/>
    </row>
    <row r="106" spans="1:23" ht="20.100000000000001" customHeight="1" x14ac:dyDescent="0.15">
      <c r="A106" s="55" t="s">
        <v>23</v>
      </c>
      <c r="B106" s="55" t="s">
        <v>25</v>
      </c>
      <c r="C106" s="52" t="s">
        <v>28</v>
      </c>
      <c r="D106" s="38" t="s">
        <v>260</v>
      </c>
      <c r="E106" s="82"/>
      <c r="F106" s="95"/>
      <c r="G106" s="52">
        <f>IF(AND(ISNUMBER(FIND(P109,D106,1)),LEN($P104)&lt;&gt;0),1,0)</f>
        <v>1</v>
      </c>
      <c r="H106" s="96"/>
      <c r="I106" s="96"/>
      <c r="J106" s="97"/>
      <c r="K106" s="88"/>
      <c r="L106" s="53">
        <f>I108</f>
        <v>81898.440000000017</v>
      </c>
      <c r="M106" s="78" t="str">
        <f>辅助!F106</f>
        <v>01,03,04,10,11</v>
      </c>
      <c r="N106" s="34">
        <v>27299.480000000007</v>
      </c>
      <c r="O106" s="76"/>
      <c r="P106" s="54" t="str">
        <f>SUBSTITUTE(LEFT(P105,5),","," ")</f>
        <v>06 10</v>
      </c>
      <c r="Q106" s="54"/>
      <c r="R106" s="54"/>
      <c r="S106" s="54"/>
      <c r="T106" s="54"/>
      <c r="U106" s="54"/>
      <c r="V106" s="54"/>
    </row>
    <row r="107" spans="1:23" ht="20.100000000000001" customHeight="1" x14ac:dyDescent="0.15">
      <c r="A107" s="55" t="s">
        <v>23</v>
      </c>
      <c r="B107" s="52" t="s">
        <v>32</v>
      </c>
      <c r="C107" s="54"/>
      <c r="D107" s="38" t="s">
        <v>220</v>
      </c>
      <c r="E107" s="38">
        <f>LEN(SUBSTITUTE(SUBSTITUTE(D107,",",)," ",))/6</f>
        <v>4</v>
      </c>
      <c r="F107" s="56">
        <v>5</v>
      </c>
      <c r="G107" s="52">
        <f>IF(AND(ISNUMBER(FIND(SUBSTITUTE(LEFT(P104,8),","," "),D107,1)),LEN($P104)&lt;&gt;0),1,0)</f>
        <v>0</v>
      </c>
      <c r="H107" s="54">
        <f>G107</f>
        <v>0</v>
      </c>
      <c r="I107" s="54">
        <f>H107*K107*F107</f>
        <v>0</v>
      </c>
      <c r="J107" s="53" t="str">
        <f>TRIM(IF(LEN(D107)=0,"-",SUBSTITUTE(D107," "," ")))</f>
        <v>01 02 03,04 05 06,07 08 09,02 05 07</v>
      </c>
      <c r="K107" s="34">
        <f>N105</f>
        <v>27471.100000000002</v>
      </c>
      <c r="L107" s="53">
        <f>I109</f>
        <v>0</v>
      </c>
      <c r="M107" s="78" t="str">
        <f>辅助!F107</f>
        <v>01,03,05,06,07</v>
      </c>
      <c r="N107" s="34">
        <v>30943.430000000004</v>
      </c>
      <c r="O107" s="76"/>
      <c r="P107" s="54" t="str">
        <f>LEFT(P104,2)</f>
        <v>06</v>
      </c>
      <c r="Q107" s="54">
        <f>MOD(P107,2)</f>
        <v>0</v>
      </c>
      <c r="R107" s="54" t="str">
        <f>LEFT(Q104,2)</f>
        <v>06</v>
      </c>
      <c r="S107" s="54" t="str">
        <f>LEFT(R104,2)</f>
        <v>06</v>
      </c>
      <c r="T107" s="54"/>
      <c r="U107" s="54"/>
      <c r="V107" s="54"/>
    </row>
    <row r="108" spans="1:23" ht="20.100000000000001" customHeight="1" x14ac:dyDescent="0.15">
      <c r="A108" s="55" t="s">
        <v>23</v>
      </c>
      <c r="B108" s="52" t="s">
        <v>35</v>
      </c>
      <c r="C108" s="52" t="s">
        <v>39</v>
      </c>
      <c r="D108" s="38" t="s">
        <v>257</v>
      </c>
      <c r="E108" s="38">
        <f>COMBIN(LEN(SUBSTITUTE(D108,",",))/2,3)</f>
        <v>165</v>
      </c>
      <c r="F108" s="56">
        <v>3</v>
      </c>
      <c r="G108" s="52"/>
      <c r="H108" s="54">
        <v>1</v>
      </c>
      <c r="I108" s="54">
        <f>IF(AND(P107&lt;&gt;P108,P107&lt;&gt;P109,P108&lt;&gt;P109),IF(SUM(N(ISNUMBER(FIND(P107,J108,1))),N(ISNUMBER(FIND(P108,J108,1))),N(ISNUMBER(FIND(P109,J108,1))))=3,F108*K108,0),0)</f>
        <v>81898.440000000017</v>
      </c>
      <c r="J108" s="53" t="str">
        <f>TRIM(IF(LEN('5Of11Source'!D108)=0,"-",SUBSTITUTE('5Of11Source'!D108,","," ")))</f>
        <v>01 02 03 04 05 06 07 08 09 10 11</v>
      </c>
      <c r="K108" s="34">
        <f t="shared" ref="K108:K109" si="9">N106</f>
        <v>27299.480000000007</v>
      </c>
      <c r="L108" s="53">
        <f>I110</f>
        <v>0</v>
      </c>
      <c r="M108" s="78" t="str">
        <f>辅助!F108</f>
        <v>01,03,05,06,08</v>
      </c>
      <c r="N108" s="34">
        <v>29867.860000000004</v>
      </c>
      <c r="O108" s="76"/>
      <c r="P108" s="54" t="str">
        <f>MID(P104,4,2)</f>
        <v>10</v>
      </c>
      <c r="Q108" s="54">
        <f t="shared" ref="Q108:Q111" si="10">MOD(P108,2)</f>
        <v>0</v>
      </c>
      <c r="R108" s="54" t="str">
        <f>MID(Q104,3,2)</f>
        <v>01</v>
      </c>
      <c r="S108" s="54" t="str">
        <f>MID(R104,3,2)</f>
        <v>01</v>
      </c>
      <c r="T108" s="54"/>
      <c r="U108" s="54"/>
      <c r="V108" s="54"/>
    </row>
    <row r="109" spans="1:23" ht="20.100000000000001" customHeight="1" x14ac:dyDescent="0.15">
      <c r="A109" s="55" t="s">
        <v>23</v>
      </c>
      <c r="B109" s="52" t="s">
        <v>36</v>
      </c>
      <c r="C109" s="54"/>
      <c r="D109" s="38" t="s">
        <v>222</v>
      </c>
      <c r="E109" s="38">
        <f>LEN(SUBSTITUTE(SUBSTITUTE(D109,",",)," ",))/6</f>
        <v>4</v>
      </c>
      <c r="F109" s="56">
        <v>4</v>
      </c>
      <c r="G109" s="52"/>
      <c r="H109" s="54"/>
      <c r="I109" s="54">
        <f>IF(OR(ISNUMBER(FIND(P107&amp;" "&amp;P108&amp;" "&amp;P109,D109,1)),ISNUMBER(FIND(P107&amp;" "&amp;P109&amp;" "&amp;P108,D109,1)),ISNUMBER(FIND(P108&amp;" "&amp;P107&amp;" "&amp;P109,D109,1)),ISNUMBER(FIND(P108&amp;" "&amp;P109&amp;" "&amp;P107,D109,1)),ISNUMBER(FIND(P109&amp;" "&amp;P107&amp;" "&amp;P108,D109,1)),ISNUMBER(FIND(P109&amp;" "&amp;P108&amp;" "&amp;P107,D109,1))),F109*K109,0)</f>
        <v>0</v>
      </c>
      <c r="J109" s="53" t="str">
        <f>TRIM(IF(LEN('5Of11Source'!D109)=0,"-",SUBSTITUTE('5Of11Source'!D109,","," ")))</f>
        <v>01 02 03 06 07 08 09 10 11 05 02 07</v>
      </c>
      <c r="K109" s="34">
        <f t="shared" si="9"/>
        <v>30943.430000000004</v>
      </c>
      <c r="L109" s="53">
        <f>I112</f>
        <v>150051.29999999999</v>
      </c>
      <c r="M109" s="78" t="str">
        <f>辅助!F109</f>
        <v>01,03,05,06,09</v>
      </c>
      <c r="N109" s="34">
        <v>30010.26</v>
      </c>
      <c r="O109" s="76"/>
      <c r="P109" s="54" t="str">
        <f>MID(P104,7,2)</f>
        <v>01</v>
      </c>
      <c r="Q109" s="54">
        <f t="shared" si="10"/>
        <v>1</v>
      </c>
      <c r="R109" s="54" t="str">
        <f>MID(Q104,5,2)</f>
        <v>05</v>
      </c>
      <c r="S109" s="54" t="str">
        <f>MID(R104,5,2)</f>
        <v>05</v>
      </c>
      <c r="T109" s="54"/>
      <c r="U109" s="54"/>
      <c r="V109" s="54"/>
    </row>
    <row r="110" spans="1:23" ht="20.100000000000001" customHeight="1" x14ac:dyDescent="0.15">
      <c r="A110" s="55" t="s">
        <v>23</v>
      </c>
      <c r="B110" s="55" t="s">
        <v>38</v>
      </c>
      <c r="C110" s="52" t="s">
        <v>30</v>
      </c>
      <c r="D110" s="38" t="s">
        <v>258</v>
      </c>
      <c r="E110" s="82">
        <f>COMBIN(LEN(SUBSTITUTE(D111,",",))/2,3-LEN(SUBSTITUTE(D110,",",))/2)</f>
        <v>45</v>
      </c>
      <c r="F110" s="95">
        <v>2</v>
      </c>
      <c r="G110" s="54" t="str">
        <f>IF(AND(ISNUMBER(FIND(SUBSTITUTE(MID(D110,2,2),",",),P105,1)),ISNUMBER(FIND(SUBSTITUTE(MID(D110,5,2),",",),P105,1))),SUBSTITUTE(P105,MID(D110,2,2),),"此订单未中奖！")</f>
        <v>此订单未中奖！</v>
      </c>
      <c r="H110" s="54" t="str">
        <f>IF(AND(ISNUMBER(FIND(SUBSTITUTE(MID(D110,2,2),",",),P105,1)),ISNUMBER(FIND(SUBSTITUTE(MID(D110,5,2),",",),P105,1))),SUBSTITUTE(G110,MID(D110,5,2),),"此订单未中奖！")</f>
        <v>此订单未中奖！</v>
      </c>
      <c r="I110" s="98">
        <f>IF(G111&gt;0,G111*K110*F110,0)</f>
        <v>0</v>
      </c>
      <c r="J110" s="97" t="str">
        <f>TRIM(IF(LEN(D110)=0,"-",SUBSTITUTE(D110,","," ")))&amp;","&amp;TRIM(IF(LEN(D111)=0,"-",SUBSTITUTE(D111,","," ")))</f>
        <v>07,01 02 03 04 05 06 08 09 10 11</v>
      </c>
      <c r="K110" s="87">
        <f>N108</f>
        <v>29867.860000000004</v>
      </c>
      <c r="L110" s="53">
        <f>I114</f>
        <v>0</v>
      </c>
      <c r="M110" s="78" t="str">
        <f>辅助!F110</f>
        <v>01,03,05,06,10</v>
      </c>
      <c r="N110" s="34">
        <v>29866.860000000004</v>
      </c>
      <c r="O110" s="76"/>
      <c r="P110" s="54" t="str">
        <f>MID(P104,10,2)</f>
        <v>05</v>
      </c>
      <c r="Q110" s="54">
        <f t="shared" si="10"/>
        <v>1</v>
      </c>
      <c r="R110" s="54" t="str">
        <f>MID(Q104,7,2)</f>
        <v>08</v>
      </c>
      <c r="S110" s="54"/>
      <c r="T110" s="54"/>
      <c r="U110" s="54"/>
      <c r="V110" s="54"/>
    </row>
    <row r="111" spans="1:23" ht="20.100000000000001" customHeight="1" x14ac:dyDescent="0.15">
      <c r="A111" s="55" t="s">
        <v>23</v>
      </c>
      <c r="B111" s="55" t="s">
        <v>38</v>
      </c>
      <c r="C111" s="52" t="s">
        <v>31</v>
      </c>
      <c r="D111" s="38" t="s">
        <v>259</v>
      </c>
      <c r="E111" s="82"/>
      <c r="F111" s="95"/>
      <c r="G111" s="52">
        <f>N(ISNUMBER(FIND(TRIM(H110),D111,1)))</f>
        <v>0</v>
      </c>
      <c r="H111" s="57"/>
      <c r="I111" s="98"/>
      <c r="J111" s="97"/>
      <c r="K111" s="88"/>
      <c r="L111" s="53">
        <f>I115</f>
        <v>29904.110000000004</v>
      </c>
      <c r="M111" s="78" t="str">
        <f>辅助!F111</f>
        <v>01,03,05,06,11</v>
      </c>
      <c r="N111" s="34">
        <v>29904.110000000004</v>
      </c>
      <c r="O111" s="76"/>
      <c r="P111" s="54" t="str">
        <f>RIGHT(P104,2)</f>
        <v>08</v>
      </c>
      <c r="Q111" s="54">
        <f t="shared" si="10"/>
        <v>0</v>
      </c>
      <c r="R111" s="54"/>
      <c r="S111" s="54"/>
      <c r="T111" s="54"/>
      <c r="U111" s="54"/>
      <c r="V111" s="54"/>
    </row>
    <row r="112" spans="1:23" ht="20.100000000000001" customHeight="1" x14ac:dyDescent="0.15">
      <c r="A112" s="55" t="s">
        <v>41</v>
      </c>
      <c r="B112" s="55" t="s">
        <v>43</v>
      </c>
      <c r="C112" s="52" t="s">
        <v>26</v>
      </c>
      <c r="D112" s="38" t="s">
        <v>261</v>
      </c>
      <c r="E112" s="82">
        <f>(LEN(SUBSTITUTE(D112,",",))/2)*(LEN(SUBSTITUTE(D113,",",))/2)</f>
        <v>121</v>
      </c>
      <c r="F112" s="95">
        <v>5</v>
      </c>
      <c r="G112" s="52">
        <f>IF(AND(ISNUMBER(FIND(P107,D112,1)),LEN($P104)&lt;&gt;0),1,0)</f>
        <v>1</v>
      </c>
      <c r="H112" s="96">
        <f>IF(SUM(G112:G113)=2,1,0)</f>
        <v>1</v>
      </c>
      <c r="I112" s="96">
        <f>H112*F112*K112</f>
        <v>150051.29999999999</v>
      </c>
      <c r="J112" s="97" t="str">
        <f>TRIM(IF(LEN(D112)=0,"-",SUBSTITUTE(D112,","," ")))&amp;","&amp;TRIM(IF(LEN(D113)=0,"-",SUBSTITUTE(D113,","," ")))</f>
        <v>01 02 03 04 05 06 07 08 09 10 11,01 02 03 04 05 06 07 08 09 10 11</v>
      </c>
      <c r="K112" s="87">
        <f>N109</f>
        <v>30010.26</v>
      </c>
      <c r="L112" s="53">
        <f>I116</f>
        <v>0</v>
      </c>
      <c r="M112" s="78" t="str">
        <f>辅助!F112</f>
        <v>01,03,05,07,08</v>
      </c>
      <c r="N112" s="34">
        <v>28204.760000000006</v>
      </c>
      <c r="O112" s="76"/>
      <c r="P112" s="54" t="str">
        <f>SUM(Q107:Q111)&amp;"单"&amp;5-SUM(Q107:Q111)&amp;"双"</f>
        <v>2单3双</v>
      </c>
      <c r="Q112" s="54"/>
      <c r="R112" s="54"/>
      <c r="S112" s="54"/>
      <c r="T112" s="54"/>
      <c r="U112" s="54"/>
      <c r="V112" s="54"/>
    </row>
    <row r="113" spans="1:22" ht="20.100000000000001" customHeight="1" x14ac:dyDescent="0.15">
      <c r="A113" s="55" t="s">
        <v>41</v>
      </c>
      <c r="B113" s="55" t="s">
        <v>43</v>
      </c>
      <c r="C113" s="52" t="s">
        <v>27</v>
      </c>
      <c r="D113" s="38" t="s">
        <v>255</v>
      </c>
      <c r="E113" s="82"/>
      <c r="F113" s="95"/>
      <c r="G113" s="52">
        <f>IF(AND(ISNUMBER(FIND(P108,D113,1)),LEN($P104)&lt;&gt;0),1,0)</f>
        <v>1</v>
      </c>
      <c r="H113" s="96"/>
      <c r="I113" s="96"/>
      <c r="J113" s="97"/>
      <c r="K113" s="88"/>
      <c r="L113" s="53">
        <f>I117</f>
        <v>0</v>
      </c>
      <c r="M113" s="78" t="str">
        <f>辅助!F113</f>
        <v>01,03,05,07,09</v>
      </c>
      <c r="N113" s="34">
        <v>28993.660000000007</v>
      </c>
      <c r="O113" s="76"/>
      <c r="P113" s="54"/>
      <c r="Q113" s="54"/>
      <c r="R113" s="54"/>
      <c r="S113" s="54"/>
      <c r="T113" s="54"/>
      <c r="U113" s="54"/>
      <c r="V113" s="54"/>
    </row>
    <row r="114" spans="1:22" ht="20.100000000000001" customHeight="1" x14ac:dyDescent="0.15">
      <c r="A114" s="55" t="s">
        <v>41</v>
      </c>
      <c r="B114" s="52" t="s">
        <v>45</v>
      </c>
      <c r="C114" s="54"/>
      <c r="D114" s="38" t="s">
        <v>262</v>
      </c>
      <c r="E114" s="38">
        <f>LEN(SUBSTITUTE(SUBSTITUTE(D114,",",)," ",))/4</f>
        <v>5</v>
      </c>
      <c r="F114" s="56">
        <v>3</v>
      </c>
      <c r="G114" s="52">
        <f>IF(AND(ISNUMBER(FIND(SUBSTITUTE(LEFT(P104,5),","," "),D114,1)),LEN($P104)&lt;&gt;0),1,0)</f>
        <v>0</v>
      </c>
      <c r="H114" s="54">
        <f>G114</f>
        <v>0</v>
      </c>
      <c r="I114" s="54">
        <f>H114*F114*K114</f>
        <v>0</v>
      </c>
      <c r="J114" s="53" t="str">
        <f>TRIM(D114)</f>
        <v>01 02,02 05,05 02,07 08,09 10</v>
      </c>
      <c r="K114" s="34">
        <f>N110</f>
        <v>29866.860000000004</v>
      </c>
      <c r="L114" s="53">
        <f>I119</f>
        <v>423056.40000000008</v>
      </c>
      <c r="M114" s="78" t="str">
        <f>辅助!F114</f>
        <v>01,03,05,07,10</v>
      </c>
      <c r="N114" s="34">
        <v>28203.760000000006</v>
      </c>
      <c r="O114" s="76"/>
      <c r="P114" s="54"/>
      <c r="Q114" s="54"/>
      <c r="R114" s="54"/>
      <c r="S114" s="54"/>
      <c r="T114" s="54"/>
      <c r="U114" s="54"/>
      <c r="V114" s="54"/>
    </row>
    <row r="115" spans="1:22" ht="20.100000000000001" customHeight="1" x14ac:dyDescent="0.15">
      <c r="A115" s="55" t="s">
        <v>41</v>
      </c>
      <c r="B115" s="52" t="s">
        <v>47</v>
      </c>
      <c r="C115" s="52" t="s">
        <v>53</v>
      </c>
      <c r="D115" s="38" t="s">
        <v>109</v>
      </c>
      <c r="E115" s="38">
        <f>COMBIN(LEN(SUBSTITUTE(D115,",",))/2,2)</f>
        <v>55</v>
      </c>
      <c r="F115" s="56">
        <v>1</v>
      </c>
      <c r="G115" s="52"/>
      <c r="H115" s="54"/>
      <c r="I115" s="54">
        <f>IF(OR(ISNUMBER(FIND(P107,D115,1)),ISNUMBER(FIND(P108,D115,1))),F115*K115,0)</f>
        <v>29904.110000000004</v>
      </c>
      <c r="J115" s="53" t="str">
        <f>TRIM(IF(LEN('5Of11Source'!D115)=0,"-",SUBSTITUTE('5Of11Source'!D115,","," ")))</f>
        <v>01 02 03 04 05 06 07 08 09 10 11</v>
      </c>
      <c r="K115" s="34">
        <f>N111</f>
        <v>29904.110000000004</v>
      </c>
      <c r="L115" s="53">
        <f>I120</f>
        <v>173325.06000000003</v>
      </c>
      <c r="M115" s="78" t="str">
        <f>辅助!F115</f>
        <v>01,03,05,07,11</v>
      </c>
      <c r="N115" s="34">
        <v>28887.510000000006</v>
      </c>
      <c r="O115" s="76"/>
      <c r="P115" s="52" t="s">
        <v>136</v>
      </c>
      <c r="Q115" s="54"/>
      <c r="R115" s="53"/>
      <c r="S115" s="54"/>
      <c r="T115" s="54"/>
      <c r="U115" s="54"/>
      <c r="V115" s="54"/>
    </row>
    <row r="116" spans="1:22" ht="20.100000000000001" customHeight="1" x14ac:dyDescent="0.15">
      <c r="A116" s="55" t="s">
        <v>41</v>
      </c>
      <c r="B116" s="52" t="s">
        <v>51</v>
      </c>
      <c r="C116" s="54"/>
      <c r="D116" s="38" t="s">
        <v>225</v>
      </c>
      <c r="E116" s="38">
        <f>LEN(SUBSTITUTE(SUBSTITUTE(D116,",",)," ",))/4-1</f>
        <v>5</v>
      </c>
      <c r="F116" s="56">
        <v>2</v>
      </c>
      <c r="G116" s="52"/>
      <c r="H116" s="54"/>
      <c r="I116" s="54">
        <f>IF(OR(ISNUMBER(FIND(P107&amp;" "&amp;P108,D116,1)),ISNUMBER(FIND(P108&amp;" "&amp;P107,D116,1))),K116*F116,0)</f>
        <v>0</v>
      </c>
      <c r="J116" s="53" t="str">
        <f>TRIM(D116)</f>
        <v>01 02,02 01,05 02,07 08,09 10,11 07</v>
      </c>
      <c r="K116" s="34">
        <f>N112</f>
        <v>28204.760000000006</v>
      </c>
      <c r="L116" s="53">
        <f>I123</f>
        <v>29.65</v>
      </c>
      <c r="M116" s="78" t="str">
        <f>辅助!F116</f>
        <v>01,03,05,08,09</v>
      </c>
      <c r="N116" s="34">
        <v>27356.510000000006</v>
      </c>
      <c r="O116" s="76"/>
      <c r="P116" s="52" t="s">
        <v>137</v>
      </c>
      <c r="Q116" s="52" t="s">
        <v>145</v>
      </c>
      <c r="R116" s="56" t="s">
        <v>146</v>
      </c>
      <c r="S116" s="52" t="s">
        <v>147</v>
      </c>
      <c r="T116" s="54"/>
      <c r="U116" s="54"/>
      <c r="V116" s="54"/>
    </row>
    <row r="117" spans="1:22" ht="20.100000000000001" customHeight="1" x14ac:dyDescent="0.15">
      <c r="A117" s="55" t="s">
        <v>41</v>
      </c>
      <c r="B117" s="55" t="s">
        <v>49</v>
      </c>
      <c r="C117" s="52" t="s">
        <v>30</v>
      </c>
      <c r="D117" s="38" t="str">
        <f>0&amp;1</f>
        <v>01</v>
      </c>
      <c r="E117" s="82">
        <f>LEN(SUBSTITUTE(D118,",",))/2</f>
        <v>10</v>
      </c>
      <c r="F117" s="95">
        <v>3</v>
      </c>
      <c r="G117" s="54" t="str">
        <f>IF(ISNUMBER(FIND(SUBSTITUTE(MID(D117,2,2),",",),P106,1)),SUBSTITUTE(P106,D117,),"此订单未中奖！")</f>
        <v>06 10</v>
      </c>
      <c r="H117" s="54" t="str">
        <f>IF(ISNUMBER(FIND(SUBSTITUTE(MID(D117,5,2),",",),P106,1)),SUBSTITUTE(G117,D117,),"此订单未中奖！")</f>
        <v>06 10</v>
      </c>
      <c r="I117" s="98">
        <f>IF(G118&gt;0,G118*K117*F117,0)</f>
        <v>0</v>
      </c>
      <c r="J117" s="97" t="str">
        <f>TRIM(IF(LEN(D117)=0,"-",SUBSTITUTE(D117,","," ")))&amp;","&amp;TRIM(IF(LEN(D118)=0,"-",SUBSTITUTE(D118,","," ")))</f>
        <v>01,02 03 04 05 06 07 08 09 10 11</v>
      </c>
      <c r="K117" s="87">
        <f>N113</f>
        <v>28993.660000000007</v>
      </c>
      <c r="L117" s="53">
        <f t="shared" ref="L117:L133" si="11">I124</f>
        <v>17.79</v>
      </c>
      <c r="M117" s="78" t="str">
        <f>辅助!F117</f>
        <v>01,03,05,08,10</v>
      </c>
      <c r="N117" s="34">
        <v>27213.110000000004</v>
      </c>
      <c r="O117" s="76"/>
      <c r="P117" s="52" t="s">
        <v>138</v>
      </c>
      <c r="Q117" s="54">
        <f>TRUNC(0.154,3)</f>
        <v>0.154</v>
      </c>
      <c r="R117" s="53">
        <f>TRUNC(S117-(9.9-agent!$L$3)*Q117*10,3)</f>
        <v>148.61000000000001</v>
      </c>
      <c r="S117" s="54">
        <f>TRUNC(138.6+Q117*99,3)</f>
        <v>153.846</v>
      </c>
      <c r="T117" s="41">
        <f>IF(ISNUMBER(FIND(P112,P117,1)),R117,0)</f>
        <v>0</v>
      </c>
      <c r="U117" s="54">
        <f>IF(T117=0,0,Q117)</f>
        <v>0</v>
      </c>
      <c r="V117" s="54"/>
    </row>
    <row r="118" spans="1:22" ht="20.100000000000001" customHeight="1" x14ac:dyDescent="0.15">
      <c r="A118" s="55" t="s">
        <v>41</v>
      </c>
      <c r="B118" s="55" t="s">
        <v>49</v>
      </c>
      <c r="C118" s="52" t="s">
        <v>55</v>
      </c>
      <c r="D118" s="38" t="s">
        <v>263</v>
      </c>
      <c r="E118" s="82"/>
      <c r="F118" s="95"/>
      <c r="G118" s="52">
        <f>N(ISNUMBER(FIND(TRIM(H117),D118,1)))</f>
        <v>0</v>
      </c>
      <c r="H118" s="54"/>
      <c r="I118" s="98"/>
      <c r="J118" s="97"/>
      <c r="K118" s="88"/>
      <c r="L118" s="53">
        <f t="shared" si="11"/>
        <v>136251.80000000002</v>
      </c>
      <c r="M118" s="78" t="str">
        <f>辅助!F118</f>
        <v>01,03,05,08,11</v>
      </c>
      <c r="N118" s="34">
        <v>27250.360000000004</v>
      </c>
      <c r="O118" s="76"/>
      <c r="P118" s="52" t="s">
        <v>139</v>
      </c>
      <c r="Q118" s="54">
        <f>TRUNC(0.01242857,3)</f>
        <v>1.2E-2</v>
      </c>
      <c r="R118" s="53">
        <f>TRUNC(S118-(9.9-agent!$L$3)*Q118*10,3)</f>
        <v>11.86</v>
      </c>
      <c r="S118" s="54">
        <f>TRUNC(11.08+Q118*99,3)</f>
        <v>12.268000000000001</v>
      </c>
      <c r="T118" s="41">
        <f>IF(ISNUMBER(FIND(P112,P118,1)),R118,0)</f>
        <v>0</v>
      </c>
      <c r="U118" s="54">
        <f t="shared" ref="U118:U122" si="12">IF(T118=0,0,Q118)</f>
        <v>0</v>
      </c>
      <c r="V118" s="54"/>
    </row>
    <row r="119" spans="1:22" ht="20.100000000000001" customHeight="1" x14ac:dyDescent="0.15">
      <c r="A119" s="52" t="s">
        <v>56</v>
      </c>
      <c r="B119" s="52" t="s">
        <v>58</v>
      </c>
      <c r="C119" s="52" t="s">
        <v>56</v>
      </c>
      <c r="D119" s="38" t="s">
        <v>105</v>
      </c>
      <c r="E119" s="38">
        <f>LEN(SUBSTITUTE(D119,",",))/2</f>
        <v>11</v>
      </c>
      <c r="F119" s="56">
        <v>5</v>
      </c>
      <c r="G119" s="52"/>
      <c r="H119" s="54"/>
      <c r="I119" s="54">
        <f>(N(ISNUMBER(FIND(P107,D119,1)))+N(ISNUMBER(FIND(P108,D119,1)))+N(ISNUMBER(FIND(P109,D119,1))))*F119*K119</f>
        <v>423056.40000000008</v>
      </c>
      <c r="J119" s="53" t="str">
        <f>TRIM(IF(LEN('5Of11Source'!D119)=0,"-",SUBSTITUTE('5Of11Source'!D119,","," ")))</f>
        <v>01 02 03 04 05 06 07 08 09 10 11</v>
      </c>
      <c r="K119" s="34">
        <f>N114</f>
        <v>28203.760000000006</v>
      </c>
      <c r="L119" s="53">
        <f t="shared" si="11"/>
        <v>547130.20000000007</v>
      </c>
      <c r="M119" s="78" t="str">
        <f>辅助!F119</f>
        <v>01,03,05,09,10</v>
      </c>
      <c r="N119" s="34">
        <v>27356.510000000006</v>
      </c>
      <c r="O119" s="76"/>
      <c r="P119" s="52" t="s">
        <v>140</v>
      </c>
      <c r="Q119" s="54">
        <f>TRUNC(0.0047,3)</f>
        <v>4.0000000000000001E-3</v>
      </c>
      <c r="R119" s="53">
        <f>TRUNC(S119-(9.9-agent!$L$3)*Q119*10,3)</f>
        <v>4.41</v>
      </c>
      <c r="S119" s="54">
        <f>TRUNC(4.15+Q119*99,3)</f>
        <v>4.5460000000000003</v>
      </c>
      <c r="T119" s="41">
        <f>IF(ISNUMBER(FIND(P112,P119,1)),R119,0)</f>
        <v>0</v>
      </c>
      <c r="U119" s="54">
        <f t="shared" si="12"/>
        <v>0</v>
      </c>
      <c r="V119" s="54"/>
    </row>
    <row r="120" spans="1:22" ht="20.100000000000001" customHeight="1" x14ac:dyDescent="0.15">
      <c r="A120" s="55" t="s">
        <v>60</v>
      </c>
      <c r="B120" s="55" t="s">
        <v>61</v>
      </c>
      <c r="C120" s="52" t="s">
        <v>26</v>
      </c>
      <c r="D120" s="38" t="s">
        <v>253</v>
      </c>
      <c r="E120" s="79">
        <f>LEN(SUBSTITUTE(D120,",",))/2+LEN(SUBSTITUTE(D121,",",))/2+LEN(SUBSTITUTE(D122,",",))/2</f>
        <v>33</v>
      </c>
      <c r="F120" s="95">
        <v>2</v>
      </c>
      <c r="G120" s="54"/>
      <c r="H120" s="54"/>
      <c r="I120" s="96">
        <f>(N(ISNUMBER(FIND(P107,D120,1)))+N(ISNUMBER(FIND(P108,D121,1)))+N(ISNUMBER(FIND(P109,D122,1))))*F120*K120</f>
        <v>173325.06000000003</v>
      </c>
      <c r="J120" s="97" t="str">
        <f>TRIM(IF(LEN(D120)=0,"-",SUBSTITUTE(D120,","," ")))&amp;","&amp;TRIM(IF(LEN(D121)=0,"-",SUBSTITUTE(D121,","," ")))&amp;","&amp;TRIM(IF(LEN(D122)=0,"-",SUBSTITUTE(D122,","," ")))</f>
        <v>01 02 03 04 05 06 07 08 09 10 11,01 02 03 04 05 06 07 08 09 10 11,01 02 03 04 05 06 07 08 09 10 11</v>
      </c>
      <c r="K120" s="87">
        <f>N115</f>
        <v>28887.510000000006</v>
      </c>
      <c r="L120" s="53">
        <f t="shared" si="11"/>
        <v>841207.80000000016</v>
      </c>
      <c r="M120" s="78" t="str">
        <f>辅助!F120</f>
        <v>01,03,05,09,11</v>
      </c>
      <c r="N120" s="34">
        <v>28040.260000000006</v>
      </c>
      <c r="O120" s="76"/>
      <c r="P120" s="52" t="s">
        <v>141</v>
      </c>
      <c r="Q120" s="54">
        <f>TRUNC(0.006142857,3)</f>
        <v>6.0000000000000001E-3</v>
      </c>
      <c r="R120" s="53">
        <f>TRUNC(S120-(9.9-agent!$L$3)*Q120*10,3)</f>
        <v>5.93</v>
      </c>
      <c r="S120" s="54">
        <f>TRUNC(5.54+Q120*99,3)</f>
        <v>6.1340000000000003</v>
      </c>
      <c r="T120" s="41">
        <f>IF(ISNUMBER(FIND(P112,P120,1)),R120,0)</f>
        <v>5.93</v>
      </c>
      <c r="U120" s="54">
        <f t="shared" si="12"/>
        <v>6.0000000000000001E-3</v>
      </c>
      <c r="V120" s="54"/>
    </row>
    <row r="121" spans="1:22" ht="20.100000000000001" customHeight="1" x14ac:dyDescent="0.15">
      <c r="A121" s="55" t="s">
        <v>60</v>
      </c>
      <c r="B121" s="55" t="s">
        <v>61</v>
      </c>
      <c r="C121" s="52" t="s">
        <v>27</v>
      </c>
      <c r="D121" s="38" t="s">
        <v>105</v>
      </c>
      <c r="E121" s="80"/>
      <c r="F121" s="95"/>
      <c r="G121" s="54"/>
      <c r="H121" s="54"/>
      <c r="I121" s="96"/>
      <c r="J121" s="97"/>
      <c r="K121" s="89"/>
      <c r="L121" s="53">
        <f t="shared" si="11"/>
        <v>680764.50000000012</v>
      </c>
      <c r="M121" s="78" t="str">
        <f>辅助!F121</f>
        <v>01,03,05,10,11</v>
      </c>
      <c r="N121" s="34">
        <v>27230.580000000005</v>
      </c>
      <c r="O121" s="76"/>
      <c r="P121" s="52" t="s">
        <v>142</v>
      </c>
      <c r="Q121" s="54">
        <f>TRUNC(0.0307,3)</f>
        <v>0.03</v>
      </c>
      <c r="R121" s="53">
        <f>TRUNC(S121-(9.9-agent!$L$3)*Q121*10,3)</f>
        <v>29.67</v>
      </c>
      <c r="S121" s="54">
        <f>TRUNC(27.72+Q121*99,3)</f>
        <v>30.69</v>
      </c>
      <c r="T121" s="41">
        <f>IF(ISNUMBER(FIND(P112,P121,1)),R121,0)</f>
        <v>0</v>
      </c>
      <c r="U121" s="54">
        <f t="shared" si="12"/>
        <v>0</v>
      </c>
      <c r="V121" s="54"/>
    </row>
    <row r="122" spans="1:22" ht="20.100000000000001" customHeight="1" x14ac:dyDescent="0.15">
      <c r="A122" s="55" t="s">
        <v>60</v>
      </c>
      <c r="B122" s="55" t="s">
        <v>61</v>
      </c>
      <c r="C122" s="52" t="s">
        <v>28</v>
      </c>
      <c r="D122" s="38" t="s">
        <v>105</v>
      </c>
      <c r="E122" s="81"/>
      <c r="F122" s="95"/>
      <c r="G122" s="54"/>
      <c r="H122" s="54"/>
      <c r="I122" s="96"/>
      <c r="J122" s="97"/>
      <c r="K122" s="88"/>
      <c r="L122" s="53">
        <f t="shared" si="11"/>
        <v>105019.28</v>
      </c>
      <c r="M122" s="78" t="str">
        <f>辅助!F122</f>
        <v>01,03,06,07,08</v>
      </c>
      <c r="N122" s="34">
        <v>26254.82</v>
      </c>
      <c r="O122" s="76"/>
      <c r="P122" s="52" t="s">
        <v>143</v>
      </c>
      <c r="Q122" s="54">
        <f>TRUNC(0.924,3)</f>
        <v>0.92400000000000004</v>
      </c>
      <c r="R122" s="53">
        <f>TRUNC(S122-(9.9-agent!$L$3)*Q122*10,3)</f>
        <v>891.66</v>
      </c>
      <c r="S122" s="54">
        <f>TRUNC(831.6+Q122*99,3)</f>
        <v>923.07600000000002</v>
      </c>
      <c r="T122" s="41">
        <f>IF(ISNUMBER(FIND(P112,P122,1)),R122,0)</f>
        <v>0</v>
      </c>
      <c r="U122" s="54">
        <f t="shared" si="12"/>
        <v>0</v>
      </c>
      <c r="V122" s="54"/>
    </row>
    <row r="123" spans="1:22" ht="20.100000000000001" customHeight="1" x14ac:dyDescent="0.15">
      <c r="A123" s="55" t="s">
        <v>63</v>
      </c>
      <c r="B123" s="52" t="s">
        <v>65</v>
      </c>
      <c r="C123" s="52" t="s">
        <v>66</v>
      </c>
      <c r="D123" s="38" t="s">
        <v>110</v>
      </c>
      <c r="E123" s="38">
        <v>6</v>
      </c>
      <c r="F123" s="56">
        <v>5</v>
      </c>
      <c r="G123" s="52"/>
      <c r="H123" s="54"/>
      <c r="I123" s="54">
        <f>N(ISNUMBER(FIND(P112,D123,1)))*F123*K123</f>
        <v>29.65</v>
      </c>
      <c r="J123" s="53" t="str">
        <f>TRIM(IF(LEN('5Of11Source'!D123)=0,"-",SUBSTITUTE('5Of11Source'!D123,","," ")))</f>
        <v>5单0双 4单1双 3单2双 2单3双 1单4双 0单5双</v>
      </c>
      <c r="K123" s="38">
        <f>SUM(T117:T122)</f>
        <v>5.93</v>
      </c>
      <c r="L123" s="53">
        <f t="shared" si="11"/>
        <v>633533.28</v>
      </c>
      <c r="M123" s="78" t="str">
        <f>辅助!F123</f>
        <v>01,03,06,07,09</v>
      </c>
      <c r="N123" s="34">
        <v>26397.22</v>
      </c>
      <c r="O123" s="76"/>
      <c r="P123" s="52" t="s">
        <v>144</v>
      </c>
      <c r="Q123" s="54"/>
      <c r="R123" s="53"/>
      <c r="S123" s="54"/>
      <c r="T123" s="41"/>
      <c r="U123" s="54"/>
      <c r="V123" s="54"/>
    </row>
    <row r="124" spans="1:22" ht="20.100000000000001" customHeight="1" x14ac:dyDescent="0.15">
      <c r="A124" s="55" t="s">
        <v>63</v>
      </c>
      <c r="B124" s="52" t="s">
        <v>68</v>
      </c>
      <c r="C124" s="52" t="s">
        <v>68</v>
      </c>
      <c r="D124" s="38" t="s">
        <v>111</v>
      </c>
      <c r="E124" s="38">
        <f>LEN(SUBSTITUTE(D124,",",))/2</f>
        <v>7</v>
      </c>
      <c r="F124" s="56">
        <v>2</v>
      </c>
      <c r="G124" s="54"/>
      <c r="H124" s="54"/>
      <c r="I124" s="54">
        <f>N(ISNUMBER(FIND(S104,D124,1)))*F124*K124</f>
        <v>17.79</v>
      </c>
      <c r="J124" s="53" t="str">
        <f>TRIM(IF(LEN('5Of11Source'!D124)=0,"-",SUBSTITUTE('5Of11Source'!D124,","," ")))</f>
        <v>03 04 05 06 07 08 09</v>
      </c>
      <c r="K124" s="37">
        <f>SUM(T124:T127)</f>
        <v>8.8949999999999996</v>
      </c>
      <c r="L124" s="53">
        <f t="shared" si="11"/>
        <v>1181421.8999999999</v>
      </c>
      <c r="M124" s="78" t="str">
        <f>辅助!F124</f>
        <v>01,03,06,07,10</v>
      </c>
      <c r="N124" s="34">
        <v>26253.82</v>
      </c>
      <c r="O124" s="76"/>
      <c r="P124" s="58" t="str">
        <f>0&amp;3&amp;"/"&amp;0&amp;9</f>
        <v>03/09</v>
      </c>
      <c r="Q124" s="54">
        <f>TRUNC(0.033,3)</f>
        <v>3.3000000000000002E-2</v>
      </c>
      <c r="R124" s="53">
        <f>TRUNC(S124-(9.9-agent!$L$3)*Q124*10,3)</f>
        <v>31.844999999999999</v>
      </c>
      <c r="S124" s="54">
        <f>TRUNC(29.7+Q124*99,3)</f>
        <v>32.966999999999999</v>
      </c>
      <c r="T124" s="42">
        <f>IF(ISNUMBER(FIND(S104,P124,1)),R124,0)</f>
        <v>0</v>
      </c>
      <c r="U124" s="54">
        <f t="shared" ref="U124:U127" si="13">IF(T124=0,0,Q124)</f>
        <v>0</v>
      </c>
      <c r="V124" s="54"/>
    </row>
    <row r="125" spans="1:22" ht="20.100000000000001" customHeight="1" x14ac:dyDescent="0.15">
      <c r="A125" s="55" t="s">
        <v>70</v>
      </c>
      <c r="B125" s="52" t="s">
        <v>72</v>
      </c>
      <c r="C125" s="52" t="s">
        <v>87</v>
      </c>
      <c r="D125" s="38" t="s">
        <v>266</v>
      </c>
      <c r="E125" s="38">
        <f t="shared" ref="E125" si="14">LEN(SUBSTITUTE(D125,",",))/2</f>
        <v>11</v>
      </c>
      <c r="F125" s="56">
        <v>1</v>
      </c>
      <c r="G125" s="54"/>
      <c r="H125" s="54"/>
      <c r="I125" s="54">
        <f>(N(ISNUMBER(FIND(P107,D125,1)))+N(ISNUMBER(FIND(P108,D125,1)))+N(ISNUMBER(FIND(P109,D125,1)))+N(ISNUMBER(FIND(P110,D125,1)))+N(ISNUMBER(FIND(P111,D125,1))))*F125*K125</f>
        <v>136251.80000000002</v>
      </c>
      <c r="J125" s="53" t="str">
        <f>TRIM(IF(LEN('5Of11Source'!D125)=0,"-",SUBSTITUTE('5Of11Source'!D125,","," ")))</f>
        <v>01 02 03 04 05 06 07 08 09 10 11</v>
      </c>
      <c r="K125" s="34">
        <f t="shared" ref="K125:K135" si="15">N118</f>
        <v>27250.360000000004</v>
      </c>
      <c r="L125" s="53">
        <f t="shared" si="11"/>
        <v>1577464.2</v>
      </c>
      <c r="M125" s="78" t="str">
        <f>辅助!F125</f>
        <v>01,03,06,07,11</v>
      </c>
      <c r="N125" s="34">
        <v>26291.07</v>
      </c>
      <c r="O125" s="76"/>
      <c r="P125" s="59" t="str">
        <f>0&amp;4&amp;"/"&amp;0&amp;8</f>
        <v>04/08</v>
      </c>
      <c r="Q125" s="54">
        <f>TRUNC(0.01457,3)</f>
        <v>1.4E-2</v>
      </c>
      <c r="R125" s="53">
        <f>TRUNC(S125-(9.9-agent!$L$3)*Q125*10,3)</f>
        <v>14.11</v>
      </c>
      <c r="S125" s="54">
        <f>TRUNC(13.2+Q125*99,3)</f>
        <v>14.586</v>
      </c>
      <c r="T125" s="42">
        <f>IF(ISNUMBER(FIND(S104,P125,1)),R125,0)</f>
        <v>0</v>
      </c>
      <c r="U125" s="54">
        <f t="shared" si="13"/>
        <v>0</v>
      </c>
      <c r="V125" s="54"/>
    </row>
    <row r="126" spans="1:22" ht="20.100000000000001" customHeight="1" x14ac:dyDescent="0.15">
      <c r="A126" s="55" t="s">
        <v>70</v>
      </c>
      <c r="B126" s="52" t="s">
        <v>74</v>
      </c>
      <c r="C126" s="52" t="s">
        <v>88</v>
      </c>
      <c r="D126" s="38" t="s">
        <v>264</v>
      </c>
      <c r="E126" s="38">
        <f>COMBIN(LEN(SUBSTITUTE(D126,",",))/2,2)</f>
        <v>55</v>
      </c>
      <c r="F126" s="56">
        <v>2</v>
      </c>
      <c r="G126" s="54"/>
      <c r="H126" s="54"/>
      <c r="I126" s="60">
        <f>COMBIN(5,2)*F126*K126</f>
        <v>547130.20000000007</v>
      </c>
      <c r="J126" s="53" t="str">
        <f>TRIM(IF(LEN('5Of11Source'!D126)=0,"-",SUBSTITUTE('5Of11Source'!D126,","," ")))</f>
        <v>01 02 03 04 05 06 07 08 09 10 11</v>
      </c>
      <c r="K126" s="34">
        <f t="shared" si="15"/>
        <v>27356.510000000006</v>
      </c>
      <c r="L126" s="53">
        <f t="shared" si="11"/>
        <v>508131.4</v>
      </c>
      <c r="M126" s="78" t="str">
        <f>辅助!F126</f>
        <v>01,03,06,08,09</v>
      </c>
      <c r="N126" s="34">
        <v>25406.57</v>
      </c>
      <c r="O126" s="76"/>
      <c r="P126" s="59" t="str">
        <f>0&amp;5&amp;"/"&amp;0&amp;7</f>
        <v>05/07</v>
      </c>
      <c r="Q126" s="54">
        <f>TRUNC(0.010142857,3)</f>
        <v>0.01</v>
      </c>
      <c r="R126" s="53">
        <f>TRUNC(S126-(9.9-agent!$L$3)*Q126*10,3)</f>
        <v>9.89</v>
      </c>
      <c r="S126" s="54">
        <f>TRUNC(9.24+Q126*99,3)</f>
        <v>10.23</v>
      </c>
      <c r="T126" s="42">
        <f>IF(ISNUMBER(FIND(S104,P126,1)),R126,0)</f>
        <v>0</v>
      </c>
      <c r="U126" s="54">
        <f t="shared" si="13"/>
        <v>0</v>
      </c>
      <c r="V126" s="54"/>
    </row>
    <row r="127" spans="1:22" ht="20.100000000000001" customHeight="1" x14ac:dyDescent="0.15">
      <c r="A127" s="55" t="s">
        <v>70</v>
      </c>
      <c r="B127" s="52" t="s">
        <v>76</v>
      </c>
      <c r="C127" s="52" t="s">
        <v>89</v>
      </c>
      <c r="D127" s="38" t="s">
        <v>264</v>
      </c>
      <c r="E127" s="38">
        <f>COMBIN(LEN(SUBSTITUTE(D127,",",))/2,3)</f>
        <v>165</v>
      </c>
      <c r="F127" s="56">
        <v>3</v>
      </c>
      <c r="G127" s="54"/>
      <c r="H127" s="54"/>
      <c r="I127" s="60">
        <f>COMBIN(5,3)*F127*K127</f>
        <v>841207.80000000016</v>
      </c>
      <c r="J127" s="53" t="str">
        <f>TRIM(IF(LEN('5Of11Source'!D127)=0,"-",SUBSTITUTE('5Of11Source'!D127,","," ")))</f>
        <v>01 02 03 04 05 06 07 08 09 10 11</v>
      </c>
      <c r="K127" s="34">
        <f t="shared" si="15"/>
        <v>28040.260000000006</v>
      </c>
      <c r="L127" s="53">
        <f>I134</f>
        <v>126540.10000000002</v>
      </c>
      <c r="M127" s="78" t="str">
        <f>辅助!F127</f>
        <v>01,03,06,08,10</v>
      </c>
      <c r="N127" s="34">
        <v>25308.020000000004</v>
      </c>
      <c r="O127" s="76"/>
      <c r="P127" s="52" t="str">
        <f>0&amp;6</f>
        <v>06</v>
      </c>
      <c r="Q127" s="54">
        <f>TRUNC(0.0092857,3)</f>
        <v>8.9999999999999993E-3</v>
      </c>
      <c r="R127" s="53">
        <f>TRUNC(S127-(9.9-agent!$L$3)*Q127*10,3)</f>
        <v>8.8949999999999996</v>
      </c>
      <c r="S127" s="54">
        <f>TRUNC(8.31+Q127*99,3)</f>
        <v>9.2010000000000005</v>
      </c>
      <c r="T127" s="42">
        <f>IF(ISNUMBER(FIND(S104,P127,1)),R127,0)</f>
        <v>8.8949999999999996</v>
      </c>
      <c r="U127" s="54">
        <f t="shared" si="13"/>
        <v>8.9999999999999993E-3</v>
      </c>
      <c r="V127" s="54"/>
    </row>
    <row r="128" spans="1:22" ht="20.100000000000001" customHeight="1" x14ac:dyDescent="0.15">
      <c r="A128" s="55" t="s">
        <v>70</v>
      </c>
      <c r="B128" s="52" t="s">
        <v>78</v>
      </c>
      <c r="C128" s="52" t="s">
        <v>90</v>
      </c>
      <c r="D128" s="38" t="s">
        <v>267</v>
      </c>
      <c r="E128" s="38">
        <f>COMBIN(LEN(SUBSTITUTE(D128,",",))/2,4)</f>
        <v>330</v>
      </c>
      <c r="F128" s="56">
        <v>5</v>
      </c>
      <c r="G128" s="54"/>
      <c r="H128" s="57"/>
      <c r="I128" s="60">
        <f>COMBIN(5,4)*F128*K128</f>
        <v>680764.50000000012</v>
      </c>
      <c r="J128" s="53" t="str">
        <f>TRIM(IF(LEN('5Of11Source'!D128)=0,"-",SUBSTITUTE('5Of11Source'!D128,","," ")))</f>
        <v>01 02 03 04 05 06 07 08 09 10 11</v>
      </c>
      <c r="K128" s="34">
        <f t="shared" si="15"/>
        <v>27230.580000000005</v>
      </c>
      <c r="L128" s="53">
        <f t="shared" si="11"/>
        <v>0</v>
      </c>
      <c r="M128" s="78" t="str">
        <f>辅助!F128</f>
        <v>01,03,06,08,11</v>
      </c>
      <c r="N128" s="34">
        <v>25300.42</v>
      </c>
      <c r="O128" s="76"/>
      <c r="P128" s="54"/>
      <c r="Q128" s="54"/>
      <c r="R128" s="54"/>
      <c r="S128" s="54"/>
      <c r="T128" s="54"/>
      <c r="U128" s="54"/>
      <c r="V128" s="54"/>
    </row>
    <row r="129" spans="1:22" ht="20.100000000000001" customHeight="1" x14ac:dyDescent="0.15">
      <c r="A129" s="55" t="s">
        <v>70</v>
      </c>
      <c r="B129" s="52" t="s">
        <v>80</v>
      </c>
      <c r="C129" s="52" t="s">
        <v>91</v>
      </c>
      <c r="D129" s="38" t="s">
        <v>266</v>
      </c>
      <c r="E129" s="38">
        <f>COMBIN(LEN(SUBSTITUTE(D129,",",))/2,5)</f>
        <v>461.99999999999994</v>
      </c>
      <c r="F129" s="56">
        <v>4</v>
      </c>
      <c r="G129" s="54"/>
      <c r="H129" s="57"/>
      <c r="I129" s="54">
        <f>(N(AND(ISNUMBER(FIND(P107,D129,1)),ISNUMBER(FIND(P108,D129,1)),ISNUMBER(FIND(P109,D129,1)),ISNUMBER(FIND(P110,D129,1)),ISNUMBER(FIND(P111,D129,1)))))*F129*K129</f>
        <v>105019.28</v>
      </c>
      <c r="J129" s="53" t="str">
        <f>TRIM(IF(LEN('5Of11Source'!D129)=0,"-",SUBSTITUTE('5Of11Source'!D129,","," ")))</f>
        <v>01 02 03 04 05 06 07 08 09 10 11</v>
      </c>
      <c r="K129" s="34">
        <f t="shared" si="15"/>
        <v>26254.82</v>
      </c>
      <c r="L129" s="53">
        <f t="shared" si="11"/>
        <v>0</v>
      </c>
      <c r="M129" s="78" t="str">
        <f>辅助!F129</f>
        <v>01,03,06,09,10</v>
      </c>
      <c r="N129" s="34">
        <v>25406.57</v>
      </c>
      <c r="O129" s="76"/>
      <c r="P129" s="54"/>
      <c r="Q129" s="54"/>
      <c r="R129" s="54"/>
      <c r="S129" s="54"/>
      <c r="T129" s="54"/>
      <c r="U129" s="54"/>
      <c r="V129" s="54"/>
    </row>
    <row r="130" spans="1:22" ht="20.100000000000001" customHeight="1" x14ac:dyDescent="0.15">
      <c r="A130" s="55" t="s">
        <v>70</v>
      </c>
      <c r="B130" s="52" t="s">
        <v>82</v>
      </c>
      <c r="C130" s="52" t="s">
        <v>92</v>
      </c>
      <c r="D130" s="38" t="s">
        <v>254</v>
      </c>
      <c r="E130" s="38">
        <f>COMBIN(LEN(SUBSTITUTE(D130,",",))/2,6)</f>
        <v>461.99999999999994</v>
      </c>
      <c r="F130" s="56">
        <v>4</v>
      </c>
      <c r="G130" s="54"/>
      <c r="H130" s="54"/>
      <c r="I130" s="54">
        <f>IF(AND(ISNUMBER(FIND(P107,D130,1)),ISNUMBER(FIND(P108,D130,1)),ISNUMBER(FIND(P109,D130,1)),ISNUMBER(FIND(P110,D130,1)),ISNUMBER(FIND(P111,D130,1))),(LEN(SUBSTITUTE(D130,",",))-10)/2*F130*K130,0)</f>
        <v>633533.28</v>
      </c>
      <c r="J130" s="53" t="str">
        <f>TRIM(IF(LEN('5Of11Source'!D130)=0,"-",SUBSTITUTE('5Of11Source'!D130,","," ")))</f>
        <v>01 02 03 04 05 06 07 08 09 10 11</v>
      </c>
      <c r="K130" s="34">
        <f t="shared" si="15"/>
        <v>26397.22</v>
      </c>
      <c r="L130" s="53">
        <f t="shared" si="11"/>
        <v>0</v>
      </c>
      <c r="M130" s="78" t="str">
        <f>辅助!F130</f>
        <v>01,03,06,09,11</v>
      </c>
      <c r="N130" s="34">
        <v>25443.82</v>
      </c>
      <c r="O130" s="76"/>
      <c r="P130" s="54"/>
      <c r="Q130" s="54"/>
      <c r="R130" s="54"/>
      <c r="S130" s="54"/>
      <c r="T130" s="54"/>
      <c r="U130" s="54"/>
      <c r="V130" s="54"/>
    </row>
    <row r="131" spans="1:22" ht="20.100000000000001" customHeight="1" x14ac:dyDescent="0.15">
      <c r="A131" s="55" t="s">
        <v>70</v>
      </c>
      <c r="B131" s="52" t="s">
        <v>84</v>
      </c>
      <c r="C131" s="52" t="s">
        <v>93</v>
      </c>
      <c r="D131" s="38" t="s">
        <v>265</v>
      </c>
      <c r="E131" s="38">
        <f>COMBIN(LEN(SUBSTITUTE(D131,",",))/2,7)</f>
        <v>330</v>
      </c>
      <c r="F131" s="56">
        <v>3</v>
      </c>
      <c r="G131" s="54"/>
      <c r="H131" s="54"/>
      <c r="I131" s="54">
        <f>IF(AND(ISNUMBER(FIND(P107,D131,1)),ISNUMBER(FIND(P108,D131,1)),ISNUMBER(FIND(P109,D131,1)),ISNUMBER(FIND(P110,D131,1)),ISNUMBER(FIND(P111,D131,1))),COMBIN((LEN(SUBSTITUTE(D131,",",))-10)/2,2)*F131*K131,0)</f>
        <v>1181421.8999999999</v>
      </c>
      <c r="J131" s="53" t="str">
        <f>TRIM(IF(LEN('5Of11Source'!D131)=0,"-",SUBSTITUTE('5Of11Source'!D131,","," ")))</f>
        <v>01 02 03 04 05 06 07 08 09 10 11</v>
      </c>
      <c r="K131" s="34">
        <f t="shared" si="15"/>
        <v>26253.82</v>
      </c>
      <c r="L131" s="53">
        <f t="shared" si="11"/>
        <v>0</v>
      </c>
      <c r="M131" s="78" t="str">
        <f>辅助!F131</f>
        <v>01,03,06,10,11</v>
      </c>
      <c r="N131" s="34">
        <v>25282.630000000005</v>
      </c>
      <c r="O131" s="76"/>
      <c r="P131" s="54"/>
      <c r="Q131" s="54"/>
      <c r="R131" s="54"/>
      <c r="S131" s="54"/>
      <c r="T131" s="54"/>
      <c r="U131" s="54"/>
      <c r="V131" s="54"/>
    </row>
    <row r="132" spans="1:22" ht="20.100000000000001" customHeight="1" x14ac:dyDescent="0.15">
      <c r="A132" s="55" t="s">
        <v>70</v>
      </c>
      <c r="B132" s="52" t="s">
        <v>86</v>
      </c>
      <c r="C132" s="52" t="s">
        <v>94</v>
      </c>
      <c r="D132" s="38" t="s">
        <v>264</v>
      </c>
      <c r="E132" s="38">
        <f>COMBIN(LEN(SUBSTITUTE(D132,",",))/2,8)</f>
        <v>165</v>
      </c>
      <c r="F132" s="56">
        <v>3</v>
      </c>
      <c r="G132" s="54"/>
      <c r="H132" s="54"/>
      <c r="I132" s="54">
        <f>IF(AND(ISNUMBER(FIND(P107,D132,1)),ISNUMBER(FIND(P108,D132,1)),ISNUMBER(FIND(P109,D132,1)),ISNUMBER(FIND(P110,D132,1)),ISNUMBER(FIND(P111,D132,1))),COMBIN((LEN(SUBSTITUTE(D132,",",))-10)/2,3)*F132*K132,0)</f>
        <v>1577464.2</v>
      </c>
      <c r="J132" s="53" t="str">
        <f>TRIM(IF(LEN('5Of11Source'!D132)=0,"-",SUBSTITUTE('5Of11Source'!D132,","," ")))</f>
        <v>01 02 03 04 05 06 07 08 09 10 11</v>
      </c>
      <c r="K132" s="34">
        <f t="shared" si="15"/>
        <v>26291.07</v>
      </c>
      <c r="L132" s="53">
        <f t="shared" si="11"/>
        <v>0</v>
      </c>
      <c r="M132" s="78" t="str">
        <f>辅助!F132</f>
        <v>01,03,07,08,09</v>
      </c>
      <c r="N132" s="34">
        <v>23851.610000000008</v>
      </c>
      <c r="O132" s="76"/>
      <c r="P132" s="54"/>
      <c r="Q132" s="54"/>
      <c r="R132" s="54"/>
      <c r="S132" s="54"/>
      <c r="T132" s="54"/>
      <c r="U132" s="54"/>
      <c r="V132" s="54"/>
    </row>
    <row r="133" spans="1:22" ht="20.100000000000001" customHeight="1" x14ac:dyDescent="0.15">
      <c r="A133" s="55" t="s">
        <v>96</v>
      </c>
      <c r="B133" s="52" t="s">
        <v>72</v>
      </c>
      <c r="C133" s="52" t="s">
        <v>97</v>
      </c>
      <c r="D133" s="38" t="s">
        <v>256</v>
      </c>
      <c r="E133" s="38">
        <f>LEN(SUBSTITUTE(D133,",",))/2</f>
        <v>11</v>
      </c>
      <c r="F133" s="56">
        <v>4</v>
      </c>
      <c r="G133" s="54"/>
      <c r="H133" s="54"/>
      <c r="I133" s="54">
        <f>(N(ISNUMBER(FIND(P107,D133,1)))+N(ISNUMBER(FIND(P108,D133,1)))+N(ISNUMBER(FIND(P109,D133,1)))+N(ISNUMBER(FIND(P110,D133,1)))+N(ISNUMBER(FIND(P111,D133,1))))*F133*K133</f>
        <v>508131.4</v>
      </c>
      <c r="J133" s="53" t="str">
        <f>TRIM(IF(LEN('5Of11Source'!D133)=0,"-",D133))</f>
        <v>,01,02,03,04,05,06,07,08,09,10,11,</v>
      </c>
      <c r="K133" s="34">
        <f t="shared" si="15"/>
        <v>25406.57</v>
      </c>
      <c r="L133" s="53">
        <f t="shared" si="11"/>
        <v>0</v>
      </c>
      <c r="M133" s="78" t="str">
        <f>辅助!F133</f>
        <v>01,03,07,08,10</v>
      </c>
      <c r="N133" s="34">
        <v>23708.210000000006</v>
      </c>
      <c r="O133" s="76"/>
      <c r="P133" s="54"/>
      <c r="Q133" s="54"/>
      <c r="R133" s="54"/>
      <c r="S133" s="54"/>
      <c r="T133" s="54"/>
      <c r="U133" s="54"/>
      <c r="V133" s="54"/>
    </row>
    <row r="134" spans="1:22" ht="20.100000000000001" customHeight="1" x14ac:dyDescent="0.15">
      <c r="A134" s="55" t="s">
        <v>96</v>
      </c>
      <c r="B134" s="52" t="s">
        <v>74</v>
      </c>
      <c r="C134" s="54" t="s">
        <v>11</v>
      </c>
      <c r="D134" s="38" t="s">
        <v>268</v>
      </c>
      <c r="E134" s="38">
        <f>LEN(SUBSTITUTE(SUBSTITUTE(D134,",",)," ",))/4</f>
        <v>5</v>
      </c>
      <c r="F134" s="56">
        <v>5</v>
      </c>
      <c r="G134" s="54"/>
      <c r="H134" s="54"/>
      <c r="I134" s="54">
        <f>SUM(N(AND(ISNUMBER(FIND(LEFT(D134,2),P104,1)),ISNUMBER(FIND(MID(D134,4,2),P104,1))))+N(AND(ISNUMBER(FIND(MID(D134,7,2),P104,1)),ISNUMBER(FIND(MID(D134,10,2),P104,1))))+N(AND(ISNUMBER(FIND(MID(D134,13,2),P104,1)),ISNUMBER(FIND(MID(D134,16,2),P104,1)))))*K134*F134</f>
        <v>126540.10000000002</v>
      </c>
      <c r="J134" s="53" t="str">
        <f>TRIM(IF(LEN('5Of11Source'!D134)=0,"-",D134))</f>
        <v>01 09,03 04,05 06,07 08,09 10</v>
      </c>
      <c r="K134" s="34">
        <f t="shared" si="15"/>
        <v>25308.020000000004</v>
      </c>
      <c r="L134" s="53">
        <f>I141</f>
        <v>94981.840000000026</v>
      </c>
      <c r="M134" s="78" t="str">
        <f>辅助!F134</f>
        <v>01,03,07,08,11</v>
      </c>
      <c r="N134" s="34">
        <v>23745.460000000006</v>
      </c>
      <c r="O134" s="76"/>
      <c r="P134" s="52"/>
      <c r="Q134" s="52"/>
      <c r="R134" s="54"/>
      <c r="S134" s="54"/>
      <c r="T134" s="54"/>
      <c r="U134" s="54"/>
      <c r="V134" s="54"/>
    </row>
    <row r="135" spans="1:22" ht="20.100000000000001" customHeight="1" x14ac:dyDescent="0.15">
      <c r="A135" s="55" t="s">
        <v>96</v>
      </c>
      <c r="B135" s="52" t="s">
        <v>76</v>
      </c>
      <c r="C135" s="52" t="s">
        <v>98</v>
      </c>
      <c r="D135" s="38" t="s">
        <v>269</v>
      </c>
      <c r="E135" s="38">
        <f>LEN(SUBSTITUTE(SUBSTITUTE(D135,",",)," ",))/6</f>
        <v>4</v>
      </c>
      <c r="F135" s="56">
        <v>5</v>
      </c>
      <c r="G135" s="54"/>
      <c r="H135" s="54"/>
      <c r="I135" s="54">
        <f>SUM(N(AND(ISNUMBER(FIND(LEFT(D135,2),P104,1)),ISNUMBER(FIND(MID(D135,4,2),P104,1)),ISNUMBER(FIND(MID(D135,7,2),P104,1)))),N(AND(ISNUMBER(FIND(MID(D135,10,2),P104,1)),ISNUMBER(FIND(MID(D135,13,2),P104,1)),ISNUMBER(FIND(MID(D135,16,2),P104,1)))))*K135*F135</f>
        <v>0</v>
      </c>
      <c r="J135" s="53" t="str">
        <f>TRIM(IF(LEN('5Of11Source'!D135)=0,"-",D135))</f>
        <v>01 02 03,04 05 06,07 08 09,10 11 01</v>
      </c>
      <c r="K135" s="34">
        <f t="shared" si="15"/>
        <v>25300.42</v>
      </c>
      <c r="L135" s="53">
        <f>I143</f>
        <v>0</v>
      </c>
      <c r="M135" s="78" t="str">
        <f>辅助!F135</f>
        <v>01,03,07,09,10</v>
      </c>
      <c r="N135" s="34">
        <v>23851.610000000008</v>
      </c>
      <c r="O135" s="76"/>
      <c r="P135" s="54"/>
      <c r="Q135" s="54"/>
      <c r="R135" s="54"/>
      <c r="S135" s="54"/>
      <c r="T135" s="54"/>
      <c r="U135" s="54"/>
      <c r="V135" s="54"/>
    </row>
    <row r="136" spans="1:22" ht="20.100000000000001" customHeight="1" x14ac:dyDescent="0.15">
      <c r="A136" s="55" t="s">
        <v>96</v>
      </c>
      <c r="B136" s="52" t="s">
        <v>78</v>
      </c>
      <c r="C136" s="52" t="s">
        <v>99</v>
      </c>
      <c r="D136" s="38" t="s">
        <v>270</v>
      </c>
      <c r="E136" s="38">
        <f>LEN(SUBSTITUTE(SUBSTITUTE(D136,",",)," ",))/8</f>
        <v>3</v>
      </c>
      <c r="F136" s="56">
        <v>5</v>
      </c>
      <c r="G136" s="54"/>
      <c r="H136" s="54"/>
      <c r="I136" s="54">
        <f>SUM(N(AND(ISNUMBER(FIND(LEFT(D136,2),P104,1)),ISNUMBER(FIND(MID(D136,4,2),P104,1)),ISNUMBER(FIND(MID(D136,7,2),P104,1)),ISNUMBER(FIND(MID(D136,10,2),P104,1)))),N(AND(ISNUMBER(FIND(MID(D136,13,2),P104,1)),ISNUMBER(FIND(MID(D136,16,2),P104,1)),ISNUMBER(FIND(MID(D136,19,2),P104,1)),ISNUMBER(FIND(MID(D136,22,2),P104,1)))))*K136*F136</f>
        <v>0</v>
      </c>
      <c r="J136" s="53" t="str">
        <f>TRIM(IF(LEN('5Of11Source'!D136)=0,"-",D136))</f>
        <v>01 02 03 04,09 10 11 05,06 07 08 09</v>
      </c>
      <c r="K136" s="34">
        <f>'5Of11'!Z115</f>
        <v>318.38499999999999</v>
      </c>
      <c r="L136" s="53">
        <f>I145</f>
        <v>0</v>
      </c>
      <c r="M136" s="78" t="str">
        <f>辅助!F136</f>
        <v>01,03,07,09,11</v>
      </c>
      <c r="N136" s="34">
        <v>24535.360000000008</v>
      </c>
      <c r="O136" s="76"/>
      <c r="P136" s="54"/>
      <c r="Q136" s="54"/>
      <c r="R136" s="54"/>
      <c r="S136" s="54"/>
      <c r="T136" s="54"/>
      <c r="U136" s="54"/>
      <c r="V136" s="54"/>
    </row>
    <row r="137" spans="1:22" ht="20.100000000000001" customHeight="1" x14ac:dyDescent="0.15">
      <c r="A137" s="55" t="s">
        <v>96</v>
      </c>
      <c r="B137" s="52" t="s">
        <v>80</v>
      </c>
      <c r="C137" s="52" t="s">
        <v>99</v>
      </c>
      <c r="D137" s="38" t="s">
        <v>271</v>
      </c>
      <c r="E137" s="38">
        <f>LEN(SUBSTITUTE(SUBSTITUTE(D137,",",)," ",))/10</f>
        <v>2</v>
      </c>
      <c r="F137" s="56">
        <v>8</v>
      </c>
      <c r="G137" s="54"/>
      <c r="H137" s="54"/>
      <c r="I137" s="54">
        <f>SUM(N(AND(ISNUMBER(FIND(LEFT(D137,2),P104,1)),ISNUMBER(FIND(MID(D137,4,2),P104,1)),ISNUMBER(FIND(MID(D137,7,2),P104,1)),ISNUMBER(FIND(MID(D137,10,2),P104,1)),ISNUMBER(FIND(MID(D137,13,2),P104,1)))),N(AND(ISNUMBER(FIND(MID(D137,16,2),P104,1)),ISNUMBER(FIND(MID(D137,19,2),P104,1)),ISNUMBER(FIND(MID(D137,22,2),P104,1)),ISNUMBER(FIND(MID(D137,25,2),P104,1)),ISNUMBER(FIND(MID(D137,28,2),P104,1)))))*K137*F137</f>
        <v>0</v>
      </c>
      <c r="J137" s="53" t="str">
        <f>TRIM(IF(LEN('5Of11Source'!D137)=0,"-",D137))</f>
        <v>01 02 06 04 08,06 07 08 09 10</v>
      </c>
      <c r="K137" s="34">
        <f>'5Of11'!Z116</f>
        <v>318.38499999999999</v>
      </c>
      <c r="L137" s="53">
        <f>I147</f>
        <v>0</v>
      </c>
      <c r="M137" s="78" t="str">
        <f>辅助!F137</f>
        <v>01,03,07,10,11</v>
      </c>
      <c r="N137" s="34">
        <v>23725.680000000008</v>
      </c>
      <c r="O137" s="76"/>
      <c r="P137" s="54"/>
      <c r="Q137" s="54"/>
      <c r="R137" s="54"/>
      <c r="S137" s="54"/>
      <c r="T137" s="54"/>
      <c r="U137" s="54"/>
      <c r="V137" s="54"/>
    </row>
    <row r="138" spans="1:22" ht="20.100000000000001" customHeight="1" x14ac:dyDescent="0.15">
      <c r="A138" s="55" t="s">
        <v>96</v>
      </c>
      <c r="B138" s="52" t="s">
        <v>82</v>
      </c>
      <c r="C138" s="52" t="s">
        <v>99</v>
      </c>
      <c r="D138" s="38" t="s">
        <v>241</v>
      </c>
      <c r="E138" s="38">
        <f>LEN(SUBSTITUTE(SUBSTITUTE(D138,",",)," ",))/12</f>
        <v>2</v>
      </c>
      <c r="F138" s="56">
        <v>2</v>
      </c>
      <c r="G138" s="54"/>
      <c r="H138" s="54"/>
      <c r="I138" s="54">
        <f>SUM(N(SUM(ISNUMBER(FIND(LEFT(D138,2),P104,1)),ISNUMBER(FIND(MID(D138,4,2),P104,1)),ISNUMBER(FIND(MID(D138,7,2),P104,1)),ISNUMBER(FIND(MID(D138,10,2),P104,1)),ISNUMBER(FIND(MID(D138,13,2),P104,1)),ISNUMBER(FIND(MID(D138,16,2),P104,1)))&gt;4),N(SUM(ISNUMBER(FIND(MID(D138,19,2),P104,1)),ISNUMBER(FIND(MID(D138,22,2),P104,1)),ISNUMBER(FIND(MID(D138,25,2),P104,1)),ISNUMBER(FIND(MID(D138,28,2),P104,1)),ISNUMBER(FIND(MID(D138,31,2),P104,1)),ISNUMBER(FIND(MID(D138,34,2),P104,1)))&gt;4))*K138*F138</f>
        <v>0</v>
      </c>
      <c r="J138" s="53" t="str">
        <f>TRIM(IF(LEN('5Of11Source'!D138)=0,"-",D138))</f>
        <v>01 02 08 04 05 06,07 08 09 10 11 02</v>
      </c>
      <c r="K138" s="34">
        <f>'5Of11'!Z117</f>
        <v>318.38499999999999</v>
      </c>
      <c r="L138" s="53">
        <f>I149</f>
        <v>686082.00000000012</v>
      </c>
      <c r="M138" s="78" t="str">
        <f>辅助!F138</f>
        <v>01,03,08,09,10</v>
      </c>
      <c r="N138" s="34">
        <v>22869.4</v>
      </c>
      <c r="O138" s="76"/>
      <c r="P138" s="54"/>
      <c r="Q138" s="54"/>
      <c r="R138" s="54"/>
      <c r="S138" s="54"/>
      <c r="T138" s="54"/>
      <c r="U138" s="54"/>
      <c r="V138" s="54"/>
    </row>
    <row r="139" spans="1:22" ht="20.100000000000001" customHeight="1" x14ac:dyDescent="0.15">
      <c r="A139" s="55" t="s">
        <v>96</v>
      </c>
      <c r="B139" s="52" t="s">
        <v>84</v>
      </c>
      <c r="C139" s="52" t="s">
        <v>98</v>
      </c>
      <c r="D139" s="38" t="s">
        <v>272</v>
      </c>
      <c r="E139" s="38">
        <f>LEN(SUBSTITUTE(SUBSTITUTE(D139,",",)," ",))/14</f>
        <v>2</v>
      </c>
      <c r="F139" s="56">
        <v>2</v>
      </c>
      <c r="G139" s="54"/>
      <c r="H139" s="54"/>
      <c r="I139" s="54">
        <f>N(SUM(ISNUMBER(FIND(LEFT(D139,2),P104,1)),ISNUMBER(FIND(MID(D139,4,2),P104,1)),ISNUMBER(FIND(MID(D139,7,2),P104,1)),ISNUMBER(FIND(MID(D139,10,2),P104,1)),ISNUMBER(FIND(MID(D139,13,2),P104,1)),ISNUMBER(FIND(MID(D139,16,2),P104,1)),ISNUMBER(FIND(MID(D139,19,2),P104,1)))&gt;4)*K139*F139</f>
        <v>0</v>
      </c>
      <c r="J139" s="53" t="str">
        <f>TRIM(IF(LEN('5Of11Source'!D139)=0,"-",D139))</f>
        <v>01 02 03 04 05 06 07,11 10 09 08 07 06 05</v>
      </c>
      <c r="K139" s="34">
        <f>'5Of11'!Z118</f>
        <v>212.3</v>
      </c>
      <c r="L139" s="53">
        <f>I151</f>
        <v>1374399</v>
      </c>
      <c r="M139" s="78" t="str">
        <f>辅助!F139</f>
        <v>01,03,08,09,11</v>
      </c>
      <c r="N139" s="34">
        <v>22906.65</v>
      </c>
      <c r="O139" s="76"/>
      <c r="P139" s="54"/>
      <c r="Q139" s="54"/>
      <c r="R139" s="54"/>
      <c r="S139" s="54"/>
      <c r="T139" s="54"/>
      <c r="U139" s="54"/>
      <c r="V139" s="54"/>
    </row>
    <row r="140" spans="1:22" ht="20.100000000000001" customHeight="1" x14ac:dyDescent="0.15">
      <c r="A140" s="55" t="s">
        <v>96</v>
      </c>
      <c r="B140" s="52" t="s">
        <v>86</v>
      </c>
      <c r="C140" s="54" t="s">
        <v>11</v>
      </c>
      <c r="D140" s="38" t="s">
        <v>273</v>
      </c>
      <c r="E140" s="38">
        <f>LEN(SUBSTITUTE(SUBSTITUTE(D140,",",)," ",))/16</f>
        <v>2</v>
      </c>
      <c r="F140" s="56">
        <v>3</v>
      </c>
      <c r="G140" s="54"/>
      <c r="H140" s="54"/>
      <c r="I140" s="54">
        <f>N(SUM(ISNUMBER(FIND(LEFT(D140,2),P104,1)),ISNUMBER(FIND(MID(D140,4,2),P104,1)),ISNUMBER(FIND(MID(D140,7,2),P104,1)),ISNUMBER(FIND(MID(D140,10,2),P104,1)),ISNUMBER(FIND(MID(D140,13,2),P104,1)),ISNUMBER(FIND(MID(D140,16,2),P104,1)),ISNUMBER(FIND(MID(D140,19,2),P104,1)),ISNUMBER(FIND(MID(D140,22,2),P104,1)))&gt;4)*K140*F140</f>
        <v>0</v>
      </c>
      <c r="J140" s="53" t="str">
        <f>TRIM(IF(LEN('5Of11Source'!D140)=0,"-",D140))</f>
        <v>01 02 03 04 05 06 07 08,11 10 09 08 07 06 05 04</v>
      </c>
      <c r="K140" s="34">
        <f>'5Of11'!Z119</f>
        <v>212.3</v>
      </c>
      <c r="L140" s="53">
        <f>I153</f>
        <v>0</v>
      </c>
      <c r="M140" s="78" t="str">
        <f>辅助!F140</f>
        <v>01,03,08,10,11</v>
      </c>
      <c r="N140" s="34">
        <v>22735.030000000006</v>
      </c>
      <c r="O140" s="76"/>
      <c r="P140" s="54"/>
      <c r="Q140" s="54"/>
      <c r="R140" s="54"/>
      <c r="S140" s="54"/>
      <c r="T140" s="54"/>
      <c r="U140" s="54"/>
      <c r="V140" s="54"/>
    </row>
    <row r="141" spans="1:22" ht="20.100000000000001" customHeight="1" x14ac:dyDescent="0.15">
      <c r="A141" s="55" t="s">
        <v>103</v>
      </c>
      <c r="B141" s="40" t="s">
        <v>74</v>
      </c>
      <c r="C141" s="52" t="s">
        <v>30</v>
      </c>
      <c r="D141" s="38" t="s">
        <v>242</v>
      </c>
      <c r="E141" s="38">
        <f>LEN(SUBSTITUTE(D141,",",))/2</f>
        <v>1</v>
      </c>
      <c r="F141" s="95">
        <v>1</v>
      </c>
      <c r="G141" s="54"/>
      <c r="H141" s="96">
        <v>4</v>
      </c>
      <c r="I141" s="83">
        <f>IF(AND(P141,P142&gt;=(B142-E141)),COMBIN(P142,B142-E141)*K141*F141,0)</f>
        <v>94981.840000000026</v>
      </c>
      <c r="J141" s="97" t="str">
        <f>TRIM(IF(LEN(D141)=0,"-",SUBSTITUTE(D141,","," ")))&amp;","&amp;TRIM(IF(LEN(D142)=0,"-",SUBSTITUTE(D142,","," ")))</f>
        <v>01,02 03 04 05 06 07 08 09 10 11</v>
      </c>
      <c r="K141" s="87">
        <f>N134</f>
        <v>23745.460000000006</v>
      </c>
      <c r="L141" s="53"/>
      <c r="M141" s="78" t="str">
        <f>辅助!F141</f>
        <v>01,03,09,10,11</v>
      </c>
      <c r="N141" s="53">
        <v>22878.430000000008</v>
      </c>
      <c r="O141" s="75"/>
      <c r="P141" s="41" t="b">
        <f>ISNUMBER(FIND(SUBSTITUTE(D141,",",),P104,1))</f>
        <v>1</v>
      </c>
      <c r="Q141" s="41" t="str">
        <f>IF(P141,IF(FIND(SUBSTITUTE(D141,",",),P104,1)&lt;3,SUBSTITUTE(P104,RIGHT(D141,3),),SUBSTITUTE(P104,LEFT(D141,3),)),"此订单未中奖！")</f>
        <v>06,10,05,08</v>
      </c>
      <c r="R141" s="41"/>
      <c r="S141" s="41"/>
      <c r="T141" s="54"/>
      <c r="U141" s="54"/>
      <c r="V141" s="54"/>
    </row>
    <row r="142" spans="1:22" ht="20.100000000000001" customHeight="1" x14ac:dyDescent="0.15">
      <c r="A142" s="55" t="s">
        <v>103</v>
      </c>
      <c r="B142" s="40">
        <v>2</v>
      </c>
      <c r="C142" s="52" t="s">
        <v>104</v>
      </c>
      <c r="D142" s="38" t="s">
        <v>112</v>
      </c>
      <c r="E142" s="34">
        <f>COMBIN(LEN(SUBSTITUTE(D142,",",))/2,B142-E141)</f>
        <v>10</v>
      </c>
      <c r="F142" s="95"/>
      <c r="G142" s="54"/>
      <c r="H142" s="96"/>
      <c r="I142" s="83"/>
      <c r="J142" s="97"/>
      <c r="K142" s="88"/>
      <c r="L142" s="53"/>
      <c r="M142" s="78" t="str">
        <f>辅助!F142</f>
        <v>01,04,05,06,07</v>
      </c>
      <c r="N142" s="53">
        <v>33485.625</v>
      </c>
      <c r="O142" s="75"/>
      <c r="P142" s="41">
        <f>IF(LEN(SUBSTITUTE(Q141,",",))/2=4,SUM(N(ISNUMBER(FIND(LEFT(Q141,2),D142,1))),N(ISNUMBER(FIND(MID(Q141,4,2),D142,1))),N(ISNUMBER(FIND(MID(Q141,7,2),D142,1))),N(ISNUMBER(FIND(RIGHT(Q141,2),D142,1)))),IF(LEN(SUBSTITUTE(Q141,",",))/2=3,SUM(N(ISNUMBER(FIND(LEFT(Q141,2),D142,1))),N(ISNUMBER(FIND(MID(Q141,4,2),D142,1))),N(ISNUMBER(FIND(RIGHT(Q141,2),D142,1)))),IF(LEN(SUBSTITUTE(Q141,",",))/2=2,SUM(N(ISNUMBER(FIND(LEFT(Q141,2),D142,1))),N(ISNUMBER(FIND(RIGHT(Q141,2),D142,1)))),N(ISNUMBER(FIND(Q141,D142,1))))))</f>
        <v>4</v>
      </c>
      <c r="Q142" s="41"/>
      <c r="R142" s="41"/>
      <c r="S142" s="41"/>
      <c r="T142" s="54"/>
      <c r="U142" s="54"/>
      <c r="V142" s="54"/>
    </row>
    <row r="143" spans="1:22" ht="20.100000000000001" customHeight="1" x14ac:dyDescent="0.15">
      <c r="A143" s="55" t="s">
        <v>103</v>
      </c>
      <c r="B143" s="40" t="s">
        <v>76</v>
      </c>
      <c r="C143" s="52" t="s">
        <v>30</v>
      </c>
      <c r="D143" s="38" t="s">
        <v>274</v>
      </c>
      <c r="E143" s="38">
        <f>LEN(SUBSTITUTE(D143,",",))/2</f>
        <v>1</v>
      </c>
      <c r="F143" s="95">
        <v>3</v>
      </c>
      <c r="G143" s="54"/>
      <c r="H143" s="96">
        <v>3</v>
      </c>
      <c r="I143" s="83">
        <f>IF(AND(P143,P144&gt;=(B144-E143)),COMBIN(P144,B144-E143)*K143*F143,0)</f>
        <v>0</v>
      </c>
      <c r="J143" s="97" t="str">
        <f>TRIM(IF(LEN(D143)=0,"-",SUBSTITUTE(D143,","," ")))&amp;","&amp;TRIM(IF(LEN(D144)=0,"-",SUBSTITUTE(D144,","," ")))</f>
        <v>02,01 03 04 05 06 07 08 09 10 11</v>
      </c>
      <c r="K143" s="87">
        <f>N135</f>
        <v>23851.610000000008</v>
      </c>
      <c r="L143" s="53"/>
      <c r="M143" s="78" t="str">
        <f>辅助!F143</f>
        <v>01,04,05,06,08</v>
      </c>
      <c r="N143" s="53">
        <v>32752.125</v>
      </c>
      <c r="O143" s="75"/>
      <c r="P143" s="41" t="b">
        <f>AND(ISNUMBER(FIND(SUBSTITUTE(MID(D143,2,2),",",),P104,1)),ISNUMBER(FIND(SUBSTITUTE(MID(D143,5,2),",",),P104,1)))</f>
        <v>0</v>
      </c>
      <c r="Q143" s="41" t="str">
        <f>IF(P143,IF(FIND(SUBSTITUTE(MID(D143,2,2),",",),P104,1)&lt;3,SUBSTITUTE(P104,MID(D143,2,3),),SUBSTITUTE(P104,LEFT(D143,3),)),"此订单未中奖！")</f>
        <v>此订单未中奖！</v>
      </c>
      <c r="R143" s="41" t="str">
        <f>IF(P143,IF(FIND(SUBSTITUTE(MID(D143,5,2),",",),Q143,1)&lt;3,SUBSTITUTE(Q143,RIGHT(D143,3),),SUBSTITUTE(Q143,MID(D143,4,3),)),"此订单未中奖！")</f>
        <v>此订单未中奖！</v>
      </c>
      <c r="S143" s="41"/>
      <c r="T143" s="54"/>
      <c r="U143" s="54"/>
      <c r="V143" s="54"/>
    </row>
    <row r="144" spans="1:22" ht="20.100000000000001" customHeight="1" x14ac:dyDescent="0.15">
      <c r="A144" s="55" t="s">
        <v>103</v>
      </c>
      <c r="B144" s="40">
        <v>3</v>
      </c>
      <c r="C144" s="52" t="s">
        <v>104</v>
      </c>
      <c r="D144" s="38" t="s">
        <v>275</v>
      </c>
      <c r="E144" s="34">
        <f>COMBIN(LEN(SUBSTITUTE(D144,",",))/2,B144-E143)</f>
        <v>45</v>
      </c>
      <c r="F144" s="95"/>
      <c r="G144" s="54"/>
      <c r="H144" s="96"/>
      <c r="I144" s="83"/>
      <c r="J144" s="97"/>
      <c r="K144" s="88"/>
      <c r="L144" s="53"/>
      <c r="M144" s="78" t="str">
        <f>辅助!F144</f>
        <v>01,04,05,06,09</v>
      </c>
      <c r="N144" s="53">
        <v>32552.454999999998</v>
      </c>
      <c r="O144" s="75"/>
      <c r="P144" s="41">
        <f>IF(LEN(SUBSTITUTE(R143,",",))/2=4,SUM(N(ISNUMBER(FIND(LEFT(R143,2),D144,1))),N(ISNUMBER(FIND(MID(R143,4,2),D144,1))),N(ISNUMBER(FIND(MID(R143,7,2),D144,1))),N(ISNUMBER(FIND(RIGHT(R143,2),D144,1)))),IF(LEN(SUBSTITUTE(R143,",",))/2=3,SUM(N(ISNUMBER(FIND(LEFT(R143,2),D144,1))),N(ISNUMBER(FIND(MID(R143,4,2),D144,1))),N(ISNUMBER(FIND(RIGHT(R143,2),D144,1)))),IF(LEN(SUBSTITUTE(R143,",",))/2=2,SUM(N(ISNUMBER(FIND(LEFT(R143,2),D144,1))),N(ISNUMBER(FIND(RIGHT(R143,2),D144,1)))),N(ISNUMBER(FIND(R143,D144,1))))))</f>
        <v>0</v>
      </c>
      <c r="Q144" s="41"/>
      <c r="R144" s="41"/>
      <c r="S144" s="41"/>
      <c r="T144" s="54"/>
      <c r="U144" s="54"/>
      <c r="V144" s="54"/>
    </row>
    <row r="145" spans="1:22" ht="20.100000000000001" customHeight="1" x14ac:dyDescent="0.15">
      <c r="A145" s="55" t="s">
        <v>103</v>
      </c>
      <c r="B145" s="40" t="s">
        <v>78</v>
      </c>
      <c r="C145" s="52" t="s">
        <v>30</v>
      </c>
      <c r="D145" s="38" t="s">
        <v>276</v>
      </c>
      <c r="E145" s="38">
        <f>LEN(SUBSTITUTE(D145,",",))/2</f>
        <v>1</v>
      </c>
      <c r="F145" s="95">
        <v>4</v>
      </c>
      <c r="G145" s="54"/>
      <c r="H145" s="96">
        <v>3</v>
      </c>
      <c r="I145" s="83">
        <f>IF(AND(P145,P146&gt;=(B146-E145)),COMBIN(P146,B146-E145)*K145*F145,0)</f>
        <v>0</v>
      </c>
      <c r="J145" s="97" t="str">
        <f>TRIM(IF(LEN(D145)=0,"-",SUBSTITUTE(D145,","," ")))&amp;","&amp;TRIM(IF(LEN(D146)=0,"-",SUBSTITUTE(D146,","," ")))</f>
        <v>03,01 02 04 05 06 07 08 09 10 11</v>
      </c>
      <c r="K145" s="87">
        <f>N136</f>
        <v>24535.360000000008</v>
      </c>
      <c r="L145" s="53"/>
      <c r="M145" s="78" t="str">
        <f>辅助!F145</f>
        <v>01,04,05,06,10</v>
      </c>
      <c r="N145" s="53">
        <v>32453.904999999999</v>
      </c>
      <c r="O145" s="75"/>
      <c r="P145" s="41" t="b">
        <f>AND(ISNUMBER(FIND(SUBSTITUTE(MID(D145,2,2),",",),P104,1)),ISNUMBER(FIND(SUBSTITUTE(MID(D145,5,2),",",),P104,1)))</f>
        <v>0</v>
      </c>
      <c r="Q145" s="41" t="str">
        <f>IF(P145,IF(FIND(SUBSTITUTE(MID(D145,2,2),",",),P104,1)&lt;3,SUBSTITUTE(P104,MID(D145,2,3),),SUBSTITUTE(P104,LEFT(D145,3),)),"此订单未中奖！")</f>
        <v>此订单未中奖！</v>
      </c>
      <c r="R145" s="41" t="str">
        <f>IF(P145,IF(FIND(SUBSTITUTE(MID(D145,5,2),",",),Q145,1)&lt;3,SUBSTITUTE(Q145,RIGHT(D145,3),),SUBSTITUTE(Q145,MID(D145,4,3),)),"此订单未中奖！")</f>
        <v>此订单未中奖！</v>
      </c>
      <c r="S145" s="41"/>
      <c r="T145" s="54"/>
      <c r="U145" s="54"/>
      <c r="V145" s="54"/>
    </row>
    <row r="146" spans="1:22" ht="20.100000000000001" customHeight="1" x14ac:dyDescent="0.15">
      <c r="A146" s="55" t="s">
        <v>103</v>
      </c>
      <c r="B146" s="40">
        <v>4</v>
      </c>
      <c r="C146" s="52" t="s">
        <v>104</v>
      </c>
      <c r="D146" s="38" t="s">
        <v>277</v>
      </c>
      <c r="E146" s="34">
        <f>COMBIN(LEN(SUBSTITUTE(D146,",",))/2,B146-E145)</f>
        <v>120</v>
      </c>
      <c r="F146" s="95"/>
      <c r="G146" s="54"/>
      <c r="H146" s="96"/>
      <c r="I146" s="83"/>
      <c r="J146" s="97"/>
      <c r="K146" s="88"/>
      <c r="L146" s="53"/>
      <c r="M146" s="78" t="str">
        <f>辅助!F146</f>
        <v>01,04,05,06,11</v>
      </c>
      <c r="N146" s="53">
        <v>32446.305</v>
      </c>
      <c r="O146" s="75"/>
      <c r="P146" s="41">
        <f>IF(LEN(SUBSTITUTE(R145,",",))/2=4,SUM(N(ISNUMBER(FIND(LEFT(R145,2),D146,1))),N(ISNUMBER(FIND(MID(R145,4,2),D146,1))),N(ISNUMBER(FIND(MID(R145,7,2),D146,1))),N(ISNUMBER(FIND(RIGHT(R145,2),D146,1)))),IF(LEN(SUBSTITUTE(R145,",",))/2=3,SUM(N(ISNUMBER(FIND(LEFT(R145,2),D146,1))),N(ISNUMBER(FIND(MID(R145,4,2),D146,1))),N(ISNUMBER(FIND(RIGHT(R145,2),D146,1)))),IF(LEN(SUBSTITUTE(R145,",",))/2=2,SUM(N(ISNUMBER(FIND(LEFT(R145,2),D146,1))),N(ISNUMBER(FIND(RIGHT(R145,2),D146,1)))),N(ISNUMBER(FIND(R145,D146,1))))))</f>
        <v>0</v>
      </c>
      <c r="Q146" s="41"/>
      <c r="R146" s="41"/>
      <c r="S146" s="41"/>
      <c r="T146" s="54"/>
      <c r="U146" s="54"/>
      <c r="V146" s="54"/>
    </row>
    <row r="147" spans="1:22" ht="20.100000000000001" customHeight="1" x14ac:dyDescent="0.15">
      <c r="A147" s="55" t="s">
        <v>103</v>
      </c>
      <c r="B147" s="40" t="s">
        <v>80</v>
      </c>
      <c r="C147" s="52" t="s">
        <v>30</v>
      </c>
      <c r="D147" s="38" t="s">
        <v>278</v>
      </c>
      <c r="E147" s="38">
        <f>LEN(SUBSTITUTE(D147,",",))/2</f>
        <v>1</v>
      </c>
      <c r="F147" s="95">
        <v>5</v>
      </c>
      <c r="G147" s="54"/>
      <c r="H147" s="96">
        <v>0</v>
      </c>
      <c r="I147" s="83">
        <f>IF(AND(P147,P148&gt;=(B148-E147)),COMBIN(P148,B148-E147)*K147*F147,0)</f>
        <v>0</v>
      </c>
      <c r="J147" s="97" t="str">
        <f>TRIM(IF(LEN(D147)=0,"-",SUBSTITUTE(D147,","," ")))&amp;","&amp;TRIM(IF(LEN(D148)=0,"-",SUBSTITUTE(D148,","," ")))</f>
        <v>04,01 02 03 07 09 10 05 06 08 11</v>
      </c>
      <c r="K147" s="87">
        <f>N137</f>
        <v>23725.680000000008</v>
      </c>
      <c r="L147" s="53"/>
      <c r="M147" s="78" t="str">
        <f>辅助!F147</f>
        <v>01,04,05,07,08</v>
      </c>
      <c r="N147" s="53">
        <v>30587.730000000003</v>
      </c>
      <c r="O147" s="75"/>
      <c r="P147" s="41" t="b">
        <f>AND(ISNUMBER(FIND(SUBSTITUTE(MID(D147,2,2),",",),P104,1)),ISNUMBER(FIND(SUBSTITUTE(MID(D147,5,2),",",),P104,1)),ISNUMBER(FIND(SUBSTITUTE(MID(D147,8,2),",",),P104,1)))</f>
        <v>0</v>
      </c>
      <c r="Q147" s="41" t="str">
        <f>IF(P147,IF(FIND(SUBSTITUTE(MID(D147,2,2),",",),P104,1)&lt;3,SUBSTITUTE(P104,MID(D147,2,3),),SUBSTITUTE(P104,LEFT(D147,3),)),"此订单未中奖！")</f>
        <v>此订单未中奖！</v>
      </c>
      <c r="R147" s="41" t="str">
        <f>IF(P147,IF(FIND(SUBSTITUTE(MID(D147,5,2),",",),Q147,1)&lt;3,SUBSTITUTE(Q147,MID(D147,5,3),),SUBSTITUTE(Q147,MID(D147,4,3),)),"此订单未中奖！")</f>
        <v>此订单未中奖！</v>
      </c>
      <c r="S147" s="41" t="str">
        <f>IF(P147,IF(FIND(SUBSTITUTE(MID(D147,8,2),",",),R147,1)&lt;3,SUBSTITUTE(R147,RIGHT(D147,3),),SUBSTITUTE(R147,MID(D147,7,3),)),"此订单未中奖！")</f>
        <v>此订单未中奖！</v>
      </c>
      <c r="T147" s="54"/>
      <c r="U147" s="54"/>
      <c r="V147" s="54"/>
    </row>
    <row r="148" spans="1:22" ht="20.100000000000001" customHeight="1" x14ac:dyDescent="0.15">
      <c r="A148" s="55" t="s">
        <v>103</v>
      </c>
      <c r="B148" s="40">
        <v>5</v>
      </c>
      <c r="C148" s="52" t="s">
        <v>104</v>
      </c>
      <c r="D148" s="38" t="s">
        <v>279</v>
      </c>
      <c r="E148" s="34">
        <f>COMBIN(LEN(SUBSTITUTE(D148,",",))/2,B148-E147)</f>
        <v>209.99999999999997</v>
      </c>
      <c r="F148" s="95"/>
      <c r="G148" s="54"/>
      <c r="H148" s="96"/>
      <c r="I148" s="83"/>
      <c r="J148" s="97"/>
      <c r="K148" s="88"/>
      <c r="L148" s="53"/>
      <c r="M148" s="78" t="str">
        <f>辅助!F148</f>
        <v>01,04,05,07,09</v>
      </c>
      <c r="N148" s="53">
        <v>30730.130000000005</v>
      </c>
      <c r="O148" s="75"/>
      <c r="P148" s="41">
        <f>IF(LEN(SUBSTITUTE(S147,",",))/2=4,SUM(N(ISNUMBER(FIND(LEFT(S147,2),D148,1))),N(ISNUMBER(FIND(MID(S147,4,2),D148,1))),N(ISNUMBER(FIND(MID(S147,7,2),D148,1))),N(ISNUMBER(FIND(RIGHT(S147,2),D148,1)))),IF(LEN(SUBSTITUTE(S147,",",))/2=3,SUM(N(ISNUMBER(FIND(LEFT(S147,2),D148,1))),N(ISNUMBER(FIND(MID(S147,4,2),D148,1))),N(ISNUMBER(FIND(RIGHT(S147,2),D148,1)))),IF(LEN(SUBSTITUTE(S147,",",))/2=2,SUM(N(ISNUMBER(FIND(LEFT(S147,2),D148,1))),N(ISNUMBER(FIND(RIGHT(S147,2),D148,1)))),N(ISNUMBER(FIND(S147,D148,1))))))</f>
        <v>0</v>
      </c>
      <c r="Q148" s="41"/>
      <c r="R148" s="41"/>
      <c r="S148" s="41"/>
      <c r="T148" s="54"/>
      <c r="U148" s="54"/>
      <c r="V148" s="54"/>
    </row>
    <row r="149" spans="1:22" ht="20.100000000000001" customHeight="1" x14ac:dyDescent="0.15">
      <c r="A149" s="55" t="s">
        <v>103</v>
      </c>
      <c r="B149" s="40" t="s">
        <v>82</v>
      </c>
      <c r="C149" s="52" t="s">
        <v>30</v>
      </c>
      <c r="D149" s="38" t="s">
        <v>280</v>
      </c>
      <c r="E149" s="38">
        <f>LEN(SUBSTITUTE(D149,",",))/2</f>
        <v>1</v>
      </c>
      <c r="F149" s="95">
        <v>5</v>
      </c>
      <c r="G149" s="54"/>
      <c r="H149" s="96">
        <v>0</v>
      </c>
      <c r="I149" s="83">
        <f>IF(AND(P149,P150&gt;=(5-E149)),COMBIN(LEN(SUBSTITUTE(D150,",",))/2-P150,B150-5)*K149*F149,0)</f>
        <v>686082.00000000012</v>
      </c>
      <c r="J149" s="97" t="str">
        <f>TRIM(IF(LEN(D149)=0,"-",SUBSTITUTE(D149,","," ")))&amp;","&amp;TRIM(IF(LEN(D150)=0,"-",SUBSTITUTE(D150,","," ")))</f>
        <v>05,01 02 03 04 06 07 08 09 10 11</v>
      </c>
      <c r="K149" s="87">
        <f>N138</f>
        <v>22869.4</v>
      </c>
      <c r="L149" s="53"/>
      <c r="M149" s="78" t="str">
        <f>辅助!F149</f>
        <v>01,04,05,07,10</v>
      </c>
      <c r="N149" s="53">
        <v>30586.730000000003</v>
      </c>
      <c r="O149" s="75"/>
      <c r="P149" s="41" t="b">
        <f>AND(ISNUMBER(FIND(SUBSTITUTE(MID(D149,2,2),",",),P104,1)),ISNUMBER(FIND(SUBSTITUTE(MID(D149,5,2),",",),P104,1)))</f>
        <v>1</v>
      </c>
      <c r="Q149" s="41" t="str">
        <f>IF(P149,IF(FIND(SUBSTITUTE(MID(D149,2,2),",",),P104,1)&lt;3,SUBSTITUTE(P104,MID(D149,2,3),),SUBSTITUTE(P104,LEFT(D149,3),)),"此订单未中奖！")</f>
        <v>06,10,01,08</v>
      </c>
      <c r="R149" s="41" t="str">
        <f>IF(P149,IF(FIND(SUBSTITUTE(MID(D149,5,2),",",),Q149,1)&lt;3,SUBSTITUTE(Q149,RIGHT(D149,3),),SUBSTITUTE(Q149,MID(D149,4,3),)),"此订单未中奖！")</f>
        <v>06,10,01,08</v>
      </c>
      <c r="S149" s="41"/>
      <c r="T149" s="54"/>
      <c r="U149" s="54"/>
      <c r="V149" s="54"/>
    </row>
    <row r="150" spans="1:22" ht="20.100000000000001" customHeight="1" x14ac:dyDescent="0.15">
      <c r="A150" s="55" t="s">
        <v>103</v>
      </c>
      <c r="B150" s="40">
        <v>6</v>
      </c>
      <c r="C150" s="52" t="s">
        <v>104</v>
      </c>
      <c r="D150" s="38" t="s">
        <v>281</v>
      </c>
      <c r="E150" s="34">
        <f>COMBIN(LEN(SUBSTITUTE(D150,",",))/2,B150-E149)</f>
        <v>252</v>
      </c>
      <c r="F150" s="95"/>
      <c r="G150" s="54"/>
      <c r="H150" s="96"/>
      <c r="I150" s="83"/>
      <c r="J150" s="97"/>
      <c r="K150" s="88"/>
      <c r="L150" s="53"/>
      <c r="M150" s="78" t="str">
        <f>辅助!F150</f>
        <v>01,04,05,07,11</v>
      </c>
      <c r="N150" s="53">
        <v>30623.980000000003</v>
      </c>
      <c r="O150" s="75"/>
      <c r="P150" s="41">
        <f>IF(LEN(SUBSTITUTE(R149,",",))/2=4,SUM(N(ISNUMBER(FIND(LEFT(R149,2),D150,1))),N(ISNUMBER(FIND(MID(R149,4,2),D150,1))),N(ISNUMBER(FIND(MID(R149,7,2),D150,1))),N(ISNUMBER(FIND(RIGHT(R149,2),D150,1)))),IF(LEN(SUBSTITUTE(R149,",",))/2=3,SUM(N(ISNUMBER(FIND(LEFT(R149,2),D150,1))),N(ISNUMBER(FIND(MID(R149,4,2),D150,1))),N(ISNUMBER(FIND(RIGHT(R149,2),D150,1)))),IF(LEN(SUBSTITUTE(R149,",",))/2=2,SUM(N(ISNUMBER(FIND(LEFT(R149,2),D150,1))),N(ISNUMBER(FIND(RIGHT(R149,2),D150,1)))),N(ISNUMBER(FIND(R149,D150,1))))))</f>
        <v>4</v>
      </c>
      <c r="Q150" s="41"/>
      <c r="R150" s="41"/>
      <c r="S150" s="41"/>
      <c r="T150" s="54"/>
      <c r="U150" s="54"/>
      <c r="V150" s="54"/>
    </row>
    <row r="151" spans="1:22" ht="20.100000000000001" customHeight="1" x14ac:dyDescent="0.15">
      <c r="A151" s="55" t="s">
        <v>103</v>
      </c>
      <c r="B151" s="40" t="s">
        <v>84</v>
      </c>
      <c r="C151" s="52" t="s">
        <v>30</v>
      </c>
      <c r="D151" s="38" t="s">
        <v>282</v>
      </c>
      <c r="E151" s="38">
        <f>LEN(SUBSTITUTE(D151,",",))/2</f>
        <v>1</v>
      </c>
      <c r="F151" s="95">
        <v>4</v>
      </c>
      <c r="G151" s="54"/>
      <c r="H151" s="96">
        <v>0</v>
      </c>
      <c r="I151" s="83">
        <f>IF(AND(P151,P152&gt;=(5-E151)),COMBIN(LEN(SUBSTITUTE(D152,",",))/2-P152,B152-5)*K151*F151,0)</f>
        <v>1374399</v>
      </c>
      <c r="J151" s="97" t="str">
        <f>TRIM(IF(LEN(D151)=0,"-",SUBSTITUTE(D151,","," ")))&amp;","&amp;TRIM(IF(LEN(D152)=0,"-",SUBSTITUTE(D152,","," ")))</f>
        <v>06,01 02 03 04 05 07 08 09 10 11</v>
      </c>
      <c r="K151" s="87">
        <f>N139</f>
        <v>22906.65</v>
      </c>
      <c r="L151" s="53"/>
      <c r="M151" s="78" t="str">
        <f>辅助!F151</f>
        <v>01,04,05,08,09</v>
      </c>
      <c r="N151" s="53">
        <v>29739.480000000003</v>
      </c>
      <c r="O151" s="75"/>
      <c r="P151" s="41" t="b">
        <f>AND(ISNUMBER(FIND(SUBSTITUTE(MID(D151,2,2),",",),P104,1)),ISNUMBER(FIND(SUBSTITUTE(MID(D151,5,2),",",),P104,1)),ISNUMBER(FIND(SUBSTITUTE(MID(D151,8,2),",",),P104,1)))</f>
        <v>1</v>
      </c>
      <c r="Q151" s="41" t="str">
        <f>IF(P151,IF(FIND(SUBSTITUTE(MID(D151,2,2),",",),P104,1)&lt;3,SUBSTITUTE(P104,MID(D151,2,3),),SUBSTITUTE(P104,LEFT(D151,3),)),"此订单未中奖！")</f>
        <v>10,01,05,08</v>
      </c>
      <c r="R151" s="41" t="str">
        <f>IF(P151,IF(FIND(SUBSTITUTE(MID(D151,5,2),",",),Q151,1)&lt;3,SUBSTITUTE(Q151,MID(D151,5,3),),SUBSTITUTE(Q151,MID(D151,4,3),)),"此订单未中奖！")</f>
        <v>10,01,05,08</v>
      </c>
      <c r="S151" s="41" t="str">
        <f>IF(P151,IF(FIND(SUBSTITUTE(MID(D151,8,2),",",),R151,1)&lt;3,SUBSTITUTE(R151,RIGHT(D151,3),),SUBSTITUTE(R151,MID(D151,7,3),)),"此订单未中奖！")</f>
        <v>10,01,05,08</v>
      </c>
      <c r="T151" s="54"/>
      <c r="U151" s="54"/>
      <c r="V151" s="54"/>
    </row>
    <row r="152" spans="1:22" ht="20.100000000000001" customHeight="1" x14ac:dyDescent="0.15">
      <c r="A152" s="55" t="s">
        <v>103</v>
      </c>
      <c r="B152" s="40">
        <v>7</v>
      </c>
      <c r="C152" s="52" t="s">
        <v>104</v>
      </c>
      <c r="D152" s="38" t="s">
        <v>283</v>
      </c>
      <c r="E152" s="34">
        <f>COMBIN(LEN(SUBSTITUTE(D152,",",))/2,B152-E151)</f>
        <v>209.99999999999997</v>
      </c>
      <c r="F152" s="95"/>
      <c r="G152" s="54"/>
      <c r="H152" s="96"/>
      <c r="I152" s="83"/>
      <c r="J152" s="97"/>
      <c r="K152" s="88"/>
      <c r="L152" s="53"/>
      <c r="M152" s="78" t="str">
        <f>辅助!F152</f>
        <v>01,04,05,08,10</v>
      </c>
      <c r="N152" s="53">
        <v>29640.93</v>
      </c>
      <c r="O152" s="75"/>
      <c r="P152" s="41">
        <f>IF(LEN(SUBSTITUTE(S151,",",))/2=4,SUM(N(ISNUMBER(FIND(LEFT(S151,2),D152,1))),N(ISNUMBER(FIND(MID(S151,4,2),D152,1))),N(ISNUMBER(FIND(MID(S151,7,2),D152,1))),N(ISNUMBER(FIND(RIGHT(S151,2),D152,1)))),IF(LEN(SUBSTITUTE(S151,",",))/2=3,SUM(N(ISNUMBER(FIND(LEFT(S151,2),D152,1))),N(ISNUMBER(FIND(MID(S151,4,2),D152,1))),N(ISNUMBER(FIND(RIGHT(S151,2),D152,1)))),IF(LEN(SUBSTITUTE(S151,",",))/2=2,SUM(N(ISNUMBER(FIND(LEFT(S151,2),D152,1))),N(ISNUMBER(FIND(RIGHT(S151,2),D152,1)))),N(ISNUMBER(FIND(S151,D152,1))))))</f>
        <v>4</v>
      </c>
      <c r="Q152" s="41"/>
      <c r="R152" s="41"/>
      <c r="S152" s="41"/>
      <c r="T152" s="54"/>
      <c r="U152" s="54"/>
      <c r="V152" s="54"/>
    </row>
    <row r="153" spans="1:22" ht="20.100000000000001" customHeight="1" x14ac:dyDescent="0.15">
      <c r="A153" s="55" t="s">
        <v>103</v>
      </c>
      <c r="B153" s="40" t="s">
        <v>86</v>
      </c>
      <c r="C153" s="52" t="s">
        <v>30</v>
      </c>
      <c r="D153" s="38" t="s">
        <v>258</v>
      </c>
      <c r="E153" s="38">
        <f>LEN(SUBSTITUTE(D153,",",))/2</f>
        <v>1</v>
      </c>
      <c r="F153" s="95">
        <v>3</v>
      </c>
      <c r="G153" s="54"/>
      <c r="H153" s="96">
        <v>0</v>
      </c>
      <c r="I153" s="83">
        <f>IF(AND(P153,P154&gt;=(5-E153)),COMBIN(LEN(SUBSTITUTE(D154,",",))/2-P154,B154-5)*K153*F153,0)</f>
        <v>0</v>
      </c>
      <c r="J153" s="97" t="str">
        <f>TRIM(IF(LEN(D153)=0,"-",SUBSTITUTE(D153,","," ")))&amp;","&amp;TRIM(IF(LEN(D154)=0,"-",SUBSTITUTE(D154,","," ")))</f>
        <v>07,01 02 03 04 05 06 09 10 08 11</v>
      </c>
      <c r="K153" s="87">
        <f>N140</f>
        <v>22735.030000000006</v>
      </c>
      <c r="L153" s="53"/>
      <c r="M153" s="78" t="str">
        <f>辅助!F153</f>
        <v>01,04,05,08,11</v>
      </c>
      <c r="N153" s="53">
        <v>29633.33</v>
      </c>
      <c r="O153" s="75"/>
      <c r="P153" s="41" t="b">
        <f>AND(ISNUMBER(FIND(SUBSTITUTE(MID(D153,2,2),",",),P104,1)),ISNUMBER(FIND(SUBSTITUTE(MID(D153,5,2),",",),P104,1)))</f>
        <v>0</v>
      </c>
      <c r="Q153" s="41" t="str">
        <f>IF(P153,IF(FIND(SUBSTITUTE(MID(D153,2,2),",",),P104,1)&lt;3,SUBSTITUTE(P104,MID(D153,2,3),),SUBSTITUTE(P104,LEFT(D153,3),)),"此订单未中奖！")</f>
        <v>此订单未中奖！</v>
      </c>
      <c r="R153" s="41" t="str">
        <f>IF(P153,IF(FIND(SUBSTITUTE(MID(D153,5,2),",",),Q153,1)&lt;3,SUBSTITUTE(Q153,RIGHT(D153,3),),SUBSTITUTE(Q153,MID(D153,4,3),)),"此订单未中奖！")</f>
        <v>此订单未中奖！</v>
      </c>
      <c r="S153" s="41"/>
      <c r="T153" s="54"/>
      <c r="U153" s="54"/>
      <c r="V153" s="54"/>
    </row>
    <row r="154" spans="1:22" ht="20.100000000000001" customHeight="1" x14ac:dyDescent="0.15">
      <c r="A154" s="55" t="s">
        <v>103</v>
      </c>
      <c r="B154" s="40">
        <v>8</v>
      </c>
      <c r="C154" s="52" t="s">
        <v>104</v>
      </c>
      <c r="D154" s="38" t="s">
        <v>284</v>
      </c>
      <c r="E154" s="34">
        <f>COMBIN(LEN(SUBSTITUTE(D154,",",))/2,B154-E153)</f>
        <v>120</v>
      </c>
      <c r="F154" s="95"/>
      <c r="G154" s="54"/>
      <c r="H154" s="96"/>
      <c r="I154" s="83"/>
      <c r="J154" s="97"/>
      <c r="K154" s="88"/>
      <c r="L154" s="53"/>
      <c r="M154" s="78" t="str">
        <f>辅助!F154</f>
        <v>01,04,05,09,10</v>
      </c>
      <c r="N154" s="53">
        <v>29739.480000000003</v>
      </c>
      <c r="O154" s="75"/>
      <c r="P154" s="41">
        <f>IF(LEN(SUBSTITUTE(R153,",",))/2=4,SUM(N(ISNUMBER(FIND(LEFT(R153,2),D154,1))),N(ISNUMBER(FIND(MID(R153,4,2),D154,1))),N(ISNUMBER(FIND(MID(R153,7,2),D154,1))),N(ISNUMBER(FIND(RIGHT(R153,2),D154,1)))),IF(LEN(SUBSTITUTE(R153,",",))/2=3,SUM(N(ISNUMBER(FIND(LEFT(R153,2),D154,1))),N(ISNUMBER(FIND(MID(R153,4,2),D154,1))),N(ISNUMBER(FIND(RIGHT(R153,2),D154,1)))),IF(LEN(SUBSTITUTE(R153,",",))/2=2,SUM(N(ISNUMBER(FIND(LEFT(R153,2),D154,1))),N(ISNUMBER(FIND(RIGHT(R153,2),D154,1)))),N(ISNUMBER(FIND(R153,D154,1))))))</f>
        <v>0</v>
      </c>
      <c r="Q154" s="41"/>
      <c r="R154" s="41"/>
      <c r="S154" s="41"/>
      <c r="T154" s="54"/>
      <c r="U154" s="54"/>
      <c r="V154" s="54"/>
    </row>
    <row r="155" spans="1:22" ht="20.100000000000001" customHeight="1" x14ac:dyDescent="0.15">
      <c r="A155" t="s">
        <v>23</v>
      </c>
      <c r="B155" t="s">
        <v>25</v>
      </c>
      <c r="C155" t="s">
        <v>26</v>
      </c>
      <c r="D155" s="38" t="s">
        <v>256</v>
      </c>
      <c r="E155" s="82">
        <v>45</v>
      </c>
      <c r="F155" s="84">
        <v>2</v>
      </c>
      <c r="G155" s="61">
        <f>IF(AND(ISNUMBER(FIND(P158,D155,1)),LEN($P155)&lt;&gt;0),1,0)</f>
        <v>1</v>
      </c>
      <c r="H155" s="85">
        <f>IF(SUM(G155:G157)=3,1,0)</f>
        <v>1</v>
      </c>
      <c r="I155" s="94">
        <f>H155*K155*F155</f>
        <v>59553.460000000006</v>
      </c>
      <c r="J155" s="92" t="str">
        <f>TRIM(IF(LEN(D155)=0,"-",SUBSTITUTE(D155,","," ")))&amp;","&amp;TRIM(IF(LEN(D156)=0,"-",SUBSTITUTE(D156,","," ")))&amp;","&amp;TRIM(IF(LEN(D157)=0,"-",SUBSTITUTE(D157,","," ")))</f>
        <v>01 02 03 04 05 06 07 08 09 10 11,01 02 03 04 05 06 07 08 09 10 11,01 02 03 04 05 06 07 08 09 10 11</v>
      </c>
      <c r="K155" s="87">
        <f>N155</f>
        <v>29776.730000000003</v>
      </c>
      <c r="L155" s="53">
        <f>I155</f>
        <v>59553.460000000006</v>
      </c>
      <c r="M155" s="78" t="str">
        <f>辅助!F155</f>
        <v>01,04,05,09,11</v>
      </c>
      <c r="N155" s="34">
        <v>29776.730000000003</v>
      </c>
      <c r="O155" s="76"/>
      <c r="P155" s="61" t="str">
        <f>O5</f>
        <v>01,10,08,09,03</v>
      </c>
      <c r="Q155" s="41" t="str">
        <f>SUBSTITUTE(SUBSTITUTE(P155,Q156,),",",)</f>
        <v>01080903</v>
      </c>
      <c r="R155" s="41" t="str">
        <f>SUBSTITUTE(Q155,R156,)</f>
        <v>010803</v>
      </c>
      <c r="S155" s="41" t="str">
        <f>0&amp;MAX(INT(S158),INT(S159),INT(S160))</f>
        <v>08</v>
      </c>
      <c r="T155" s="63"/>
      <c r="U155" s="63"/>
      <c r="V155" s="63"/>
    </row>
    <row r="156" spans="1:22" ht="20.100000000000001" customHeight="1" x14ac:dyDescent="0.15">
      <c r="A156" s="64" t="s">
        <v>23</v>
      </c>
      <c r="B156" s="64" t="s">
        <v>25</v>
      </c>
      <c r="C156" s="61" t="s">
        <v>27</v>
      </c>
      <c r="D156" s="38" t="s">
        <v>254</v>
      </c>
      <c r="E156" s="82"/>
      <c r="F156" s="84"/>
      <c r="G156" s="61">
        <f>IF(AND(ISNUMBER(FIND(P159,D156,1)),LEN($P155)&lt;&gt;0),1,0)</f>
        <v>1</v>
      </c>
      <c r="H156" s="85"/>
      <c r="I156" s="85"/>
      <c r="J156" s="92"/>
      <c r="K156" s="89"/>
      <c r="L156" s="53">
        <f>I158</f>
        <v>0</v>
      </c>
      <c r="M156" s="78" t="str">
        <f>辅助!F156</f>
        <v>01,04,05,10,11</v>
      </c>
      <c r="N156" s="34">
        <v>29613.550000000003</v>
      </c>
      <c r="O156" s="76"/>
      <c r="P156" s="63" t="str">
        <f>SUBSTITUTE(LEFT(P155,8),","," ")</f>
        <v>01 10 08</v>
      </c>
      <c r="Q156" s="41">
        <f>IF(MAX(INT(P158),INT(P159),INT(P160),INT(P161),INT(P162))&lt;10,0&amp;MAX(INT(P158),INT(P159),INT(P160),INT(P161),INT(P162)),MAX(INT(P158),INT(P159),INT(P160),INT(P161),INT(P162)))</f>
        <v>10</v>
      </c>
      <c r="R156" s="41" t="str">
        <f>IF(MAX(INT(R158),INT(R159),INT(R160),INT(R161))&lt;10,0&amp;MAX(INT(R158),INT(R159),INT(R160),INT(R161)),MAX(INT(R158),INT(R159),INT(R160),INT(R161)))</f>
        <v>09</v>
      </c>
      <c r="S156" s="41"/>
      <c r="T156" s="63"/>
      <c r="U156" s="63"/>
      <c r="V156" s="63"/>
    </row>
    <row r="157" spans="1:22" ht="20.100000000000001" customHeight="1" x14ac:dyDescent="0.15">
      <c r="A157" s="64" t="s">
        <v>23</v>
      </c>
      <c r="B157" s="64" t="s">
        <v>25</v>
      </c>
      <c r="C157" s="61" t="s">
        <v>28</v>
      </c>
      <c r="D157" s="38" t="s">
        <v>260</v>
      </c>
      <c r="E157" s="82"/>
      <c r="F157" s="84"/>
      <c r="G157" s="61">
        <f>IF(AND(ISNUMBER(FIND(P160,D157,1)),LEN($P155)&lt;&gt;0),1,0)</f>
        <v>1</v>
      </c>
      <c r="H157" s="85"/>
      <c r="I157" s="85"/>
      <c r="J157" s="92"/>
      <c r="K157" s="88"/>
      <c r="L157" s="53">
        <f>I159</f>
        <v>86047.920000000013</v>
      </c>
      <c r="M157" s="78" t="str">
        <f>辅助!F157</f>
        <v>01,04,06,07,08</v>
      </c>
      <c r="N157" s="34">
        <v>28682.640000000003</v>
      </c>
      <c r="O157" s="76"/>
      <c r="P157" s="63" t="str">
        <f>SUBSTITUTE(LEFT(P156,5),","," ")</f>
        <v>01 10</v>
      </c>
      <c r="Q157" s="63"/>
      <c r="R157" s="63"/>
      <c r="S157" s="63"/>
      <c r="T157" s="63"/>
      <c r="U157" s="63"/>
      <c r="V157" s="63"/>
    </row>
    <row r="158" spans="1:22" ht="20.100000000000001" customHeight="1" x14ac:dyDescent="0.15">
      <c r="A158" s="64" t="s">
        <v>23</v>
      </c>
      <c r="B158" s="61" t="s">
        <v>32</v>
      </c>
      <c r="C158" s="63"/>
      <c r="D158" s="38" t="s">
        <v>220</v>
      </c>
      <c r="E158" s="38">
        <f>LEN(SUBSTITUTE(SUBSTITUTE(D158,",",)," ",))/6</f>
        <v>4</v>
      </c>
      <c r="F158" s="65">
        <v>5</v>
      </c>
      <c r="G158" s="61">
        <f>IF(AND(ISNUMBER(FIND(SUBSTITUTE(LEFT(P155,8),","," "),D158,1)),LEN($P155)&lt;&gt;0),1,0)</f>
        <v>0</v>
      </c>
      <c r="H158" s="63">
        <f>G158</f>
        <v>0</v>
      </c>
      <c r="I158" s="63">
        <f>H158*K158*F158</f>
        <v>0</v>
      </c>
      <c r="J158" s="62" t="str">
        <f>TRIM(IF(LEN(D158)=0,"-",SUBSTITUTE(D158," "," ")))</f>
        <v>01 02 03,04 05 06,07 08 09,02 05 07</v>
      </c>
      <c r="K158" s="34">
        <f>N156</f>
        <v>29613.550000000003</v>
      </c>
      <c r="L158" s="53">
        <f>I160</f>
        <v>0</v>
      </c>
      <c r="M158" s="78" t="str">
        <f>辅助!F158</f>
        <v>01,04,06,07,09</v>
      </c>
      <c r="N158" s="34">
        <v>28780.190000000002</v>
      </c>
      <c r="O158" s="76"/>
      <c r="P158" s="63" t="str">
        <f>LEFT(P155,2)</f>
        <v>01</v>
      </c>
      <c r="Q158" s="63">
        <f>MOD(P158,2)</f>
        <v>1</v>
      </c>
      <c r="R158" s="63" t="str">
        <f>LEFT(Q155,2)</f>
        <v>01</v>
      </c>
      <c r="S158" s="63" t="str">
        <f>LEFT(R155,2)</f>
        <v>01</v>
      </c>
      <c r="T158" s="63"/>
      <c r="U158" s="63"/>
      <c r="V158" s="63"/>
    </row>
    <row r="159" spans="1:22" ht="20.100000000000001" customHeight="1" x14ac:dyDescent="0.15">
      <c r="A159" s="64" t="s">
        <v>23</v>
      </c>
      <c r="B159" s="61" t="s">
        <v>35</v>
      </c>
      <c r="C159" s="61" t="s">
        <v>39</v>
      </c>
      <c r="D159" s="38" t="s">
        <v>257</v>
      </c>
      <c r="E159" s="38">
        <f>COMBIN(LEN(SUBSTITUTE(D159,",",))/2,3)</f>
        <v>165</v>
      </c>
      <c r="F159" s="65">
        <v>3</v>
      </c>
      <c r="G159" s="61"/>
      <c r="H159" s="63">
        <v>1</v>
      </c>
      <c r="I159" s="63">
        <f>IF(AND(P158&lt;&gt;P159,P158&lt;&gt;P160,P159&lt;&gt;P160),IF(SUM(N(ISNUMBER(FIND(P158,J159,1))),N(ISNUMBER(FIND(P159,J159,1))),N(ISNUMBER(FIND(P160,J159,1))))=3,F159*K159,0),0)</f>
        <v>86047.920000000013</v>
      </c>
      <c r="J159" s="62" t="str">
        <f>TRIM(IF(LEN('5Of11Source'!D159)=0,"-",SUBSTITUTE('5Of11Source'!D159,","," ")))</f>
        <v>01 02 03 04 05 06 07 08 09 10 11</v>
      </c>
      <c r="K159" s="34">
        <f t="shared" ref="K159:K160" si="16">N157</f>
        <v>28682.640000000003</v>
      </c>
      <c r="L159" s="53">
        <f>I161</f>
        <v>0</v>
      </c>
      <c r="M159" s="78" t="str">
        <f>辅助!F159</f>
        <v>01,04,06,07,10</v>
      </c>
      <c r="N159" s="34">
        <v>28681.640000000003</v>
      </c>
      <c r="O159" s="76"/>
      <c r="P159" s="63" t="str">
        <f>MID(P155,4,2)</f>
        <v>10</v>
      </c>
      <c r="Q159" s="63">
        <f t="shared" ref="Q159:Q162" si="17">MOD(P159,2)</f>
        <v>0</v>
      </c>
      <c r="R159" s="63" t="str">
        <f>MID(Q155,3,2)</f>
        <v>08</v>
      </c>
      <c r="S159" s="63" t="str">
        <f>MID(R155,3,2)</f>
        <v>08</v>
      </c>
      <c r="T159" s="63"/>
      <c r="U159" s="63"/>
      <c r="V159" s="63"/>
    </row>
    <row r="160" spans="1:22" ht="20.100000000000001" customHeight="1" x14ac:dyDescent="0.15">
      <c r="A160" s="64" t="s">
        <v>23</v>
      </c>
      <c r="B160" s="61" t="s">
        <v>36</v>
      </c>
      <c r="C160" s="63"/>
      <c r="D160" s="38" t="s">
        <v>222</v>
      </c>
      <c r="E160" s="38">
        <f>LEN(SUBSTITUTE(SUBSTITUTE(D160,",",)," ",))/6</f>
        <v>4</v>
      </c>
      <c r="F160" s="65">
        <v>4</v>
      </c>
      <c r="G160" s="61"/>
      <c r="H160" s="63"/>
      <c r="I160" s="63">
        <f>IF(OR(ISNUMBER(FIND(P158&amp;" "&amp;P159&amp;" "&amp;P160,D160,1)),ISNUMBER(FIND(P158&amp;" "&amp;P160&amp;" "&amp;P159,D160,1)),ISNUMBER(FIND(P159&amp;" "&amp;P158&amp;" "&amp;P160,D160,1)),ISNUMBER(FIND(P159&amp;" "&amp;P160&amp;" "&amp;P158,D160,1)),ISNUMBER(FIND(P160&amp;" "&amp;P158&amp;" "&amp;P159,D160,1)),ISNUMBER(FIND(P160&amp;" "&amp;P159&amp;" "&amp;P158,D160,1))),F160*K160,0)</f>
        <v>0</v>
      </c>
      <c r="J160" s="62" t="str">
        <f>TRIM(IF(LEN('5Of11Source'!D160)=0,"-",SUBSTITUTE('5Of11Source'!D160,","," ")))</f>
        <v>01 02 03 06 07 08 09 10 11 05 02 07</v>
      </c>
      <c r="K160" s="34">
        <f t="shared" si="16"/>
        <v>28780.190000000002</v>
      </c>
      <c r="L160" s="53">
        <f>I163</f>
        <v>143370.20000000001</v>
      </c>
      <c r="M160" s="78" t="str">
        <f>辅助!F160</f>
        <v>01,04,06,07,11</v>
      </c>
      <c r="N160" s="34">
        <v>28674.04</v>
      </c>
      <c r="O160" s="76"/>
      <c r="P160" s="63" t="str">
        <f>MID(P155,7,2)</f>
        <v>08</v>
      </c>
      <c r="Q160" s="63">
        <f t="shared" si="17"/>
        <v>0</v>
      </c>
      <c r="R160" s="63" t="str">
        <f>MID(Q155,5,2)</f>
        <v>09</v>
      </c>
      <c r="S160" s="63" t="str">
        <f>MID(R155,5,2)</f>
        <v>03</v>
      </c>
      <c r="T160" s="63"/>
      <c r="U160" s="63"/>
      <c r="V160" s="63"/>
    </row>
    <row r="161" spans="1:22" ht="20.100000000000001" customHeight="1" x14ac:dyDescent="0.15">
      <c r="A161" s="64" t="s">
        <v>23</v>
      </c>
      <c r="B161" s="64" t="s">
        <v>38</v>
      </c>
      <c r="C161" s="61" t="s">
        <v>30</v>
      </c>
      <c r="D161" s="38" t="s">
        <v>258</v>
      </c>
      <c r="E161" s="82">
        <f>COMBIN(LEN(SUBSTITUTE(D162,",",))/2,3-LEN(SUBSTITUTE(D161,",",))/2)</f>
        <v>45</v>
      </c>
      <c r="F161" s="84">
        <v>2</v>
      </c>
      <c r="G161" s="63" t="str">
        <f>IF(AND(ISNUMBER(FIND(SUBSTITUTE(MID(D161,2,2),",",),P156,1)),ISNUMBER(FIND(SUBSTITUTE(MID(D161,5,2),",",),P156,1))),SUBSTITUTE(P156,MID(D161,2,2),),"此订单未中奖！")</f>
        <v>此订单未中奖！</v>
      </c>
      <c r="H161" s="63" t="str">
        <f>IF(AND(ISNUMBER(FIND(SUBSTITUTE(MID(D161,2,2),",",),P156,1)),ISNUMBER(FIND(SUBSTITUTE(MID(D161,5,2),",",),P156,1))),SUBSTITUTE(G161,MID(D161,5,2),),"此订单未中奖！")</f>
        <v>此订单未中奖！</v>
      </c>
      <c r="I161" s="93">
        <f>IF(G162&gt;0,G162*K161*F161,0)</f>
        <v>0</v>
      </c>
      <c r="J161" s="92" t="str">
        <f>TRIM(IF(LEN(D161)=0,"-",SUBSTITUTE(D161,","," ")))&amp;","&amp;TRIM(IF(LEN(D162)=0,"-",SUBSTITUTE(D162,","," ")))</f>
        <v>07,01 02 03 04 05 06 08 09 10 11</v>
      </c>
      <c r="K161" s="87">
        <f>N159</f>
        <v>28681.640000000003</v>
      </c>
      <c r="L161" s="53">
        <f>I165</f>
        <v>0</v>
      </c>
      <c r="M161" s="78" t="str">
        <f>辅助!F161</f>
        <v>01,04,06,08,09</v>
      </c>
      <c r="N161" s="34">
        <v>27834.390000000003</v>
      </c>
      <c r="O161" s="76"/>
      <c r="P161" s="63" t="str">
        <f>MID(P155,10,2)</f>
        <v>09</v>
      </c>
      <c r="Q161" s="63">
        <f t="shared" si="17"/>
        <v>1</v>
      </c>
      <c r="R161" s="63" t="str">
        <f>MID(Q155,7,2)</f>
        <v>03</v>
      </c>
      <c r="S161" s="63"/>
      <c r="T161" s="63"/>
      <c r="U161" s="63"/>
      <c r="V161" s="63"/>
    </row>
    <row r="162" spans="1:22" ht="20.100000000000001" customHeight="1" x14ac:dyDescent="0.15">
      <c r="A162" s="64" t="s">
        <v>23</v>
      </c>
      <c r="B162" s="64" t="s">
        <v>38</v>
      </c>
      <c r="C162" s="61" t="s">
        <v>31</v>
      </c>
      <c r="D162" s="38" t="s">
        <v>259</v>
      </c>
      <c r="E162" s="82"/>
      <c r="F162" s="84"/>
      <c r="G162" s="61">
        <f>N(ISNUMBER(FIND(TRIM(H161),D162,1)))</f>
        <v>0</v>
      </c>
      <c r="H162" s="66"/>
      <c r="I162" s="93"/>
      <c r="J162" s="92"/>
      <c r="K162" s="88"/>
      <c r="L162" s="53">
        <f>I166</f>
        <v>27846.940000000002</v>
      </c>
      <c r="M162" s="78" t="str">
        <f>辅助!F162</f>
        <v>01,04,06,08,10</v>
      </c>
      <c r="N162" s="34">
        <v>27846.940000000002</v>
      </c>
      <c r="O162" s="76"/>
      <c r="P162" s="63" t="str">
        <f>RIGHT(P155,2)</f>
        <v>03</v>
      </c>
      <c r="Q162" s="63">
        <f t="shared" si="17"/>
        <v>1</v>
      </c>
      <c r="R162" s="63"/>
      <c r="S162" s="63"/>
      <c r="T162" s="63"/>
      <c r="U162" s="63"/>
      <c r="V162" s="63"/>
    </row>
    <row r="163" spans="1:22" ht="20.100000000000001" customHeight="1" x14ac:dyDescent="0.15">
      <c r="A163" s="64" t="s">
        <v>41</v>
      </c>
      <c r="B163" s="64" t="s">
        <v>43</v>
      </c>
      <c r="C163" s="61" t="s">
        <v>26</v>
      </c>
      <c r="D163" s="38" t="s">
        <v>261</v>
      </c>
      <c r="E163" s="82">
        <f>(LEN(SUBSTITUTE(D163,",",))/2)*(LEN(SUBSTITUTE(D164,",",))/2)</f>
        <v>121</v>
      </c>
      <c r="F163" s="84">
        <v>5</v>
      </c>
      <c r="G163" s="61">
        <f>IF(AND(ISNUMBER(FIND(P158,D163,1)),LEN($P155)&lt;&gt;0),1,0)</f>
        <v>1</v>
      </c>
      <c r="H163" s="85">
        <f>IF(SUM(G163:G164)=2,1,0)</f>
        <v>1</v>
      </c>
      <c r="I163" s="85">
        <f>H163*F163*K163</f>
        <v>143370.20000000001</v>
      </c>
      <c r="J163" s="92" t="str">
        <f>TRIM(IF(LEN(D163)=0,"-",SUBSTITUTE(D163,","," ")))&amp;","&amp;TRIM(IF(LEN(D164)=0,"-",SUBSTITUTE(D164,","," ")))</f>
        <v>01 02 03 04 05 06 07 08 09 10 11,01 02 03 04 05 06 07 08 09 10 11</v>
      </c>
      <c r="K163" s="87">
        <f>N160</f>
        <v>28674.04</v>
      </c>
      <c r="L163" s="53">
        <f>I167</f>
        <v>0</v>
      </c>
      <c r="M163" s="78" t="str">
        <f>辅助!F163</f>
        <v>01,04,06,08,11</v>
      </c>
      <c r="N163" s="34">
        <v>27728.240000000002</v>
      </c>
      <c r="O163" s="76"/>
      <c r="P163" s="63" t="str">
        <f>SUM(Q158:Q162)&amp;"单"&amp;5-SUM(Q158:Q162)&amp;"双"</f>
        <v>3单2双</v>
      </c>
      <c r="Q163" s="63"/>
      <c r="R163" s="63"/>
      <c r="S163" s="63"/>
      <c r="T163" s="63"/>
      <c r="U163" s="63"/>
      <c r="V163" s="63"/>
    </row>
    <row r="164" spans="1:22" ht="20.100000000000001" customHeight="1" x14ac:dyDescent="0.15">
      <c r="A164" s="64" t="s">
        <v>41</v>
      </c>
      <c r="B164" s="64" t="s">
        <v>43</v>
      </c>
      <c r="C164" s="61" t="s">
        <v>27</v>
      </c>
      <c r="D164" s="38" t="s">
        <v>255</v>
      </c>
      <c r="E164" s="82"/>
      <c r="F164" s="84"/>
      <c r="G164" s="61">
        <f>IF(AND(ISNUMBER(FIND(P159,D164,1)),LEN($P155)&lt;&gt;0),1,0)</f>
        <v>1</v>
      </c>
      <c r="H164" s="85"/>
      <c r="I164" s="85"/>
      <c r="J164" s="92"/>
      <c r="K164" s="88"/>
      <c r="L164" s="53">
        <f>I168</f>
        <v>83503.170000000013</v>
      </c>
      <c r="M164" s="78" t="str">
        <f>辅助!F164</f>
        <v>01,04,06,09,10</v>
      </c>
      <c r="N164" s="34">
        <v>27834.390000000003</v>
      </c>
      <c r="O164" s="76"/>
      <c r="P164" s="63"/>
      <c r="Q164" s="63"/>
      <c r="R164" s="63"/>
      <c r="S164" s="63"/>
      <c r="T164" s="63"/>
      <c r="U164" s="63"/>
      <c r="V164" s="63"/>
    </row>
    <row r="165" spans="1:22" ht="20.100000000000001" customHeight="1" x14ac:dyDescent="0.15">
      <c r="A165" s="64" t="s">
        <v>41</v>
      </c>
      <c r="B165" s="61" t="s">
        <v>45</v>
      </c>
      <c r="C165" s="63"/>
      <c r="D165" s="38" t="s">
        <v>262</v>
      </c>
      <c r="E165" s="38">
        <f>LEN(SUBSTITUTE(SUBSTITUTE(D165,",",)," ",))/4</f>
        <v>5</v>
      </c>
      <c r="F165" s="65">
        <v>3</v>
      </c>
      <c r="G165" s="61">
        <f>IF(AND(ISNUMBER(FIND(SUBSTITUTE(LEFT(P155,5),","," "),D165,1)),LEN($P155)&lt;&gt;0),1,0)</f>
        <v>0</v>
      </c>
      <c r="H165" s="63">
        <f>G165</f>
        <v>0</v>
      </c>
      <c r="I165" s="63">
        <f>H165*F165*K165</f>
        <v>0</v>
      </c>
      <c r="J165" s="62" t="str">
        <f>TRIM(D165)</f>
        <v>01 02,02 05,05 02,07 08,09 10</v>
      </c>
      <c r="K165" s="34">
        <f>N161</f>
        <v>27834.390000000003</v>
      </c>
      <c r="L165" s="53">
        <f>I170</f>
        <v>417401.85000000003</v>
      </c>
      <c r="M165" s="78" t="str">
        <f>辅助!F165</f>
        <v>01,04,06,09,11</v>
      </c>
      <c r="N165" s="34">
        <v>27826.79</v>
      </c>
      <c r="O165" s="76"/>
      <c r="P165" s="63"/>
      <c r="Q165" s="63"/>
      <c r="R165" s="63"/>
      <c r="S165" s="63"/>
      <c r="T165" s="63"/>
      <c r="U165" s="63"/>
      <c r="V165" s="63"/>
    </row>
    <row r="166" spans="1:22" ht="20.100000000000001" customHeight="1" x14ac:dyDescent="0.15">
      <c r="A166" s="64" t="s">
        <v>41</v>
      </c>
      <c r="B166" s="61" t="s">
        <v>47</v>
      </c>
      <c r="C166" s="61" t="s">
        <v>53</v>
      </c>
      <c r="D166" s="38" t="s">
        <v>109</v>
      </c>
      <c r="E166" s="38">
        <f>COMBIN(LEN(SUBSTITUTE(D166,",",))/2,2)</f>
        <v>55</v>
      </c>
      <c r="F166" s="65">
        <v>1</v>
      </c>
      <c r="G166" s="61"/>
      <c r="H166" s="63"/>
      <c r="I166" s="63">
        <f>IF(OR(ISNUMBER(FIND(P158,D166,1)),ISNUMBER(FIND(P159,D166,1))),F166*K166,0)</f>
        <v>27846.940000000002</v>
      </c>
      <c r="J166" s="62" t="str">
        <f>TRIM(IF(LEN('5Of11Source'!D166)=0,"-",SUBSTITUTE('5Of11Source'!D166,","," ")))</f>
        <v>01 02 03 04 05 06 07 08 09 10 11</v>
      </c>
      <c r="K166" s="34">
        <f>N162</f>
        <v>27846.940000000002</v>
      </c>
      <c r="L166" s="53">
        <f>I171</f>
        <v>166262.70000000001</v>
      </c>
      <c r="M166" s="78" t="str">
        <f>辅助!F166</f>
        <v>01,04,06,10,11</v>
      </c>
      <c r="N166" s="34">
        <v>27710.45</v>
      </c>
      <c r="O166" s="76"/>
      <c r="P166" s="61" t="s">
        <v>136</v>
      </c>
      <c r="Q166" s="63"/>
      <c r="R166" s="62"/>
      <c r="S166" s="63"/>
      <c r="T166" s="63"/>
      <c r="U166" s="63"/>
      <c r="V166" s="63"/>
    </row>
    <row r="167" spans="1:22" ht="20.100000000000001" customHeight="1" x14ac:dyDescent="0.15">
      <c r="A167" s="64" t="s">
        <v>41</v>
      </c>
      <c r="B167" s="61" t="s">
        <v>51</v>
      </c>
      <c r="C167" s="63"/>
      <c r="D167" s="38" t="s">
        <v>225</v>
      </c>
      <c r="E167" s="38">
        <f>LEN(SUBSTITUTE(SUBSTITUTE(D167,",",)," ",))/4-1</f>
        <v>5</v>
      </c>
      <c r="F167" s="65">
        <v>2</v>
      </c>
      <c r="G167" s="61"/>
      <c r="H167" s="63"/>
      <c r="I167" s="63">
        <f>IF(OR(ISNUMBER(FIND(P158&amp;" "&amp;P159,D167,1)),ISNUMBER(FIND(P159&amp;" "&amp;P158,D167,1))),K167*F167,0)</f>
        <v>0</v>
      </c>
      <c r="J167" s="62" t="str">
        <f>TRIM(D167)</f>
        <v>01 02,02 01,05 02,07 08,09 10,11 07</v>
      </c>
      <c r="K167" s="34">
        <f>N163</f>
        <v>27728.240000000002</v>
      </c>
      <c r="L167" s="53">
        <f>I174</f>
        <v>22.05</v>
      </c>
      <c r="M167" s="78" t="str">
        <f>辅助!F167</f>
        <v>01,04,07,08,09</v>
      </c>
      <c r="N167" s="34">
        <v>26234.580000000005</v>
      </c>
      <c r="O167" s="76"/>
      <c r="P167" s="61" t="s">
        <v>137</v>
      </c>
      <c r="Q167" s="61" t="s">
        <v>145</v>
      </c>
      <c r="R167" s="65" t="s">
        <v>146</v>
      </c>
      <c r="S167" s="61" t="s">
        <v>147</v>
      </c>
      <c r="T167" s="63"/>
      <c r="U167" s="63"/>
      <c r="V167" s="63"/>
    </row>
    <row r="168" spans="1:22" ht="20.100000000000001" customHeight="1" x14ac:dyDescent="0.15">
      <c r="A168" s="64" t="s">
        <v>41</v>
      </c>
      <c r="B168" s="64" t="s">
        <v>49</v>
      </c>
      <c r="C168" s="61" t="s">
        <v>30</v>
      </c>
      <c r="D168" s="38" t="str">
        <f>0&amp;1</f>
        <v>01</v>
      </c>
      <c r="E168" s="82">
        <f>LEN(SUBSTITUTE(D169,",",))/2</f>
        <v>10</v>
      </c>
      <c r="F168" s="84">
        <v>3</v>
      </c>
      <c r="G168" s="63" t="str">
        <f>IF(ISNUMBER(FIND(SUBSTITUTE(MID(D168,2,2),",",),P157,1)),SUBSTITUTE(P157,D168,),"此订单未中奖！")</f>
        <v xml:space="preserve"> 10</v>
      </c>
      <c r="H168" s="63" t="str">
        <f>IF(ISNUMBER(FIND(SUBSTITUTE(MID(D168,5,2),",",),P157,1)),SUBSTITUTE(G168,D168,),"此订单未中奖！")</f>
        <v xml:space="preserve"> 10</v>
      </c>
      <c r="I168" s="93">
        <f>IF(G169&gt;0,G169*K168*F168,0)</f>
        <v>83503.170000000013</v>
      </c>
      <c r="J168" s="92" t="str">
        <f>TRIM(IF(LEN(D168)=0,"-",SUBSTITUTE(D168,","," ")))&amp;","&amp;TRIM(IF(LEN(D169)=0,"-",SUBSTITUTE(D169,","," ")))</f>
        <v>01,02 03 04 05 06 07 08 09 10 11</v>
      </c>
      <c r="K168" s="87">
        <f>N164</f>
        <v>27834.390000000003</v>
      </c>
      <c r="L168" s="53">
        <f t="shared" ref="L168:L177" si="18">I175</f>
        <v>28.22</v>
      </c>
      <c r="M168" s="78" t="str">
        <f>辅助!F168</f>
        <v>01,04,07,08,10</v>
      </c>
      <c r="N168" s="34">
        <v>26136.030000000002</v>
      </c>
      <c r="O168" s="76"/>
      <c r="P168" s="61" t="s">
        <v>138</v>
      </c>
      <c r="Q168" s="63">
        <f>TRUNC(0.154,3)</f>
        <v>0.154</v>
      </c>
      <c r="R168" s="62">
        <f>TRUNC(S168-(9.9-agent!$L$3)*Q168*10,3)</f>
        <v>148.61000000000001</v>
      </c>
      <c r="S168" s="63">
        <f>TRUNC(138.6+Q168*99,3)</f>
        <v>153.846</v>
      </c>
      <c r="T168" s="41">
        <f>IF(ISNUMBER(FIND(P163,P168,1)),R168,0)</f>
        <v>0</v>
      </c>
      <c r="U168" s="63">
        <f>IF(T168=0,0,Q168)</f>
        <v>0</v>
      </c>
      <c r="V168" s="63"/>
    </row>
    <row r="169" spans="1:22" ht="20.100000000000001" customHeight="1" x14ac:dyDescent="0.15">
      <c r="A169" s="64" t="s">
        <v>41</v>
      </c>
      <c r="B169" s="64" t="s">
        <v>49</v>
      </c>
      <c r="C169" s="61" t="s">
        <v>55</v>
      </c>
      <c r="D169" s="38" t="s">
        <v>263</v>
      </c>
      <c r="E169" s="82"/>
      <c r="F169" s="84"/>
      <c r="G169" s="61">
        <f>N(ISNUMBER(FIND(TRIM(H168),D169,1)))</f>
        <v>1</v>
      </c>
      <c r="H169" s="63"/>
      <c r="I169" s="93"/>
      <c r="J169" s="92"/>
      <c r="K169" s="88"/>
      <c r="L169" s="53">
        <f t="shared" si="18"/>
        <v>130642.15000000002</v>
      </c>
      <c r="M169" s="78" t="str">
        <f>辅助!F169</f>
        <v>01,04,07,08,11</v>
      </c>
      <c r="N169" s="34">
        <v>26128.430000000004</v>
      </c>
      <c r="O169" s="76"/>
      <c r="P169" s="61" t="s">
        <v>139</v>
      </c>
      <c r="Q169" s="63">
        <f>TRUNC(0.01242857,3)</f>
        <v>1.2E-2</v>
      </c>
      <c r="R169" s="62">
        <f>TRUNC(S169-(9.9-agent!$L$3)*Q169*10,3)</f>
        <v>11.86</v>
      </c>
      <c r="S169" s="63">
        <f>TRUNC(11.08+Q169*99,3)</f>
        <v>12.268000000000001</v>
      </c>
      <c r="T169" s="41">
        <f>IF(ISNUMBER(FIND(P163,P169,1)),R169,0)</f>
        <v>0</v>
      </c>
      <c r="U169" s="63">
        <f t="shared" ref="U169:U173" si="19">IF(T169=0,0,Q169)</f>
        <v>0</v>
      </c>
      <c r="V169" s="63"/>
    </row>
    <row r="170" spans="1:22" ht="20.100000000000001" customHeight="1" x14ac:dyDescent="0.15">
      <c r="A170" s="61" t="s">
        <v>56</v>
      </c>
      <c r="B170" s="61" t="s">
        <v>58</v>
      </c>
      <c r="C170" s="61" t="s">
        <v>56</v>
      </c>
      <c r="D170" s="38" t="s">
        <v>105</v>
      </c>
      <c r="E170" s="38">
        <f>LEN(SUBSTITUTE(D170,",",))/2</f>
        <v>11</v>
      </c>
      <c r="F170" s="65">
        <v>5</v>
      </c>
      <c r="G170" s="61"/>
      <c r="H170" s="63"/>
      <c r="I170" s="63">
        <f>(N(ISNUMBER(FIND(P158,D170,1)))+N(ISNUMBER(FIND(P159,D170,1)))+N(ISNUMBER(FIND(P160,D170,1))))*F170*K170</f>
        <v>417401.85000000003</v>
      </c>
      <c r="J170" s="62" t="str">
        <f>TRIM(IF(LEN('5Of11Source'!D170)=0,"-",SUBSTITUTE('5Of11Source'!D170,","," ")))</f>
        <v>01 02 03 04 05 06 07 08 09 10 11</v>
      </c>
      <c r="K170" s="34">
        <f>N165</f>
        <v>27826.79</v>
      </c>
      <c r="L170" s="53">
        <f t="shared" si="18"/>
        <v>524691.60000000009</v>
      </c>
      <c r="M170" s="78" t="str">
        <f>辅助!F170</f>
        <v>01,04,07,09,10</v>
      </c>
      <c r="N170" s="34">
        <v>26234.580000000005</v>
      </c>
      <c r="O170" s="76"/>
      <c r="P170" s="61" t="s">
        <v>140</v>
      </c>
      <c r="Q170" s="63">
        <f>TRUNC(0.0047,3)</f>
        <v>4.0000000000000001E-3</v>
      </c>
      <c r="R170" s="62">
        <f>TRUNC(S170-(9.9-agent!$L$3)*Q170*10,3)</f>
        <v>4.41</v>
      </c>
      <c r="S170" s="63">
        <f>TRUNC(4.15+Q170*99,3)</f>
        <v>4.5460000000000003</v>
      </c>
      <c r="T170" s="41">
        <f>IF(ISNUMBER(FIND(P163,P170,1)),R170,0)</f>
        <v>4.41</v>
      </c>
      <c r="U170" s="63">
        <f t="shared" si="19"/>
        <v>4.0000000000000001E-3</v>
      </c>
      <c r="V170" s="63"/>
    </row>
    <row r="171" spans="1:22" ht="20.100000000000001" customHeight="1" x14ac:dyDescent="0.15">
      <c r="A171" s="64" t="s">
        <v>60</v>
      </c>
      <c r="B171" s="64" t="s">
        <v>61</v>
      </c>
      <c r="C171" s="61" t="s">
        <v>26</v>
      </c>
      <c r="D171" s="38" t="s">
        <v>253</v>
      </c>
      <c r="E171" s="79">
        <f>LEN(SUBSTITUTE(D171,",",))/2+LEN(SUBSTITUTE(D172,",",))/2+LEN(SUBSTITUTE(D173,",",))/2</f>
        <v>33</v>
      </c>
      <c r="F171" s="84">
        <v>2</v>
      </c>
      <c r="G171" s="63"/>
      <c r="H171" s="63"/>
      <c r="I171" s="85">
        <f>(N(ISNUMBER(FIND(P158,D171,1)))+N(ISNUMBER(FIND(P159,D172,1)))+N(ISNUMBER(FIND(P160,D173,1))))*F171*K171</f>
        <v>166262.70000000001</v>
      </c>
      <c r="J171" s="92" t="str">
        <f>TRIM(IF(LEN(D171)=0,"-",SUBSTITUTE(D171,","," ")))&amp;","&amp;TRIM(IF(LEN(D172)=0,"-",SUBSTITUTE(D172,","," ")))&amp;","&amp;TRIM(IF(LEN(D173)=0,"-",SUBSTITUTE(D173,","," ")))</f>
        <v>01 02 03 04 05 06 07 08 09 10 11,01 02 03 04 05 06 07 08 09 10 11,01 02 03 04 05 06 07 08 09 10 11</v>
      </c>
      <c r="K171" s="87">
        <f>N166</f>
        <v>27710.45</v>
      </c>
      <c r="L171" s="53">
        <f t="shared" si="18"/>
        <v>788154.90000000014</v>
      </c>
      <c r="M171" s="78" t="str">
        <f>辅助!F171</f>
        <v>01,04,07,09,11</v>
      </c>
      <c r="N171" s="34">
        <v>26271.830000000005</v>
      </c>
      <c r="O171" s="76"/>
      <c r="P171" s="61" t="s">
        <v>141</v>
      </c>
      <c r="Q171" s="63">
        <f>TRUNC(0.006142857,3)</f>
        <v>6.0000000000000001E-3</v>
      </c>
      <c r="R171" s="62">
        <f>TRUNC(S171-(9.9-agent!$L$3)*Q171*10,3)</f>
        <v>5.93</v>
      </c>
      <c r="S171" s="63">
        <f>TRUNC(5.54+Q171*99,3)</f>
        <v>6.1340000000000003</v>
      </c>
      <c r="T171" s="41">
        <f>IF(ISNUMBER(FIND(P163,P171,1)),R171,0)</f>
        <v>0</v>
      </c>
      <c r="U171" s="63">
        <f t="shared" si="19"/>
        <v>0</v>
      </c>
      <c r="V171" s="63"/>
    </row>
    <row r="172" spans="1:22" ht="20.100000000000001" customHeight="1" x14ac:dyDescent="0.15">
      <c r="A172" s="64" t="s">
        <v>60</v>
      </c>
      <c r="B172" s="64" t="s">
        <v>61</v>
      </c>
      <c r="C172" s="61" t="s">
        <v>27</v>
      </c>
      <c r="D172" s="38" t="s">
        <v>105</v>
      </c>
      <c r="E172" s="80"/>
      <c r="F172" s="84"/>
      <c r="G172" s="63"/>
      <c r="H172" s="63"/>
      <c r="I172" s="85"/>
      <c r="J172" s="92"/>
      <c r="K172" s="89"/>
      <c r="L172" s="53">
        <f t="shared" si="18"/>
        <v>652716.25000000012</v>
      </c>
      <c r="M172" s="78" t="str">
        <f>辅助!F172</f>
        <v>01,04,07,10,11</v>
      </c>
      <c r="N172" s="34">
        <v>26108.650000000005</v>
      </c>
      <c r="O172" s="76"/>
      <c r="P172" s="61" t="s">
        <v>142</v>
      </c>
      <c r="Q172" s="63">
        <f>TRUNC(0.0307,3)</f>
        <v>0.03</v>
      </c>
      <c r="R172" s="62">
        <f>TRUNC(S172-(9.9-agent!$L$3)*Q172*10,3)</f>
        <v>29.67</v>
      </c>
      <c r="S172" s="63">
        <f>TRUNC(27.72+Q172*99,3)</f>
        <v>30.69</v>
      </c>
      <c r="T172" s="41">
        <f>IF(ISNUMBER(FIND(P163,P172,1)),R172,0)</f>
        <v>0</v>
      </c>
      <c r="U172" s="63">
        <f t="shared" si="19"/>
        <v>0</v>
      </c>
      <c r="V172" s="63"/>
    </row>
    <row r="173" spans="1:22" ht="20.100000000000001" customHeight="1" x14ac:dyDescent="0.15">
      <c r="A173" s="64" t="s">
        <v>60</v>
      </c>
      <c r="B173" s="64" t="s">
        <v>61</v>
      </c>
      <c r="C173" s="61" t="s">
        <v>28</v>
      </c>
      <c r="D173" s="38" t="s">
        <v>105</v>
      </c>
      <c r="E173" s="81"/>
      <c r="F173" s="84"/>
      <c r="G173" s="63"/>
      <c r="H173" s="63"/>
      <c r="I173" s="85"/>
      <c r="J173" s="92"/>
      <c r="K173" s="88"/>
      <c r="L173" s="53">
        <f t="shared" si="18"/>
        <v>101188.88000000002</v>
      </c>
      <c r="M173" s="78" t="str">
        <f>辅助!F173</f>
        <v>01,04,08,09,10</v>
      </c>
      <c r="N173" s="34">
        <v>25297.220000000005</v>
      </c>
      <c r="O173" s="76"/>
      <c r="P173" s="61" t="s">
        <v>143</v>
      </c>
      <c r="Q173" s="63">
        <f>TRUNC(0.924,3)</f>
        <v>0.92400000000000004</v>
      </c>
      <c r="R173" s="62">
        <f>TRUNC(S173-(9.9-agent!$L$3)*Q173*10,3)</f>
        <v>891.66</v>
      </c>
      <c r="S173" s="63">
        <f>TRUNC(831.6+Q173*99,3)</f>
        <v>923.07600000000002</v>
      </c>
      <c r="T173" s="41">
        <f>IF(ISNUMBER(FIND(P163,P173,1)),R173,0)</f>
        <v>0</v>
      </c>
      <c r="U173" s="63">
        <f t="shared" si="19"/>
        <v>0</v>
      </c>
      <c r="V173" s="63"/>
    </row>
    <row r="174" spans="1:22" ht="20.100000000000001" customHeight="1" x14ac:dyDescent="0.15">
      <c r="A174" s="64" t="s">
        <v>63</v>
      </c>
      <c r="B174" s="61" t="s">
        <v>65</v>
      </c>
      <c r="C174" s="61" t="s">
        <v>66</v>
      </c>
      <c r="D174" s="38" t="s">
        <v>110</v>
      </c>
      <c r="E174" s="38">
        <v>6</v>
      </c>
      <c r="F174" s="65">
        <v>5</v>
      </c>
      <c r="G174" s="61"/>
      <c r="H174" s="63"/>
      <c r="I174" s="63">
        <f>N(ISNUMBER(FIND(P163,D174,1)))*F174*K174</f>
        <v>22.05</v>
      </c>
      <c r="J174" s="62" t="str">
        <f>TRIM(IF(LEN('5Of11Source'!D174)=0,"-",SUBSTITUTE('5Of11Source'!D174,","," ")))</f>
        <v>5单0双 4单1双 3单2双 2单3双 1单4双 0单5双</v>
      </c>
      <c r="K174" s="38">
        <f>SUM(T168:T173)</f>
        <v>4.41</v>
      </c>
      <c r="L174" s="53">
        <f t="shared" si="18"/>
        <v>606950.88000000012</v>
      </c>
      <c r="M174" s="78" t="str">
        <f>辅助!F174</f>
        <v>01,04,08,09,11</v>
      </c>
      <c r="N174" s="34">
        <v>25289.620000000003</v>
      </c>
      <c r="O174" s="76"/>
      <c r="P174" s="61" t="s">
        <v>144</v>
      </c>
      <c r="Q174" s="63"/>
      <c r="R174" s="62"/>
      <c r="S174" s="63"/>
      <c r="T174" s="41"/>
      <c r="U174" s="63"/>
      <c r="V174" s="63"/>
    </row>
    <row r="175" spans="1:22" ht="20.100000000000001" customHeight="1" x14ac:dyDescent="0.15">
      <c r="A175" s="64" t="s">
        <v>63</v>
      </c>
      <c r="B175" s="61" t="s">
        <v>68</v>
      </c>
      <c r="C175" s="61" t="s">
        <v>68</v>
      </c>
      <c r="D175" s="38" t="s">
        <v>111</v>
      </c>
      <c r="E175" s="38">
        <f>LEN(SUBSTITUTE(D175,",",))/2</f>
        <v>7</v>
      </c>
      <c r="F175" s="65">
        <v>2</v>
      </c>
      <c r="G175" s="63"/>
      <c r="H175" s="63"/>
      <c r="I175" s="63">
        <f>N(ISNUMBER(FIND(S155,D175,1)))*F175*K175</f>
        <v>28.22</v>
      </c>
      <c r="J175" s="62" t="str">
        <f>TRIM(IF(LEN('5Of11Source'!D175)=0,"-",SUBSTITUTE('5Of11Source'!D175,","," ")))</f>
        <v>03 04 05 06 07 08 09</v>
      </c>
      <c r="K175" s="37">
        <f>SUM(T175:T178)</f>
        <v>14.11</v>
      </c>
      <c r="L175" s="53">
        <f t="shared" si="18"/>
        <v>1132328.25</v>
      </c>
      <c r="M175" s="78" t="str">
        <f>辅助!F175</f>
        <v>01,04,08,10,11</v>
      </c>
      <c r="N175" s="34">
        <v>25162.850000000002</v>
      </c>
      <c r="O175" s="76"/>
      <c r="P175" s="67" t="str">
        <f>0&amp;3&amp;"/"&amp;0&amp;9</f>
        <v>03/09</v>
      </c>
      <c r="Q175" s="63">
        <f>TRUNC(0.033,3)</f>
        <v>3.3000000000000002E-2</v>
      </c>
      <c r="R175" s="62">
        <f>TRUNC(S175-(9.9-agent!$L$3)*Q175*10,3)</f>
        <v>31.844999999999999</v>
      </c>
      <c r="S175" s="63">
        <f>TRUNC(29.7+Q175*99,3)</f>
        <v>32.966999999999999</v>
      </c>
      <c r="T175" s="42">
        <f>IF(ISNUMBER(FIND(S155,P175,1)),R175,0)</f>
        <v>0</v>
      </c>
      <c r="U175" s="63">
        <f t="shared" ref="U175:U178" si="20">IF(T175=0,0,Q175)</f>
        <v>0</v>
      </c>
      <c r="V175" s="63"/>
    </row>
    <row r="176" spans="1:22" ht="20.100000000000001" customHeight="1" x14ac:dyDescent="0.15">
      <c r="A176" s="64" t="s">
        <v>70</v>
      </c>
      <c r="B176" s="61" t="s">
        <v>72</v>
      </c>
      <c r="C176" s="61" t="s">
        <v>87</v>
      </c>
      <c r="D176" s="38" t="s">
        <v>266</v>
      </c>
      <c r="E176" s="38">
        <f t="shared" ref="E176" si="21">LEN(SUBSTITUTE(D176,",",))/2</f>
        <v>11</v>
      </c>
      <c r="F176" s="65">
        <v>1</v>
      </c>
      <c r="G176" s="63"/>
      <c r="H176" s="63"/>
      <c r="I176" s="63">
        <f>(N(ISNUMBER(FIND(P158,D176,1)))+N(ISNUMBER(FIND(P159,D176,1)))+N(ISNUMBER(FIND(P160,D176,1)))+N(ISNUMBER(FIND(P161,D176,1)))+N(ISNUMBER(FIND(P162,D176,1))))*F176*K176</f>
        <v>130642.15000000002</v>
      </c>
      <c r="J176" s="62" t="str">
        <f>TRIM(IF(LEN('5Of11Source'!D176)=0,"-",SUBSTITUTE('5Of11Source'!D176,","," ")))</f>
        <v>01 02 03 04 05 06 07 08 09 10 11</v>
      </c>
      <c r="K176" s="34">
        <f t="shared" ref="K176:K186" si="22">N169</f>
        <v>26128.430000000004</v>
      </c>
      <c r="L176" s="53">
        <f t="shared" si="18"/>
        <v>1515684.0000000002</v>
      </c>
      <c r="M176" s="78" t="str">
        <f>辅助!F176</f>
        <v>01,04,09,10,11</v>
      </c>
      <c r="N176" s="34">
        <v>25261.400000000005</v>
      </c>
      <c r="O176" s="76"/>
      <c r="P176" s="68" t="str">
        <f>0&amp;4&amp;"/"&amp;0&amp;8</f>
        <v>04/08</v>
      </c>
      <c r="Q176" s="63">
        <f>TRUNC(0.01457,3)</f>
        <v>1.4E-2</v>
      </c>
      <c r="R176" s="62">
        <f>TRUNC(S176-(9.9-agent!$L$3)*Q176*10,3)</f>
        <v>14.11</v>
      </c>
      <c r="S176" s="63">
        <f>TRUNC(13.2+Q176*99,3)</f>
        <v>14.586</v>
      </c>
      <c r="T176" s="42">
        <f>IF(ISNUMBER(FIND(S155,P176,1)),R176,0)</f>
        <v>14.11</v>
      </c>
      <c r="U176" s="63">
        <f t="shared" si="20"/>
        <v>1.4E-2</v>
      </c>
      <c r="V176" s="63"/>
    </row>
    <row r="177" spans="1:22" ht="20.100000000000001" customHeight="1" x14ac:dyDescent="0.15">
      <c r="A177" s="64" t="s">
        <v>70</v>
      </c>
      <c r="B177" s="61" t="s">
        <v>74</v>
      </c>
      <c r="C177" s="61" t="s">
        <v>88</v>
      </c>
      <c r="D177" s="38" t="s">
        <v>264</v>
      </c>
      <c r="E177" s="38">
        <f>COMBIN(LEN(SUBSTITUTE(D177,",",))/2,2)</f>
        <v>55</v>
      </c>
      <c r="F177" s="65">
        <v>2</v>
      </c>
      <c r="G177" s="63"/>
      <c r="H177" s="63"/>
      <c r="I177" s="69">
        <f>COMBIN(5,2)*F177*K177</f>
        <v>524691.60000000009</v>
      </c>
      <c r="J177" s="62" t="str">
        <f>TRIM(IF(LEN('5Of11Source'!D177)=0,"-",SUBSTITUTE('5Of11Source'!D177,","," ")))</f>
        <v>01 02 03 04 05 06 07 08 09 10 11</v>
      </c>
      <c r="K177" s="34">
        <f t="shared" si="22"/>
        <v>26234.580000000005</v>
      </c>
      <c r="L177" s="53">
        <f t="shared" si="18"/>
        <v>575623.80000000005</v>
      </c>
      <c r="M177" s="78" t="str">
        <f>辅助!F177</f>
        <v>01,05,06,07,08</v>
      </c>
      <c r="N177" s="34">
        <v>28781.190000000002</v>
      </c>
      <c r="O177" s="76"/>
      <c r="P177" s="68" t="str">
        <f>0&amp;5&amp;"/"&amp;0&amp;7</f>
        <v>05/07</v>
      </c>
      <c r="Q177" s="63">
        <f>TRUNC(0.010142857,3)</f>
        <v>0.01</v>
      </c>
      <c r="R177" s="62">
        <f>TRUNC(S177-(9.9-agent!$L$3)*Q177*10,3)</f>
        <v>9.89</v>
      </c>
      <c r="S177" s="63">
        <f>TRUNC(9.24+Q177*99,3)</f>
        <v>10.23</v>
      </c>
      <c r="T177" s="42">
        <f>IF(ISNUMBER(FIND(S155,P177,1)),R177,0)</f>
        <v>0</v>
      </c>
      <c r="U177" s="63">
        <f t="shared" si="20"/>
        <v>0</v>
      </c>
      <c r="V177" s="63"/>
    </row>
    <row r="178" spans="1:22" ht="20.100000000000001" customHeight="1" x14ac:dyDescent="0.15">
      <c r="A178" s="64" t="s">
        <v>70</v>
      </c>
      <c r="B178" s="61" t="s">
        <v>76</v>
      </c>
      <c r="C178" s="61" t="s">
        <v>89</v>
      </c>
      <c r="D178" s="38" t="s">
        <v>264</v>
      </c>
      <c r="E178" s="38">
        <f>COMBIN(LEN(SUBSTITUTE(D178,",",))/2,3)</f>
        <v>165</v>
      </c>
      <c r="F178" s="65">
        <v>3</v>
      </c>
      <c r="G178" s="63"/>
      <c r="H178" s="63"/>
      <c r="I178" s="69">
        <f>COMBIN(5,3)*F178*K178</f>
        <v>788154.90000000014</v>
      </c>
      <c r="J178" s="62" t="str">
        <f>TRIM(IF(LEN('5Of11Source'!D178)=0,"-",SUBSTITUTE('5Of11Source'!D178,","," ")))</f>
        <v>01 02 03 04 05 06 07 08 09 10 11</v>
      </c>
      <c r="K178" s="34">
        <f t="shared" si="22"/>
        <v>26271.830000000005</v>
      </c>
      <c r="L178" s="53">
        <f>I185</f>
        <v>144617.95000000001</v>
      </c>
      <c r="M178" s="78" t="str">
        <f>辅助!F178</f>
        <v>01,05,06,07,09</v>
      </c>
      <c r="N178" s="34">
        <v>28923.59</v>
      </c>
      <c r="O178" s="76"/>
      <c r="P178" s="61" t="str">
        <f>0&amp;6</f>
        <v>06</v>
      </c>
      <c r="Q178" s="63">
        <f>TRUNC(0.0092857,3)</f>
        <v>8.9999999999999993E-3</v>
      </c>
      <c r="R178" s="62">
        <f>TRUNC(S178-(9.9-agent!$L$3)*Q178*10,3)</f>
        <v>8.8949999999999996</v>
      </c>
      <c r="S178" s="63">
        <f>TRUNC(8.31+Q178*99,3)</f>
        <v>9.2010000000000005</v>
      </c>
      <c r="T178" s="42">
        <f>IF(ISNUMBER(FIND(S155,P178,1)),R178,0)</f>
        <v>0</v>
      </c>
      <c r="U178" s="63">
        <f t="shared" si="20"/>
        <v>0</v>
      </c>
      <c r="V178" s="63"/>
    </row>
    <row r="179" spans="1:22" ht="20.100000000000001" customHeight="1" x14ac:dyDescent="0.15">
      <c r="A179" s="64" t="s">
        <v>70</v>
      </c>
      <c r="B179" s="61" t="s">
        <v>78</v>
      </c>
      <c r="C179" s="61" t="s">
        <v>90</v>
      </c>
      <c r="D179" s="38" t="s">
        <v>267</v>
      </c>
      <c r="E179" s="38">
        <f>COMBIN(LEN(SUBSTITUTE(D179,",",))/2,4)</f>
        <v>330</v>
      </c>
      <c r="F179" s="65">
        <v>5</v>
      </c>
      <c r="G179" s="63"/>
      <c r="H179" s="66"/>
      <c r="I179" s="69">
        <f>COMBIN(5,4)*F179*K179</f>
        <v>652716.25000000012</v>
      </c>
      <c r="J179" s="62" t="str">
        <f>TRIM(IF(LEN('5Of11Source'!D179)=0,"-",SUBSTITUTE('5Of11Source'!D179,","," ")))</f>
        <v>01 02 03 04 05 06 07 08 09 10 11</v>
      </c>
      <c r="K179" s="34">
        <f t="shared" si="22"/>
        <v>26108.650000000005</v>
      </c>
      <c r="L179" s="53">
        <f t="shared" ref="L179:L184" si="23">I186</f>
        <v>0</v>
      </c>
      <c r="M179" s="78" t="str">
        <f>辅助!F179</f>
        <v>01,05,06,07,10</v>
      </c>
      <c r="N179" s="34">
        <v>28780.190000000002</v>
      </c>
      <c r="O179" s="76"/>
      <c r="P179" s="63"/>
      <c r="Q179" s="63"/>
      <c r="R179" s="63"/>
      <c r="S179" s="63"/>
      <c r="T179" s="63"/>
      <c r="U179" s="63"/>
      <c r="V179" s="63"/>
    </row>
    <row r="180" spans="1:22" ht="20.100000000000001" customHeight="1" x14ac:dyDescent="0.15">
      <c r="A180" s="64" t="s">
        <v>70</v>
      </c>
      <c r="B180" s="61" t="s">
        <v>80</v>
      </c>
      <c r="C180" s="61" t="s">
        <v>91</v>
      </c>
      <c r="D180" s="38" t="s">
        <v>266</v>
      </c>
      <c r="E180" s="38">
        <f>COMBIN(LEN(SUBSTITUTE(D180,",",))/2,5)</f>
        <v>461.99999999999994</v>
      </c>
      <c r="F180" s="65">
        <v>4</v>
      </c>
      <c r="G180" s="63"/>
      <c r="H180" s="66"/>
      <c r="I180" s="63">
        <f>(N(AND(ISNUMBER(FIND(P158,D180,1)),ISNUMBER(FIND(P159,D180,1)),ISNUMBER(FIND(P160,D180,1)),ISNUMBER(FIND(P161,D180,1)),ISNUMBER(FIND(P162,D180,1)))))*F180*K180</f>
        <v>101188.88000000002</v>
      </c>
      <c r="J180" s="62" t="str">
        <f>TRIM(IF(LEN('5Of11Source'!D180)=0,"-",SUBSTITUTE('5Of11Source'!D180,","," ")))</f>
        <v>01 02 03 04 05 06 07 08 09 10 11</v>
      </c>
      <c r="K180" s="34">
        <f t="shared" si="22"/>
        <v>25297.220000000005</v>
      </c>
      <c r="L180" s="53">
        <f t="shared" si="23"/>
        <v>0</v>
      </c>
      <c r="M180" s="78" t="str">
        <f>辅助!F180</f>
        <v>01,05,06,07,11</v>
      </c>
      <c r="N180" s="34">
        <v>28817.440000000002</v>
      </c>
      <c r="O180" s="76"/>
      <c r="P180" s="63"/>
      <c r="Q180" s="63"/>
      <c r="R180" s="63"/>
      <c r="S180" s="63"/>
      <c r="T180" s="63"/>
      <c r="U180" s="63"/>
      <c r="V180" s="63"/>
    </row>
    <row r="181" spans="1:22" ht="20.100000000000001" customHeight="1" x14ac:dyDescent="0.15">
      <c r="A181" s="64" t="s">
        <v>70</v>
      </c>
      <c r="B181" s="61" t="s">
        <v>82</v>
      </c>
      <c r="C181" s="61" t="s">
        <v>92</v>
      </c>
      <c r="D181" s="38" t="s">
        <v>254</v>
      </c>
      <c r="E181" s="38">
        <f>COMBIN(LEN(SUBSTITUTE(D181,",",))/2,6)</f>
        <v>461.99999999999994</v>
      </c>
      <c r="F181" s="65">
        <v>4</v>
      </c>
      <c r="G181" s="63"/>
      <c r="H181" s="63"/>
      <c r="I181" s="63">
        <f>IF(AND(ISNUMBER(FIND(P158,D181,1)),ISNUMBER(FIND(P159,D181,1)),ISNUMBER(FIND(P160,D181,1)),ISNUMBER(FIND(P161,D181,1)),ISNUMBER(FIND(P162,D181,1))),(LEN(SUBSTITUTE(D181,",",))-10)/2*F181*K181,0)</f>
        <v>606950.88000000012</v>
      </c>
      <c r="J181" s="62" t="str">
        <f>TRIM(IF(LEN('5Of11Source'!D181)=0,"-",SUBSTITUTE('5Of11Source'!D181,","," ")))</f>
        <v>01 02 03 04 05 06 07 08 09 10 11</v>
      </c>
      <c r="K181" s="34">
        <f t="shared" si="22"/>
        <v>25289.620000000003</v>
      </c>
      <c r="L181" s="53">
        <f t="shared" si="23"/>
        <v>0</v>
      </c>
      <c r="M181" s="78" t="str">
        <f>辅助!F181</f>
        <v>01,05,06,08,09</v>
      </c>
      <c r="N181" s="34">
        <v>27932.94</v>
      </c>
      <c r="O181" s="76"/>
      <c r="P181" s="63"/>
      <c r="Q181" s="63"/>
      <c r="R181" s="63"/>
      <c r="S181" s="63"/>
      <c r="T181" s="63"/>
      <c r="U181" s="63"/>
      <c r="V181" s="63"/>
    </row>
    <row r="182" spans="1:22" ht="20.100000000000001" customHeight="1" x14ac:dyDescent="0.15">
      <c r="A182" s="64" t="s">
        <v>70</v>
      </c>
      <c r="B182" s="61" t="s">
        <v>84</v>
      </c>
      <c r="C182" s="61" t="s">
        <v>93</v>
      </c>
      <c r="D182" s="38" t="s">
        <v>265</v>
      </c>
      <c r="E182" s="38">
        <f>COMBIN(LEN(SUBSTITUTE(D182,",",))/2,7)</f>
        <v>330</v>
      </c>
      <c r="F182" s="65">
        <v>3</v>
      </c>
      <c r="G182" s="63"/>
      <c r="H182" s="63"/>
      <c r="I182" s="63">
        <f>IF(AND(ISNUMBER(FIND(P158,D182,1)),ISNUMBER(FIND(P159,D182,1)),ISNUMBER(FIND(P160,D182,1)),ISNUMBER(FIND(P161,D182,1)),ISNUMBER(FIND(P162,D182,1))),COMBIN((LEN(SUBSTITUTE(D182,",",))-10)/2,2)*F182*K182,0)</f>
        <v>1132328.25</v>
      </c>
      <c r="J182" s="62" t="str">
        <f>TRIM(IF(LEN('5Of11Source'!D182)=0,"-",SUBSTITUTE('5Of11Source'!D182,","," ")))</f>
        <v>01 02 03 04 05 06 07 08 09 10 11</v>
      </c>
      <c r="K182" s="34">
        <f t="shared" si="22"/>
        <v>25162.850000000002</v>
      </c>
      <c r="L182" s="53">
        <f t="shared" si="23"/>
        <v>0</v>
      </c>
      <c r="M182" s="78" t="str">
        <f>辅助!F182</f>
        <v>01,05,06,08,10</v>
      </c>
      <c r="N182" s="34">
        <v>27834.390000000003</v>
      </c>
      <c r="O182" s="76"/>
      <c r="P182" s="63"/>
      <c r="Q182" s="63"/>
      <c r="R182" s="63"/>
      <c r="S182" s="63"/>
      <c r="T182" s="63"/>
      <c r="U182" s="63"/>
      <c r="V182" s="63"/>
    </row>
    <row r="183" spans="1:22" ht="20.100000000000001" customHeight="1" x14ac:dyDescent="0.15">
      <c r="A183" s="64" t="s">
        <v>70</v>
      </c>
      <c r="B183" s="61" t="s">
        <v>86</v>
      </c>
      <c r="C183" s="61" t="s">
        <v>94</v>
      </c>
      <c r="D183" s="38" t="s">
        <v>264</v>
      </c>
      <c r="E183" s="38">
        <f>COMBIN(LEN(SUBSTITUTE(D183,",",))/2,8)</f>
        <v>165</v>
      </c>
      <c r="F183" s="65">
        <v>3</v>
      </c>
      <c r="G183" s="63"/>
      <c r="H183" s="63"/>
      <c r="I183" s="63">
        <f>IF(AND(ISNUMBER(FIND(P158,D183,1)),ISNUMBER(FIND(P159,D183,1)),ISNUMBER(FIND(P160,D183,1)),ISNUMBER(FIND(P161,D183,1)),ISNUMBER(FIND(P162,D183,1))),COMBIN((LEN(SUBSTITUTE(D183,",",))-10)/2,3)*F183*K183,0)</f>
        <v>1515684.0000000002</v>
      </c>
      <c r="J183" s="62" t="str">
        <f>TRIM(IF(LEN('5Of11Source'!D183)=0,"-",SUBSTITUTE('5Of11Source'!D183,","," ")))</f>
        <v>01 02 03 04 05 06 07 08 09 10 11</v>
      </c>
      <c r="K183" s="34">
        <f t="shared" si="22"/>
        <v>25261.400000000005</v>
      </c>
      <c r="L183" s="53">
        <f t="shared" si="23"/>
        <v>0</v>
      </c>
      <c r="M183" s="78" t="str">
        <f>辅助!F183</f>
        <v>01,05,06,08,11</v>
      </c>
      <c r="N183" s="34">
        <v>27826.79</v>
      </c>
      <c r="O183" s="76"/>
      <c r="P183" s="63"/>
      <c r="Q183" s="63"/>
      <c r="R183" s="63"/>
      <c r="S183" s="63"/>
      <c r="T183" s="63"/>
      <c r="U183" s="63"/>
      <c r="V183" s="63"/>
    </row>
    <row r="184" spans="1:22" ht="20.100000000000001" customHeight="1" x14ac:dyDescent="0.15">
      <c r="A184" s="64" t="s">
        <v>96</v>
      </c>
      <c r="B184" s="61" t="s">
        <v>72</v>
      </c>
      <c r="C184" s="61" t="s">
        <v>97</v>
      </c>
      <c r="D184" s="38" t="s">
        <v>256</v>
      </c>
      <c r="E184" s="38">
        <f>LEN(SUBSTITUTE(D184,",",))/2</f>
        <v>11</v>
      </c>
      <c r="F184" s="65">
        <v>4</v>
      </c>
      <c r="G184" s="63"/>
      <c r="H184" s="63"/>
      <c r="I184" s="63">
        <f>(N(ISNUMBER(FIND(P158,D184,1)))+N(ISNUMBER(FIND(P159,D184,1)))+N(ISNUMBER(FIND(P160,D184,1)))+N(ISNUMBER(FIND(P161,D184,1)))+N(ISNUMBER(FIND(P162,D184,1))))*F184*K184</f>
        <v>575623.80000000005</v>
      </c>
      <c r="J184" s="62" t="str">
        <f>TRIM(IF(LEN('5Of11Source'!D184)=0,"-",D184))</f>
        <v>,01,02,03,04,05,06,07,08,09,10,11,</v>
      </c>
      <c r="K184" s="34">
        <f t="shared" si="22"/>
        <v>28781.190000000002</v>
      </c>
      <c r="L184" s="53">
        <f t="shared" si="23"/>
        <v>0</v>
      </c>
      <c r="M184" s="78" t="str">
        <f>辅助!F184</f>
        <v>01,05,06,09,10</v>
      </c>
      <c r="N184" s="34">
        <v>27932.94</v>
      </c>
      <c r="O184" s="76"/>
      <c r="P184" s="63"/>
      <c r="Q184" s="63"/>
      <c r="R184" s="63"/>
      <c r="S184" s="63"/>
      <c r="T184" s="63"/>
      <c r="U184" s="63"/>
      <c r="V184" s="63"/>
    </row>
    <row r="185" spans="1:22" ht="20.100000000000001" customHeight="1" x14ac:dyDescent="0.15">
      <c r="A185" s="64" t="s">
        <v>96</v>
      </c>
      <c r="B185" s="61" t="s">
        <v>74</v>
      </c>
      <c r="C185" s="63" t="s">
        <v>11</v>
      </c>
      <c r="D185" s="38" t="s">
        <v>268</v>
      </c>
      <c r="E185" s="38">
        <f>LEN(SUBSTITUTE(SUBSTITUTE(D185,",",)," ",))/4</f>
        <v>5</v>
      </c>
      <c r="F185" s="65">
        <v>5</v>
      </c>
      <c r="G185" s="63"/>
      <c r="H185" s="63"/>
      <c r="I185" s="63">
        <f>SUM(N(AND(ISNUMBER(FIND(LEFT(D185,2),P155,1)),ISNUMBER(FIND(MID(D185,4,2),P155,1))))+N(AND(ISNUMBER(FIND(MID(D185,7,2),P155,1)),ISNUMBER(FIND(MID(D185,10,2),P155,1))))+N(AND(ISNUMBER(FIND(MID(D185,13,2),P155,1)),ISNUMBER(FIND(MID(D185,16,2),P155,1)))))*K185*F185</f>
        <v>144617.95000000001</v>
      </c>
      <c r="J185" s="62" t="str">
        <f>TRIM(IF(LEN('5Of11Source'!D185)=0,"-",D185))</f>
        <v>01 09,03 04,05 06,07 08,09 10</v>
      </c>
      <c r="K185" s="34">
        <f t="shared" si="22"/>
        <v>28923.59</v>
      </c>
      <c r="L185" s="53">
        <f>I192</f>
        <v>111880.76</v>
      </c>
      <c r="M185" s="78" t="str">
        <f>辅助!F185</f>
        <v>01,05,06,09,11</v>
      </c>
      <c r="N185" s="34">
        <v>27970.19</v>
      </c>
      <c r="O185" s="76"/>
      <c r="P185" s="61"/>
      <c r="Q185" s="61"/>
      <c r="R185" s="63"/>
      <c r="S185" s="63"/>
      <c r="T185" s="63"/>
      <c r="U185" s="63"/>
      <c r="V185" s="63"/>
    </row>
    <row r="186" spans="1:22" ht="20.100000000000001" customHeight="1" x14ac:dyDescent="0.15">
      <c r="A186" s="64" t="s">
        <v>96</v>
      </c>
      <c r="B186" s="61" t="s">
        <v>76</v>
      </c>
      <c r="C186" s="61" t="s">
        <v>98</v>
      </c>
      <c r="D186" s="38" t="s">
        <v>269</v>
      </c>
      <c r="E186" s="38">
        <f>LEN(SUBSTITUTE(SUBSTITUTE(D186,",",)," ",))/6</f>
        <v>4</v>
      </c>
      <c r="F186" s="65">
        <v>5</v>
      </c>
      <c r="G186" s="63"/>
      <c r="H186" s="63"/>
      <c r="I186" s="63">
        <f>SUM(N(AND(ISNUMBER(FIND(LEFT(D186,2),P155,1)),ISNUMBER(FIND(MID(D186,4,2),P155,1)),ISNUMBER(FIND(MID(D186,7,2),P155,1)))),N(AND(ISNUMBER(FIND(MID(D186,10,2),P155,1)),ISNUMBER(FIND(MID(D186,13,2),P155,1)),ISNUMBER(FIND(MID(D186,16,2),P155,1)))))*K186*F186</f>
        <v>0</v>
      </c>
      <c r="J186" s="62" t="str">
        <f>TRIM(IF(LEN('5Of11Source'!D186)=0,"-",D186))</f>
        <v>01 02 03,04 05 06,07 08 09,10 11 01</v>
      </c>
      <c r="K186" s="34">
        <f t="shared" si="22"/>
        <v>28780.190000000002</v>
      </c>
      <c r="L186" s="53">
        <f>I194</f>
        <v>0</v>
      </c>
      <c r="M186" s="78" t="str">
        <f>辅助!F186</f>
        <v>01,05,06,10,11</v>
      </c>
      <c r="N186" s="34">
        <v>27809.000000000004</v>
      </c>
      <c r="O186" s="76"/>
      <c r="P186" s="63"/>
      <c r="Q186" s="63"/>
      <c r="R186" s="63"/>
      <c r="S186" s="63"/>
      <c r="T186" s="63"/>
      <c r="U186" s="63"/>
      <c r="V186" s="63"/>
    </row>
    <row r="187" spans="1:22" ht="20.100000000000001" customHeight="1" x14ac:dyDescent="0.15">
      <c r="A187" s="64" t="s">
        <v>96</v>
      </c>
      <c r="B187" s="61" t="s">
        <v>78</v>
      </c>
      <c r="C187" s="61" t="s">
        <v>99</v>
      </c>
      <c r="D187" s="38" t="s">
        <v>270</v>
      </c>
      <c r="E187" s="38">
        <f>LEN(SUBSTITUTE(SUBSTITUTE(D187,",",)," ",))/8</f>
        <v>3</v>
      </c>
      <c r="F187" s="65">
        <v>5</v>
      </c>
      <c r="G187" s="63"/>
      <c r="H187" s="63"/>
      <c r="I187" s="63">
        <f>SUM(N(AND(ISNUMBER(FIND(LEFT(D187,2),P155,1)),ISNUMBER(FIND(MID(D187,4,2),P155,1)),ISNUMBER(FIND(MID(D187,7,2),P155,1)),ISNUMBER(FIND(MID(D187,10,2),P155,1)))),N(AND(ISNUMBER(FIND(MID(D187,13,2),P155,1)),ISNUMBER(FIND(MID(D187,16,2),P155,1)),ISNUMBER(FIND(MID(D187,19,2),P155,1)),ISNUMBER(FIND(MID(D187,22,2),P155,1)))))*K187*F187</f>
        <v>0</v>
      </c>
      <c r="J187" s="62" t="str">
        <f>TRIM(IF(LEN('5Of11Source'!D187)=0,"-",D187))</f>
        <v>01 02 03 04,09 10 11 05,06 07 08 09</v>
      </c>
      <c r="K187" s="34">
        <f>'5Of11'!Z166</f>
        <v>31.844999999999999</v>
      </c>
      <c r="L187" s="53">
        <f>I196</f>
        <v>420349.28000000009</v>
      </c>
      <c r="M187" s="78" t="str">
        <f>辅助!F187</f>
        <v>01,05,07,08,09</v>
      </c>
      <c r="N187" s="34">
        <v>26271.830000000005</v>
      </c>
      <c r="O187" s="76"/>
      <c r="P187" s="63"/>
      <c r="Q187" s="63"/>
      <c r="R187" s="63"/>
      <c r="S187" s="63"/>
      <c r="T187" s="63"/>
      <c r="U187" s="63"/>
      <c r="V187" s="63"/>
    </row>
    <row r="188" spans="1:22" ht="20.100000000000001" customHeight="1" x14ac:dyDescent="0.15">
      <c r="A188" s="64" t="s">
        <v>96</v>
      </c>
      <c r="B188" s="61" t="s">
        <v>80</v>
      </c>
      <c r="C188" s="61" t="s">
        <v>99</v>
      </c>
      <c r="D188" s="38" t="s">
        <v>271</v>
      </c>
      <c r="E188" s="38">
        <f>LEN(SUBSTITUTE(SUBSTITUTE(D188,",",)," ",))/10</f>
        <v>2</v>
      </c>
      <c r="F188" s="65">
        <v>8</v>
      </c>
      <c r="G188" s="63"/>
      <c r="H188" s="63"/>
      <c r="I188" s="63">
        <f>SUM(N(AND(ISNUMBER(FIND(LEFT(D188,2),P155,1)),ISNUMBER(FIND(MID(D188,4,2),P155,1)),ISNUMBER(FIND(MID(D188,7,2),P155,1)),ISNUMBER(FIND(MID(D188,10,2),P155,1)),ISNUMBER(FIND(MID(D188,13,2),P155,1)))),N(AND(ISNUMBER(FIND(MID(D188,16,2),P155,1)),ISNUMBER(FIND(MID(D188,19,2),P155,1)),ISNUMBER(FIND(MID(D188,22,2),P155,1)),ISNUMBER(FIND(MID(D188,25,2),P155,1)),ISNUMBER(FIND(MID(D188,28,2),P155,1)))))*K188*F188</f>
        <v>0</v>
      </c>
      <c r="J188" s="62" t="str">
        <f>TRIM(IF(LEN('5Of11Source'!D188)=0,"-",D188))</f>
        <v>01 02 06 04 08,06 07 08 09 10</v>
      </c>
      <c r="K188" s="34">
        <f>'5Of11'!Z167</f>
        <v>127.38</v>
      </c>
      <c r="L188" s="53">
        <f>I198</f>
        <v>0</v>
      </c>
      <c r="M188" s="78" t="str">
        <f>辅助!F188</f>
        <v>01,05,07,08,10</v>
      </c>
      <c r="N188" s="34">
        <v>26128.430000000004</v>
      </c>
      <c r="O188" s="76"/>
      <c r="P188" s="63"/>
      <c r="Q188" s="63"/>
      <c r="R188" s="63"/>
      <c r="S188" s="63"/>
      <c r="T188" s="63"/>
      <c r="U188" s="63"/>
      <c r="V188" s="63"/>
    </row>
    <row r="189" spans="1:22" ht="20.100000000000001" customHeight="1" x14ac:dyDescent="0.15">
      <c r="A189" s="64" t="s">
        <v>96</v>
      </c>
      <c r="B189" s="61" t="s">
        <v>82</v>
      </c>
      <c r="C189" s="61" t="s">
        <v>99</v>
      </c>
      <c r="D189" s="38" t="s">
        <v>241</v>
      </c>
      <c r="E189" s="38">
        <f>LEN(SUBSTITUTE(SUBSTITUTE(D189,",",)," ",))/12</f>
        <v>2</v>
      </c>
      <c r="F189" s="65">
        <v>2</v>
      </c>
      <c r="G189" s="63"/>
      <c r="H189" s="63"/>
      <c r="I189" s="63">
        <f>SUM(N(SUM(ISNUMBER(FIND(LEFT(D189,2),P155,1)),ISNUMBER(FIND(MID(D189,4,2),P155,1)),ISNUMBER(FIND(MID(D189,7,2),P155,1)),ISNUMBER(FIND(MID(D189,10,2),P155,1)),ISNUMBER(FIND(MID(D189,13,2),P155,1)),ISNUMBER(FIND(MID(D189,16,2),P155,1)))&gt;4),N(SUM(ISNUMBER(FIND(MID(D189,19,2),P155,1)),ISNUMBER(FIND(MID(D189,22,2),P155,1)),ISNUMBER(FIND(MID(D189,25,2),P155,1)),ISNUMBER(FIND(MID(D189,28,2),P155,1)),ISNUMBER(FIND(MID(D189,31,2),P155,1)),ISNUMBER(FIND(MID(D189,34,2),P155,1)))&gt;4))*K189*F189</f>
        <v>0</v>
      </c>
      <c r="J189" s="62" t="str">
        <f>TRIM(IF(LEN('5Of11Source'!D189)=0,"-",D189))</f>
        <v>01 02 08 04 05 06,07 08 09 10 11 02</v>
      </c>
      <c r="K189" s="34">
        <f>'5Of11'!Z168</f>
        <v>891.66</v>
      </c>
      <c r="L189" s="53">
        <f>I200</f>
        <v>0</v>
      </c>
      <c r="M189" s="78" t="str">
        <f>辅助!F189</f>
        <v>01,05,07,08,11</v>
      </c>
      <c r="N189" s="34">
        <v>26165.680000000004</v>
      </c>
      <c r="O189" s="76"/>
      <c r="P189" s="63"/>
      <c r="Q189" s="63"/>
      <c r="R189" s="63"/>
      <c r="S189" s="63"/>
      <c r="T189" s="63"/>
      <c r="U189" s="63"/>
      <c r="V189" s="63"/>
    </row>
    <row r="190" spans="1:22" ht="20.100000000000001" customHeight="1" x14ac:dyDescent="0.15">
      <c r="A190" s="64" t="s">
        <v>96</v>
      </c>
      <c r="B190" s="61" t="s">
        <v>84</v>
      </c>
      <c r="C190" s="61" t="s">
        <v>98</v>
      </c>
      <c r="D190" s="38" t="s">
        <v>272</v>
      </c>
      <c r="E190" s="38">
        <f>LEN(SUBSTITUTE(SUBSTITUTE(D190,",",)," ",))/14</f>
        <v>2</v>
      </c>
      <c r="F190" s="65">
        <v>2</v>
      </c>
      <c r="G190" s="63"/>
      <c r="H190" s="63"/>
      <c r="I190" s="63">
        <f>N(SUM(ISNUMBER(FIND(LEFT(D190,2),P155,1)),ISNUMBER(FIND(MID(D190,4,2),P155,1)),ISNUMBER(FIND(MID(D190,7,2),P155,1)),ISNUMBER(FIND(MID(D190,10,2),P155,1)),ISNUMBER(FIND(MID(D190,13,2),P155,1)),ISNUMBER(FIND(MID(D190,16,2),P155,1)),ISNUMBER(FIND(MID(D190,19,2),P155,1)))&gt;4)*K190*F190</f>
        <v>0</v>
      </c>
      <c r="J190" s="62" t="str">
        <f>TRIM(IF(LEN('5Of11Source'!D190)=0,"-",D190))</f>
        <v>01 02 03 04 05 06 07,11 10 09 08 07 06 05</v>
      </c>
      <c r="K190" s="34">
        <f>'5Of11'!Z169</f>
        <v>148.61000000000001</v>
      </c>
      <c r="L190" s="53">
        <f>I202</f>
        <v>0</v>
      </c>
      <c r="M190" s="78" t="str">
        <f>辅助!F190</f>
        <v>01,05,07,09,10</v>
      </c>
      <c r="N190" s="34">
        <v>26271.830000000005</v>
      </c>
      <c r="O190" s="76"/>
      <c r="P190" s="63"/>
      <c r="Q190" s="63"/>
      <c r="R190" s="63"/>
      <c r="S190" s="63"/>
      <c r="T190" s="63"/>
      <c r="U190" s="63"/>
      <c r="V190" s="63"/>
    </row>
    <row r="191" spans="1:22" ht="20.100000000000001" customHeight="1" x14ac:dyDescent="0.15">
      <c r="A191" s="64" t="s">
        <v>96</v>
      </c>
      <c r="B191" s="61" t="s">
        <v>86</v>
      </c>
      <c r="C191" s="63" t="s">
        <v>11</v>
      </c>
      <c r="D191" s="38" t="s">
        <v>273</v>
      </c>
      <c r="E191" s="38">
        <f>LEN(SUBSTITUTE(SUBSTITUTE(D191,",",)," ",))/16</f>
        <v>2</v>
      </c>
      <c r="F191" s="65">
        <v>3</v>
      </c>
      <c r="G191" s="63"/>
      <c r="H191" s="63"/>
      <c r="I191" s="63">
        <f>N(SUM(ISNUMBER(FIND(LEFT(D191,2),P155,1)),ISNUMBER(FIND(MID(D191,4,2),P155,1)),ISNUMBER(FIND(MID(D191,7,2),P155,1)),ISNUMBER(FIND(MID(D191,10,2),P155,1)),ISNUMBER(FIND(MID(D191,13,2),P155,1)),ISNUMBER(FIND(MID(D191,16,2),P155,1)),ISNUMBER(FIND(MID(D191,19,2),P155,1)),ISNUMBER(FIND(MID(D191,22,2),P155,1)))&gt;4)*K191*F191</f>
        <v>0</v>
      </c>
      <c r="J191" s="62" t="str">
        <f>TRIM(IF(LEN('5Of11Source'!D191)=0,"-",D191))</f>
        <v>01 02 03 04 05 06 07 08,11 10 09 08 07 06 05 04</v>
      </c>
      <c r="K191" s="34">
        <f>'5Of11'!Z170</f>
        <v>42.46</v>
      </c>
      <c r="L191" s="53">
        <f>I204</f>
        <v>0</v>
      </c>
      <c r="M191" s="78" t="str">
        <f>辅助!F191</f>
        <v>01,05,07,09,11</v>
      </c>
      <c r="N191" s="34">
        <v>26955.580000000005</v>
      </c>
      <c r="O191" s="76"/>
      <c r="P191" s="63"/>
      <c r="Q191" s="63"/>
      <c r="R191" s="63"/>
      <c r="S191" s="63"/>
      <c r="T191" s="63"/>
      <c r="U191" s="63"/>
      <c r="V191" s="63"/>
    </row>
    <row r="192" spans="1:22" ht="20.100000000000001" customHeight="1" x14ac:dyDescent="0.15">
      <c r="A192" s="64" t="s">
        <v>103</v>
      </c>
      <c r="B192" s="40" t="s">
        <v>74</v>
      </c>
      <c r="C192" s="61" t="s">
        <v>30</v>
      </c>
      <c r="D192" s="38" t="s">
        <v>242</v>
      </c>
      <c r="E192" s="38">
        <f>LEN(SUBSTITUTE(D192,",",))/2</f>
        <v>1</v>
      </c>
      <c r="F192" s="84">
        <v>1</v>
      </c>
      <c r="G192" s="63"/>
      <c r="H192" s="85">
        <v>4</v>
      </c>
      <c r="I192" s="83">
        <f>IF(AND(P192,P193&gt;=(B193-E192)),COMBIN(P193,B193-E192)*K192*F192,0)</f>
        <v>111880.76</v>
      </c>
      <c r="J192" s="92" t="str">
        <f>TRIM(IF(LEN(D192)=0,"-",SUBSTITUTE(D192,","," ")))&amp;","&amp;TRIM(IF(LEN(D193)=0,"-",SUBSTITUTE(D193,","," ")))</f>
        <v>01,02 03 04 05 06 07 08 09 10 11</v>
      </c>
      <c r="K192" s="87">
        <f>N185</f>
        <v>27970.19</v>
      </c>
      <c r="L192" s="53"/>
      <c r="M192" s="78" t="str">
        <f>辅助!F192</f>
        <v>01,05,07,10,11</v>
      </c>
      <c r="N192" s="53">
        <v>26145.900000000005</v>
      </c>
      <c r="O192" s="75"/>
      <c r="P192" s="41" t="b">
        <f>ISNUMBER(FIND(SUBSTITUTE(D192,",",),P155,1))</f>
        <v>1</v>
      </c>
      <c r="Q192" s="41" t="str">
        <f>IF(P192,IF(FIND(SUBSTITUTE(D192,",",),P155,1)&lt;3,SUBSTITUTE(P155,RIGHT(D192,3),),SUBSTITUTE(P155,LEFT(D192,3),)),"此订单未中奖！")</f>
        <v>10,08,09,03</v>
      </c>
      <c r="R192" s="41"/>
      <c r="S192" s="41"/>
      <c r="T192" s="63"/>
      <c r="U192" s="63"/>
      <c r="V192" s="63"/>
    </row>
    <row r="193" spans="1:22" ht="20.100000000000001" customHeight="1" x14ac:dyDescent="0.15">
      <c r="A193" s="64" t="s">
        <v>103</v>
      </c>
      <c r="B193" s="40">
        <v>2</v>
      </c>
      <c r="C193" s="61" t="s">
        <v>104</v>
      </c>
      <c r="D193" s="38" t="s">
        <v>112</v>
      </c>
      <c r="E193" s="34">
        <f>COMBIN(LEN(SUBSTITUTE(D193,",",))/2,B193-E192)</f>
        <v>10</v>
      </c>
      <c r="F193" s="84"/>
      <c r="G193" s="63"/>
      <c r="H193" s="85"/>
      <c r="I193" s="83"/>
      <c r="J193" s="92"/>
      <c r="K193" s="88"/>
      <c r="L193" s="53"/>
      <c r="M193" s="78" t="str">
        <f>辅助!F193</f>
        <v>01,05,08,09,10</v>
      </c>
      <c r="N193" s="53">
        <v>25289.620000000003</v>
      </c>
      <c r="O193" s="75"/>
      <c r="P193" s="41">
        <f>IF(LEN(SUBSTITUTE(Q192,",",))/2=4,SUM(N(ISNUMBER(FIND(LEFT(Q192,2),D193,1))),N(ISNUMBER(FIND(MID(Q192,4,2),D193,1))),N(ISNUMBER(FIND(MID(Q192,7,2),D193,1))),N(ISNUMBER(FIND(RIGHT(Q192,2),D193,1)))),IF(LEN(SUBSTITUTE(Q192,",",))/2=3,SUM(N(ISNUMBER(FIND(LEFT(Q192,2),D193,1))),N(ISNUMBER(FIND(MID(Q192,4,2),D193,1))),N(ISNUMBER(FIND(RIGHT(Q192,2),D193,1)))),IF(LEN(SUBSTITUTE(Q192,",",))/2=2,SUM(N(ISNUMBER(FIND(LEFT(Q192,2),D193,1))),N(ISNUMBER(FIND(RIGHT(Q192,2),D193,1)))),N(ISNUMBER(FIND(Q192,D193,1))))))</f>
        <v>4</v>
      </c>
      <c r="Q193" s="41"/>
      <c r="R193" s="41"/>
      <c r="S193" s="41"/>
      <c r="T193" s="63"/>
      <c r="U193" s="63"/>
      <c r="V193" s="63"/>
    </row>
    <row r="194" spans="1:22" ht="20.100000000000001" customHeight="1" x14ac:dyDescent="0.15">
      <c r="A194" s="64" t="s">
        <v>103</v>
      </c>
      <c r="B194" s="40" t="s">
        <v>76</v>
      </c>
      <c r="C194" s="61" t="s">
        <v>30</v>
      </c>
      <c r="D194" s="38" t="s">
        <v>274</v>
      </c>
      <c r="E194" s="38">
        <f>LEN(SUBSTITUTE(D194,",",))/2</f>
        <v>1</v>
      </c>
      <c r="F194" s="84">
        <v>3</v>
      </c>
      <c r="G194" s="63"/>
      <c r="H194" s="85">
        <v>3</v>
      </c>
      <c r="I194" s="83">
        <f>IF(AND(P194,P195&gt;=(B195-E194)),COMBIN(P195,B195-E194)*K194*F194,0)</f>
        <v>0</v>
      </c>
      <c r="J194" s="92" t="str">
        <f>TRIM(IF(LEN(D194)=0,"-",SUBSTITUTE(D194,","," ")))&amp;","&amp;TRIM(IF(LEN(D195)=0,"-",SUBSTITUTE(D195,","," ")))</f>
        <v>02,01 03 04 05 06 07 08 09 10 11</v>
      </c>
      <c r="K194" s="87">
        <f>N186</f>
        <v>27809.000000000004</v>
      </c>
      <c r="L194" s="53"/>
      <c r="M194" s="78" t="str">
        <f>辅助!F194</f>
        <v>01,05,08,09,11</v>
      </c>
      <c r="N194" s="53">
        <v>25326.870000000003</v>
      </c>
      <c r="O194" s="75"/>
      <c r="P194" s="41" t="b">
        <f>AND(ISNUMBER(FIND(SUBSTITUTE(MID(D194,2,2),",",),P155,1)),ISNUMBER(FIND(SUBSTITUTE(MID(D194,5,2),",",),P155,1)))</f>
        <v>0</v>
      </c>
      <c r="Q194" s="41" t="str">
        <f>IF(P194,IF(FIND(SUBSTITUTE(MID(D194,2,2),",",),P155,1)&lt;3,SUBSTITUTE(P155,MID(D194,2,3),),SUBSTITUTE(P155,LEFT(D194,3),)),"此订单未中奖！")</f>
        <v>此订单未中奖！</v>
      </c>
      <c r="R194" s="41" t="str">
        <f>IF(P194,IF(FIND(SUBSTITUTE(MID(D194,5,2),",",),Q194,1)&lt;3,SUBSTITUTE(Q194,RIGHT(D194,3),),SUBSTITUTE(Q194,MID(D194,4,3),)),"此订单未中奖！")</f>
        <v>此订单未中奖！</v>
      </c>
      <c r="S194" s="41"/>
      <c r="T194" s="63"/>
      <c r="U194" s="63"/>
      <c r="V194" s="63"/>
    </row>
    <row r="195" spans="1:22" ht="20.100000000000001" customHeight="1" x14ac:dyDescent="0.15">
      <c r="A195" s="64" t="s">
        <v>103</v>
      </c>
      <c r="B195" s="40">
        <v>3</v>
      </c>
      <c r="C195" s="61" t="s">
        <v>104</v>
      </c>
      <c r="D195" s="38" t="s">
        <v>275</v>
      </c>
      <c r="E195" s="34">
        <f>COMBIN(LEN(SUBSTITUTE(D195,",",))/2,B195-E194)</f>
        <v>45</v>
      </c>
      <c r="F195" s="84"/>
      <c r="G195" s="63"/>
      <c r="H195" s="85"/>
      <c r="I195" s="83"/>
      <c r="J195" s="92"/>
      <c r="K195" s="88"/>
      <c r="L195" s="53"/>
      <c r="M195" s="78" t="str">
        <f>辅助!F195</f>
        <v>01,05,08,10,11</v>
      </c>
      <c r="N195" s="53">
        <v>25155.250000000004</v>
      </c>
      <c r="O195" s="75"/>
      <c r="P195" s="41">
        <f>IF(LEN(SUBSTITUTE(R194,",",))/2=4,SUM(N(ISNUMBER(FIND(LEFT(R194,2),D195,1))),N(ISNUMBER(FIND(MID(R194,4,2),D195,1))),N(ISNUMBER(FIND(MID(R194,7,2),D195,1))),N(ISNUMBER(FIND(RIGHT(R194,2),D195,1)))),IF(LEN(SUBSTITUTE(R194,",",))/2=3,SUM(N(ISNUMBER(FIND(LEFT(R194,2),D195,1))),N(ISNUMBER(FIND(MID(R194,4,2),D195,1))),N(ISNUMBER(FIND(RIGHT(R194,2),D195,1)))),IF(LEN(SUBSTITUTE(R194,",",))/2=2,SUM(N(ISNUMBER(FIND(LEFT(R194,2),D195,1))),N(ISNUMBER(FIND(RIGHT(R194,2),D195,1)))),N(ISNUMBER(FIND(R194,D195,1))))))</f>
        <v>0</v>
      </c>
      <c r="Q195" s="41"/>
      <c r="R195" s="41"/>
      <c r="S195" s="41"/>
      <c r="T195" s="63"/>
      <c r="U195" s="63"/>
      <c r="V195" s="63"/>
    </row>
    <row r="196" spans="1:22" ht="20.100000000000001" customHeight="1" x14ac:dyDescent="0.15">
      <c r="A196" s="64" t="s">
        <v>103</v>
      </c>
      <c r="B196" s="40" t="s">
        <v>78</v>
      </c>
      <c r="C196" s="61" t="s">
        <v>30</v>
      </c>
      <c r="D196" s="38" t="s">
        <v>276</v>
      </c>
      <c r="E196" s="38">
        <f>LEN(SUBSTITUTE(D196,",",))/2</f>
        <v>1</v>
      </c>
      <c r="F196" s="84">
        <v>4</v>
      </c>
      <c r="G196" s="63"/>
      <c r="H196" s="85">
        <v>3</v>
      </c>
      <c r="I196" s="83">
        <f>IF(AND(P196,P197&gt;=(B197-E196)),COMBIN(P197,B197-E196)*K196*F196,0)</f>
        <v>420349.28000000009</v>
      </c>
      <c r="J196" s="92" t="str">
        <f>TRIM(IF(LEN(D196)=0,"-",SUBSTITUTE(D196,","," ")))&amp;","&amp;TRIM(IF(LEN(D197)=0,"-",SUBSTITUTE(D197,","," ")))</f>
        <v>03,01 02 04 05 06 07 08 09 10 11</v>
      </c>
      <c r="K196" s="87">
        <f>N187</f>
        <v>26271.830000000005</v>
      </c>
      <c r="L196" s="53"/>
      <c r="M196" s="78" t="str">
        <f>辅助!F196</f>
        <v>01,05,09,10,11</v>
      </c>
      <c r="N196" s="53">
        <v>25935.550000000007</v>
      </c>
      <c r="O196" s="75"/>
      <c r="P196" s="41" t="b">
        <f>AND(ISNUMBER(FIND(SUBSTITUTE(MID(D196,2,2),",",),P155,1)),ISNUMBER(FIND(SUBSTITUTE(MID(D196,5,2),",",),P155,1)))</f>
        <v>1</v>
      </c>
      <c r="Q196" s="41" t="str">
        <f>IF(P196,IF(FIND(SUBSTITUTE(MID(D196,2,2),",",),P155,1)&lt;3,SUBSTITUTE(P155,MID(D196,2,3),),SUBSTITUTE(P155,LEFT(D196,3),)),"此订单未中奖！")</f>
        <v>01,10,08,09</v>
      </c>
      <c r="R196" s="41" t="str">
        <f>IF(P196,IF(FIND(SUBSTITUTE(MID(D196,5,2),",",),Q196,1)&lt;3,SUBSTITUTE(Q196,RIGHT(D196,3),),SUBSTITUTE(Q196,MID(D196,4,3),)),"此订单未中奖！")</f>
        <v>01,10,08,09</v>
      </c>
      <c r="S196" s="41"/>
      <c r="T196" s="63"/>
      <c r="U196" s="63"/>
      <c r="V196" s="63"/>
    </row>
    <row r="197" spans="1:22" ht="20.100000000000001" customHeight="1" x14ac:dyDescent="0.15">
      <c r="A197" s="64" t="s">
        <v>103</v>
      </c>
      <c r="B197" s="40">
        <v>4</v>
      </c>
      <c r="C197" s="61" t="s">
        <v>104</v>
      </c>
      <c r="D197" s="38" t="s">
        <v>277</v>
      </c>
      <c r="E197" s="34">
        <f>COMBIN(LEN(SUBSTITUTE(D197,",",))/2,B197-E196)</f>
        <v>120</v>
      </c>
      <c r="F197" s="84"/>
      <c r="G197" s="63"/>
      <c r="H197" s="85"/>
      <c r="I197" s="83"/>
      <c r="J197" s="92"/>
      <c r="K197" s="88"/>
      <c r="L197" s="53"/>
      <c r="M197" s="78" t="str">
        <f>辅助!F197</f>
        <v>01,06,07,08,09</v>
      </c>
      <c r="N197" s="53">
        <v>24323.880000000005</v>
      </c>
      <c r="O197" s="75"/>
      <c r="P197" s="41">
        <f>IF(LEN(SUBSTITUTE(R196,",",))/2=4,SUM(N(ISNUMBER(FIND(LEFT(R196,2),D197,1))),N(ISNUMBER(FIND(MID(R196,4,2),D197,1))),N(ISNUMBER(FIND(MID(R196,7,2),D197,1))),N(ISNUMBER(FIND(RIGHT(R196,2),D197,1)))),IF(LEN(SUBSTITUTE(R196,",",))/2=3,SUM(N(ISNUMBER(FIND(LEFT(R196,2),D197,1))),N(ISNUMBER(FIND(MID(R196,4,2),D197,1))),N(ISNUMBER(FIND(RIGHT(R196,2),D197,1)))),IF(LEN(SUBSTITUTE(R196,",",))/2=2,SUM(N(ISNUMBER(FIND(LEFT(R196,2),D197,1))),N(ISNUMBER(FIND(RIGHT(R196,2),D197,1)))),N(ISNUMBER(FIND(R196,D197,1))))))</f>
        <v>4</v>
      </c>
      <c r="Q197" s="41"/>
      <c r="R197" s="41"/>
      <c r="S197" s="41"/>
      <c r="T197" s="63"/>
      <c r="U197" s="63"/>
      <c r="V197" s="63"/>
    </row>
    <row r="198" spans="1:22" ht="20.100000000000001" customHeight="1" x14ac:dyDescent="0.15">
      <c r="A198" s="64" t="s">
        <v>103</v>
      </c>
      <c r="B198" s="40" t="s">
        <v>80</v>
      </c>
      <c r="C198" s="61" t="s">
        <v>30</v>
      </c>
      <c r="D198" s="38" t="s">
        <v>278</v>
      </c>
      <c r="E198" s="38">
        <f>LEN(SUBSTITUTE(D198,",",))/2</f>
        <v>1</v>
      </c>
      <c r="F198" s="84">
        <v>5</v>
      </c>
      <c r="G198" s="63"/>
      <c r="H198" s="85">
        <v>0</v>
      </c>
      <c r="I198" s="83">
        <f>IF(AND(P198,P199&gt;=(B199-E198)),COMBIN(P199,B199-E198)*K198*F198,0)</f>
        <v>0</v>
      </c>
      <c r="J198" s="92" t="str">
        <f>TRIM(IF(LEN(D198)=0,"-",SUBSTITUTE(D198,","," ")))&amp;","&amp;TRIM(IF(LEN(D199)=0,"-",SUBSTITUTE(D199,","," ")))</f>
        <v>04,01 02 03 07 09 10 05 06 08 11</v>
      </c>
      <c r="K198" s="87">
        <f>N188</f>
        <v>26128.430000000004</v>
      </c>
      <c r="L198" s="53"/>
      <c r="M198" s="78" t="str">
        <f>辅助!F198</f>
        <v>01,06,07,08,10</v>
      </c>
      <c r="N198" s="53">
        <v>24225.33</v>
      </c>
      <c r="O198" s="75"/>
      <c r="P198" s="41" t="b">
        <f>AND(ISNUMBER(FIND(SUBSTITUTE(MID(D198,2,2),",",),P155,1)),ISNUMBER(FIND(SUBSTITUTE(MID(D198,5,2),",",),P155,1)),ISNUMBER(FIND(SUBSTITUTE(MID(D198,8,2),",",),P155,1)))</f>
        <v>0</v>
      </c>
      <c r="Q198" s="41" t="str">
        <f>IF(P198,IF(FIND(SUBSTITUTE(MID(D198,2,2),",",),P155,1)&lt;3,SUBSTITUTE(P155,MID(D198,2,3),),SUBSTITUTE(P155,LEFT(D198,3),)),"此订单未中奖！")</f>
        <v>此订单未中奖！</v>
      </c>
      <c r="R198" s="41" t="str">
        <f>IF(P198,IF(FIND(SUBSTITUTE(MID(D198,5,2),",",),Q198,1)&lt;3,SUBSTITUTE(Q198,MID(D198,5,3),),SUBSTITUTE(Q198,MID(D198,4,3),)),"此订单未中奖！")</f>
        <v>此订单未中奖！</v>
      </c>
      <c r="S198" s="41" t="str">
        <f>IF(P198,IF(FIND(SUBSTITUTE(MID(D198,8,2),",",),R198,1)&lt;3,SUBSTITUTE(R198,RIGHT(D198,3),),SUBSTITUTE(R198,MID(D198,7,3),)),"此订单未中奖！")</f>
        <v>此订单未中奖！</v>
      </c>
      <c r="T198" s="63"/>
      <c r="U198" s="63"/>
      <c r="V198" s="63"/>
    </row>
    <row r="199" spans="1:22" ht="20.100000000000001" customHeight="1" x14ac:dyDescent="0.15">
      <c r="A199" s="64" t="s">
        <v>103</v>
      </c>
      <c r="B199" s="40">
        <v>5</v>
      </c>
      <c r="C199" s="61" t="s">
        <v>104</v>
      </c>
      <c r="D199" s="38" t="s">
        <v>279</v>
      </c>
      <c r="E199" s="34">
        <f>COMBIN(LEN(SUBSTITUTE(D199,",",))/2,B199-E198)</f>
        <v>209.99999999999997</v>
      </c>
      <c r="F199" s="84"/>
      <c r="G199" s="63"/>
      <c r="H199" s="85"/>
      <c r="I199" s="83"/>
      <c r="J199" s="92"/>
      <c r="K199" s="88"/>
      <c r="L199" s="53"/>
      <c r="M199" s="78" t="str">
        <f>辅助!F199</f>
        <v>01,06,07,08,11</v>
      </c>
      <c r="N199" s="53">
        <v>24217.730000000003</v>
      </c>
      <c r="O199" s="75"/>
      <c r="P199" s="41">
        <f>IF(LEN(SUBSTITUTE(S198,",",))/2=4,SUM(N(ISNUMBER(FIND(LEFT(S198,2),D199,1))),N(ISNUMBER(FIND(MID(S198,4,2),D199,1))),N(ISNUMBER(FIND(MID(S198,7,2),D199,1))),N(ISNUMBER(FIND(RIGHT(S198,2),D199,1)))),IF(LEN(SUBSTITUTE(S198,",",))/2=3,SUM(N(ISNUMBER(FIND(LEFT(S198,2),D199,1))),N(ISNUMBER(FIND(MID(S198,4,2),D199,1))),N(ISNUMBER(FIND(RIGHT(S198,2),D199,1)))),IF(LEN(SUBSTITUTE(S198,",",))/2=2,SUM(N(ISNUMBER(FIND(LEFT(S198,2),D199,1))),N(ISNUMBER(FIND(RIGHT(S198,2),D199,1)))),N(ISNUMBER(FIND(S198,D199,1))))))</f>
        <v>0</v>
      </c>
      <c r="Q199" s="41"/>
      <c r="R199" s="41"/>
      <c r="S199" s="41"/>
      <c r="T199" s="63"/>
      <c r="U199" s="63"/>
      <c r="V199" s="63"/>
    </row>
    <row r="200" spans="1:22" ht="20.100000000000001" customHeight="1" x14ac:dyDescent="0.15">
      <c r="A200" s="64" t="s">
        <v>103</v>
      </c>
      <c r="B200" s="40" t="s">
        <v>82</v>
      </c>
      <c r="C200" s="61" t="s">
        <v>30</v>
      </c>
      <c r="D200" s="38" t="s">
        <v>280</v>
      </c>
      <c r="E200" s="38">
        <f>LEN(SUBSTITUTE(D200,",",))/2</f>
        <v>1</v>
      </c>
      <c r="F200" s="84">
        <v>5</v>
      </c>
      <c r="G200" s="63"/>
      <c r="H200" s="85">
        <v>0</v>
      </c>
      <c r="I200" s="83">
        <f>IF(AND(P200,P201&gt;=(5-E200)),COMBIN(LEN(SUBSTITUTE(D201,",",))/2-P201,B201-5)*K200*F200,0)</f>
        <v>0</v>
      </c>
      <c r="J200" s="92" t="str">
        <f>TRIM(IF(LEN(D200)=0,"-",SUBSTITUTE(D200,","," ")))&amp;","&amp;TRIM(IF(LEN(D201)=0,"-",SUBSTITUTE(D201,","," ")))</f>
        <v>05,01 02 03 04 06 07 08 09 10 11</v>
      </c>
      <c r="K200" s="87">
        <f>N189</f>
        <v>26165.680000000004</v>
      </c>
      <c r="L200" s="53"/>
      <c r="M200" s="78" t="str">
        <f>辅助!F200</f>
        <v>01,06,07,09,10</v>
      </c>
      <c r="N200" s="53">
        <v>24323.880000000005</v>
      </c>
      <c r="O200" s="75"/>
      <c r="P200" s="41" t="b">
        <f>AND(ISNUMBER(FIND(SUBSTITUTE(MID(D200,2,2),",",),P155,1)),ISNUMBER(FIND(SUBSTITUTE(MID(D200,5,2),",",),P155,1)))</f>
        <v>0</v>
      </c>
      <c r="Q200" s="41" t="str">
        <f>IF(P200,IF(FIND(SUBSTITUTE(MID(D200,2,2),",",),P155,1)&lt;3,SUBSTITUTE(P155,MID(D200,2,3),),SUBSTITUTE(P155,LEFT(D200,3),)),"此订单未中奖！")</f>
        <v>此订单未中奖！</v>
      </c>
      <c r="R200" s="41" t="str">
        <f>IF(P200,IF(FIND(SUBSTITUTE(MID(D200,5,2),",",),Q200,1)&lt;3,SUBSTITUTE(Q200,RIGHT(D200,3),),SUBSTITUTE(Q200,MID(D200,4,3),)),"此订单未中奖！")</f>
        <v>此订单未中奖！</v>
      </c>
      <c r="S200" s="41"/>
      <c r="T200" s="63"/>
      <c r="U200" s="63"/>
      <c r="V200" s="63"/>
    </row>
    <row r="201" spans="1:22" ht="20.100000000000001" customHeight="1" x14ac:dyDescent="0.15">
      <c r="A201" s="64" t="s">
        <v>103</v>
      </c>
      <c r="B201" s="40">
        <v>6</v>
      </c>
      <c r="C201" s="61" t="s">
        <v>104</v>
      </c>
      <c r="D201" s="38" t="s">
        <v>281</v>
      </c>
      <c r="E201" s="34">
        <f>COMBIN(LEN(SUBSTITUTE(D201,",",))/2,B201-E200)</f>
        <v>252</v>
      </c>
      <c r="F201" s="84"/>
      <c r="G201" s="63"/>
      <c r="H201" s="85"/>
      <c r="I201" s="83"/>
      <c r="J201" s="92"/>
      <c r="K201" s="88"/>
      <c r="L201" s="53"/>
      <c r="M201" s="78" t="str">
        <f>辅助!F201</f>
        <v>01,06,07,09,11</v>
      </c>
      <c r="N201" s="53">
        <v>24361.130000000005</v>
      </c>
      <c r="O201" s="75"/>
      <c r="P201" s="41">
        <f>IF(LEN(SUBSTITUTE(R200,",",))/2=4,SUM(N(ISNUMBER(FIND(LEFT(R200,2),D201,1))),N(ISNUMBER(FIND(MID(R200,4,2),D201,1))),N(ISNUMBER(FIND(MID(R200,7,2),D201,1))),N(ISNUMBER(FIND(RIGHT(R200,2),D201,1)))),IF(LEN(SUBSTITUTE(R200,",",))/2=3,SUM(N(ISNUMBER(FIND(LEFT(R200,2),D201,1))),N(ISNUMBER(FIND(MID(R200,4,2),D201,1))),N(ISNUMBER(FIND(RIGHT(R200,2),D201,1)))),IF(LEN(SUBSTITUTE(R200,",",))/2=2,SUM(N(ISNUMBER(FIND(LEFT(R200,2),D201,1))),N(ISNUMBER(FIND(RIGHT(R200,2),D201,1)))),N(ISNUMBER(FIND(R200,D201,1))))))</f>
        <v>0</v>
      </c>
      <c r="Q201" s="41"/>
      <c r="R201" s="41"/>
      <c r="S201" s="41"/>
      <c r="T201" s="63"/>
      <c r="U201" s="63"/>
      <c r="V201" s="63"/>
    </row>
    <row r="202" spans="1:22" ht="20.100000000000001" customHeight="1" x14ac:dyDescent="0.15">
      <c r="A202" s="64" t="s">
        <v>103</v>
      </c>
      <c r="B202" s="40" t="s">
        <v>84</v>
      </c>
      <c r="C202" s="61" t="s">
        <v>30</v>
      </c>
      <c r="D202" s="38" t="s">
        <v>282</v>
      </c>
      <c r="E202" s="38">
        <f>LEN(SUBSTITUTE(D202,",",))/2</f>
        <v>1</v>
      </c>
      <c r="F202" s="84">
        <v>4</v>
      </c>
      <c r="G202" s="63"/>
      <c r="H202" s="85">
        <v>0</v>
      </c>
      <c r="I202" s="83">
        <f>IF(AND(P202,P203&gt;=(5-E202)),COMBIN(LEN(SUBSTITUTE(D203,",",))/2-P203,B203-5)*K202*F202,0)</f>
        <v>0</v>
      </c>
      <c r="J202" s="92" t="str">
        <f>TRIM(IF(LEN(D202)=0,"-",SUBSTITUTE(D202,","," ")))&amp;","&amp;TRIM(IF(LEN(D203)=0,"-",SUBSTITUTE(D203,","," ")))</f>
        <v>06,01 02 03 04 05 07 08 09 10 11</v>
      </c>
      <c r="K202" s="87">
        <f>N190</f>
        <v>26271.830000000005</v>
      </c>
      <c r="L202" s="53"/>
      <c r="M202" s="78" t="str">
        <f>辅助!F202</f>
        <v>01,06,07,10,11</v>
      </c>
      <c r="N202" s="53">
        <v>24197.950000000004</v>
      </c>
      <c r="O202" s="75"/>
      <c r="P202" s="41" t="b">
        <f>AND(ISNUMBER(FIND(SUBSTITUTE(MID(D202,2,2),",",),P155,1)),ISNUMBER(FIND(SUBSTITUTE(MID(D202,5,2),",",),P155,1)),ISNUMBER(FIND(SUBSTITUTE(MID(D202,8,2),",",),P155,1)))</f>
        <v>0</v>
      </c>
      <c r="Q202" s="41" t="str">
        <f>IF(P202,IF(FIND(SUBSTITUTE(MID(D202,2,2),",",),P155,1)&lt;3,SUBSTITUTE(P155,MID(D202,2,3),),SUBSTITUTE(P155,LEFT(D202,3),)),"此订单未中奖！")</f>
        <v>此订单未中奖！</v>
      </c>
      <c r="R202" s="41" t="str">
        <f>IF(P202,IF(FIND(SUBSTITUTE(MID(D202,5,2),",",),Q202,1)&lt;3,SUBSTITUTE(Q202,MID(D202,5,3),),SUBSTITUTE(Q202,MID(D202,4,3),)),"此订单未中奖！")</f>
        <v>此订单未中奖！</v>
      </c>
      <c r="S202" s="41" t="str">
        <f>IF(P202,IF(FIND(SUBSTITUTE(MID(D202,8,2),",",),R202,1)&lt;3,SUBSTITUTE(R202,RIGHT(D202,3),),SUBSTITUTE(R202,MID(D202,7,3),)),"此订单未中奖！")</f>
        <v>此订单未中奖！</v>
      </c>
      <c r="T202" s="63"/>
      <c r="U202" s="63"/>
      <c r="V202" s="63"/>
    </row>
    <row r="203" spans="1:22" ht="20.100000000000001" customHeight="1" x14ac:dyDescent="0.15">
      <c r="A203" s="64" t="s">
        <v>103</v>
      </c>
      <c r="B203" s="40">
        <v>7</v>
      </c>
      <c r="C203" s="61" t="s">
        <v>104</v>
      </c>
      <c r="D203" s="38" t="s">
        <v>283</v>
      </c>
      <c r="E203" s="34">
        <f>COMBIN(LEN(SUBSTITUTE(D203,",",))/2,B203-E202)</f>
        <v>209.99999999999997</v>
      </c>
      <c r="F203" s="84"/>
      <c r="G203" s="63"/>
      <c r="H203" s="85"/>
      <c r="I203" s="83"/>
      <c r="J203" s="92"/>
      <c r="K203" s="88"/>
      <c r="L203" s="53"/>
      <c r="M203" s="78" t="str">
        <f>辅助!F203</f>
        <v>01,06,08,09,10</v>
      </c>
      <c r="N203" s="53">
        <v>23386.520000000004</v>
      </c>
      <c r="O203" s="75"/>
      <c r="P203" s="41">
        <f>IF(LEN(SUBSTITUTE(S202,",",))/2=4,SUM(N(ISNUMBER(FIND(LEFT(S202,2),D203,1))),N(ISNUMBER(FIND(MID(S202,4,2),D203,1))),N(ISNUMBER(FIND(MID(S202,7,2),D203,1))),N(ISNUMBER(FIND(RIGHT(S202,2),D203,1)))),IF(LEN(SUBSTITUTE(S202,",",))/2=3,SUM(N(ISNUMBER(FIND(LEFT(S202,2),D203,1))),N(ISNUMBER(FIND(MID(S202,4,2),D203,1))),N(ISNUMBER(FIND(RIGHT(S202,2),D203,1)))),IF(LEN(SUBSTITUTE(S202,",",))/2=2,SUM(N(ISNUMBER(FIND(LEFT(S202,2),D203,1))),N(ISNUMBER(FIND(RIGHT(S202,2),D203,1)))),N(ISNUMBER(FIND(S202,D203,1))))))</f>
        <v>0</v>
      </c>
      <c r="Q203" s="41"/>
      <c r="R203" s="41"/>
      <c r="S203" s="41"/>
      <c r="T203" s="63"/>
      <c r="U203" s="63"/>
      <c r="V203" s="63"/>
    </row>
    <row r="204" spans="1:22" ht="20.100000000000001" customHeight="1" x14ac:dyDescent="0.15">
      <c r="A204" s="64" t="s">
        <v>103</v>
      </c>
      <c r="B204" s="40" t="s">
        <v>86</v>
      </c>
      <c r="C204" s="61" t="s">
        <v>30</v>
      </c>
      <c r="D204" s="38" t="s">
        <v>258</v>
      </c>
      <c r="E204" s="38">
        <f>LEN(SUBSTITUTE(D204,",",))/2</f>
        <v>1</v>
      </c>
      <c r="F204" s="84">
        <v>3</v>
      </c>
      <c r="G204" s="63"/>
      <c r="H204" s="85">
        <v>0</v>
      </c>
      <c r="I204" s="83">
        <f>IF(AND(P204,P205&gt;=(5-E204)),COMBIN(LEN(SUBSTITUTE(D205,",",))/2-P205,B205-5)*K204*F204,0)</f>
        <v>0</v>
      </c>
      <c r="J204" s="92" t="str">
        <f>TRIM(IF(LEN(D204)=0,"-",SUBSTITUTE(D204,","," ")))&amp;","&amp;TRIM(IF(LEN(D205)=0,"-",SUBSTITUTE(D205,","," ")))</f>
        <v>07,01 02 03 04 05 06 09 10 08 11</v>
      </c>
      <c r="K204" s="87">
        <f>N191</f>
        <v>26955.580000000005</v>
      </c>
      <c r="L204" s="53"/>
      <c r="M204" s="78" t="str">
        <f>辅助!F204</f>
        <v>01,06,08,09,11</v>
      </c>
      <c r="N204" s="53">
        <v>23378.920000000002</v>
      </c>
      <c r="O204" s="75"/>
      <c r="P204" s="41" t="b">
        <f>AND(ISNUMBER(FIND(SUBSTITUTE(MID(D204,2,2),",",),P155,1)),ISNUMBER(FIND(SUBSTITUTE(MID(D204,5,2),",",),P155,1)))</f>
        <v>0</v>
      </c>
      <c r="Q204" s="41" t="str">
        <f>IF(P204,IF(FIND(SUBSTITUTE(MID(D204,2,2),",",),P155,1)&lt;3,SUBSTITUTE(P155,MID(D204,2,3),),SUBSTITUTE(P155,LEFT(D204,3),)),"此订单未中奖！")</f>
        <v>此订单未中奖！</v>
      </c>
      <c r="R204" s="41" t="str">
        <f>IF(P204,IF(FIND(SUBSTITUTE(MID(D204,5,2),",",),Q204,1)&lt;3,SUBSTITUTE(Q204,RIGHT(D204,3),),SUBSTITUTE(Q204,MID(D204,4,3),)),"此订单未中奖！")</f>
        <v>此订单未中奖！</v>
      </c>
      <c r="S204" s="41"/>
      <c r="T204" s="63"/>
      <c r="U204" s="63"/>
      <c r="V204" s="63"/>
    </row>
    <row r="205" spans="1:22" ht="20.100000000000001" customHeight="1" x14ac:dyDescent="0.15">
      <c r="A205" s="64" t="s">
        <v>103</v>
      </c>
      <c r="B205" s="40">
        <v>8</v>
      </c>
      <c r="C205" s="61" t="s">
        <v>104</v>
      </c>
      <c r="D205" s="38" t="s">
        <v>284</v>
      </c>
      <c r="E205" s="34">
        <f>COMBIN(LEN(SUBSTITUTE(D205,",",))/2,B205-E204)</f>
        <v>120</v>
      </c>
      <c r="F205" s="84"/>
      <c r="G205" s="63"/>
      <c r="H205" s="85"/>
      <c r="I205" s="83"/>
      <c r="J205" s="92"/>
      <c r="K205" s="88"/>
      <c r="L205" s="53"/>
      <c r="M205" s="78" t="str">
        <f>辅助!F205</f>
        <v>01,06,08,10,11</v>
      </c>
      <c r="N205" s="53">
        <v>23252.15</v>
      </c>
      <c r="O205" s="75"/>
      <c r="P205" s="41">
        <f>IF(LEN(SUBSTITUTE(R204,",",))/2=4,SUM(N(ISNUMBER(FIND(LEFT(R204,2),D205,1))),N(ISNUMBER(FIND(MID(R204,4,2),D205,1))),N(ISNUMBER(FIND(MID(R204,7,2),D205,1))),N(ISNUMBER(FIND(RIGHT(R204,2),D205,1)))),IF(LEN(SUBSTITUTE(R204,",",))/2=3,SUM(N(ISNUMBER(FIND(LEFT(R204,2),D205,1))),N(ISNUMBER(FIND(MID(R204,4,2),D205,1))),N(ISNUMBER(FIND(RIGHT(R204,2),D205,1)))),IF(LEN(SUBSTITUTE(R204,",",))/2=2,SUM(N(ISNUMBER(FIND(LEFT(R204,2),D205,1))),N(ISNUMBER(FIND(RIGHT(R204,2),D205,1)))),N(ISNUMBER(FIND(R204,D205,1))))))</f>
        <v>0</v>
      </c>
      <c r="Q205" s="41"/>
      <c r="R205" s="41"/>
      <c r="S205" s="41"/>
      <c r="T205" s="63"/>
      <c r="U205" s="63"/>
      <c r="V205" s="63"/>
    </row>
    <row r="206" spans="1:22" ht="20.100000000000001" customHeight="1" x14ac:dyDescent="0.15">
      <c r="A206" s="48" t="s">
        <v>23</v>
      </c>
      <c r="B206" s="48" t="s">
        <v>25</v>
      </c>
      <c r="C206" s="47" t="s">
        <v>26</v>
      </c>
      <c r="D206" s="38" t="s">
        <v>256</v>
      </c>
      <c r="E206" s="82">
        <v>45</v>
      </c>
      <c r="F206" s="82">
        <v>2</v>
      </c>
      <c r="G206" s="39">
        <f>IF(AND(ISNUMBER(FIND(P209,D206,1)),LEN($P206)&lt;&gt;0),1,0)</f>
        <v>1</v>
      </c>
      <c r="H206" s="83">
        <f>IF(SUM(G206:G208)=3,1,0)</f>
        <v>1</v>
      </c>
      <c r="I206" s="91">
        <f>H206*K206*F206</f>
        <v>46701.400000000009</v>
      </c>
      <c r="J206" s="86" t="str">
        <f>TRIM(IF(LEN(D206)=0,"-",SUBSTITUTE(D206,","," ")))&amp;","&amp;TRIM(IF(LEN(D207)=0,"-",SUBSTITUTE(D207,","," ")))&amp;","&amp;TRIM(IF(LEN(D208)=0,"-",SUBSTITUTE(D208,","," ")))</f>
        <v>01 02 03 04 05 06 07 08 09 10 11,01 02 03 04 05 06 07 08 09 10 11,01 02 03 04 05 06 07 08 09 10 11</v>
      </c>
      <c r="K206" s="87">
        <f>N206</f>
        <v>23350.700000000004</v>
      </c>
      <c r="L206" s="53">
        <f>I206</f>
        <v>46701.400000000009</v>
      </c>
      <c r="M206" s="78" t="str">
        <f>辅助!F206</f>
        <v>01,06,09,10,11</v>
      </c>
      <c r="N206" s="34">
        <v>23350.700000000004</v>
      </c>
      <c r="O206" s="76"/>
      <c r="P206" s="39" t="str">
        <f>O6</f>
        <v>03,01,10,05,08</v>
      </c>
      <c r="Q206" s="41" t="str">
        <f>SUBSTITUTE(SUBSTITUTE(P206,Q207,),",",)</f>
        <v>03010508</v>
      </c>
      <c r="R206" s="41" t="str">
        <f>SUBSTITUTE(Q206,R207,)</f>
        <v>030105</v>
      </c>
      <c r="S206" s="41" t="str">
        <f>0&amp;MAX(INT(S209),INT(S210),INT(S211))</f>
        <v>05</v>
      </c>
    </row>
    <row r="207" spans="1:22" ht="20.100000000000001" customHeight="1" x14ac:dyDescent="0.15">
      <c r="A207" s="40" t="s">
        <v>23</v>
      </c>
      <c r="B207" s="40" t="s">
        <v>25</v>
      </c>
      <c r="C207" s="39" t="s">
        <v>27</v>
      </c>
      <c r="D207" s="38" t="s">
        <v>254</v>
      </c>
      <c r="E207" s="82"/>
      <c r="F207" s="82"/>
      <c r="G207" s="39">
        <f>IF(AND(ISNUMBER(FIND(P210,D207,1)),LEN($P206)&lt;&gt;0),1,0)</f>
        <v>1</v>
      </c>
      <c r="H207" s="83"/>
      <c r="I207" s="83"/>
      <c r="J207" s="86"/>
      <c r="K207" s="89"/>
      <c r="L207" s="53">
        <f>I209</f>
        <v>0</v>
      </c>
      <c r="M207" s="78" t="str">
        <f>辅助!F207</f>
        <v>01,07,08,09,10</v>
      </c>
      <c r="N207" s="34">
        <v>21784.720000000005</v>
      </c>
      <c r="O207" s="76"/>
      <c r="P207" s="36" t="str">
        <f>SUBSTITUTE(LEFT(P206,8),","," ")</f>
        <v>03 01 10</v>
      </c>
      <c r="Q207" s="41">
        <f>IF(MAX(INT(P209),INT(P210),INT(P211),INT(P212),INT(P213))&lt;10,0&amp;MAX(INT(P209),INT(P210),INT(P211),INT(P212),INT(P213)),MAX(INT(P209),INT(P210),INT(P211),INT(P212),INT(P213)))</f>
        <v>10</v>
      </c>
      <c r="R207" s="41" t="str">
        <f>IF(MAX(INT(R209),INT(R210),INT(R211),INT(R212))&lt;10,0&amp;MAX(INT(R209),INT(R210),INT(R211),INT(R212)),MAX(INT(R209),INT(R210),INT(R211),INT(R212)))</f>
        <v>08</v>
      </c>
      <c r="S207" s="41"/>
    </row>
    <row r="208" spans="1:22" ht="20.100000000000001" customHeight="1" x14ac:dyDescent="0.15">
      <c r="A208" s="40" t="s">
        <v>23</v>
      </c>
      <c r="B208" s="40" t="s">
        <v>25</v>
      </c>
      <c r="C208" s="39" t="s">
        <v>28</v>
      </c>
      <c r="D208" s="38" t="s">
        <v>260</v>
      </c>
      <c r="E208" s="82"/>
      <c r="F208" s="82"/>
      <c r="G208" s="39">
        <f>IF(AND(ISNUMBER(FIND(P211,D208,1)),LEN($P206)&lt;&gt;0),1,0)</f>
        <v>1</v>
      </c>
      <c r="H208" s="83"/>
      <c r="I208" s="83"/>
      <c r="J208" s="86"/>
      <c r="K208" s="88"/>
      <c r="L208" s="53">
        <f>I210</f>
        <v>65465.910000000018</v>
      </c>
      <c r="M208" s="78" t="str">
        <f>辅助!F208</f>
        <v>01,07,08,09,11</v>
      </c>
      <c r="N208" s="34">
        <v>21821.970000000005</v>
      </c>
      <c r="O208" s="76"/>
      <c r="P208" s="36" t="str">
        <f>SUBSTITUTE(LEFT(P207,5),","," ")</f>
        <v>03 01</v>
      </c>
    </row>
    <row r="209" spans="1:21" ht="20.100000000000001" customHeight="1" x14ac:dyDescent="0.15">
      <c r="A209" s="40" t="s">
        <v>23</v>
      </c>
      <c r="B209" s="39" t="s">
        <v>32</v>
      </c>
      <c r="D209" s="38" t="s">
        <v>220</v>
      </c>
      <c r="E209" s="38">
        <f>LEN(SUBSTITUTE(SUBSTITUTE(D209,",",)," ",))/6</f>
        <v>4</v>
      </c>
      <c r="F209" s="38">
        <v>5</v>
      </c>
      <c r="G209" s="39">
        <f>IF(AND(ISNUMBER(FIND(SUBSTITUTE(LEFT(P206,8),","," "),D209,1)),LEN($P206)&lt;&gt;0),1,0)</f>
        <v>0</v>
      </c>
      <c r="H209" s="36">
        <f>G209</f>
        <v>0</v>
      </c>
      <c r="I209" s="36">
        <f>H209*K209*F209</f>
        <v>0</v>
      </c>
      <c r="J209" s="37" t="str">
        <f>TRIM(IF(LEN(D209)=0,"-",SUBSTITUTE(D209," "," ")))</f>
        <v>01 02 03,04 05 06,07 08 09,02 05 07</v>
      </c>
      <c r="K209" s="34">
        <f>N207</f>
        <v>21784.720000000005</v>
      </c>
      <c r="L209" s="53">
        <f>I211</f>
        <v>0</v>
      </c>
      <c r="M209" s="78" t="str">
        <f>辅助!F209</f>
        <v>01,07,08,10,11</v>
      </c>
      <c r="N209" s="34">
        <v>21650.350000000006</v>
      </c>
      <c r="O209" s="76"/>
      <c r="P209" s="36" t="str">
        <f>LEFT(P206,2)</f>
        <v>03</v>
      </c>
      <c r="Q209" s="36">
        <f>MOD(P209,2)</f>
        <v>1</v>
      </c>
      <c r="R209" s="36" t="str">
        <f>LEFT(Q206,2)</f>
        <v>03</v>
      </c>
      <c r="S209" s="36" t="str">
        <f>LEFT(R206,2)</f>
        <v>03</v>
      </c>
    </row>
    <row r="210" spans="1:21" ht="20.100000000000001" customHeight="1" x14ac:dyDescent="0.15">
      <c r="A210" s="40" t="s">
        <v>23</v>
      </c>
      <c r="B210" s="39" t="s">
        <v>35</v>
      </c>
      <c r="C210" s="39" t="s">
        <v>39</v>
      </c>
      <c r="D210" s="38" t="s">
        <v>257</v>
      </c>
      <c r="E210" s="38">
        <f>COMBIN(LEN(SUBSTITUTE(D210,",",))/2,3)</f>
        <v>165</v>
      </c>
      <c r="F210" s="38">
        <v>3</v>
      </c>
      <c r="G210" s="39"/>
      <c r="H210" s="36">
        <v>1</v>
      </c>
      <c r="I210" s="36">
        <f>IF(AND(P209&lt;&gt;P210,P209&lt;&gt;P211,P210&lt;&gt;P211),IF(SUM(N(ISNUMBER(FIND(P209,J210,1))),N(ISNUMBER(FIND(P210,J210,1))),N(ISNUMBER(FIND(P211,J210,1))))=3,F210*K210,0),0)</f>
        <v>65465.910000000018</v>
      </c>
      <c r="J210" s="37" t="str">
        <f>TRIM(IF(LEN('5Of11Source'!D210)=0,"-",SUBSTITUTE('5Of11Source'!D210,","," ")))</f>
        <v>01 02 03 04 05 06 07 08 09 10 11</v>
      </c>
      <c r="K210" s="34">
        <f t="shared" ref="K210:K211" si="24">N208</f>
        <v>21821.970000000005</v>
      </c>
      <c r="L210" s="53">
        <f>I212</f>
        <v>0</v>
      </c>
      <c r="M210" s="78" t="str">
        <f>辅助!F210</f>
        <v>01,07,09,10,11</v>
      </c>
      <c r="N210" s="34">
        <v>21793.750000000007</v>
      </c>
      <c r="O210" s="76"/>
      <c r="P210" s="36" t="str">
        <f>MID(P206,4,2)</f>
        <v>01</v>
      </c>
      <c r="Q210" s="36">
        <f t="shared" ref="Q210:Q213" si="25">MOD(P210,2)</f>
        <v>1</v>
      </c>
      <c r="R210" s="36" t="str">
        <f>MID(Q206,3,2)</f>
        <v>01</v>
      </c>
      <c r="S210" s="36" t="str">
        <f>MID(R206,3,2)</f>
        <v>01</v>
      </c>
    </row>
    <row r="211" spans="1:21" ht="20.100000000000001" customHeight="1" x14ac:dyDescent="0.15">
      <c r="A211" s="40" t="s">
        <v>23</v>
      </c>
      <c r="B211" s="39" t="s">
        <v>36</v>
      </c>
      <c r="D211" s="38" t="s">
        <v>222</v>
      </c>
      <c r="E211" s="38">
        <f>LEN(SUBSTITUTE(SUBSTITUTE(D211,",",)," ",))/6</f>
        <v>4</v>
      </c>
      <c r="F211" s="38">
        <v>4</v>
      </c>
      <c r="G211" s="39"/>
      <c r="I211" s="36">
        <f>IF(OR(ISNUMBER(FIND(P209&amp;" "&amp;P210&amp;" "&amp;P211,D211,1)),ISNUMBER(FIND(P209&amp;" "&amp;P211&amp;" "&amp;P210,D211,1)),ISNUMBER(FIND(P210&amp;" "&amp;P209&amp;" "&amp;P211,D211,1)),ISNUMBER(FIND(P210&amp;" "&amp;P211&amp;" "&amp;P209,D211,1)),ISNUMBER(FIND(P211&amp;" "&amp;P209&amp;" "&amp;P210,D211,1)),ISNUMBER(FIND(P211&amp;" "&amp;P210&amp;" "&amp;P209,D211,1))),F211*K211,0)</f>
        <v>0</v>
      </c>
      <c r="J211" s="37" t="str">
        <f>TRIM(IF(LEN('5Of11Source'!D211)=0,"-",SUBSTITUTE('5Of11Source'!D211,","," ")))</f>
        <v>01 02 03 06 07 08 09 10 11 05 02 07</v>
      </c>
      <c r="K211" s="34">
        <f t="shared" si="24"/>
        <v>21650.350000000006</v>
      </c>
      <c r="L211" s="53">
        <f>I214</f>
        <v>104015.50000000003</v>
      </c>
      <c r="M211" s="78" t="str">
        <f>辅助!F211</f>
        <v>01,08,09,10,11</v>
      </c>
      <c r="N211" s="34">
        <v>20803.100000000006</v>
      </c>
      <c r="O211" s="76"/>
      <c r="P211" s="36" t="str">
        <f>MID(P206,7,2)</f>
        <v>10</v>
      </c>
      <c r="Q211" s="36">
        <f t="shared" si="25"/>
        <v>0</v>
      </c>
      <c r="R211" s="36" t="str">
        <f>MID(Q206,5,2)</f>
        <v>05</v>
      </c>
      <c r="S211" s="36" t="str">
        <f>MID(R206,5,2)</f>
        <v>05</v>
      </c>
    </row>
    <row r="212" spans="1:21" ht="20.100000000000001" customHeight="1" x14ac:dyDescent="0.15">
      <c r="A212" s="40" t="s">
        <v>23</v>
      </c>
      <c r="B212" s="40" t="s">
        <v>38</v>
      </c>
      <c r="C212" s="39" t="s">
        <v>30</v>
      </c>
      <c r="D212" s="38" t="s">
        <v>258</v>
      </c>
      <c r="E212" s="82">
        <f>COMBIN(LEN(SUBSTITUTE(D213,",",))/2,3-LEN(SUBSTITUTE(D212,",",))/2)</f>
        <v>45</v>
      </c>
      <c r="F212" s="82">
        <v>2</v>
      </c>
      <c r="G212" s="36" t="str">
        <f>IF(AND(ISNUMBER(FIND(SUBSTITUTE(MID(D212,2,2),",",),P207,1)),ISNUMBER(FIND(SUBSTITUTE(MID(D212,5,2),",",),P207,1))),SUBSTITUTE(P207,MID(D212,2,2),),"此订单未中奖！")</f>
        <v>此订单未中奖！</v>
      </c>
      <c r="H212" s="36" t="str">
        <f>IF(AND(ISNUMBER(FIND(SUBSTITUTE(MID(D212,2,2),",",),P207,1)),ISNUMBER(FIND(SUBSTITUTE(MID(D212,5,2),",",),P207,1))),SUBSTITUTE(G212,MID(D212,5,2),),"此订单未中奖！")</f>
        <v>此订单未中奖！</v>
      </c>
      <c r="I212" s="90">
        <f>IF(G213&gt;0,G213*K212*F212,0)</f>
        <v>0</v>
      </c>
      <c r="J212" s="86" t="str">
        <f>TRIM(IF(LEN(D212)=0,"-",SUBSTITUTE(D212,","," ")))&amp;","&amp;TRIM(IF(LEN(D213)=0,"-",SUBSTITUTE(D213,","," ")))</f>
        <v>07,01 02 03 04 05 06 08 09 10 11</v>
      </c>
      <c r="K212" s="87">
        <f>N210</f>
        <v>21793.750000000007</v>
      </c>
      <c r="L212" s="53">
        <f>I216</f>
        <v>0</v>
      </c>
      <c r="M212" s="78" t="str">
        <f>辅助!F212</f>
        <v>02,03,04,05,06</v>
      </c>
      <c r="N212" s="34">
        <v>35223.244999999995</v>
      </c>
      <c r="O212" s="76"/>
      <c r="P212" s="36" t="str">
        <f>MID(P206,10,2)</f>
        <v>05</v>
      </c>
      <c r="Q212" s="36">
        <f t="shared" si="25"/>
        <v>1</v>
      </c>
      <c r="R212" s="36" t="str">
        <f>MID(Q206,7,2)</f>
        <v>08</v>
      </c>
    </row>
    <row r="213" spans="1:21" ht="20.100000000000001" customHeight="1" x14ac:dyDescent="0.15">
      <c r="A213" s="40" t="s">
        <v>23</v>
      </c>
      <c r="B213" s="40" t="s">
        <v>38</v>
      </c>
      <c r="C213" s="39" t="s">
        <v>31</v>
      </c>
      <c r="D213" s="38" t="s">
        <v>259</v>
      </c>
      <c r="E213" s="82"/>
      <c r="F213" s="82"/>
      <c r="G213" s="39">
        <f>N(ISNUMBER(FIND(TRIM(H212),D213,1)))</f>
        <v>0</v>
      </c>
      <c r="H213" s="43"/>
      <c r="I213" s="90"/>
      <c r="J213" s="86"/>
      <c r="K213" s="88"/>
      <c r="L213" s="53">
        <f>I217</f>
        <v>33356.07</v>
      </c>
      <c r="M213" s="78" t="str">
        <f>辅助!F213</f>
        <v>02,03,04,05,07</v>
      </c>
      <c r="N213" s="34">
        <v>33356.07</v>
      </c>
      <c r="O213" s="76"/>
      <c r="P213" s="36" t="str">
        <f>RIGHT(P206,2)</f>
        <v>08</v>
      </c>
      <c r="Q213" s="36">
        <f t="shared" si="25"/>
        <v>0</v>
      </c>
    </row>
    <row r="214" spans="1:21" ht="20.100000000000001" customHeight="1" x14ac:dyDescent="0.15">
      <c r="A214" s="40" t="s">
        <v>41</v>
      </c>
      <c r="B214" s="40" t="s">
        <v>43</v>
      </c>
      <c r="C214" s="39" t="s">
        <v>26</v>
      </c>
      <c r="D214" s="38" t="s">
        <v>261</v>
      </c>
      <c r="E214" s="82">
        <f>(LEN(SUBSTITUTE(D214,",",))/2)*(LEN(SUBSTITUTE(D215,",",))/2)</f>
        <v>121</v>
      </c>
      <c r="F214" s="82">
        <v>5</v>
      </c>
      <c r="G214" s="39">
        <f>IF(AND(ISNUMBER(FIND(P209,D214,1)),LEN($P206)&lt;&gt;0),1,0)</f>
        <v>1</v>
      </c>
      <c r="H214" s="83">
        <f>IF(SUM(G214:G215)=2,1,0)</f>
        <v>1</v>
      </c>
      <c r="I214" s="83">
        <f>H214*F214*K214</f>
        <v>104015.50000000003</v>
      </c>
      <c r="J214" s="86" t="str">
        <f>TRIM(IF(LEN(D214)=0,"-",SUBSTITUTE(D214,","," ")))&amp;","&amp;TRIM(IF(LEN(D215)=0,"-",SUBSTITUTE(D215,","," ")))</f>
        <v>01 02 03 04 05 06 07 08 09 10 11,01 02 03 04 05 06 07 08 09 10 11</v>
      </c>
      <c r="K214" s="87">
        <f>N211</f>
        <v>20803.100000000006</v>
      </c>
      <c r="L214" s="53">
        <f>I218</f>
        <v>0</v>
      </c>
      <c r="M214" s="78" t="str">
        <f>辅助!F214</f>
        <v>02,03,04,05,08</v>
      </c>
      <c r="N214" s="34">
        <v>32325.350000000006</v>
      </c>
      <c r="O214" s="76"/>
      <c r="P214" s="36" t="str">
        <f>SUM(Q209:Q213)&amp;"单"&amp;5-SUM(Q209:Q213)&amp;"双"</f>
        <v>3单2双</v>
      </c>
    </row>
    <row r="215" spans="1:21" ht="20.100000000000001" customHeight="1" x14ac:dyDescent="0.15">
      <c r="A215" s="40" t="s">
        <v>41</v>
      </c>
      <c r="B215" s="40" t="s">
        <v>43</v>
      </c>
      <c r="C215" s="39" t="s">
        <v>27</v>
      </c>
      <c r="D215" s="38" t="s">
        <v>255</v>
      </c>
      <c r="E215" s="82"/>
      <c r="F215" s="82"/>
      <c r="G215" s="39">
        <f>IF(AND(ISNUMBER(FIND(P210,D215,1)),LEN($P206)&lt;&gt;0),1,0)</f>
        <v>1</v>
      </c>
      <c r="H215" s="83"/>
      <c r="I215" s="83"/>
      <c r="J215" s="86"/>
      <c r="K215" s="88"/>
      <c r="L215" s="53">
        <f>I219</f>
        <v>96950.25</v>
      </c>
      <c r="M215" s="78" t="str">
        <f>辅助!F215</f>
        <v>02,03,04,05,09</v>
      </c>
      <c r="N215" s="34">
        <v>32316.75</v>
      </c>
      <c r="O215" s="76"/>
    </row>
    <row r="216" spans="1:21" ht="20.100000000000001" customHeight="1" x14ac:dyDescent="0.15">
      <c r="A216" s="40" t="s">
        <v>41</v>
      </c>
      <c r="B216" s="39" t="s">
        <v>45</v>
      </c>
      <c r="D216" s="38" t="s">
        <v>262</v>
      </c>
      <c r="E216" s="38">
        <f>LEN(SUBSTITUTE(SUBSTITUTE(D216,",",)," ",))/4</f>
        <v>5</v>
      </c>
      <c r="F216" s="38">
        <v>3</v>
      </c>
      <c r="G216" s="39">
        <f>IF(AND(ISNUMBER(FIND(SUBSTITUTE(LEFT(P206,5),","," "),D216,1)),LEN($P206)&lt;&gt;0),1,0)</f>
        <v>0</v>
      </c>
      <c r="H216" s="36">
        <f>G216</f>
        <v>0</v>
      </c>
      <c r="I216" s="36">
        <f>H216*F216*K216</f>
        <v>0</v>
      </c>
      <c r="J216" s="37" t="str">
        <f>TRIM(D216)</f>
        <v>01 02,02 05,05 02,07 08,09 10</v>
      </c>
      <c r="K216" s="34">
        <f>N212</f>
        <v>35223.244999999995</v>
      </c>
      <c r="L216" s="53">
        <f>I221</f>
        <v>484865.25000000012</v>
      </c>
      <c r="M216" s="78" t="str">
        <f>辅助!F216</f>
        <v>02,03,04,05,10</v>
      </c>
      <c r="N216" s="34">
        <v>32324.350000000006</v>
      </c>
      <c r="O216" s="76"/>
    </row>
    <row r="217" spans="1:21" ht="20.100000000000001" customHeight="1" x14ac:dyDescent="0.15">
      <c r="A217" s="40" t="s">
        <v>41</v>
      </c>
      <c r="B217" s="39" t="s">
        <v>47</v>
      </c>
      <c r="C217" s="39" t="s">
        <v>53</v>
      </c>
      <c r="D217" s="38" t="s">
        <v>109</v>
      </c>
      <c r="E217" s="38">
        <f>COMBIN(LEN(SUBSTITUTE(D217,",",))/2,2)</f>
        <v>55</v>
      </c>
      <c r="F217" s="38">
        <v>1</v>
      </c>
      <c r="G217" s="39"/>
      <c r="I217" s="36">
        <f>IF(OR(ISNUMBER(FIND(P209,D217,1)),ISNUMBER(FIND(P210,D217,1))),F217*K217,0)</f>
        <v>33356.07</v>
      </c>
      <c r="J217" s="37" t="str">
        <f>TRIM(IF(LEN('5Of11Source'!D217)=0,"-",SUBSTITUTE('5Of11Source'!D217,","," ")))</f>
        <v>01 02 03 04 05 06 07 08 09 10 11</v>
      </c>
      <c r="K217" s="34">
        <f>N213</f>
        <v>33356.07</v>
      </c>
      <c r="L217" s="53">
        <f>I222</f>
        <v>193900.5</v>
      </c>
      <c r="M217" s="78" t="str">
        <f>辅助!F217</f>
        <v>02,03,04,05,11</v>
      </c>
      <c r="N217" s="34">
        <v>32316.75</v>
      </c>
      <c r="O217" s="76"/>
      <c r="P217" s="39" t="s">
        <v>136</v>
      </c>
      <c r="R217" s="37"/>
    </row>
    <row r="218" spans="1:21" ht="20.100000000000001" customHeight="1" x14ac:dyDescent="0.15">
      <c r="A218" s="40" t="s">
        <v>41</v>
      </c>
      <c r="B218" s="39" t="s">
        <v>51</v>
      </c>
      <c r="D218" s="38" t="s">
        <v>225</v>
      </c>
      <c r="E218" s="38">
        <f>LEN(SUBSTITUTE(SUBSTITUTE(D218,",",)," ",))/4-1</f>
        <v>5</v>
      </c>
      <c r="F218" s="38">
        <v>2</v>
      </c>
      <c r="G218" s="39"/>
      <c r="I218" s="36">
        <f>IF(OR(ISNUMBER(FIND(P209&amp;" "&amp;P210,D218,1)),ISNUMBER(FIND(P210&amp;" "&amp;P209,D218,1))),K218*F218,0)</f>
        <v>0</v>
      </c>
      <c r="J218" s="37" t="str">
        <f>TRIM(D218)</f>
        <v>01 02,02 01,05 02,07 08,09 10,11 07</v>
      </c>
      <c r="K218" s="34">
        <f>N214</f>
        <v>32325.350000000006</v>
      </c>
      <c r="L218" s="53">
        <f>I225</f>
        <v>22.05</v>
      </c>
      <c r="M218" s="78" t="str">
        <f>辅助!F218</f>
        <v>02,03,04,06,07</v>
      </c>
      <c r="N218" s="34">
        <v>31452.970000000005</v>
      </c>
      <c r="O218" s="76"/>
      <c r="P218" s="39" t="s">
        <v>137</v>
      </c>
      <c r="Q218" s="39" t="s">
        <v>145</v>
      </c>
      <c r="R218" s="38" t="s">
        <v>146</v>
      </c>
      <c r="S218" s="39" t="s">
        <v>147</v>
      </c>
    </row>
    <row r="219" spans="1:21" ht="20.100000000000001" customHeight="1" x14ac:dyDescent="0.15">
      <c r="A219" s="40" t="s">
        <v>41</v>
      </c>
      <c r="B219" s="40" t="s">
        <v>49</v>
      </c>
      <c r="C219" s="39" t="s">
        <v>30</v>
      </c>
      <c r="D219" s="38" t="str">
        <f>0&amp;1</f>
        <v>01</v>
      </c>
      <c r="E219" s="82">
        <f>LEN(SUBSTITUTE(D220,",",))/2</f>
        <v>10</v>
      </c>
      <c r="F219" s="82">
        <v>3</v>
      </c>
      <c r="G219" s="36" t="str">
        <f>IF(ISNUMBER(FIND(SUBSTITUTE(MID(D219,2,2),",",),P208,1)),SUBSTITUTE(P208,D219,),"此订单未中奖！")</f>
        <v xml:space="preserve">03 </v>
      </c>
      <c r="H219" s="36" t="str">
        <f>IF(ISNUMBER(FIND(SUBSTITUTE(MID(D219,5,2),",",),P208,1)),SUBSTITUTE(G219,D219,),"此订单未中奖！")</f>
        <v xml:space="preserve">03 </v>
      </c>
      <c r="I219" s="90">
        <f>IF(G220&gt;0,G220*K219*F219,0)</f>
        <v>96950.25</v>
      </c>
      <c r="J219" s="86" t="str">
        <f>TRIM(IF(LEN(D219)=0,"-",SUBSTITUTE(D219,","," ")))&amp;","&amp;TRIM(IF(LEN(D220)=0,"-",SUBSTITUTE(D220,","," ")))</f>
        <v>01,02 03 04 05 06 07 08 09 10 11</v>
      </c>
      <c r="K219" s="87">
        <f>N215</f>
        <v>32316.75</v>
      </c>
      <c r="L219" s="53">
        <f t="shared" ref="L219:L228" si="26">I226</f>
        <v>19.78</v>
      </c>
      <c r="M219" s="78" t="str">
        <f>辅助!F219</f>
        <v>02,03,04,06,08</v>
      </c>
      <c r="N219" s="34">
        <v>30533.350000000002</v>
      </c>
      <c r="O219" s="76"/>
      <c r="P219" s="39" t="s">
        <v>138</v>
      </c>
      <c r="Q219" s="36">
        <f>TRUNC(0.154,3)</f>
        <v>0.154</v>
      </c>
      <c r="R219" s="37">
        <f>TRUNC(S219-(9.9-agent!$L$3)*Q219*10,3)</f>
        <v>148.61000000000001</v>
      </c>
      <c r="S219" s="36">
        <f>TRUNC(138.6+Q219*99,3)</f>
        <v>153.846</v>
      </c>
      <c r="T219" s="41">
        <f>IF(ISNUMBER(FIND(P214,P219,1)),R219,0)</f>
        <v>0</v>
      </c>
      <c r="U219" s="36">
        <f>IF(T219=0,0,Q219)</f>
        <v>0</v>
      </c>
    </row>
    <row r="220" spans="1:21" ht="20.100000000000001" customHeight="1" x14ac:dyDescent="0.15">
      <c r="A220" s="40" t="s">
        <v>41</v>
      </c>
      <c r="B220" s="40" t="s">
        <v>49</v>
      </c>
      <c r="C220" s="39" t="s">
        <v>55</v>
      </c>
      <c r="D220" s="38" t="s">
        <v>263</v>
      </c>
      <c r="E220" s="82"/>
      <c r="F220" s="82"/>
      <c r="G220" s="39">
        <f>N(ISNUMBER(FIND(TRIM(H219),D220,1)))</f>
        <v>1</v>
      </c>
      <c r="I220" s="90"/>
      <c r="J220" s="86"/>
      <c r="K220" s="88"/>
      <c r="L220" s="53">
        <f t="shared" si="26"/>
        <v>152068.25000000003</v>
      </c>
      <c r="M220" s="78" t="str">
        <f>辅助!F220</f>
        <v>02,03,04,06,09</v>
      </c>
      <c r="N220" s="34">
        <v>30413.650000000005</v>
      </c>
      <c r="O220" s="76"/>
      <c r="P220" s="39" t="s">
        <v>139</v>
      </c>
      <c r="Q220" s="36">
        <f>TRUNC(0.01242857,3)</f>
        <v>1.2E-2</v>
      </c>
      <c r="R220" s="37">
        <f>TRUNC(S220-(9.9-agent!$L$3)*Q220*10,3)</f>
        <v>11.86</v>
      </c>
      <c r="S220" s="36">
        <f>TRUNC(11.08+Q220*99,3)</f>
        <v>12.268000000000001</v>
      </c>
      <c r="T220" s="41">
        <f>IF(ISNUMBER(FIND(P214,P220,1)),R220,0)</f>
        <v>0</v>
      </c>
      <c r="U220" s="36">
        <f t="shared" ref="U220:U224" si="27">IF(T220=0,0,Q220)</f>
        <v>0</v>
      </c>
    </row>
    <row r="221" spans="1:21" ht="20.100000000000001" customHeight="1" x14ac:dyDescent="0.15">
      <c r="A221" s="39" t="s">
        <v>56</v>
      </c>
      <c r="B221" s="39" t="s">
        <v>58</v>
      </c>
      <c r="C221" s="39" t="s">
        <v>56</v>
      </c>
      <c r="D221" s="38" t="s">
        <v>105</v>
      </c>
      <c r="E221" s="38">
        <f>LEN(SUBSTITUTE(D221,",",))/2</f>
        <v>11</v>
      </c>
      <c r="F221" s="38">
        <v>5</v>
      </c>
      <c r="G221" s="39"/>
      <c r="I221" s="36">
        <f>(N(ISNUMBER(FIND(P209,D221,1)))+N(ISNUMBER(FIND(P210,D221,1)))+N(ISNUMBER(FIND(P211,D221,1))))*F221*K221</f>
        <v>484865.25000000012</v>
      </c>
      <c r="J221" s="37" t="str">
        <f>TRIM(IF(LEN('5Of11Source'!D221)=0,"-",SUBSTITUTE('5Of11Source'!D221,","," ")))</f>
        <v>01 02 03 04 05 06 07 08 09 10 11</v>
      </c>
      <c r="K221" s="34">
        <f>N216</f>
        <v>32324.350000000006</v>
      </c>
      <c r="L221" s="53">
        <f t="shared" si="26"/>
        <v>610647</v>
      </c>
      <c r="M221" s="78" t="str">
        <f>辅助!F221</f>
        <v>02,03,04,06,10</v>
      </c>
      <c r="N221" s="34">
        <v>30532.350000000002</v>
      </c>
      <c r="O221" s="76"/>
      <c r="P221" s="39" t="s">
        <v>140</v>
      </c>
      <c r="Q221" s="36">
        <f>TRUNC(0.0047,3)</f>
        <v>4.0000000000000001E-3</v>
      </c>
      <c r="R221" s="37">
        <f>TRUNC(S221-(9.9-agent!$L$3)*Q221*10,3)</f>
        <v>4.41</v>
      </c>
      <c r="S221" s="36">
        <f>TRUNC(4.15+Q221*99,3)</f>
        <v>4.5460000000000003</v>
      </c>
      <c r="T221" s="41">
        <f>IF(ISNUMBER(FIND(P214,P221,1)),R221,0)</f>
        <v>4.41</v>
      </c>
      <c r="U221" s="36">
        <f t="shared" si="27"/>
        <v>4.0000000000000001E-3</v>
      </c>
    </row>
    <row r="222" spans="1:21" ht="20.100000000000001" customHeight="1" x14ac:dyDescent="0.15">
      <c r="A222" s="40" t="s">
        <v>60</v>
      </c>
      <c r="B222" s="40" t="s">
        <v>61</v>
      </c>
      <c r="C222" s="39" t="s">
        <v>26</v>
      </c>
      <c r="D222" s="38" t="s">
        <v>253</v>
      </c>
      <c r="E222" s="79">
        <f>LEN(SUBSTITUTE(D222,",",))/2+LEN(SUBSTITUTE(D223,",",))/2+LEN(SUBSTITUTE(D224,",",))/2</f>
        <v>33</v>
      </c>
      <c r="F222" s="82">
        <v>2</v>
      </c>
      <c r="I222" s="83">
        <f>(N(ISNUMBER(FIND(P209,D222,1)))+N(ISNUMBER(FIND(P210,D223,1)))+N(ISNUMBER(FIND(P211,D224,1))))*F222*K222</f>
        <v>193900.5</v>
      </c>
      <c r="J222" s="86" t="str">
        <f>TRIM(IF(LEN(D222)=0,"-",SUBSTITUTE(D222,","," ")))&amp;","&amp;TRIM(IF(LEN(D223)=0,"-",SUBSTITUTE(D223,","," ")))&amp;","&amp;TRIM(IF(LEN(D224)=0,"-",SUBSTITUTE(D224,","," ")))</f>
        <v>01 02 03 04 05 06 07 08 09 10 11,01 02 03 04 05 06 07 08 09 10 11,01 02 03 04 05 06 07 08 09 10 11</v>
      </c>
      <c r="K222" s="87">
        <f>N217</f>
        <v>32316.75</v>
      </c>
      <c r="L222" s="53">
        <f t="shared" si="26"/>
        <v>912409.50000000012</v>
      </c>
      <c r="M222" s="78" t="str">
        <f>辅助!F222</f>
        <v>02,03,04,06,11</v>
      </c>
      <c r="N222" s="34">
        <v>30413.650000000005</v>
      </c>
      <c r="O222" s="76"/>
      <c r="P222" s="39" t="s">
        <v>141</v>
      </c>
      <c r="Q222" s="36">
        <f>TRUNC(0.006142857,3)</f>
        <v>6.0000000000000001E-3</v>
      </c>
      <c r="R222" s="37">
        <f>TRUNC(S222-(9.9-agent!$L$3)*Q222*10,3)</f>
        <v>5.93</v>
      </c>
      <c r="S222" s="36">
        <f>TRUNC(5.54+Q222*99,3)</f>
        <v>6.1340000000000003</v>
      </c>
      <c r="T222" s="41">
        <f>IF(ISNUMBER(FIND(P214,P222,1)),R222,0)</f>
        <v>0</v>
      </c>
      <c r="U222" s="36">
        <f t="shared" si="27"/>
        <v>0</v>
      </c>
    </row>
    <row r="223" spans="1:21" ht="20.100000000000001" customHeight="1" x14ac:dyDescent="0.15">
      <c r="A223" s="40" t="s">
        <v>60</v>
      </c>
      <c r="B223" s="40" t="s">
        <v>61</v>
      </c>
      <c r="C223" s="39" t="s">
        <v>27</v>
      </c>
      <c r="D223" s="38" t="s">
        <v>105</v>
      </c>
      <c r="E223" s="80"/>
      <c r="F223" s="82"/>
      <c r="I223" s="83"/>
      <c r="J223" s="86"/>
      <c r="K223" s="89"/>
      <c r="L223" s="53">
        <f t="shared" si="26"/>
        <v>720511.25000000023</v>
      </c>
      <c r="M223" s="78" t="str">
        <f>辅助!F223</f>
        <v>02,03,04,07,08</v>
      </c>
      <c r="N223" s="34">
        <v>28820.450000000008</v>
      </c>
      <c r="O223" s="76"/>
      <c r="P223" s="39" t="s">
        <v>142</v>
      </c>
      <c r="Q223" s="36">
        <f>TRUNC(0.0307,3)</f>
        <v>0.03</v>
      </c>
      <c r="R223" s="37">
        <f>TRUNC(S223-(9.9-agent!$L$3)*Q223*10,3)</f>
        <v>29.67</v>
      </c>
      <c r="S223" s="36">
        <f>TRUNC(27.72+Q223*99,3)</f>
        <v>30.69</v>
      </c>
      <c r="T223" s="41">
        <f>IF(ISNUMBER(FIND(P214,P223,1)),R223,0)</f>
        <v>0</v>
      </c>
      <c r="U223" s="36">
        <f t="shared" si="27"/>
        <v>0</v>
      </c>
    </row>
    <row r="224" spans="1:21" ht="20.100000000000001" customHeight="1" x14ac:dyDescent="0.15">
      <c r="A224" s="40" t="s">
        <v>60</v>
      </c>
      <c r="B224" s="40" t="s">
        <v>61</v>
      </c>
      <c r="C224" s="39" t="s">
        <v>28</v>
      </c>
      <c r="D224" s="38" t="s">
        <v>105</v>
      </c>
      <c r="E224" s="81"/>
      <c r="F224" s="82"/>
      <c r="I224" s="83"/>
      <c r="J224" s="86"/>
      <c r="K224" s="88"/>
      <c r="L224" s="53">
        <f t="shared" si="26"/>
        <v>115247.40000000001</v>
      </c>
      <c r="M224" s="78" t="str">
        <f>辅助!F224</f>
        <v>02,03,04,07,09</v>
      </c>
      <c r="N224" s="34">
        <v>28811.850000000002</v>
      </c>
      <c r="O224" s="76"/>
      <c r="P224" s="39" t="s">
        <v>143</v>
      </c>
      <c r="Q224" s="36">
        <f>TRUNC(0.924,3)</f>
        <v>0.92400000000000004</v>
      </c>
      <c r="R224" s="37">
        <f>TRUNC(S224-(9.9-agent!$L$3)*Q224*10,3)</f>
        <v>891.66</v>
      </c>
      <c r="S224" s="36">
        <f>TRUNC(831.6+Q224*99,3)</f>
        <v>923.07600000000002</v>
      </c>
      <c r="T224" s="41">
        <f>IF(ISNUMBER(FIND(P214,P224,1)),R224,0)</f>
        <v>0</v>
      </c>
      <c r="U224" s="36">
        <f t="shared" si="27"/>
        <v>0</v>
      </c>
    </row>
    <row r="225" spans="1:21" ht="20.100000000000001" customHeight="1" x14ac:dyDescent="0.15">
      <c r="A225" s="40" t="s">
        <v>63</v>
      </c>
      <c r="B225" s="39" t="s">
        <v>65</v>
      </c>
      <c r="C225" s="39" t="s">
        <v>66</v>
      </c>
      <c r="D225" s="38" t="s">
        <v>110</v>
      </c>
      <c r="E225" s="38">
        <v>6</v>
      </c>
      <c r="F225" s="38">
        <v>5</v>
      </c>
      <c r="G225" s="39"/>
      <c r="I225" s="36">
        <f>N(ISNUMBER(FIND(P214,D225,1)))*F225*K225</f>
        <v>22.05</v>
      </c>
      <c r="J225" s="37" t="str">
        <f>TRIM(IF(LEN('5Of11Source'!D225)=0,"-",SUBSTITUTE('5Of11Source'!D225,","," ")))</f>
        <v>5单0双 4单1双 3单2双 2单3双 1单4双 0单5双</v>
      </c>
      <c r="K225" s="38">
        <f>SUM(T219:T224)</f>
        <v>4.41</v>
      </c>
      <c r="L225" s="53">
        <f t="shared" si="26"/>
        <v>691666.80000000016</v>
      </c>
      <c r="M225" s="78" t="str">
        <f>辅助!F225</f>
        <v>02,03,04,07,10</v>
      </c>
      <c r="N225" s="34">
        <v>28819.450000000008</v>
      </c>
      <c r="O225" s="76"/>
      <c r="P225" s="39" t="s">
        <v>144</v>
      </c>
      <c r="R225" s="37"/>
      <c r="T225" s="41"/>
    </row>
    <row r="226" spans="1:21" ht="20.100000000000001" customHeight="1" x14ac:dyDescent="0.15">
      <c r="A226" s="40" t="s">
        <v>63</v>
      </c>
      <c r="B226" s="39" t="s">
        <v>68</v>
      </c>
      <c r="C226" s="39" t="s">
        <v>68</v>
      </c>
      <c r="D226" s="38" t="s">
        <v>111</v>
      </c>
      <c r="E226" s="38">
        <f>LEN(SUBSTITUTE(D226,",",))/2</f>
        <v>7</v>
      </c>
      <c r="F226" s="38">
        <v>2</v>
      </c>
      <c r="I226" s="36">
        <f>N(ISNUMBER(FIND(S206,D226,1)))*F226*K226</f>
        <v>19.78</v>
      </c>
      <c r="J226" s="37" t="str">
        <f>TRIM(IF(LEN('5Of11Source'!D226)=0,"-",SUBSTITUTE('5Of11Source'!D226,","," ")))</f>
        <v>03 04 05 06 07 08 09</v>
      </c>
      <c r="K226" s="37">
        <f>SUM(T226:T229)</f>
        <v>9.89</v>
      </c>
      <c r="L226" s="53">
        <f t="shared" si="26"/>
        <v>1296533.25</v>
      </c>
      <c r="M226" s="78" t="str">
        <f>辅助!F226</f>
        <v>02,03,04,07,11</v>
      </c>
      <c r="N226" s="34">
        <v>28811.850000000002</v>
      </c>
      <c r="O226" s="76"/>
      <c r="P226" s="44" t="str">
        <f>0&amp;3&amp;"/"&amp;0&amp;9</f>
        <v>03/09</v>
      </c>
      <c r="Q226" s="36">
        <f>TRUNC(0.033,3)</f>
        <v>3.3000000000000002E-2</v>
      </c>
      <c r="R226" s="37">
        <f>TRUNC(S226-(9.9-agent!$L$3)*Q226*10,3)</f>
        <v>31.844999999999999</v>
      </c>
      <c r="S226" s="36">
        <f>TRUNC(29.7+Q226*99,3)</f>
        <v>32.966999999999999</v>
      </c>
      <c r="T226" s="42">
        <f>IF(ISNUMBER(FIND(S206,P226,1)),R226,0)</f>
        <v>0</v>
      </c>
      <c r="U226" s="36">
        <f t="shared" ref="U226:U229" si="28">IF(T226=0,0,Q226)</f>
        <v>0</v>
      </c>
    </row>
    <row r="227" spans="1:21" ht="20.100000000000001" customHeight="1" x14ac:dyDescent="0.15">
      <c r="A227" s="40" t="s">
        <v>70</v>
      </c>
      <c r="B227" s="39" t="s">
        <v>72</v>
      </c>
      <c r="C227" s="39" t="s">
        <v>87</v>
      </c>
      <c r="D227" s="38" t="s">
        <v>266</v>
      </c>
      <c r="E227" s="38">
        <f t="shared" ref="E227" si="29">LEN(SUBSTITUTE(D227,",",))/2</f>
        <v>11</v>
      </c>
      <c r="F227" s="38">
        <v>1</v>
      </c>
      <c r="I227" s="36">
        <f>(N(ISNUMBER(FIND(P209,D227,1)))+N(ISNUMBER(FIND(P210,D227,1)))+N(ISNUMBER(FIND(P211,D227,1)))+N(ISNUMBER(FIND(P212,D227,1)))+N(ISNUMBER(FIND(P213,D227,1))))*F227*K227</f>
        <v>152068.25000000003</v>
      </c>
      <c r="J227" s="37" t="str">
        <f>TRIM(IF(LEN('5Of11Source'!D227)=0,"-",SUBSTITUTE('5Of11Source'!D227,","," ")))</f>
        <v>01 02 03 04 05 06 07 08 09 10 11</v>
      </c>
      <c r="K227" s="34">
        <f t="shared" ref="K227:K237" si="30">N220</f>
        <v>30413.650000000005</v>
      </c>
      <c r="L227" s="53">
        <f t="shared" si="26"/>
        <v>1671963.0000000005</v>
      </c>
      <c r="M227" s="78" t="str">
        <f>辅助!F227</f>
        <v>02,03,04,08,09</v>
      </c>
      <c r="N227" s="34">
        <v>27866.050000000007</v>
      </c>
      <c r="O227" s="76"/>
      <c r="P227" s="45" t="str">
        <f>0&amp;4&amp;"/"&amp;0&amp;8</f>
        <v>04/08</v>
      </c>
      <c r="Q227" s="36">
        <f>TRUNC(0.01457,3)</f>
        <v>1.4E-2</v>
      </c>
      <c r="R227" s="37">
        <f>TRUNC(S227-(9.9-agent!$L$3)*Q227*10,3)</f>
        <v>14.11</v>
      </c>
      <c r="S227" s="36">
        <f>TRUNC(13.2+Q227*99,3)</f>
        <v>14.586</v>
      </c>
      <c r="T227" s="42">
        <f>IF(ISNUMBER(FIND(S206,P227,1)),R227,0)</f>
        <v>0</v>
      </c>
      <c r="U227" s="36">
        <f t="shared" si="28"/>
        <v>0</v>
      </c>
    </row>
    <row r="228" spans="1:21" ht="20.100000000000001" customHeight="1" x14ac:dyDescent="0.15">
      <c r="A228" s="40" t="s">
        <v>70</v>
      </c>
      <c r="B228" s="39" t="s">
        <v>74</v>
      </c>
      <c r="C228" s="39" t="s">
        <v>88</v>
      </c>
      <c r="D228" s="38" t="s">
        <v>264</v>
      </c>
      <c r="E228" s="38">
        <f>COMBIN(LEN(SUBSTITUTE(D228,",",))/2,2)</f>
        <v>55</v>
      </c>
      <c r="F228" s="38">
        <v>2</v>
      </c>
      <c r="I228" s="46">
        <f>COMBIN(5,2)*F228*K228</f>
        <v>610647</v>
      </c>
      <c r="J228" s="37" t="str">
        <f>TRIM(IF(LEN('5Of11Source'!D228)=0,"-",SUBSTITUTE('5Of11Source'!D228,","," ")))</f>
        <v>01 02 03 04 05 06 07 08 09 10 11</v>
      </c>
      <c r="K228" s="34">
        <f t="shared" si="30"/>
        <v>30532.350000000002</v>
      </c>
      <c r="L228" s="53">
        <f t="shared" si="26"/>
        <v>559695.00000000012</v>
      </c>
      <c r="M228" s="78" t="str">
        <f>辅助!F228</f>
        <v>02,03,04,08,10</v>
      </c>
      <c r="N228" s="34">
        <v>27984.750000000004</v>
      </c>
      <c r="O228" s="76"/>
      <c r="P228" s="45" t="str">
        <f>0&amp;5&amp;"/"&amp;0&amp;7</f>
        <v>05/07</v>
      </c>
      <c r="Q228" s="36">
        <f>TRUNC(0.010142857,3)</f>
        <v>0.01</v>
      </c>
      <c r="R228" s="37">
        <f>TRUNC(S228-(9.9-agent!$L$3)*Q228*10,3)</f>
        <v>9.89</v>
      </c>
      <c r="S228" s="36">
        <f>TRUNC(9.24+Q228*99,3)</f>
        <v>10.23</v>
      </c>
      <c r="T228" s="42">
        <f>IF(ISNUMBER(FIND(S206,P228,1)),R228,0)</f>
        <v>9.89</v>
      </c>
      <c r="U228" s="36">
        <f t="shared" si="28"/>
        <v>0.01</v>
      </c>
    </row>
    <row r="229" spans="1:21" ht="20.100000000000001" customHeight="1" x14ac:dyDescent="0.15">
      <c r="A229" s="40" t="s">
        <v>70</v>
      </c>
      <c r="B229" s="39" t="s">
        <v>76</v>
      </c>
      <c r="C229" s="39" t="s">
        <v>89</v>
      </c>
      <c r="D229" s="38" t="s">
        <v>264</v>
      </c>
      <c r="E229" s="38">
        <f>COMBIN(LEN(SUBSTITUTE(D229,",",))/2,3)</f>
        <v>165</v>
      </c>
      <c r="F229" s="38">
        <v>3</v>
      </c>
      <c r="I229" s="46">
        <f>COMBIN(5,3)*F229*K229</f>
        <v>912409.50000000012</v>
      </c>
      <c r="J229" s="37" t="str">
        <f>TRIM(IF(LEN('5Of11Source'!D229)=0,"-",SUBSTITUTE('5Of11Source'!D229,","," ")))</f>
        <v>01 02 03 04 05 06 07 08 09 10 11</v>
      </c>
      <c r="K229" s="34">
        <f t="shared" si="30"/>
        <v>30413.650000000005</v>
      </c>
      <c r="L229" s="53">
        <f>I236</f>
        <v>0</v>
      </c>
      <c r="M229" s="78" t="str">
        <f>辅助!F229</f>
        <v>02,03,04,08,11</v>
      </c>
      <c r="N229" s="34">
        <v>27866.050000000007</v>
      </c>
      <c r="O229" s="76"/>
      <c r="P229" s="39" t="str">
        <f>0&amp;6</f>
        <v>06</v>
      </c>
      <c r="Q229" s="36">
        <f>TRUNC(0.0092857,3)</f>
        <v>8.9999999999999993E-3</v>
      </c>
      <c r="R229" s="37">
        <f>TRUNC(S229-(9.9-agent!$L$3)*Q229*10,3)</f>
        <v>8.8949999999999996</v>
      </c>
      <c r="S229" s="36">
        <f>TRUNC(8.31+Q229*99,3)</f>
        <v>9.2010000000000005</v>
      </c>
      <c r="T229" s="42">
        <f>IF(ISNUMBER(FIND(S206,P229,1)),R229,0)</f>
        <v>0</v>
      </c>
      <c r="U229" s="36">
        <f t="shared" si="28"/>
        <v>0</v>
      </c>
    </row>
    <row r="230" spans="1:21" ht="20.100000000000001" customHeight="1" x14ac:dyDescent="0.15">
      <c r="A230" s="40" t="s">
        <v>70</v>
      </c>
      <c r="B230" s="39" t="s">
        <v>78</v>
      </c>
      <c r="C230" s="39" t="s">
        <v>90</v>
      </c>
      <c r="D230" s="38" t="s">
        <v>267</v>
      </c>
      <c r="E230" s="38">
        <f>COMBIN(LEN(SUBSTITUTE(D230,",",))/2,4)</f>
        <v>330</v>
      </c>
      <c r="F230" s="38">
        <v>5</v>
      </c>
      <c r="H230" s="43"/>
      <c r="I230" s="46">
        <f>COMBIN(5,4)*F230*K230</f>
        <v>720511.25000000023</v>
      </c>
      <c r="J230" s="37" t="str">
        <f>TRIM(IF(LEN('5Of11Source'!D230)=0,"-",SUBSTITUTE('5Of11Source'!D230,","," ")))</f>
        <v>01 02 03 04 05 06 07 08 09 10 11</v>
      </c>
      <c r="K230" s="34">
        <f t="shared" si="30"/>
        <v>28820.450000000008</v>
      </c>
      <c r="L230" s="53">
        <f t="shared" ref="L230:L235" si="31">I237</f>
        <v>0</v>
      </c>
      <c r="M230" s="78" t="str">
        <f>辅助!F230</f>
        <v>02,03,04,09,10</v>
      </c>
      <c r="N230" s="34">
        <v>27866.050000000007</v>
      </c>
      <c r="O230" s="76"/>
    </row>
    <row r="231" spans="1:21" ht="20.100000000000001" customHeight="1" x14ac:dyDescent="0.15">
      <c r="A231" s="40" t="s">
        <v>70</v>
      </c>
      <c r="B231" s="39" t="s">
        <v>80</v>
      </c>
      <c r="C231" s="39" t="s">
        <v>91</v>
      </c>
      <c r="D231" s="38" t="s">
        <v>266</v>
      </c>
      <c r="E231" s="38">
        <f>COMBIN(LEN(SUBSTITUTE(D231,",",))/2,5)</f>
        <v>461.99999999999994</v>
      </c>
      <c r="F231" s="38">
        <v>4</v>
      </c>
      <c r="H231" s="43"/>
      <c r="I231" s="36">
        <f>(N(AND(ISNUMBER(FIND(P209,D231,1)),ISNUMBER(FIND(P210,D231,1)),ISNUMBER(FIND(P211,D231,1)),ISNUMBER(FIND(P212,D231,1)),ISNUMBER(FIND(P213,D231,1)))))*F231*K231</f>
        <v>115247.40000000001</v>
      </c>
      <c r="J231" s="37" t="str">
        <f>TRIM(IF(LEN('5Of11Source'!D231)=0,"-",SUBSTITUTE('5Of11Source'!D231,","," ")))</f>
        <v>01 02 03 04 05 06 07 08 09 10 11</v>
      </c>
      <c r="K231" s="34">
        <f t="shared" si="30"/>
        <v>28811.850000000002</v>
      </c>
      <c r="L231" s="53">
        <f t="shared" si="31"/>
        <v>0</v>
      </c>
      <c r="M231" s="78" t="str">
        <f>辅助!F231</f>
        <v>02,03,04,09,11</v>
      </c>
      <c r="N231" s="34">
        <v>27858.45</v>
      </c>
      <c r="O231" s="76"/>
    </row>
    <row r="232" spans="1:21" ht="20.100000000000001" customHeight="1" x14ac:dyDescent="0.15">
      <c r="A232" s="40" t="s">
        <v>70</v>
      </c>
      <c r="B232" s="39" t="s">
        <v>82</v>
      </c>
      <c r="C232" s="39" t="s">
        <v>92</v>
      </c>
      <c r="D232" s="38" t="s">
        <v>254</v>
      </c>
      <c r="E232" s="38">
        <f>COMBIN(LEN(SUBSTITUTE(D232,",",))/2,6)</f>
        <v>461.99999999999994</v>
      </c>
      <c r="F232" s="38">
        <v>4</v>
      </c>
      <c r="I232" s="36">
        <f>IF(AND(ISNUMBER(FIND(P209,D232,1)),ISNUMBER(FIND(P210,D232,1)),ISNUMBER(FIND(P211,D232,1)),ISNUMBER(FIND(P212,D232,1)),ISNUMBER(FIND(P213,D232,1))),(LEN(SUBSTITUTE(D232,",",))-10)/2*F232*K232,0)</f>
        <v>691666.80000000016</v>
      </c>
      <c r="J232" s="37" t="str">
        <f>TRIM(IF(LEN('5Of11Source'!D232)=0,"-",SUBSTITUTE('5Of11Source'!D232,","," ")))</f>
        <v>01 02 03 04 05 06 07 08 09 10 11</v>
      </c>
      <c r="K232" s="34">
        <f t="shared" si="30"/>
        <v>28819.450000000008</v>
      </c>
      <c r="L232" s="53">
        <f t="shared" si="31"/>
        <v>0</v>
      </c>
      <c r="M232" s="78" t="str">
        <f>辅助!F232</f>
        <v>02,03,04,10,11</v>
      </c>
      <c r="N232" s="34">
        <v>27866.050000000007</v>
      </c>
      <c r="O232" s="76"/>
    </row>
    <row r="233" spans="1:21" ht="20.100000000000001" customHeight="1" x14ac:dyDescent="0.15">
      <c r="A233" s="40" t="s">
        <v>70</v>
      </c>
      <c r="B233" s="39" t="s">
        <v>84</v>
      </c>
      <c r="C233" s="39" t="s">
        <v>93</v>
      </c>
      <c r="D233" s="38" t="s">
        <v>265</v>
      </c>
      <c r="E233" s="38">
        <f>COMBIN(LEN(SUBSTITUTE(D233,",",))/2,7)</f>
        <v>330</v>
      </c>
      <c r="F233" s="38">
        <v>3</v>
      </c>
      <c r="I233" s="36">
        <f>IF(AND(ISNUMBER(FIND(P209,D233,1)),ISNUMBER(FIND(P210,D233,1)),ISNUMBER(FIND(P211,D233,1)),ISNUMBER(FIND(P212,D233,1)),ISNUMBER(FIND(P213,D233,1))),COMBIN((LEN(SUBSTITUTE(D233,",",))-10)/2,2)*F233*K233,0)</f>
        <v>1296533.25</v>
      </c>
      <c r="J233" s="37" t="str">
        <f>TRIM(IF(LEN('5Of11Source'!D233)=0,"-",SUBSTITUTE('5Of11Source'!D233,","," ")))</f>
        <v>01 02 03 04 05 06 07 08 09 10 11</v>
      </c>
      <c r="K233" s="34">
        <f t="shared" si="30"/>
        <v>28811.850000000002</v>
      </c>
      <c r="L233" s="53">
        <f t="shared" si="31"/>
        <v>0</v>
      </c>
      <c r="M233" s="78" t="str">
        <f>辅助!F233</f>
        <v>02,03,05,06,07</v>
      </c>
      <c r="N233" s="34">
        <v>31436.930000000004</v>
      </c>
      <c r="O233" s="76"/>
    </row>
    <row r="234" spans="1:21" ht="20.100000000000001" customHeight="1" x14ac:dyDescent="0.15">
      <c r="A234" s="40" t="s">
        <v>70</v>
      </c>
      <c r="B234" s="39" t="s">
        <v>86</v>
      </c>
      <c r="C234" s="39" t="s">
        <v>94</v>
      </c>
      <c r="D234" s="38" t="s">
        <v>264</v>
      </c>
      <c r="E234" s="38">
        <f>COMBIN(LEN(SUBSTITUTE(D234,",",))/2,8)</f>
        <v>165</v>
      </c>
      <c r="F234" s="38">
        <v>3</v>
      </c>
      <c r="I234" s="36">
        <f>IF(AND(ISNUMBER(FIND(P209,D234,1)),ISNUMBER(FIND(P210,D234,1)),ISNUMBER(FIND(P211,D234,1)),ISNUMBER(FIND(P212,D234,1)),ISNUMBER(FIND(P213,D234,1))),COMBIN((LEN(SUBSTITUTE(D234,",",))-10)/2,3)*F234*K234,0)</f>
        <v>1671963.0000000005</v>
      </c>
      <c r="J234" s="37" t="str">
        <f>TRIM(IF(LEN('5Of11Source'!D234)=0,"-",SUBSTITUTE('5Of11Source'!D234,","," ")))</f>
        <v>01 02 03 04 05 06 07 08 09 10 11</v>
      </c>
      <c r="K234" s="34">
        <f t="shared" si="30"/>
        <v>27866.050000000007</v>
      </c>
      <c r="L234" s="53">
        <f t="shared" si="31"/>
        <v>0</v>
      </c>
      <c r="M234" s="78" t="str">
        <f>辅助!F234</f>
        <v>02,03,05,06,08</v>
      </c>
      <c r="N234" s="34">
        <v>30406.210000000003</v>
      </c>
      <c r="O234" s="76"/>
    </row>
    <row r="235" spans="1:21" ht="20.100000000000001" customHeight="1" x14ac:dyDescent="0.15">
      <c r="A235" s="40" t="s">
        <v>96</v>
      </c>
      <c r="B235" s="39" t="s">
        <v>72</v>
      </c>
      <c r="C235" s="39" t="s">
        <v>97</v>
      </c>
      <c r="D235" s="38" t="s">
        <v>256</v>
      </c>
      <c r="E235" s="38">
        <f>LEN(SUBSTITUTE(D235,",",))/2</f>
        <v>11</v>
      </c>
      <c r="F235" s="38">
        <v>4</v>
      </c>
      <c r="I235" s="36">
        <f>(N(ISNUMBER(FIND(P209,D235,1)))+N(ISNUMBER(FIND(P210,D235,1)))+N(ISNUMBER(FIND(P211,D235,1)))+N(ISNUMBER(FIND(P212,D235,1)))+N(ISNUMBER(FIND(P213,D235,1))))*F235*K235</f>
        <v>559695.00000000012</v>
      </c>
      <c r="J235" s="37" t="str">
        <f>TRIM(IF(LEN('5Of11Source'!D235)=0,"-",D235))</f>
        <v>,01,02,03,04,05,06,07,08,09,10,11,</v>
      </c>
      <c r="K235" s="34">
        <f t="shared" si="30"/>
        <v>27984.750000000004</v>
      </c>
      <c r="L235" s="53">
        <f t="shared" si="31"/>
        <v>0</v>
      </c>
      <c r="M235" s="78" t="str">
        <f>辅助!F235</f>
        <v>02,03,05,06,09</v>
      </c>
      <c r="N235" s="34">
        <v>30397.610000000004</v>
      </c>
      <c r="O235" s="76"/>
    </row>
    <row r="236" spans="1:21" ht="20.100000000000001" customHeight="1" x14ac:dyDescent="0.15">
      <c r="A236" s="40" t="s">
        <v>96</v>
      </c>
      <c r="B236" s="39" t="s">
        <v>74</v>
      </c>
      <c r="C236" s="36" t="s">
        <v>11</v>
      </c>
      <c r="D236" s="38" t="s">
        <v>268</v>
      </c>
      <c r="E236" s="38">
        <f>LEN(SUBSTITUTE(SUBSTITUTE(D236,",",)," ",))/4</f>
        <v>5</v>
      </c>
      <c r="F236" s="38">
        <v>5</v>
      </c>
      <c r="I236" s="36">
        <f>SUM(N(AND(ISNUMBER(FIND(LEFT(D236,2),P206,1)),ISNUMBER(FIND(MID(D236,4,2),P206,1))))+N(AND(ISNUMBER(FIND(MID(D236,7,2),P206,1)),ISNUMBER(FIND(MID(D236,10,2),P206,1))))+N(AND(ISNUMBER(FIND(MID(D236,13,2),P206,1)),ISNUMBER(FIND(MID(D236,16,2),P206,1)))))*K236*F236</f>
        <v>0</v>
      </c>
      <c r="J236" s="37" t="str">
        <f>TRIM(IF(LEN('5Of11Source'!D236)=0,"-",D236))</f>
        <v>01 09,03 04,05 06,07 08,09 10</v>
      </c>
      <c r="K236" s="34">
        <f t="shared" si="30"/>
        <v>27866.050000000007</v>
      </c>
      <c r="L236" s="53">
        <f>I243</f>
        <v>121620.84000000001</v>
      </c>
      <c r="M236" s="78" t="str">
        <f>辅助!F236</f>
        <v>02,03,05,06,10</v>
      </c>
      <c r="N236" s="34">
        <v>30405.210000000003</v>
      </c>
      <c r="O236" s="76"/>
      <c r="P236" s="39"/>
      <c r="Q236" s="39"/>
    </row>
    <row r="237" spans="1:21" ht="20.100000000000001" customHeight="1" x14ac:dyDescent="0.15">
      <c r="A237" s="40" t="s">
        <v>96</v>
      </c>
      <c r="B237" s="39" t="s">
        <v>76</v>
      </c>
      <c r="C237" s="39" t="s">
        <v>98</v>
      </c>
      <c r="D237" s="38" t="s">
        <v>269</v>
      </c>
      <c r="E237" s="38">
        <f>LEN(SUBSTITUTE(SUBSTITUTE(D237,",",)," ",))/6</f>
        <v>4</v>
      </c>
      <c r="F237" s="38">
        <v>5</v>
      </c>
      <c r="I237" s="36">
        <f>SUM(N(AND(ISNUMBER(FIND(LEFT(D237,2),P206,1)),ISNUMBER(FIND(MID(D237,4,2),P206,1)),ISNUMBER(FIND(MID(D237,7,2),P206,1)))),N(AND(ISNUMBER(FIND(MID(D237,10,2),P206,1)),ISNUMBER(FIND(MID(D237,13,2),P206,1)),ISNUMBER(FIND(MID(D237,16,2),P206,1)))))*K237*F237</f>
        <v>0</v>
      </c>
      <c r="J237" s="37" t="str">
        <f>TRIM(IF(LEN('5Of11Source'!D237)=0,"-",D237))</f>
        <v>01 02 03,04 05 06,07 08 09,10 11 01</v>
      </c>
      <c r="K237" s="34">
        <f t="shared" si="30"/>
        <v>27866.050000000007</v>
      </c>
      <c r="L237" s="53">
        <f>I245</f>
        <v>0</v>
      </c>
      <c r="M237" s="78" t="str">
        <f>辅助!F237</f>
        <v>02,03,05,06,11</v>
      </c>
      <c r="N237" s="34">
        <v>30397.610000000004</v>
      </c>
      <c r="O237" s="76"/>
    </row>
    <row r="238" spans="1:21" ht="20.100000000000001" customHeight="1" x14ac:dyDescent="0.15">
      <c r="A238" s="40" t="s">
        <v>96</v>
      </c>
      <c r="B238" s="39" t="s">
        <v>78</v>
      </c>
      <c r="C238" s="39" t="s">
        <v>99</v>
      </c>
      <c r="D238" s="38" t="s">
        <v>270</v>
      </c>
      <c r="E238" s="38">
        <f>LEN(SUBSTITUTE(SUBSTITUTE(D238,",",)," ",))/8</f>
        <v>3</v>
      </c>
      <c r="F238" s="38">
        <v>5</v>
      </c>
      <c r="I238" s="36">
        <f>SUM(N(AND(ISNUMBER(FIND(LEFT(D238,2),P206,1)),ISNUMBER(FIND(MID(D238,4,2),P206,1)),ISNUMBER(FIND(MID(D238,7,2),P206,1)),ISNUMBER(FIND(MID(D238,10,2),P206,1)))),N(AND(ISNUMBER(FIND(MID(D238,13,2),P206,1)),ISNUMBER(FIND(MID(D238,16,2),P206,1)),ISNUMBER(FIND(MID(D238,19,2),P206,1)),ISNUMBER(FIND(MID(D238,22,2),P206,1)))))*K238*F238</f>
        <v>0</v>
      </c>
      <c r="J238" s="37" t="str">
        <f>TRIM(IF(LEN('5Of11Source'!D238)=0,"-",D238))</f>
        <v>01 02 03 04,09 10 11 05,06 07 08 09</v>
      </c>
      <c r="K238" s="34">
        <f>'5Of11'!Z217</f>
        <v>10.615</v>
      </c>
      <c r="L238" s="53">
        <f>I247</f>
        <v>459172.16000000009</v>
      </c>
      <c r="M238" s="78" t="str">
        <f>辅助!F238</f>
        <v>02,03,05,07,08</v>
      </c>
      <c r="N238" s="34">
        <v>28698.260000000006</v>
      </c>
      <c r="O238" s="76"/>
    </row>
    <row r="239" spans="1:21" ht="20.100000000000001" customHeight="1" x14ac:dyDescent="0.15">
      <c r="A239" s="40" t="s">
        <v>96</v>
      </c>
      <c r="B239" s="39" t="s">
        <v>80</v>
      </c>
      <c r="C239" s="39" t="s">
        <v>99</v>
      </c>
      <c r="D239" s="38" t="s">
        <v>271</v>
      </c>
      <c r="E239" s="38">
        <f>LEN(SUBSTITUTE(SUBSTITUTE(D239,",",)," ",))/10</f>
        <v>2</v>
      </c>
      <c r="F239" s="38">
        <v>8</v>
      </c>
      <c r="I239" s="36">
        <f>SUM(N(AND(ISNUMBER(FIND(LEFT(D239,2),P206,1)),ISNUMBER(FIND(MID(D239,4,2),P206,1)),ISNUMBER(FIND(MID(D239,7,2),P206,1)),ISNUMBER(FIND(MID(D239,10,2),P206,1)),ISNUMBER(FIND(MID(D239,13,2),P206,1)))),N(AND(ISNUMBER(FIND(MID(D239,16,2),P206,1)),ISNUMBER(FIND(MID(D239,19,2),P206,1)),ISNUMBER(FIND(MID(D239,22,2),P206,1)),ISNUMBER(FIND(MID(D239,25,2),P206,1)),ISNUMBER(FIND(MID(D239,28,2),P206,1)))))*K239*F239</f>
        <v>0</v>
      </c>
      <c r="J239" s="37" t="str">
        <f>TRIM(IF(LEN('5Of11Source'!D239)=0,"-",D239))</f>
        <v>01 02 06 04 08,06 07 08 09 10</v>
      </c>
      <c r="K239" s="34">
        <f>'5Of11'!Z218</f>
        <v>31.844999999999999</v>
      </c>
      <c r="L239" s="53">
        <f>I249</f>
        <v>0</v>
      </c>
      <c r="M239" s="78" t="str">
        <f>辅助!F239</f>
        <v>02,03,05,07,09</v>
      </c>
      <c r="N239" s="34">
        <v>28734.510000000006</v>
      </c>
      <c r="O239" s="76"/>
    </row>
    <row r="240" spans="1:21" ht="20.100000000000001" customHeight="1" x14ac:dyDescent="0.15">
      <c r="A240" s="40" t="s">
        <v>96</v>
      </c>
      <c r="B240" s="39" t="s">
        <v>82</v>
      </c>
      <c r="C240" s="39" t="s">
        <v>99</v>
      </c>
      <c r="D240" s="38" t="s">
        <v>241</v>
      </c>
      <c r="E240" s="38">
        <f>LEN(SUBSTITUTE(SUBSTITUTE(D240,",",)," ",))/12</f>
        <v>2</v>
      </c>
      <c r="F240" s="38">
        <v>2</v>
      </c>
      <c r="I240" s="36">
        <f>SUM(N(SUM(ISNUMBER(FIND(LEFT(D240,2),P206,1)),ISNUMBER(FIND(MID(D240,4,2),P206,1)),ISNUMBER(FIND(MID(D240,7,2),P206,1)),ISNUMBER(FIND(MID(D240,10,2),P206,1)),ISNUMBER(FIND(MID(D240,13,2),P206,1)),ISNUMBER(FIND(MID(D240,16,2),P206,1)))&gt;4),N(SUM(ISNUMBER(FIND(MID(D240,19,2),P206,1)),ISNUMBER(FIND(MID(D240,22,2),P206,1)),ISNUMBER(FIND(MID(D240,25,2),P206,1)),ISNUMBER(FIND(MID(D240,28,2),P206,1)),ISNUMBER(FIND(MID(D240,31,2),P206,1)),ISNUMBER(FIND(MID(D240,34,2),P206,1)))&gt;4))*K240*F240</f>
        <v>0</v>
      </c>
      <c r="J240" s="37" t="str">
        <f>TRIM(IF(LEN('5Of11Source'!D240)=0,"-",D240))</f>
        <v>01 02 08 04 05 06,07 08 09 10 11 02</v>
      </c>
      <c r="K240" s="34">
        <f>'5Of11'!Z219</f>
        <v>127.38</v>
      </c>
      <c r="L240" s="53">
        <f>I251</f>
        <v>860917.80000000016</v>
      </c>
      <c r="M240" s="78" t="str">
        <f>辅助!F240</f>
        <v>02,03,05,07,10</v>
      </c>
      <c r="N240" s="34">
        <v>28697.260000000006</v>
      </c>
      <c r="O240" s="76"/>
    </row>
    <row r="241" spans="1:19" ht="20.100000000000001" customHeight="1" x14ac:dyDescent="0.15">
      <c r="A241" s="40" t="s">
        <v>96</v>
      </c>
      <c r="B241" s="39" t="s">
        <v>84</v>
      </c>
      <c r="C241" s="39" t="s">
        <v>98</v>
      </c>
      <c r="D241" s="38" t="s">
        <v>272</v>
      </c>
      <c r="E241" s="38">
        <f>LEN(SUBSTITUTE(SUBSTITUTE(D241,",",)," ",))/14</f>
        <v>2</v>
      </c>
      <c r="F241" s="38">
        <v>2</v>
      </c>
      <c r="I241" s="36">
        <f>N(SUM(ISNUMBER(FIND(LEFT(D241,2),P206,1)),ISNUMBER(FIND(MID(D241,4,2),P206,1)),ISNUMBER(FIND(MID(D241,7,2),P206,1)),ISNUMBER(FIND(MID(D241,10,2),P206,1)),ISNUMBER(FIND(MID(D241,13,2),P206,1)),ISNUMBER(FIND(MID(D241,16,2),P206,1)),ISNUMBER(FIND(MID(D241,19,2),P206,1)))&gt;4)*K241*F241</f>
        <v>0</v>
      </c>
      <c r="J241" s="37" t="str">
        <f>TRIM(IF(LEN('5Of11Source'!D241)=0,"-",D241))</f>
        <v>01 02 03 04 05 06 07,11 10 09 08 07 06 05</v>
      </c>
      <c r="K241" s="34">
        <f>'5Of11'!Z220</f>
        <v>891.66</v>
      </c>
      <c r="L241" s="53">
        <f>I253</f>
        <v>0</v>
      </c>
      <c r="M241" s="78" t="str">
        <f>辅助!F241</f>
        <v>02,03,05,07,11</v>
      </c>
      <c r="N241" s="34">
        <v>28734.510000000006</v>
      </c>
      <c r="O241" s="76"/>
    </row>
    <row r="242" spans="1:19" ht="20.100000000000001" customHeight="1" x14ac:dyDescent="0.15">
      <c r="A242" s="40" t="s">
        <v>96</v>
      </c>
      <c r="B242" s="39" t="s">
        <v>86</v>
      </c>
      <c r="C242" s="36" t="s">
        <v>11</v>
      </c>
      <c r="D242" s="38" t="s">
        <v>273</v>
      </c>
      <c r="E242" s="38">
        <f>LEN(SUBSTITUTE(SUBSTITUTE(D242,",",)," ",))/16</f>
        <v>2</v>
      </c>
      <c r="F242" s="38">
        <v>3</v>
      </c>
      <c r="I242" s="36">
        <f>N(SUM(ISNUMBER(FIND(LEFT(D242,2),P206,1)),ISNUMBER(FIND(MID(D242,4,2),P206,1)),ISNUMBER(FIND(MID(D242,7,2),P206,1)),ISNUMBER(FIND(MID(D242,10,2),P206,1)),ISNUMBER(FIND(MID(D242,13,2),P206,1)),ISNUMBER(FIND(MID(D242,16,2),P206,1)),ISNUMBER(FIND(MID(D242,19,2),P206,1)),ISNUMBER(FIND(MID(D242,22,2),P206,1)))&gt;4)*K242*F242</f>
        <v>0</v>
      </c>
      <c r="J242" s="37" t="str">
        <f>TRIM(IF(LEN('5Of11Source'!D242)=0,"-",D242))</f>
        <v>01 02 03 04 05 06 07 08,11 10 09 08 07 06 05 04</v>
      </c>
      <c r="K242" s="34">
        <f>'5Of11'!Z221</f>
        <v>148.61000000000001</v>
      </c>
      <c r="L242" s="53">
        <f>I255</f>
        <v>0</v>
      </c>
      <c r="M242" s="78" t="str">
        <f>辅助!F242</f>
        <v>02,03,05,08,09</v>
      </c>
      <c r="N242" s="34">
        <v>27743.860000000004</v>
      </c>
      <c r="O242" s="76"/>
    </row>
    <row r="243" spans="1:19" ht="20.100000000000001" customHeight="1" x14ac:dyDescent="0.15">
      <c r="A243" s="40" t="s">
        <v>103</v>
      </c>
      <c r="B243" s="40" t="s">
        <v>74</v>
      </c>
      <c r="C243" s="39" t="s">
        <v>30</v>
      </c>
      <c r="D243" s="38" t="s">
        <v>242</v>
      </c>
      <c r="E243" s="38">
        <f>LEN(SUBSTITUTE(D243,",",))/2</f>
        <v>1</v>
      </c>
      <c r="F243" s="82">
        <v>1</v>
      </c>
      <c r="H243" s="83">
        <v>4</v>
      </c>
      <c r="I243" s="83">
        <f>IF(AND(P243,P244&gt;=(B244-E243)),COMBIN(P244,B244-E243)*K243*F243,0)</f>
        <v>121620.84000000001</v>
      </c>
      <c r="J243" s="86" t="str">
        <f>TRIM(IF(LEN(D243)=0,"-",SUBSTITUTE(D243,","," ")))&amp;","&amp;TRIM(IF(LEN(D244)=0,"-",SUBSTITUTE(D244,","," ")))</f>
        <v>01,02 03 04 05 06 07 08 09 10 11</v>
      </c>
      <c r="K243" s="87">
        <f>N236</f>
        <v>30405.210000000003</v>
      </c>
      <c r="L243" s="53"/>
      <c r="M243" s="78" t="str">
        <f>辅助!F243</f>
        <v>02,03,05,08,10</v>
      </c>
      <c r="N243" s="53">
        <v>27751.460000000003</v>
      </c>
      <c r="O243" s="75"/>
      <c r="P243" s="41" t="b">
        <f>ISNUMBER(FIND(SUBSTITUTE(D243,",",),P206,1))</f>
        <v>1</v>
      </c>
      <c r="Q243" s="41" t="str">
        <f>IF(P243,IF(FIND(SUBSTITUTE(D243,",",),P206,1)&lt;3,SUBSTITUTE(P206,RIGHT(D243,3),),SUBSTITUTE(P206,LEFT(D243,3),)),"此订单未中奖！")</f>
        <v>03,10,05,08</v>
      </c>
      <c r="R243" s="41"/>
      <c r="S243" s="41"/>
    </row>
    <row r="244" spans="1:19" ht="20.100000000000001" customHeight="1" x14ac:dyDescent="0.15">
      <c r="A244" s="40" t="s">
        <v>103</v>
      </c>
      <c r="B244" s="40">
        <v>2</v>
      </c>
      <c r="C244" s="39" t="s">
        <v>104</v>
      </c>
      <c r="D244" s="38" t="s">
        <v>112</v>
      </c>
      <c r="E244" s="34">
        <f>COMBIN(LEN(SUBSTITUTE(D244,",",))/2,B244-E243)</f>
        <v>10</v>
      </c>
      <c r="F244" s="82"/>
      <c r="H244" s="83"/>
      <c r="I244" s="83"/>
      <c r="J244" s="86"/>
      <c r="K244" s="88"/>
      <c r="L244" s="53"/>
      <c r="M244" s="78" t="str">
        <f>辅助!F244</f>
        <v>02,03,05,08,11</v>
      </c>
      <c r="N244" s="53">
        <v>27743.860000000004</v>
      </c>
      <c r="O244" s="75"/>
      <c r="P244" s="41">
        <f>IF(LEN(SUBSTITUTE(Q243,",",))/2=4,SUM(N(ISNUMBER(FIND(LEFT(Q243,2),D244,1))),N(ISNUMBER(FIND(MID(Q243,4,2),D244,1))),N(ISNUMBER(FIND(MID(Q243,7,2),D244,1))),N(ISNUMBER(FIND(RIGHT(Q243,2),D244,1)))),IF(LEN(SUBSTITUTE(Q243,",",))/2=3,SUM(N(ISNUMBER(FIND(LEFT(Q243,2),D244,1))),N(ISNUMBER(FIND(MID(Q243,4,2),D244,1))),N(ISNUMBER(FIND(RIGHT(Q243,2),D244,1)))),IF(LEN(SUBSTITUTE(Q243,",",))/2=2,SUM(N(ISNUMBER(FIND(LEFT(Q243,2),D244,1))),N(ISNUMBER(FIND(RIGHT(Q243,2),D244,1)))),N(ISNUMBER(FIND(Q243,D244,1))))))</f>
        <v>4</v>
      </c>
      <c r="Q244" s="41"/>
      <c r="R244" s="41"/>
      <c r="S244" s="41"/>
    </row>
    <row r="245" spans="1:19" ht="20.100000000000001" customHeight="1" x14ac:dyDescent="0.15">
      <c r="A245" s="40" t="s">
        <v>103</v>
      </c>
      <c r="B245" s="40" t="s">
        <v>76</v>
      </c>
      <c r="C245" s="39" t="s">
        <v>30</v>
      </c>
      <c r="D245" s="38" t="s">
        <v>274</v>
      </c>
      <c r="E245" s="38">
        <f>LEN(SUBSTITUTE(D245,",",))/2</f>
        <v>1</v>
      </c>
      <c r="F245" s="82">
        <v>3</v>
      </c>
      <c r="H245" s="83">
        <v>3</v>
      </c>
      <c r="I245" s="83">
        <f>IF(AND(P245,P246&gt;=(B246-E245)),COMBIN(P246,B246-E245)*K245*F245,0)</f>
        <v>0</v>
      </c>
      <c r="J245" s="86" t="str">
        <f>TRIM(IF(LEN(D245)=0,"-",SUBSTITUTE(D245,","," ")))&amp;","&amp;TRIM(IF(LEN(D246)=0,"-",SUBSTITUTE(D246,","," ")))</f>
        <v>02,01 03 04 05 06 07 08 09 10 11</v>
      </c>
      <c r="K245" s="87">
        <f>N237</f>
        <v>30397.610000000004</v>
      </c>
      <c r="L245" s="53"/>
      <c r="M245" s="78" t="str">
        <f>辅助!F245</f>
        <v>02,03,05,09,10</v>
      </c>
      <c r="N245" s="53">
        <v>27743.860000000004</v>
      </c>
      <c r="O245" s="75"/>
      <c r="P245" s="41" t="b">
        <f>AND(ISNUMBER(FIND(SUBSTITUTE(MID(D245,2,2),",",),P206,1)),ISNUMBER(FIND(SUBSTITUTE(MID(D245,5,2),",",),P206,1)))</f>
        <v>0</v>
      </c>
      <c r="Q245" s="41" t="str">
        <f>IF(P245,IF(FIND(SUBSTITUTE(MID(D245,2,2),",",),P206,1)&lt;3,SUBSTITUTE(P206,MID(D245,2,3),),SUBSTITUTE(P206,LEFT(D245,3),)),"此订单未中奖！")</f>
        <v>此订单未中奖！</v>
      </c>
      <c r="R245" s="41" t="str">
        <f>IF(P245,IF(FIND(SUBSTITUTE(MID(D245,5,2),",",),Q245,1)&lt;3,SUBSTITUTE(Q245,RIGHT(D245,3),),SUBSTITUTE(Q245,MID(D245,4,3),)),"此订单未中奖！")</f>
        <v>此订单未中奖！</v>
      </c>
      <c r="S245" s="41"/>
    </row>
    <row r="246" spans="1:19" ht="20.100000000000001" customHeight="1" x14ac:dyDescent="0.15">
      <c r="A246" s="40" t="s">
        <v>103</v>
      </c>
      <c r="B246" s="40">
        <v>3</v>
      </c>
      <c r="C246" s="39" t="s">
        <v>104</v>
      </c>
      <c r="D246" s="38" t="s">
        <v>275</v>
      </c>
      <c r="E246" s="34">
        <f>COMBIN(LEN(SUBSTITUTE(D246,",",))/2,B246-E245)</f>
        <v>45</v>
      </c>
      <c r="F246" s="82"/>
      <c r="H246" s="83"/>
      <c r="I246" s="83"/>
      <c r="J246" s="86"/>
      <c r="K246" s="88"/>
      <c r="L246" s="53"/>
      <c r="M246" s="78" t="str">
        <f>辅助!F246</f>
        <v>02,03,05,09,11</v>
      </c>
      <c r="N246" s="53">
        <v>27781.110000000004</v>
      </c>
      <c r="O246" s="75"/>
      <c r="P246" s="41">
        <f>IF(LEN(SUBSTITUTE(R245,",",))/2=4,SUM(N(ISNUMBER(FIND(LEFT(R245,2),D246,1))),N(ISNUMBER(FIND(MID(R245,4,2),D246,1))),N(ISNUMBER(FIND(MID(R245,7,2),D246,1))),N(ISNUMBER(FIND(RIGHT(R245,2),D246,1)))),IF(LEN(SUBSTITUTE(R245,",",))/2=3,SUM(N(ISNUMBER(FIND(LEFT(R245,2),D246,1))),N(ISNUMBER(FIND(MID(R245,4,2),D246,1))),N(ISNUMBER(FIND(RIGHT(R245,2),D246,1)))),IF(LEN(SUBSTITUTE(R245,",",))/2=2,SUM(N(ISNUMBER(FIND(LEFT(R245,2),D246,1))),N(ISNUMBER(FIND(RIGHT(R245,2),D246,1)))),N(ISNUMBER(FIND(R245,D246,1))))))</f>
        <v>0</v>
      </c>
      <c r="Q246" s="41"/>
      <c r="R246" s="41"/>
      <c r="S246" s="41"/>
    </row>
    <row r="247" spans="1:19" ht="20.100000000000001" customHeight="1" x14ac:dyDescent="0.15">
      <c r="A247" s="40" t="s">
        <v>103</v>
      </c>
      <c r="B247" s="40" t="s">
        <v>78</v>
      </c>
      <c r="C247" s="39" t="s">
        <v>30</v>
      </c>
      <c r="D247" s="38" t="s">
        <v>276</v>
      </c>
      <c r="E247" s="38">
        <f>LEN(SUBSTITUTE(D247,",",))/2</f>
        <v>1</v>
      </c>
      <c r="F247" s="82">
        <v>4</v>
      </c>
      <c r="H247" s="83">
        <v>3</v>
      </c>
      <c r="I247" s="83">
        <f>IF(AND(P247,P248&gt;=(B248-E247)),COMBIN(P248,B248-E247)*K247*F247,0)</f>
        <v>459172.16000000009</v>
      </c>
      <c r="J247" s="86" t="str">
        <f>TRIM(IF(LEN(D247)=0,"-",SUBSTITUTE(D247,","," ")))&amp;","&amp;TRIM(IF(LEN(D248)=0,"-",SUBSTITUTE(D248,","," ")))</f>
        <v>03,01 02 04 05 06 07 08 09 10 11</v>
      </c>
      <c r="K247" s="87">
        <f>N238</f>
        <v>28698.260000000006</v>
      </c>
      <c r="L247" s="53"/>
      <c r="M247" s="78" t="str">
        <f>辅助!F247</f>
        <v>02,03,05,10,11</v>
      </c>
      <c r="N247" s="53">
        <v>27743.860000000004</v>
      </c>
      <c r="O247" s="75"/>
      <c r="P247" s="41" t="b">
        <f>AND(ISNUMBER(FIND(SUBSTITUTE(MID(D247,2,2),",",),P206,1)),ISNUMBER(FIND(SUBSTITUTE(MID(D247,5,2),",",),P206,1)))</f>
        <v>1</v>
      </c>
      <c r="Q247" s="41" t="str">
        <f>IF(P247,IF(FIND(SUBSTITUTE(MID(D247,2,2),",",),P206,1)&lt;3,SUBSTITUTE(P206,MID(D247,2,3),),SUBSTITUTE(P206,LEFT(D247,3),)),"此订单未中奖！")</f>
        <v>01,10,05,08</v>
      </c>
      <c r="R247" s="41" t="str">
        <f>IF(P247,IF(FIND(SUBSTITUTE(MID(D247,5,2),",",),Q247,1)&lt;3,SUBSTITUTE(Q247,RIGHT(D247,3),),SUBSTITUTE(Q247,MID(D247,4,3),)),"此订单未中奖！")</f>
        <v>01,10,05,08</v>
      </c>
      <c r="S247" s="41"/>
    </row>
    <row r="248" spans="1:19" ht="20.100000000000001" customHeight="1" x14ac:dyDescent="0.15">
      <c r="A248" s="40" t="s">
        <v>103</v>
      </c>
      <c r="B248" s="40">
        <v>4</v>
      </c>
      <c r="C248" s="39" t="s">
        <v>104</v>
      </c>
      <c r="D248" s="38" t="s">
        <v>277</v>
      </c>
      <c r="E248" s="34">
        <f>COMBIN(LEN(SUBSTITUTE(D248,",",))/2,B248-E247)</f>
        <v>120</v>
      </c>
      <c r="F248" s="82"/>
      <c r="H248" s="83"/>
      <c r="I248" s="83"/>
      <c r="J248" s="86"/>
      <c r="K248" s="88"/>
      <c r="L248" s="53"/>
      <c r="M248" s="78" t="str">
        <f>辅助!F248</f>
        <v>02,03,06,07,08</v>
      </c>
      <c r="N248" s="53">
        <v>26793.170000000006</v>
      </c>
      <c r="O248" s="75"/>
      <c r="P248" s="41">
        <f>IF(LEN(SUBSTITUTE(R247,",",))/2=4,SUM(N(ISNUMBER(FIND(LEFT(R247,2),D248,1))),N(ISNUMBER(FIND(MID(R247,4,2),D248,1))),N(ISNUMBER(FIND(MID(R247,7,2),D248,1))),N(ISNUMBER(FIND(RIGHT(R247,2),D248,1)))),IF(LEN(SUBSTITUTE(R247,",",))/2=3,SUM(N(ISNUMBER(FIND(LEFT(R247,2),D248,1))),N(ISNUMBER(FIND(MID(R247,4,2),D248,1))),N(ISNUMBER(FIND(RIGHT(R247,2),D248,1)))),IF(LEN(SUBSTITUTE(R247,",",))/2=2,SUM(N(ISNUMBER(FIND(LEFT(R247,2),D248,1))),N(ISNUMBER(FIND(RIGHT(R247,2),D248,1)))),N(ISNUMBER(FIND(R247,D248,1))))))</f>
        <v>4</v>
      </c>
      <c r="Q248" s="41"/>
      <c r="R248" s="41"/>
      <c r="S248" s="41"/>
    </row>
    <row r="249" spans="1:19" ht="20.100000000000001" customHeight="1" x14ac:dyDescent="0.15">
      <c r="A249" s="40" t="s">
        <v>103</v>
      </c>
      <c r="B249" s="40" t="s">
        <v>80</v>
      </c>
      <c r="C249" s="39" t="s">
        <v>30</v>
      </c>
      <c r="D249" s="38" t="s">
        <v>278</v>
      </c>
      <c r="E249" s="38">
        <f>LEN(SUBSTITUTE(D249,",",))/2</f>
        <v>1</v>
      </c>
      <c r="F249" s="82">
        <v>5</v>
      </c>
      <c r="H249" s="83">
        <v>0</v>
      </c>
      <c r="I249" s="83">
        <f>IF(AND(P249,P250&gt;=(B250-E249)),COMBIN(P250,B250-E249)*K249*F249,0)</f>
        <v>0</v>
      </c>
      <c r="J249" s="86" t="str">
        <f>TRIM(IF(LEN(D249)=0,"-",SUBSTITUTE(D249,","," ")))&amp;","&amp;TRIM(IF(LEN(D250)=0,"-",SUBSTITUTE(D250,","," ")))</f>
        <v>04,01 02 03 07 09 10 05 06 08 11</v>
      </c>
      <c r="K249" s="87">
        <f>N239</f>
        <v>28734.510000000006</v>
      </c>
      <c r="L249" s="53"/>
      <c r="M249" s="78" t="str">
        <f>辅助!F249</f>
        <v>02,03,06,07,09</v>
      </c>
      <c r="N249" s="53">
        <v>26784.57</v>
      </c>
      <c r="O249" s="75"/>
      <c r="P249" s="41" t="b">
        <f>AND(ISNUMBER(FIND(SUBSTITUTE(MID(D249,2,2),",",),P206,1)),ISNUMBER(FIND(SUBSTITUTE(MID(D249,5,2),",",),P206,1)),ISNUMBER(FIND(SUBSTITUTE(MID(D249,8,2),",",),P206,1)))</f>
        <v>0</v>
      </c>
      <c r="Q249" s="41" t="str">
        <f>IF(P249,IF(FIND(SUBSTITUTE(MID(D249,2,2),",",),P206,1)&lt;3,SUBSTITUTE(P206,MID(D249,2,3),),SUBSTITUTE(P206,LEFT(D249,3),)),"此订单未中奖！")</f>
        <v>此订单未中奖！</v>
      </c>
      <c r="R249" s="41" t="str">
        <f>IF(P249,IF(FIND(SUBSTITUTE(MID(D249,5,2),",",),Q249,1)&lt;3,SUBSTITUTE(Q249,MID(D249,5,3),),SUBSTITUTE(Q249,MID(D249,4,3),)),"此订单未中奖！")</f>
        <v>此订单未中奖！</v>
      </c>
      <c r="S249" s="41" t="str">
        <f>IF(P249,IF(FIND(SUBSTITUTE(MID(D249,8,2),",",),R249,1)&lt;3,SUBSTITUTE(R249,RIGHT(D249,3),),SUBSTITUTE(R249,MID(D249,7,3),)),"此订单未中奖！")</f>
        <v>此订单未中奖！</v>
      </c>
    </row>
    <row r="250" spans="1:19" ht="20.100000000000001" customHeight="1" x14ac:dyDescent="0.15">
      <c r="A250" s="40" t="s">
        <v>103</v>
      </c>
      <c r="B250" s="40">
        <v>5</v>
      </c>
      <c r="C250" s="39" t="s">
        <v>104</v>
      </c>
      <c r="D250" s="38" t="s">
        <v>279</v>
      </c>
      <c r="E250" s="34">
        <f>COMBIN(LEN(SUBSTITUTE(D250,",",))/2,B250-E249)</f>
        <v>209.99999999999997</v>
      </c>
      <c r="F250" s="82"/>
      <c r="H250" s="83"/>
      <c r="I250" s="83"/>
      <c r="J250" s="86"/>
      <c r="K250" s="88"/>
      <c r="L250" s="53"/>
      <c r="M250" s="78" t="str">
        <f>辅助!F250</f>
        <v>02,03,06,07,10</v>
      </c>
      <c r="N250" s="53">
        <v>26792.170000000006</v>
      </c>
      <c r="O250" s="75"/>
      <c r="P250" s="41">
        <f>IF(LEN(SUBSTITUTE(S249,",",))/2=4,SUM(N(ISNUMBER(FIND(LEFT(S249,2),D250,1))),N(ISNUMBER(FIND(MID(S249,4,2),D250,1))),N(ISNUMBER(FIND(MID(S249,7,2),D250,1))),N(ISNUMBER(FIND(RIGHT(S249,2),D250,1)))),IF(LEN(SUBSTITUTE(S249,",",))/2=3,SUM(N(ISNUMBER(FIND(LEFT(S249,2),D250,1))),N(ISNUMBER(FIND(MID(S249,4,2),D250,1))),N(ISNUMBER(FIND(RIGHT(S249,2),D250,1)))),IF(LEN(SUBSTITUTE(S249,",",))/2=2,SUM(N(ISNUMBER(FIND(LEFT(S249,2),D250,1))),N(ISNUMBER(FIND(RIGHT(S249,2),D250,1)))),N(ISNUMBER(FIND(S249,D250,1))))))</f>
        <v>0</v>
      </c>
      <c r="Q250" s="41"/>
      <c r="R250" s="41"/>
      <c r="S250" s="41"/>
    </row>
    <row r="251" spans="1:19" ht="20.100000000000001" customHeight="1" x14ac:dyDescent="0.15">
      <c r="A251" s="40" t="s">
        <v>103</v>
      </c>
      <c r="B251" s="40" t="s">
        <v>82</v>
      </c>
      <c r="C251" s="39" t="s">
        <v>30</v>
      </c>
      <c r="D251" s="38" t="s">
        <v>280</v>
      </c>
      <c r="E251" s="38">
        <f>LEN(SUBSTITUTE(D251,",",))/2</f>
        <v>1</v>
      </c>
      <c r="F251" s="82">
        <v>5</v>
      </c>
      <c r="H251" s="83">
        <v>0</v>
      </c>
      <c r="I251" s="83">
        <f>IF(AND(P251,P252&gt;=(5-E251)),COMBIN(LEN(SUBSTITUTE(D252,",",))/2-P252,B252-5)*K251*F251,0)</f>
        <v>860917.80000000016</v>
      </c>
      <c r="J251" s="86" t="str">
        <f>TRIM(IF(LEN(D251)=0,"-",SUBSTITUTE(D251,","," ")))&amp;","&amp;TRIM(IF(LEN(D252)=0,"-",SUBSTITUTE(D252,","," ")))</f>
        <v>05,01 02 03 04 06 07 08 09 10 11</v>
      </c>
      <c r="K251" s="87">
        <f>N240</f>
        <v>28697.260000000006</v>
      </c>
      <c r="L251" s="53"/>
      <c r="M251" s="78" t="str">
        <f>辅助!F251</f>
        <v>02,03,06,07,11</v>
      </c>
      <c r="N251" s="53">
        <v>26784.57</v>
      </c>
      <c r="O251" s="75"/>
      <c r="P251" s="41" t="b">
        <f>AND(ISNUMBER(FIND(SUBSTITUTE(MID(D251,2,2),",",),P206,1)),ISNUMBER(FIND(SUBSTITUTE(MID(D251,5,2),",",),P206,1)))</f>
        <v>1</v>
      </c>
      <c r="Q251" s="41" t="str">
        <f>IF(P251,IF(FIND(SUBSTITUTE(MID(D251,2,2),",",),P206,1)&lt;3,SUBSTITUTE(P206,MID(D251,2,3),),SUBSTITUTE(P206,LEFT(D251,3),)),"此订单未中奖！")</f>
        <v>03,01,10,08</v>
      </c>
      <c r="R251" s="41" t="str">
        <f>IF(P251,IF(FIND(SUBSTITUTE(MID(D251,5,2),",",),Q251,1)&lt;3,SUBSTITUTE(Q251,RIGHT(D251,3),),SUBSTITUTE(Q251,MID(D251,4,3),)),"此订单未中奖！")</f>
        <v>03,01,10,08</v>
      </c>
      <c r="S251" s="41"/>
    </row>
    <row r="252" spans="1:19" ht="20.100000000000001" customHeight="1" x14ac:dyDescent="0.15">
      <c r="A252" s="40" t="s">
        <v>103</v>
      </c>
      <c r="B252" s="40">
        <v>6</v>
      </c>
      <c r="C252" s="39" t="s">
        <v>104</v>
      </c>
      <c r="D252" s="38" t="s">
        <v>281</v>
      </c>
      <c r="E252" s="34">
        <f>COMBIN(LEN(SUBSTITUTE(D252,",",))/2,B252-E251)</f>
        <v>252</v>
      </c>
      <c r="F252" s="82"/>
      <c r="H252" s="83"/>
      <c r="I252" s="83"/>
      <c r="J252" s="86"/>
      <c r="K252" s="88"/>
      <c r="L252" s="53"/>
      <c r="M252" s="78" t="str">
        <f>辅助!F252</f>
        <v>02,03,06,08,09</v>
      </c>
      <c r="N252" s="53">
        <v>25838.770000000004</v>
      </c>
      <c r="O252" s="75"/>
      <c r="P252" s="41">
        <f>IF(LEN(SUBSTITUTE(R251,",",))/2=4,SUM(N(ISNUMBER(FIND(LEFT(R251,2),D252,1))),N(ISNUMBER(FIND(MID(R251,4,2),D252,1))),N(ISNUMBER(FIND(MID(R251,7,2),D252,1))),N(ISNUMBER(FIND(RIGHT(R251,2),D252,1)))),IF(LEN(SUBSTITUTE(R251,",",))/2=3,SUM(N(ISNUMBER(FIND(LEFT(R251,2),D252,1))),N(ISNUMBER(FIND(MID(R251,4,2),D252,1))),N(ISNUMBER(FIND(RIGHT(R251,2),D252,1)))),IF(LEN(SUBSTITUTE(R251,",",))/2=2,SUM(N(ISNUMBER(FIND(LEFT(R251,2),D252,1))),N(ISNUMBER(FIND(RIGHT(R251,2),D252,1)))),N(ISNUMBER(FIND(R251,D252,1))))))</f>
        <v>4</v>
      </c>
      <c r="Q252" s="41"/>
      <c r="R252" s="41"/>
      <c r="S252" s="41"/>
    </row>
    <row r="253" spans="1:19" ht="20.100000000000001" customHeight="1" x14ac:dyDescent="0.15">
      <c r="A253" s="40" t="s">
        <v>103</v>
      </c>
      <c r="B253" s="40" t="s">
        <v>84</v>
      </c>
      <c r="C253" s="39" t="s">
        <v>30</v>
      </c>
      <c r="D253" s="38" t="s">
        <v>282</v>
      </c>
      <c r="E253" s="38">
        <f>LEN(SUBSTITUTE(D253,",",))/2</f>
        <v>1</v>
      </c>
      <c r="F253" s="82">
        <v>4</v>
      </c>
      <c r="H253" s="83">
        <v>0</v>
      </c>
      <c r="I253" s="83">
        <f>IF(AND(P253,P254&gt;=(5-E253)),COMBIN(LEN(SUBSTITUTE(D254,",",))/2-P254,B254-5)*K253*F253,0)</f>
        <v>0</v>
      </c>
      <c r="J253" s="86" t="str">
        <f>TRIM(IF(LEN(D253)=0,"-",SUBSTITUTE(D253,","," ")))&amp;","&amp;TRIM(IF(LEN(D254)=0,"-",SUBSTITUTE(D254,","," ")))</f>
        <v>06,01 02 03 04 05 07 08 09 10 11</v>
      </c>
      <c r="K253" s="87">
        <f>N241</f>
        <v>28734.510000000006</v>
      </c>
      <c r="L253" s="53"/>
      <c r="M253" s="78" t="str">
        <f>辅助!F253</f>
        <v>02,03,06,08,10</v>
      </c>
      <c r="N253" s="53">
        <v>25957.47</v>
      </c>
      <c r="O253" s="75"/>
      <c r="P253" s="41" t="b">
        <f>AND(ISNUMBER(FIND(SUBSTITUTE(MID(D253,2,2),",",),P206,1)),ISNUMBER(FIND(SUBSTITUTE(MID(D253,5,2),",",),P206,1)),ISNUMBER(FIND(SUBSTITUTE(MID(D253,8,2),",",),P206,1)))</f>
        <v>0</v>
      </c>
      <c r="Q253" s="41" t="str">
        <f>IF(P253,IF(FIND(SUBSTITUTE(MID(D253,2,2),",",),P206,1)&lt;3,SUBSTITUTE(P206,MID(D253,2,3),),SUBSTITUTE(P206,LEFT(D253,3),)),"此订单未中奖！")</f>
        <v>此订单未中奖！</v>
      </c>
      <c r="R253" s="41" t="str">
        <f>IF(P253,IF(FIND(SUBSTITUTE(MID(D253,5,2),",",),Q253,1)&lt;3,SUBSTITUTE(Q253,MID(D253,5,3),),SUBSTITUTE(Q253,MID(D253,4,3),)),"此订单未中奖！")</f>
        <v>此订单未中奖！</v>
      </c>
      <c r="S253" s="41" t="str">
        <f>IF(P253,IF(FIND(SUBSTITUTE(MID(D253,8,2),",",),R253,1)&lt;3,SUBSTITUTE(R253,RIGHT(D253,3),),SUBSTITUTE(R253,MID(D253,7,3),)),"此订单未中奖！")</f>
        <v>此订单未中奖！</v>
      </c>
    </row>
    <row r="254" spans="1:19" ht="20.100000000000001" customHeight="1" x14ac:dyDescent="0.15">
      <c r="A254" s="40" t="s">
        <v>103</v>
      </c>
      <c r="B254" s="40">
        <v>7</v>
      </c>
      <c r="C254" s="39" t="s">
        <v>104</v>
      </c>
      <c r="D254" s="38" t="s">
        <v>283</v>
      </c>
      <c r="E254" s="34">
        <f>COMBIN(LEN(SUBSTITUTE(D254,",",))/2,B254-E253)</f>
        <v>209.99999999999997</v>
      </c>
      <c r="F254" s="82"/>
      <c r="H254" s="83"/>
      <c r="I254" s="83"/>
      <c r="J254" s="86"/>
      <c r="K254" s="88"/>
      <c r="L254" s="53"/>
      <c r="M254" s="78" t="str">
        <f>辅助!F254</f>
        <v>02,03,06,08,11</v>
      </c>
      <c r="N254" s="53">
        <v>25838.770000000004</v>
      </c>
      <c r="O254" s="75"/>
      <c r="P254" s="41">
        <f>IF(LEN(SUBSTITUTE(S253,",",))/2=4,SUM(N(ISNUMBER(FIND(LEFT(S253,2),D254,1))),N(ISNUMBER(FIND(MID(S253,4,2),D254,1))),N(ISNUMBER(FIND(MID(S253,7,2),D254,1))),N(ISNUMBER(FIND(RIGHT(S253,2),D254,1)))),IF(LEN(SUBSTITUTE(S253,",",))/2=3,SUM(N(ISNUMBER(FIND(LEFT(S253,2),D254,1))),N(ISNUMBER(FIND(MID(S253,4,2),D254,1))),N(ISNUMBER(FIND(RIGHT(S253,2),D254,1)))),IF(LEN(SUBSTITUTE(S253,",",))/2=2,SUM(N(ISNUMBER(FIND(LEFT(S253,2),D254,1))),N(ISNUMBER(FIND(RIGHT(S253,2),D254,1)))),N(ISNUMBER(FIND(S253,D254,1))))))</f>
        <v>0</v>
      </c>
      <c r="Q254" s="41"/>
      <c r="R254" s="41"/>
      <c r="S254" s="41"/>
    </row>
    <row r="255" spans="1:19" ht="20.100000000000001" customHeight="1" x14ac:dyDescent="0.15">
      <c r="A255" s="40" t="s">
        <v>103</v>
      </c>
      <c r="B255" s="40" t="s">
        <v>86</v>
      </c>
      <c r="C255" s="39" t="s">
        <v>30</v>
      </c>
      <c r="D255" s="38" t="s">
        <v>258</v>
      </c>
      <c r="E255" s="38">
        <f>LEN(SUBSTITUTE(D255,",",))/2</f>
        <v>1</v>
      </c>
      <c r="F255" s="82">
        <v>3</v>
      </c>
      <c r="H255" s="83">
        <v>0</v>
      </c>
      <c r="I255" s="83">
        <f>IF(AND(P255,P256&gt;=(5-E255)),COMBIN(LEN(SUBSTITUTE(D256,",",))/2-P256,B256-5)*K255*F255,0)</f>
        <v>0</v>
      </c>
      <c r="J255" s="86" t="str">
        <f>TRIM(IF(LEN(D255)=0,"-",SUBSTITUTE(D255,","," ")))&amp;","&amp;TRIM(IF(LEN(D256)=0,"-",SUBSTITUTE(D256,","," ")))</f>
        <v>07,01 02 03 04 05 06 09 10 08 11</v>
      </c>
      <c r="K255" s="87">
        <f>N242</f>
        <v>27743.860000000004</v>
      </c>
      <c r="L255" s="53"/>
      <c r="M255" s="78" t="str">
        <f>辅助!F255</f>
        <v>02,03,06,09,10</v>
      </c>
      <c r="N255" s="53">
        <v>25838.770000000004</v>
      </c>
      <c r="O255" s="75"/>
      <c r="P255" s="41" t="b">
        <f>AND(ISNUMBER(FIND(SUBSTITUTE(MID(D255,2,2),",",),P206,1)),ISNUMBER(FIND(SUBSTITUTE(MID(D255,5,2),",",),P206,1)))</f>
        <v>0</v>
      </c>
      <c r="Q255" s="41" t="str">
        <f>IF(P255,IF(FIND(SUBSTITUTE(MID(D255,2,2),",",),P206,1)&lt;3,SUBSTITUTE(P206,MID(D255,2,3),),SUBSTITUTE(P206,LEFT(D255,3),)),"此订单未中奖！")</f>
        <v>此订单未中奖！</v>
      </c>
      <c r="R255" s="41" t="str">
        <f>IF(P255,IF(FIND(SUBSTITUTE(MID(D255,5,2),",",),Q255,1)&lt;3,SUBSTITUTE(Q255,RIGHT(D255,3),),SUBSTITUTE(Q255,MID(D255,4,3),)),"此订单未中奖！")</f>
        <v>此订单未中奖！</v>
      </c>
      <c r="S255" s="41"/>
    </row>
    <row r="256" spans="1:19" ht="20.100000000000001" customHeight="1" x14ac:dyDescent="0.15">
      <c r="A256" s="40" t="s">
        <v>103</v>
      </c>
      <c r="B256" s="40">
        <v>8</v>
      </c>
      <c r="C256" s="39" t="s">
        <v>104</v>
      </c>
      <c r="D256" s="38" t="s">
        <v>284</v>
      </c>
      <c r="E256" s="34">
        <f>COMBIN(LEN(SUBSTITUTE(D256,",",))/2,B256-E255)</f>
        <v>120</v>
      </c>
      <c r="F256" s="82"/>
      <c r="H256" s="83"/>
      <c r="I256" s="83"/>
      <c r="J256" s="86"/>
      <c r="K256" s="88"/>
      <c r="L256" s="53"/>
      <c r="M256" s="78" t="str">
        <f>辅助!F256</f>
        <v>02,03,06,09,11</v>
      </c>
      <c r="N256" s="53">
        <v>25831.17</v>
      </c>
      <c r="O256" s="75"/>
      <c r="P256" s="41">
        <f>IF(LEN(SUBSTITUTE(R255,",",))/2=4,SUM(N(ISNUMBER(FIND(LEFT(R255,2),D256,1))),N(ISNUMBER(FIND(MID(R255,4,2),D256,1))),N(ISNUMBER(FIND(MID(R255,7,2),D256,1))),N(ISNUMBER(FIND(RIGHT(R255,2),D256,1)))),IF(LEN(SUBSTITUTE(R255,",",))/2=3,SUM(N(ISNUMBER(FIND(LEFT(R255,2),D256,1))),N(ISNUMBER(FIND(MID(R255,4,2),D256,1))),N(ISNUMBER(FIND(RIGHT(R255,2),D256,1)))),IF(LEN(SUBSTITUTE(R255,",",))/2=2,SUM(N(ISNUMBER(FIND(LEFT(R255,2),D256,1))),N(ISNUMBER(FIND(RIGHT(R255,2),D256,1)))),N(ISNUMBER(FIND(R255,D256,1))))))</f>
        <v>0</v>
      </c>
      <c r="Q256" s="41"/>
      <c r="R256" s="41"/>
      <c r="S256" s="41"/>
    </row>
    <row r="257" spans="1:21" ht="20.100000000000001" customHeight="1" x14ac:dyDescent="0.15">
      <c r="A257" s="48" t="s">
        <v>23</v>
      </c>
      <c r="B257" s="48" t="s">
        <v>25</v>
      </c>
      <c r="C257" s="47" t="s">
        <v>26</v>
      </c>
      <c r="D257" s="38" t="s">
        <v>256</v>
      </c>
      <c r="E257" s="82">
        <v>45</v>
      </c>
      <c r="F257" s="82">
        <v>2</v>
      </c>
      <c r="G257" s="39">
        <f>IF(AND(ISNUMBER(FIND(P260,D257,1)),LEN($P257)&lt;&gt;0),1,0)</f>
        <v>1</v>
      </c>
      <c r="H257" s="83">
        <f>IF(SUM(G257:G259)=3,1,0)</f>
        <v>1</v>
      </c>
      <c r="I257" s="91">
        <f>H257*K257*F257</f>
        <v>51677.540000000008</v>
      </c>
      <c r="J257" s="86" t="str">
        <f>TRIM(IF(LEN(D257)=0,"-",SUBSTITUTE(D257,","," ")))&amp;","&amp;TRIM(IF(LEN(D258)=0,"-",SUBSTITUTE(D258,","," ")))&amp;","&amp;TRIM(IF(LEN(D259)=0,"-",SUBSTITUTE(D259,","," ")))</f>
        <v>01 02 03 04 05 06 07 08 09 10 11,01 02 03 04 05 06 07 08 09 10 11,01 02 03 04 05 06 07 08 09 10 11</v>
      </c>
      <c r="K257" s="87">
        <f>N257</f>
        <v>25838.770000000004</v>
      </c>
      <c r="L257" s="53">
        <f>I257</f>
        <v>51677.540000000008</v>
      </c>
      <c r="M257" s="78" t="str">
        <f>辅助!F257</f>
        <v>02,03,06,10,11</v>
      </c>
      <c r="N257" s="34">
        <v>25838.770000000004</v>
      </c>
      <c r="O257" s="76"/>
      <c r="P257" s="39" t="str">
        <f>O7</f>
        <v>04,01,08,02,06</v>
      </c>
      <c r="Q257" s="41" t="str">
        <f>SUBSTITUTE(SUBSTITUTE(P257,Q258,),",",)</f>
        <v>04010206</v>
      </c>
      <c r="R257" s="41" t="str">
        <f>SUBSTITUTE(Q257,R258,)</f>
        <v>040102</v>
      </c>
      <c r="S257" s="41" t="str">
        <f>0&amp;MAX(INT(S260),INT(S261),INT(S262))</f>
        <v>04</v>
      </c>
    </row>
    <row r="258" spans="1:21" ht="20.100000000000001" customHeight="1" x14ac:dyDescent="0.15">
      <c r="A258" s="40" t="s">
        <v>23</v>
      </c>
      <c r="B258" s="40" t="s">
        <v>25</v>
      </c>
      <c r="C258" s="39" t="s">
        <v>27</v>
      </c>
      <c r="D258" s="38" t="s">
        <v>254</v>
      </c>
      <c r="E258" s="82"/>
      <c r="F258" s="82"/>
      <c r="G258" s="39">
        <f>IF(AND(ISNUMBER(FIND(P261,D258,1)),LEN($P257)&lt;&gt;0),1,0)</f>
        <v>1</v>
      </c>
      <c r="H258" s="83"/>
      <c r="I258" s="83"/>
      <c r="J258" s="86"/>
      <c r="K258" s="89"/>
      <c r="L258" s="53">
        <f>I260</f>
        <v>0</v>
      </c>
      <c r="M258" s="78" t="str">
        <f>辅助!F258</f>
        <v>02,03,07,08,09</v>
      </c>
      <c r="N258" s="34">
        <v>24238.960000000006</v>
      </c>
      <c r="O258" s="76"/>
      <c r="P258" s="36" t="str">
        <f>SUBSTITUTE(LEFT(P257,8),","," ")</f>
        <v>04 01 08</v>
      </c>
      <c r="Q258" s="41" t="str">
        <f>IF(MAX(INT(P260),INT(P261),INT(P262),INT(P263),INT(P264))&lt;10,0&amp;MAX(INT(P260),INT(P261),INT(P262),INT(P263),INT(P264)),MAX(INT(P260),INT(P261),INT(P262),INT(P263),INT(P264)))</f>
        <v>08</v>
      </c>
      <c r="R258" s="41" t="str">
        <f>IF(MAX(INT(R260),INT(R261),INT(R262),INT(R263))&lt;10,0&amp;MAX(INT(R260),INT(R261),INT(R262),INT(R263)),MAX(INT(R260),INT(R261),INT(R262),INT(R263)))</f>
        <v>06</v>
      </c>
      <c r="S258" s="41"/>
    </row>
    <row r="259" spans="1:21" ht="20.100000000000001" customHeight="1" x14ac:dyDescent="0.15">
      <c r="A259" s="40" t="s">
        <v>23</v>
      </c>
      <c r="B259" s="40" t="s">
        <v>25</v>
      </c>
      <c r="C259" s="39" t="s">
        <v>28</v>
      </c>
      <c r="D259" s="38" t="s">
        <v>260</v>
      </c>
      <c r="E259" s="82"/>
      <c r="F259" s="82"/>
      <c r="G259" s="39">
        <f>IF(AND(ISNUMBER(FIND(P262,D259,1)),LEN($P257)&lt;&gt;0),1,0)</f>
        <v>1</v>
      </c>
      <c r="H259" s="83"/>
      <c r="I259" s="83"/>
      <c r="J259" s="86"/>
      <c r="K259" s="88"/>
      <c r="L259" s="53">
        <f>I261</f>
        <v>72739.680000000022</v>
      </c>
      <c r="M259" s="78" t="str">
        <f>辅助!F259</f>
        <v>02,03,07,08,10</v>
      </c>
      <c r="N259" s="34">
        <v>24246.560000000005</v>
      </c>
      <c r="O259" s="76"/>
      <c r="P259" s="36" t="str">
        <f>SUBSTITUTE(LEFT(P258,5),","," ")</f>
        <v>04 01</v>
      </c>
    </row>
    <row r="260" spans="1:21" ht="20.100000000000001" customHeight="1" x14ac:dyDescent="0.15">
      <c r="A260" s="40" t="s">
        <v>23</v>
      </c>
      <c r="B260" s="39" t="s">
        <v>32</v>
      </c>
      <c r="D260" s="38" t="s">
        <v>220</v>
      </c>
      <c r="E260" s="38">
        <f>LEN(SUBSTITUTE(SUBSTITUTE(D260,",",)," ",))/6</f>
        <v>4</v>
      </c>
      <c r="F260" s="38">
        <v>5</v>
      </c>
      <c r="G260" s="39">
        <f>IF(AND(ISNUMBER(FIND(SUBSTITUTE(LEFT(P257,8),","," "),D260,1)),LEN($P257)&lt;&gt;0),1,0)</f>
        <v>0</v>
      </c>
      <c r="H260" s="36">
        <f>G260</f>
        <v>0</v>
      </c>
      <c r="I260" s="36">
        <f>H260*K260*F260</f>
        <v>0</v>
      </c>
      <c r="J260" s="37" t="str">
        <f>TRIM(IF(LEN(D260)=0,"-",SUBSTITUTE(D260," "," ")))</f>
        <v>01 02 03,04 05 06,07 08 09,02 05 07</v>
      </c>
      <c r="K260" s="34">
        <f>N258</f>
        <v>24238.960000000006</v>
      </c>
      <c r="L260" s="53">
        <f>I262</f>
        <v>0</v>
      </c>
      <c r="M260" s="78" t="str">
        <f>辅助!F260</f>
        <v>02,03,07,08,11</v>
      </c>
      <c r="N260" s="34">
        <v>24238.960000000006</v>
      </c>
      <c r="O260" s="76"/>
      <c r="P260" s="36" t="str">
        <f>LEFT(P257,2)</f>
        <v>04</v>
      </c>
      <c r="Q260" s="36">
        <f>MOD(P260,2)</f>
        <v>0</v>
      </c>
      <c r="R260" s="36" t="str">
        <f>LEFT(Q257,2)</f>
        <v>04</v>
      </c>
      <c r="S260" s="36" t="str">
        <f>LEFT(R257,2)</f>
        <v>04</v>
      </c>
    </row>
    <row r="261" spans="1:21" ht="20.100000000000001" customHeight="1" x14ac:dyDescent="0.15">
      <c r="A261" s="40" t="s">
        <v>23</v>
      </c>
      <c r="B261" s="39" t="s">
        <v>35</v>
      </c>
      <c r="C261" s="39" t="s">
        <v>39</v>
      </c>
      <c r="D261" s="38" t="s">
        <v>257</v>
      </c>
      <c r="E261" s="38">
        <f>COMBIN(LEN(SUBSTITUTE(D261,",",))/2,3)</f>
        <v>165</v>
      </c>
      <c r="F261" s="38">
        <v>3</v>
      </c>
      <c r="G261" s="39"/>
      <c r="H261" s="36">
        <v>1</v>
      </c>
      <c r="I261" s="36">
        <f>IF(AND(P260&lt;&gt;P261,P260&lt;&gt;P262,P261&lt;&gt;P262),IF(SUM(N(ISNUMBER(FIND(P260,J261,1))),N(ISNUMBER(FIND(P261,J261,1))),N(ISNUMBER(FIND(P262,J261,1))))=3,F261*K261,0),0)</f>
        <v>72739.680000000022</v>
      </c>
      <c r="J261" s="37" t="str">
        <f>TRIM(IF(LEN('5Of11Source'!D261)=0,"-",SUBSTITUTE('5Of11Source'!D261,","," ")))</f>
        <v>01 02 03 04 05 06 07 08 09 10 11</v>
      </c>
      <c r="K261" s="34">
        <f t="shared" ref="K261:K262" si="32">N259</f>
        <v>24246.560000000005</v>
      </c>
      <c r="L261" s="53">
        <f>I263</f>
        <v>0</v>
      </c>
      <c r="M261" s="78" t="str">
        <f>辅助!F261</f>
        <v>02,03,07,09,10</v>
      </c>
      <c r="N261" s="34">
        <v>24238.960000000006</v>
      </c>
      <c r="O261" s="76"/>
      <c r="P261" s="36" t="str">
        <f>MID(P257,4,2)</f>
        <v>01</v>
      </c>
      <c r="Q261" s="36">
        <f t="shared" ref="Q261:Q264" si="33">MOD(P261,2)</f>
        <v>1</v>
      </c>
      <c r="R261" s="36" t="str">
        <f>MID(Q257,3,2)</f>
        <v>01</v>
      </c>
      <c r="S261" s="36" t="str">
        <f>MID(R257,3,2)</f>
        <v>01</v>
      </c>
    </row>
    <row r="262" spans="1:21" ht="20.100000000000001" customHeight="1" x14ac:dyDescent="0.15">
      <c r="A262" s="40" t="s">
        <v>23</v>
      </c>
      <c r="B262" s="39" t="s">
        <v>36</v>
      </c>
      <c r="D262" s="38" t="s">
        <v>222</v>
      </c>
      <c r="E262" s="38">
        <f>LEN(SUBSTITUTE(SUBSTITUTE(D262,",",)," ",))/6</f>
        <v>4</v>
      </c>
      <c r="F262" s="38">
        <v>4</v>
      </c>
      <c r="G262" s="39"/>
      <c r="I262" s="36">
        <f>IF(OR(ISNUMBER(FIND(P260&amp;" "&amp;P261&amp;" "&amp;P262,D262,1)),ISNUMBER(FIND(P260&amp;" "&amp;P262&amp;" "&amp;P261,D262,1)),ISNUMBER(FIND(P261&amp;" "&amp;P260&amp;" "&amp;P262,D262,1)),ISNUMBER(FIND(P261&amp;" "&amp;P262&amp;" "&amp;P260,D262,1)),ISNUMBER(FIND(P262&amp;" "&amp;P260&amp;" "&amp;P261,D262,1)),ISNUMBER(FIND(P262&amp;" "&amp;P261&amp;" "&amp;P260,D262,1))),F262*K262,0)</f>
        <v>0</v>
      </c>
      <c r="J262" s="37" t="str">
        <f>TRIM(IF(LEN('5Of11Source'!D262)=0,"-",SUBSTITUTE('5Of11Source'!D262,","," ")))</f>
        <v>01 02 03 06 07 08 09 10 11 05 02 07</v>
      </c>
      <c r="K262" s="34">
        <f t="shared" si="32"/>
        <v>24238.960000000006</v>
      </c>
      <c r="L262" s="53">
        <f>I265</f>
        <v>121381.05000000003</v>
      </c>
      <c r="M262" s="78" t="str">
        <f>辅助!F262</f>
        <v>02,03,07,09,11</v>
      </c>
      <c r="N262" s="34">
        <v>24276.210000000006</v>
      </c>
      <c r="O262" s="76"/>
      <c r="P262" s="36" t="str">
        <f>MID(P257,7,2)</f>
        <v>08</v>
      </c>
      <c r="Q262" s="36">
        <f t="shared" si="33"/>
        <v>0</v>
      </c>
      <c r="R262" s="36" t="str">
        <f>MID(Q257,5,2)</f>
        <v>02</v>
      </c>
      <c r="S262" s="36" t="str">
        <f>MID(R257,5,2)</f>
        <v>02</v>
      </c>
    </row>
    <row r="263" spans="1:21" ht="20.100000000000001" customHeight="1" x14ac:dyDescent="0.15">
      <c r="A263" s="40" t="s">
        <v>23</v>
      </c>
      <c r="B263" s="40" t="s">
        <v>38</v>
      </c>
      <c r="C263" s="39" t="s">
        <v>30</v>
      </c>
      <c r="D263" s="38" t="s">
        <v>258</v>
      </c>
      <c r="E263" s="82">
        <f>COMBIN(LEN(SUBSTITUTE(D264,",",))/2,3-LEN(SUBSTITUTE(D263,",",))/2)</f>
        <v>45</v>
      </c>
      <c r="F263" s="82">
        <v>2</v>
      </c>
      <c r="G263" s="36" t="str">
        <f>IF(AND(ISNUMBER(FIND(SUBSTITUTE(MID(D263,2,2),",",),P258,1)),ISNUMBER(FIND(SUBSTITUTE(MID(D263,5,2),",",),P258,1))),SUBSTITUTE(P258,MID(D263,2,2),),"此订单未中奖！")</f>
        <v>此订单未中奖！</v>
      </c>
      <c r="H263" s="36" t="str">
        <f>IF(AND(ISNUMBER(FIND(SUBSTITUTE(MID(D263,2,2),",",),P258,1)),ISNUMBER(FIND(SUBSTITUTE(MID(D263,5,2),",",),P258,1))),SUBSTITUTE(G263,MID(D263,5,2),),"此订单未中奖！")</f>
        <v>此订单未中奖！</v>
      </c>
      <c r="I263" s="90">
        <f>IF(G264&gt;0,G264*K263*F263,0)</f>
        <v>0</v>
      </c>
      <c r="J263" s="86" t="str">
        <f>TRIM(IF(LEN(D263)=0,"-",SUBSTITUTE(D263,","," ")))&amp;","&amp;TRIM(IF(LEN(D264)=0,"-",SUBSTITUTE(D264,","," ")))</f>
        <v>07,01 02 03 04 05 06 08 09 10 11</v>
      </c>
      <c r="K263" s="87">
        <f>N261</f>
        <v>24238.960000000006</v>
      </c>
      <c r="L263" s="53">
        <f>I267</f>
        <v>0</v>
      </c>
      <c r="M263" s="78" t="str">
        <f>辅助!F263</f>
        <v>02,03,07,10,11</v>
      </c>
      <c r="N263" s="34">
        <v>24238.960000000006</v>
      </c>
      <c r="O263" s="76"/>
      <c r="P263" s="36" t="str">
        <f>MID(P257,10,2)</f>
        <v>02</v>
      </c>
      <c r="Q263" s="36">
        <f t="shared" si="33"/>
        <v>0</v>
      </c>
      <c r="R263" s="36" t="str">
        <f>MID(Q257,7,2)</f>
        <v>06</v>
      </c>
    </row>
    <row r="264" spans="1:21" ht="20.100000000000001" customHeight="1" x14ac:dyDescent="0.15">
      <c r="A264" s="40" t="s">
        <v>23</v>
      </c>
      <c r="B264" s="40" t="s">
        <v>38</v>
      </c>
      <c r="C264" s="39" t="s">
        <v>31</v>
      </c>
      <c r="D264" s="38" t="s">
        <v>259</v>
      </c>
      <c r="E264" s="82"/>
      <c r="F264" s="82"/>
      <c r="G264" s="39">
        <f>N(ISNUMBER(FIND(TRIM(H263),D264,1)))</f>
        <v>0</v>
      </c>
      <c r="H264" s="43"/>
      <c r="I264" s="90"/>
      <c r="J264" s="86"/>
      <c r="K264" s="88"/>
      <c r="L264" s="53">
        <f>I268</f>
        <v>23301.600000000006</v>
      </c>
      <c r="M264" s="78" t="str">
        <f>辅助!F264</f>
        <v>02,03,08,09,10</v>
      </c>
      <c r="N264" s="34">
        <v>23301.600000000006</v>
      </c>
      <c r="O264" s="76"/>
      <c r="P264" s="36" t="str">
        <f>RIGHT(P257,2)</f>
        <v>06</v>
      </c>
      <c r="Q264" s="36">
        <f t="shared" si="33"/>
        <v>0</v>
      </c>
    </row>
    <row r="265" spans="1:21" ht="20.100000000000001" customHeight="1" x14ac:dyDescent="0.15">
      <c r="A265" s="40" t="s">
        <v>41</v>
      </c>
      <c r="B265" s="40" t="s">
        <v>43</v>
      </c>
      <c r="C265" s="39" t="s">
        <v>26</v>
      </c>
      <c r="D265" s="38" t="s">
        <v>261</v>
      </c>
      <c r="E265" s="82">
        <f>(LEN(SUBSTITUTE(D265,",",))/2)*(LEN(SUBSTITUTE(D266,",",))/2)</f>
        <v>121</v>
      </c>
      <c r="F265" s="82">
        <v>5</v>
      </c>
      <c r="G265" s="39">
        <f>IF(AND(ISNUMBER(FIND(P260,D265,1)),LEN($P257)&lt;&gt;0),1,0)</f>
        <v>1</v>
      </c>
      <c r="H265" s="83">
        <f>IF(SUM(G265:G266)=2,1,0)</f>
        <v>1</v>
      </c>
      <c r="I265" s="83">
        <f>H265*F265*K265</f>
        <v>121381.05000000003</v>
      </c>
      <c r="J265" s="86" t="str">
        <f>TRIM(IF(LEN(D265)=0,"-",SUBSTITUTE(D265,","," ")))&amp;","&amp;TRIM(IF(LEN(D266)=0,"-",SUBSTITUTE(D266,","," ")))</f>
        <v>01 02 03 04 05 06 07 08 09 10 11,01 02 03 04 05 06 07 08 09 10 11</v>
      </c>
      <c r="K265" s="87">
        <f>N262</f>
        <v>24276.210000000006</v>
      </c>
      <c r="L265" s="53">
        <f>I269</f>
        <v>0</v>
      </c>
      <c r="M265" s="78" t="str">
        <f>辅助!F265</f>
        <v>02,03,08,09,11</v>
      </c>
      <c r="N265" s="34">
        <v>23294</v>
      </c>
      <c r="O265" s="76"/>
      <c r="P265" s="36" t="str">
        <f>SUM(Q260:Q264)&amp;"单"&amp;5-SUM(Q260:Q264)&amp;"双"</f>
        <v>1单4双</v>
      </c>
    </row>
    <row r="266" spans="1:21" ht="20.100000000000001" customHeight="1" x14ac:dyDescent="0.15">
      <c r="A266" s="40" t="s">
        <v>41</v>
      </c>
      <c r="B266" s="40" t="s">
        <v>43</v>
      </c>
      <c r="C266" s="39" t="s">
        <v>27</v>
      </c>
      <c r="D266" s="38" t="s">
        <v>255</v>
      </c>
      <c r="E266" s="82"/>
      <c r="F266" s="82"/>
      <c r="G266" s="39">
        <f>IF(AND(ISNUMBER(FIND(P261,D266,1)),LEN($P257)&lt;&gt;0),1,0)</f>
        <v>1</v>
      </c>
      <c r="H266" s="83"/>
      <c r="I266" s="83"/>
      <c r="J266" s="86"/>
      <c r="K266" s="88"/>
      <c r="L266" s="53">
        <f>I270</f>
        <v>69904.800000000017</v>
      </c>
      <c r="M266" s="78" t="str">
        <f>辅助!F266</f>
        <v>02,03,08,10,11</v>
      </c>
      <c r="N266" s="34">
        <v>23301.600000000006</v>
      </c>
      <c r="O266" s="76"/>
    </row>
    <row r="267" spans="1:21" ht="20.100000000000001" customHeight="1" x14ac:dyDescent="0.15">
      <c r="A267" s="40" t="s">
        <v>41</v>
      </c>
      <c r="B267" s="39" t="s">
        <v>45</v>
      </c>
      <c r="D267" s="38" t="s">
        <v>262</v>
      </c>
      <c r="E267" s="38">
        <f>LEN(SUBSTITUTE(SUBSTITUTE(D267,",",)," ",))/4</f>
        <v>5</v>
      </c>
      <c r="F267" s="38">
        <v>3</v>
      </c>
      <c r="G267" s="39">
        <f>IF(AND(ISNUMBER(FIND(SUBSTITUTE(LEFT(P257,5),","," "),D267,1)),LEN($P257)&lt;&gt;0),1,0)</f>
        <v>0</v>
      </c>
      <c r="H267" s="36">
        <f>G267</f>
        <v>0</v>
      </c>
      <c r="I267" s="36">
        <f>H267*F267*K267</f>
        <v>0</v>
      </c>
      <c r="J267" s="37" t="str">
        <f>TRIM(D267)</f>
        <v>01 02,02 05,05 02,07 08,09 10</v>
      </c>
      <c r="K267" s="34">
        <f>N263</f>
        <v>24238.960000000006</v>
      </c>
      <c r="L267" s="53">
        <f>I272</f>
        <v>349942.05000000005</v>
      </c>
      <c r="M267" s="78" t="str">
        <f>辅助!F267</f>
        <v>02,03,09,10,11</v>
      </c>
      <c r="N267" s="34">
        <v>23329.47</v>
      </c>
      <c r="O267" s="76"/>
    </row>
    <row r="268" spans="1:21" ht="20.100000000000001" customHeight="1" x14ac:dyDescent="0.15">
      <c r="A268" s="40" t="s">
        <v>41</v>
      </c>
      <c r="B268" s="39" t="s">
        <v>47</v>
      </c>
      <c r="C268" s="39" t="s">
        <v>53</v>
      </c>
      <c r="D268" s="38" t="s">
        <v>109</v>
      </c>
      <c r="E268" s="38">
        <f>COMBIN(LEN(SUBSTITUTE(D268,",",))/2,2)</f>
        <v>55</v>
      </c>
      <c r="F268" s="38">
        <v>1</v>
      </c>
      <c r="G268" s="39"/>
      <c r="I268" s="36">
        <f>IF(OR(ISNUMBER(FIND(P260,D268,1)),ISNUMBER(FIND(P261,D268,1))),F268*K268,0)</f>
        <v>23301.600000000006</v>
      </c>
      <c r="J268" s="37" t="str">
        <f>TRIM(IF(LEN('5Of11Source'!D268)=0,"-",SUBSTITUTE('5Of11Source'!D268,","," ")))</f>
        <v>01 02 03 04 05 06 07 08 09 10 11</v>
      </c>
      <c r="K268" s="34">
        <f>N264</f>
        <v>23301.600000000006</v>
      </c>
      <c r="L268" s="53">
        <f>I273</f>
        <v>204143.84999999998</v>
      </c>
      <c r="M268" s="78" t="str">
        <f>辅助!F268</f>
        <v>02,04,05,06,07</v>
      </c>
      <c r="N268" s="34">
        <v>34023.974999999999</v>
      </c>
      <c r="O268" s="76"/>
      <c r="P268" s="39" t="s">
        <v>136</v>
      </c>
      <c r="R268" s="37"/>
    </row>
    <row r="269" spans="1:21" ht="20.100000000000001" customHeight="1" x14ac:dyDescent="0.15">
      <c r="A269" s="40" t="s">
        <v>41</v>
      </c>
      <c r="B269" s="39" t="s">
        <v>51</v>
      </c>
      <c r="D269" s="38" t="s">
        <v>225</v>
      </c>
      <c r="E269" s="38">
        <f>LEN(SUBSTITUTE(SUBSTITUTE(D269,",",)," ",))/4-1</f>
        <v>5</v>
      </c>
      <c r="F269" s="38">
        <v>2</v>
      </c>
      <c r="G269" s="39"/>
      <c r="I269" s="36">
        <f>IF(OR(ISNUMBER(FIND(P260&amp;" "&amp;P261,D269,1)),ISNUMBER(FIND(P261&amp;" "&amp;P260,D269,1))),K269*F269,0)</f>
        <v>0</v>
      </c>
      <c r="J269" s="37" t="str">
        <f>TRIM(D269)</f>
        <v>01 02,02 01,05 02,07 08,09 10,11 07</v>
      </c>
      <c r="K269" s="34">
        <f>N265</f>
        <v>23294</v>
      </c>
      <c r="L269" s="53">
        <f>I276</f>
        <v>148.35000000000002</v>
      </c>
      <c r="M269" s="78" t="str">
        <f>辅助!F269</f>
        <v>02,04,05,06,08</v>
      </c>
      <c r="N269" s="34">
        <v>33401.575000000004</v>
      </c>
      <c r="O269" s="76"/>
      <c r="P269" s="39" t="s">
        <v>137</v>
      </c>
      <c r="Q269" s="39" t="s">
        <v>145</v>
      </c>
      <c r="R269" s="38" t="s">
        <v>146</v>
      </c>
      <c r="S269" s="39" t="s">
        <v>147</v>
      </c>
    </row>
    <row r="270" spans="1:21" ht="20.100000000000001" customHeight="1" x14ac:dyDescent="0.15">
      <c r="A270" s="40" t="s">
        <v>41</v>
      </c>
      <c r="B270" s="40" t="s">
        <v>49</v>
      </c>
      <c r="C270" s="39" t="s">
        <v>30</v>
      </c>
      <c r="D270" s="38" t="str">
        <f>0&amp;1</f>
        <v>01</v>
      </c>
      <c r="E270" s="82">
        <f>LEN(SUBSTITUTE(D271,",",))/2</f>
        <v>10</v>
      </c>
      <c r="F270" s="82">
        <v>3</v>
      </c>
      <c r="G270" s="36" t="str">
        <f>IF(ISNUMBER(FIND(SUBSTITUTE(MID(D270,2,2),",",),P259,1)),SUBSTITUTE(P259,D270,),"此订单未中奖！")</f>
        <v xml:space="preserve">04 </v>
      </c>
      <c r="H270" s="36" t="str">
        <f>IF(ISNUMBER(FIND(SUBSTITUTE(MID(D270,5,2),",",),P259,1)),SUBSTITUTE(G270,D270,),"此订单未中奖！")</f>
        <v xml:space="preserve">04 </v>
      </c>
      <c r="I270" s="90">
        <f>IF(G271&gt;0,G271*K270*F270,0)</f>
        <v>69904.800000000017</v>
      </c>
      <c r="J270" s="86" t="str">
        <f>TRIM(IF(LEN(D270)=0,"-",SUBSTITUTE(D270,","," ")))&amp;","&amp;TRIM(IF(LEN(D271)=0,"-",SUBSTITUTE(D271,","," ")))</f>
        <v>01,02 03 04 05 06 07 08 09 10 11</v>
      </c>
      <c r="K270" s="87">
        <f>N266</f>
        <v>23301.600000000006</v>
      </c>
      <c r="L270" s="53">
        <f t="shared" ref="L270:L279" si="34">I277</f>
        <v>28.22</v>
      </c>
      <c r="M270" s="78" t="str">
        <f>辅助!F270</f>
        <v>02,04,05,06,09</v>
      </c>
      <c r="N270" s="34">
        <v>32984.654999999999</v>
      </c>
      <c r="O270" s="76"/>
      <c r="P270" s="39" t="s">
        <v>138</v>
      </c>
      <c r="Q270" s="36">
        <f>TRUNC(0.154,3)</f>
        <v>0.154</v>
      </c>
      <c r="R270" s="37">
        <f>TRUNC(S270-(9.9-agent!$L$3)*Q270*10,3)</f>
        <v>148.61000000000001</v>
      </c>
      <c r="S270" s="36">
        <f>TRUNC(138.6+Q270*99,3)</f>
        <v>153.846</v>
      </c>
      <c r="T270" s="41">
        <f>IF(ISNUMBER(FIND(P265,P270,1)),R270,0)</f>
        <v>0</v>
      </c>
      <c r="U270" s="36">
        <f>IF(T270=0,0,Q270)</f>
        <v>0</v>
      </c>
    </row>
    <row r="271" spans="1:21" ht="20.100000000000001" customHeight="1" x14ac:dyDescent="0.15">
      <c r="A271" s="40" t="s">
        <v>41</v>
      </c>
      <c r="B271" s="40" t="s">
        <v>49</v>
      </c>
      <c r="C271" s="39" t="s">
        <v>55</v>
      </c>
      <c r="D271" s="38" t="s">
        <v>263</v>
      </c>
      <c r="E271" s="82"/>
      <c r="F271" s="82"/>
      <c r="G271" s="39">
        <f>N(ISNUMBER(FIND(TRIM(H270),D271,1)))</f>
        <v>1</v>
      </c>
      <c r="I271" s="90"/>
      <c r="J271" s="86"/>
      <c r="K271" s="88"/>
      <c r="L271" s="53">
        <f t="shared" si="34"/>
        <v>165516.77500000002</v>
      </c>
      <c r="M271" s="78" t="str">
        <f>辅助!F271</f>
        <v>02,04,05,06,10</v>
      </c>
      <c r="N271" s="34">
        <v>33103.355000000003</v>
      </c>
      <c r="O271" s="76"/>
      <c r="P271" s="39" t="s">
        <v>139</v>
      </c>
      <c r="Q271" s="36">
        <f>TRUNC(0.01242857,3)</f>
        <v>1.2E-2</v>
      </c>
      <c r="R271" s="37">
        <f>TRUNC(S271-(9.9-agent!$L$3)*Q271*10,3)</f>
        <v>11.86</v>
      </c>
      <c r="S271" s="36">
        <f>TRUNC(11.08+Q271*99,3)</f>
        <v>12.268000000000001</v>
      </c>
      <c r="T271" s="41">
        <f>IF(ISNUMBER(FIND(P265,P271,1)),R271,0)</f>
        <v>0</v>
      </c>
      <c r="U271" s="36">
        <f t="shared" ref="U271:U275" si="35">IF(T271=0,0,Q271)</f>
        <v>0</v>
      </c>
    </row>
    <row r="272" spans="1:21" ht="20.100000000000001" customHeight="1" x14ac:dyDescent="0.15">
      <c r="A272" s="39" t="s">
        <v>56</v>
      </c>
      <c r="B272" s="39" t="s">
        <v>58</v>
      </c>
      <c r="C272" s="39" t="s">
        <v>56</v>
      </c>
      <c r="D272" s="38" t="s">
        <v>105</v>
      </c>
      <c r="E272" s="38">
        <f>LEN(SUBSTITUTE(D272,",",))/2</f>
        <v>11</v>
      </c>
      <c r="F272" s="38">
        <v>5</v>
      </c>
      <c r="G272" s="39"/>
      <c r="I272" s="36">
        <f>(N(ISNUMBER(FIND(P260,D272,1)))+N(ISNUMBER(FIND(P261,D272,1)))+N(ISNUMBER(FIND(P262,D272,1))))*F272*K272</f>
        <v>349942.05000000005</v>
      </c>
      <c r="J272" s="37" t="str">
        <f>TRIM(IF(LEN('5Of11Source'!D272)=0,"-",SUBSTITUTE('5Of11Source'!D272,","," ")))</f>
        <v>01 02 03 04 05 06 07 08 09 10 11</v>
      </c>
      <c r="K272" s="34">
        <f>N267</f>
        <v>23329.47</v>
      </c>
      <c r="L272" s="53">
        <f t="shared" si="34"/>
        <v>659693.1</v>
      </c>
      <c r="M272" s="78" t="str">
        <f>辅助!F272</f>
        <v>02,04,05,06,11</v>
      </c>
      <c r="N272" s="34">
        <v>32984.654999999999</v>
      </c>
      <c r="O272" s="76"/>
      <c r="P272" s="39" t="s">
        <v>140</v>
      </c>
      <c r="Q272" s="36">
        <f>TRUNC(0.0047,3)</f>
        <v>4.0000000000000001E-3</v>
      </c>
      <c r="R272" s="37">
        <f>TRUNC(S272-(9.9-agent!$L$3)*Q272*10,3)</f>
        <v>4.41</v>
      </c>
      <c r="S272" s="36">
        <f>TRUNC(4.15+Q272*99,3)</f>
        <v>4.5460000000000003</v>
      </c>
      <c r="T272" s="41">
        <f>IF(ISNUMBER(FIND(P265,P272,1)),R272,0)</f>
        <v>0</v>
      </c>
      <c r="U272" s="36">
        <f t="shared" si="35"/>
        <v>0</v>
      </c>
    </row>
    <row r="273" spans="1:21" ht="20.100000000000001" customHeight="1" x14ac:dyDescent="0.15">
      <c r="A273" s="40" t="s">
        <v>60</v>
      </c>
      <c r="B273" s="40" t="s">
        <v>61</v>
      </c>
      <c r="C273" s="39" t="s">
        <v>26</v>
      </c>
      <c r="D273" s="38" t="s">
        <v>253</v>
      </c>
      <c r="E273" s="79">
        <f>LEN(SUBSTITUTE(D273,",",))/2+LEN(SUBSTITUTE(D274,",",))/2+LEN(SUBSTITUTE(D275,",",))/2</f>
        <v>33</v>
      </c>
      <c r="F273" s="82">
        <v>2</v>
      </c>
      <c r="I273" s="83">
        <f>(N(ISNUMBER(FIND(P260,D273,1)))+N(ISNUMBER(FIND(P261,D274,1)))+N(ISNUMBER(FIND(P262,D275,1))))*F273*K273</f>
        <v>204143.84999999998</v>
      </c>
      <c r="J273" s="86" t="str">
        <f>TRIM(IF(LEN(D273)=0,"-",SUBSTITUTE(D273,","," ")))&amp;","&amp;TRIM(IF(LEN(D274)=0,"-",SUBSTITUTE(D274,","," ")))&amp;","&amp;TRIM(IF(LEN(D275)=0,"-",SUBSTITUTE(D275,","," ")))</f>
        <v>01 02 03 04 05 06 07 08 09 10 11,01 02 03 04 05 06 07 08 09 10 11,01 02 03 04 05 06 07 08 09 10 11</v>
      </c>
      <c r="K273" s="87">
        <f>N268</f>
        <v>34023.974999999999</v>
      </c>
      <c r="L273" s="53">
        <f t="shared" si="34"/>
        <v>933782.4</v>
      </c>
      <c r="M273" s="78" t="str">
        <f>辅助!F273</f>
        <v>02,04,05,07,08</v>
      </c>
      <c r="N273" s="34">
        <v>31126.080000000002</v>
      </c>
      <c r="O273" s="76"/>
      <c r="P273" s="39" t="s">
        <v>141</v>
      </c>
      <c r="Q273" s="36">
        <f>TRUNC(0.006142857,3)</f>
        <v>6.0000000000000001E-3</v>
      </c>
      <c r="R273" s="37">
        <f>TRUNC(S273-(9.9-agent!$L$3)*Q273*10,3)</f>
        <v>5.93</v>
      </c>
      <c r="S273" s="36">
        <f>TRUNC(5.54+Q273*99,3)</f>
        <v>6.1340000000000003</v>
      </c>
      <c r="T273" s="41">
        <f>IF(ISNUMBER(FIND(P265,P273,1)),R273,0)</f>
        <v>0</v>
      </c>
      <c r="U273" s="36">
        <f t="shared" si="35"/>
        <v>0</v>
      </c>
    </row>
    <row r="274" spans="1:21" ht="20.100000000000001" customHeight="1" x14ac:dyDescent="0.15">
      <c r="A274" s="40" t="s">
        <v>60</v>
      </c>
      <c r="B274" s="40" t="s">
        <v>61</v>
      </c>
      <c r="C274" s="39" t="s">
        <v>27</v>
      </c>
      <c r="D274" s="38" t="s">
        <v>105</v>
      </c>
      <c r="E274" s="80"/>
      <c r="F274" s="82"/>
      <c r="I274" s="83"/>
      <c r="J274" s="86"/>
      <c r="K274" s="89"/>
      <c r="L274" s="53">
        <f t="shared" si="34"/>
        <v>777937.00000000012</v>
      </c>
      <c r="M274" s="78" t="str">
        <f>辅助!F274</f>
        <v>02,04,05,07,09</v>
      </c>
      <c r="N274" s="34">
        <v>31117.480000000003</v>
      </c>
      <c r="O274" s="76"/>
      <c r="P274" s="39" t="s">
        <v>142</v>
      </c>
      <c r="Q274" s="36">
        <f>TRUNC(0.0307,3)</f>
        <v>0.03</v>
      </c>
      <c r="R274" s="37">
        <f>TRUNC(S274-(9.9-agent!$L$3)*Q274*10,3)</f>
        <v>29.67</v>
      </c>
      <c r="S274" s="36">
        <f>TRUNC(27.72+Q274*99,3)</f>
        <v>30.69</v>
      </c>
      <c r="T274" s="41">
        <f>IF(ISNUMBER(FIND(P265,P274,1)),R274,0)</f>
        <v>29.67</v>
      </c>
      <c r="U274" s="36">
        <f t="shared" si="35"/>
        <v>0.03</v>
      </c>
    </row>
    <row r="275" spans="1:21" ht="20.100000000000001" customHeight="1" x14ac:dyDescent="0.15">
      <c r="A275" s="40" t="s">
        <v>60</v>
      </c>
      <c r="B275" s="40" t="s">
        <v>61</v>
      </c>
      <c r="C275" s="39" t="s">
        <v>28</v>
      </c>
      <c r="D275" s="38" t="s">
        <v>105</v>
      </c>
      <c r="E275" s="81"/>
      <c r="F275" s="82"/>
      <c r="I275" s="83"/>
      <c r="J275" s="86"/>
      <c r="K275" s="88"/>
      <c r="L275" s="53">
        <f t="shared" si="34"/>
        <v>124500.32</v>
      </c>
      <c r="M275" s="78" t="str">
        <f>辅助!F275</f>
        <v>02,04,05,07,10</v>
      </c>
      <c r="N275" s="34">
        <v>31125.08</v>
      </c>
      <c r="O275" s="76"/>
      <c r="P275" s="39" t="s">
        <v>143</v>
      </c>
      <c r="Q275" s="36">
        <f>TRUNC(0.924,3)</f>
        <v>0.92400000000000004</v>
      </c>
      <c r="R275" s="37">
        <f>TRUNC(S275-(9.9-agent!$L$3)*Q275*10,3)</f>
        <v>891.66</v>
      </c>
      <c r="S275" s="36">
        <f>TRUNC(831.6+Q275*99,3)</f>
        <v>923.07600000000002</v>
      </c>
      <c r="T275" s="41">
        <f>IF(ISNUMBER(FIND(P265,P275,1)),R275,0)</f>
        <v>0</v>
      </c>
      <c r="U275" s="36">
        <f t="shared" si="35"/>
        <v>0</v>
      </c>
    </row>
    <row r="276" spans="1:21" ht="20.100000000000001" customHeight="1" x14ac:dyDescent="0.15">
      <c r="A276" s="40" t="s">
        <v>63</v>
      </c>
      <c r="B276" s="39" t="s">
        <v>65</v>
      </c>
      <c r="C276" s="39" t="s">
        <v>66</v>
      </c>
      <c r="D276" s="38" t="s">
        <v>110</v>
      </c>
      <c r="E276" s="38">
        <v>6</v>
      </c>
      <c r="F276" s="38">
        <v>5</v>
      </c>
      <c r="G276" s="39"/>
      <c r="I276" s="36">
        <f>N(ISNUMBER(FIND(P265,D276,1)))*F276*K276</f>
        <v>148.35000000000002</v>
      </c>
      <c r="J276" s="37" t="str">
        <f>TRIM(IF(LEN('5Of11Source'!D276)=0,"-",SUBSTITUTE('5Of11Source'!D276,","," ")))</f>
        <v>5单0双 4单1双 3单2双 2单3双 1单4双 0单5双</v>
      </c>
      <c r="K276" s="38">
        <f>SUM(T270:T275)</f>
        <v>29.67</v>
      </c>
      <c r="L276" s="53">
        <f t="shared" si="34"/>
        <v>746819.52</v>
      </c>
      <c r="M276" s="78" t="str">
        <f>辅助!F276</f>
        <v>02,04,05,07,11</v>
      </c>
      <c r="N276" s="34">
        <v>31117.480000000003</v>
      </c>
      <c r="O276" s="76"/>
      <c r="P276" s="39" t="s">
        <v>144</v>
      </c>
      <c r="R276" s="37"/>
      <c r="T276" s="41"/>
    </row>
    <row r="277" spans="1:21" ht="20.100000000000001" customHeight="1" x14ac:dyDescent="0.15">
      <c r="A277" s="40" t="s">
        <v>63</v>
      </c>
      <c r="B277" s="39" t="s">
        <v>68</v>
      </c>
      <c r="C277" s="39" t="s">
        <v>68</v>
      </c>
      <c r="D277" s="38" t="s">
        <v>111</v>
      </c>
      <c r="E277" s="38">
        <f>LEN(SUBSTITUTE(D277,",",))/2</f>
        <v>7</v>
      </c>
      <c r="F277" s="38">
        <v>2</v>
      </c>
      <c r="I277" s="36">
        <f>N(ISNUMBER(FIND(S257,D277,1)))*F277*K277</f>
        <v>28.22</v>
      </c>
      <c r="J277" s="37" t="str">
        <f>TRIM(IF(LEN('5Of11Source'!D277)=0,"-",SUBSTITUTE('5Of11Source'!D277,","," ")))</f>
        <v>03 04 05 06 07 08 09</v>
      </c>
      <c r="K277" s="37">
        <f>SUM(T277:T280)</f>
        <v>14.11</v>
      </c>
      <c r="L277" s="53">
        <f t="shared" si="34"/>
        <v>1357725.6</v>
      </c>
      <c r="M277" s="78" t="str">
        <f>辅助!F277</f>
        <v>02,04,05,08,09</v>
      </c>
      <c r="N277" s="34">
        <v>30171.68</v>
      </c>
      <c r="O277" s="76"/>
      <c r="P277" s="44" t="str">
        <f>0&amp;3&amp;"/"&amp;0&amp;9</f>
        <v>03/09</v>
      </c>
      <c r="Q277" s="36">
        <f>TRUNC(0.033,3)</f>
        <v>3.3000000000000002E-2</v>
      </c>
      <c r="R277" s="37">
        <f>TRUNC(S277-(9.9-agent!$L$3)*Q277*10,3)</f>
        <v>31.844999999999999</v>
      </c>
      <c r="S277" s="36">
        <f>TRUNC(29.7+Q277*99,3)</f>
        <v>32.966999999999999</v>
      </c>
      <c r="T277" s="42">
        <f>IF(ISNUMBER(FIND(S257,P277,1)),R277,0)</f>
        <v>0</v>
      </c>
      <c r="U277" s="36">
        <f t="shared" ref="U277:U280" si="36">IF(T277=0,0,Q277)</f>
        <v>0</v>
      </c>
    </row>
    <row r="278" spans="1:21" ht="20.100000000000001" customHeight="1" x14ac:dyDescent="0.15">
      <c r="A278" s="40" t="s">
        <v>70</v>
      </c>
      <c r="B278" s="39" t="s">
        <v>72</v>
      </c>
      <c r="C278" s="39" t="s">
        <v>87</v>
      </c>
      <c r="D278" s="38" t="s">
        <v>266</v>
      </c>
      <c r="E278" s="38">
        <f t="shared" ref="E278" si="37">LEN(SUBSTITUTE(D278,",",))/2</f>
        <v>11</v>
      </c>
      <c r="F278" s="38">
        <v>1</v>
      </c>
      <c r="I278" s="36">
        <f>(N(ISNUMBER(FIND(P260,D278,1)))+N(ISNUMBER(FIND(P261,D278,1)))+N(ISNUMBER(FIND(P262,D278,1)))+N(ISNUMBER(FIND(P263,D278,1)))+N(ISNUMBER(FIND(P264,D278,1))))*F278*K278</f>
        <v>165516.77500000002</v>
      </c>
      <c r="J278" s="37" t="str">
        <f>TRIM(IF(LEN('5Of11Source'!D278)=0,"-",SUBSTITUTE('5Of11Source'!D278,","," ")))</f>
        <v>01 02 03 04 05 06 07 08 09 10 11</v>
      </c>
      <c r="K278" s="34">
        <f t="shared" ref="K278:K288" si="38">N271</f>
        <v>33103.355000000003</v>
      </c>
      <c r="L278" s="53">
        <f t="shared" si="34"/>
        <v>1817422.8</v>
      </c>
      <c r="M278" s="78" t="str">
        <f>辅助!F278</f>
        <v>02,04,05,08,10</v>
      </c>
      <c r="N278" s="34">
        <v>30290.38</v>
      </c>
      <c r="O278" s="76"/>
      <c r="P278" s="45" t="str">
        <f>0&amp;4&amp;"/"&amp;0&amp;8</f>
        <v>04/08</v>
      </c>
      <c r="Q278" s="36">
        <f>TRUNC(0.01457,3)</f>
        <v>1.4E-2</v>
      </c>
      <c r="R278" s="37">
        <f>TRUNC(S278-(9.9-agent!$L$3)*Q278*10,3)</f>
        <v>14.11</v>
      </c>
      <c r="S278" s="36">
        <f>TRUNC(13.2+Q278*99,3)</f>
        <v>14.586</v>
      </c>
      <c r="T278" s="42">
        <f>IF(ISNUMBER(FIND(S257,P278,1)),R278,0)</f>
        <v>14.11</v>
      </c>
      <c r="U278" s="36">
        <f t="shared" si="36"/>
        <v>1.4E-2</v>
      </c>
    </row>
    <row r="279" spans="1:21" ht="20.100000000000001" customHeight="1" x14ac:dyDescent="0.15">
      <c r="A279" s="40" t="s">
        <v>70</v>
      </c>
      <c r="B279" s="39" t="s">
        <v>74</v>
      </c>
      <c r="C279" s="39" t="s">
        <v>88</v>
      </c>
      <c r="D279" s="38" t="s">
        <v>264</v>
      </c>
      <c r="E279" s="38">
        <f>COMBIN(LEN(SUBSTITUTE(D279,",",))/2,2)</f>
        <v>55</v>
      </c>
      <c r="F279" s="38">
        <v>2</v>
      </c>
      <c r="I279" s="46">
        <f>COMBIN(5,2)*F279*K279</f>
        <v>659693.1</v>
      </c>
      <c r="J279" s="37" t="str">
        <f>TRIM(IF(LEN('5Of11Source'!D279)=0,"-",SUBSTITUTE('5Of11Source'!D279,","," ")))</f>
        <v>01 02 03 04 05 06 07 08 09 10 11</v>
      </c>
      <c r="K279" s="34">
        <f t="shared" si="38"/>
        <v>32984.654999999999</v>
      </c>
      <c r="L279" s="53">
        <f t="shared" si="34"/>
        <v>603433.6</v>
      </c>
      <c r="M279" s="78" t="str">
        <f>辅助!F279</f>
        <v>02,04,05,08,11</v>
      </c>
      <c r="N279" s="34">
        <v>30171.68</v>
      </c>
      <c r="O279" s="76"/>
      <c r="P279" s="45" t="str">
        <f>0&amp;5&amp;"/"&amp;0&amp;7</f>
        <v>05/07</v>
      </c>
      <c r="Q279" s="36">
        <f>TRUNC(0.010142857,3)</f>
        <v>0.01</v>
      </c>
      <c r="R279" s="37">
        <f>TRUNC(S279-(9.9-agent!$L$3)*Q279*10,3)</f>
        <v>9.89</v>
      </c>
      <c r="S279" s="36">
        <f>TRUNC(9.24+Q279*99,3)</f>
        <v>10.23</v>
      </c>
      <c r="T279" s="42">
        <f>IF(ISNUMBER(FIND(S257,P279,1)),R279,0)</f>
        <v>0</v>
      </c>
      <c r="U279" s="36">
        <f t="shared" si="36"/>
        <v>0</v>
      </c>
    </row>
    <row r="280" spans="1:21" ht="20.100000000000001" customHeight="1" x14ac:dyDescent="0.15">
      <c r="A280" s="40" t="s">
        <v>70</v>
      </c>
      <c r="B280" s="39" t="s">
        <v>76</v>
      </c>
      <c r="C280" s="39" t="s">
        <v>89</v>
      </c>
      <c r="D280" s="38" t="s">
        <v>264</v>
      </c>
      <c r="E280" s="38">
        <f>COMBIN(LEN(SUBSTITUTE(D280,",",))/2,3)</f>
        <v>165</v>
      </c>
      <c r="F280" s="38">
        <v>3</v>
      </c>
      <c r="I280" s="46">
        <f>COMBIN(5,3)*F280*K280</f>
        <v>933782.4</v>
      </c>
      <c r="J280" s="37" t="str">
        <f>TRIM(IF(LEN('5Of11Source'!D280)=0,"-",SUBSTITUTE('5Of11Source'!D280,","," ")))</f>
        <v>01 02 03 04 05 06 07 08 09 10 11</v>
      </c>
      <c r="K280" s="34">
        <f t="shared" si="38"/>
        <v>31126.080000000002</v>
      </c>
      <c r="L280" s="53">
        <f>I287</f>
        <v>0</v>
      </c>
      <c r="M280" s="78" t="str">
        <f>辅助!F280</f>
        <v>02,04,05,09,10</v>
      </c>
      <c r="N280" s="34">
        <v>30171.68</v>
      </c>
      <c r="O280" s="76"/>
      <c r="P280" s="39" t="str">
        <f>0&amp;6</f>
        <v>06</v>
      </c>
      <c r="Q280" s="36">
        <f>TRUNC(0.0092857,3)</f>
        <v>8.9999999999999993E-3</v>
      </c>
      <c r="R280" s="37">
        <f>TRUNC(S280-(9.9-agent!$L$3)*Q280*10,3)</f>
        <v>8.8949999999999996</v>
      </c>
      <c r="S280" s="36">
        <f>TRUNC(8.31+Q280*99,3)</f>
        <v>9.2010000000000005</v>
      </c>
      <c r="T280" s="42">
        <f>IF(ISNUMBER(FIND(S257,P280,1)),R280,0)</f>
        <v>0</v>
      </c>
      <c r="U280" s="36">
        <f t="shared" si="36"/>
        <v>0</v>
      </c>
    </row>
    <row r="281" spans="1:21" ht="20.100000000000001" customHeight="1" x14ac:dyDescent="0.15">
      <c r="A281" s="40" t="s">
        <v>70</v>
      </c>
      <c r="B281" s="39" t="s">
        <v>78</v>
      </c>
      <c r="C281" s="39" t="s">
        <v>90</v>
      </c>
      <c r="D281" s="38" t="s">
        <v>267</v>
      </c>
      <c r="E281" s="38">
        <f>COMBIN(LEN(SUBSTITUTE(D281,",",))/2,4)</f>
        <v>330</v>
      </c>
      <c r="F281" s="38">
        <v>5</v>
      </c>
      <c r="H281" s="43"/>
      <c r="I281" s="46">
        <f>COMBIN(5,4)*F281*K281</f>
        <v>777937.00000000012</v>
      </c>
      <c r="J281" s="37" t="str">
        <f>TRIM(IF(LEN('5Of11Source'!D281)=0,"-",SUBSTITUTE('5Of11Source'!D281,","," ")))</f>
        <v>01 02 03 04 05 06 07 08 09 10 11</v>
      </c>
      <c r="K281" s="34">
        <f t="shared" si="38"/>
        <v>31117.480000000003</v>
      </c>
      <c r="L281" s="53">
        <f t="shared" ref="L281:L286" si="39">I288</f>
        <v>0</v>
      </c>
      <c r="M281" s="78" t="str">
        <f>辅助!F281</f>
        <v>02,04,05,09,11</v>
      </c>
      <c r="N281" s="34">
        <v>30164.080000000002</v>
      </c>
      <c r="O281" s="76"/>
    </row>
    <row r="282" spans="1:21" ht="20.100000000000001" customHeight="1" x14ac:dyDescent="0.15">
      <c r="A282" s="40" t="s">
        <v>70</v>
      </c>
      <c r="B282" s="39" t="s">
        <v>80</v>
      </c>
      <c r="C282" s="39" t="s">
        <v>91</v>
      </c>
      <c r="D282" s="38" t="s">
        <v>266</v>
      </c>
      <c r="E282" s="38">
        <f>COMBIN(LEN(SUBSTITUTE(D282,",",))/2,5)</f>
        <v>461.99999999999994</v>
      </c>
      <c r="F282" s="38">
        <v>4</v>
      </c>
      <c r="H282" s="43"/>
      <c r="I282" s="36">
        <f>(N(AND(ISNUMBER(FIND(P260,D282,1)),ISNUMBER(FIND(P261,D282,1)),ISNUMBER(FIND(P262,D282,1)),ISNUMBER(FIND(P263,D282,1)),ISNUMBER(FIND(P264,D282,1)))))*F282*K282</f>
        <v>124500.32</v>
      </c>
      <c r="J282" s="37" t="str">
        <f>TRIM(IF(LEN('5Of11Source'!D282)=0,"-",SUBSTITUTE('5Of11Source'!D282,","," ")))</f>
        <v>01 02 03 04 05 06 07 08 09 10 11</v>
      </c>
      <c r="K282" s="34">
        <f t="shared" si="38"/>
        <v>31125.08</v>
      </c>
      <c r="L282" s="53">
        <f t="shared" si="39"/>
        <v>0</v>
      </c>
      <c r="M282" s="78" t="str">
        <f>辅助!F282</f>
        <v>02,04,05,10,11</v>
      </c>
      <c r="N282" s="34">
        <v>30171.68</v>
      </c>
      <c r="O282" s="76"/>
    </row>
    <row r="283" spans="1:21" ht="20.100000000000001" customHeight="1" x14ac:dyDescent="0.15">
      <c r="A283" s="40" t="s">
        <v>70</v>
      </c>
      <c r="B283" s="39" t="s">
        <v>82</v>
      </c>
      <c r="C283" s="39" t="s">
        <v>92</v>
      </c>
      <c r="D283" s="38" t="s">
        <v>254</v>
      </c>
      <c r="E283" s="38">
        <f>COMBIN(LEN(SUBSTITUTE(D283,",",))/2,6)</f>
        <v>461.99999999999994</v>
      </c>
      <c r="F283" s="38">
        <v>4</v>
      </c>
      <c r="I283" s="36">
        <f>IF(AND(ISNUMBER(FIND(P260,D283,1)),ISNUMBER(FIND(P261,D283,1)),ISNUMBER(FIND(P262,D283,1)),ISNUMBER(FIND(P263,D283,1)),ISNUMBER(FIND(P264,D283,1))),(LEN(SUBSTITUTE(D283,",",))-10)/2*F283*K283,0)</f>
        <v>746819.52</v>
      </c>
      <c r="J283" s="37" t="str">
        <f>TRIM(IF(LEN('5Of11Source'!D283)=0,"-",SUBSTITUTE('5Of11Source'!D283,","," ")))</f>
        <v>01 02 03 04 05 06 07 08 09 10 11</v>
      </c>
      <c r="K283" s="34">
        <f t="shared" si="38"/>
        <v>31117.480000000003</v>
      </c>
      <c r="L283" s="53">
        <f t="shared" si="39"/>
        <v>0</v>
      </c>
      <c r="M283" s="78" t="str">
        <f>辅助!F283</f>
        <v>02,04,06,07,08</v>
      </c>
      <c r="N283" s="34">
        <v>29332.090000000004</v>
      </c>
      <c r="O283" s="76"/>
    </row>
    <row r="284" spans="1:21" ht="20.100000000000001" customHeight="1" x14ac:dyDescent="0.15">
      <c r="A284" s="40" t="s">
        <v>70</v>
      </c>
      <c r="B284" s="39" t="s">
        <v>84</v>
      </c>
      <c r="C284" s="39" t="s">
        <v>93</v>
      </c>
      <c r="D284" s="38" t="s">
        <v>265</v>
      </c>
      <c r="E284" s="38">
        <f>COMBIN(LEN(SUBSTITUTE(D284,",",))/2,7)</f>
        <v>330</v>
      </c>
      <c r="F284" s="38">
        <v>3</v>
      </c>
      <c r="I284" s="36">
        <f>IF(AND(ISNUMBER(FIND(P260,D284,1)),ISNUMBER(FIND(P261,D284,1)),ISNUMBER(FIND(P262,D284,1)),ISNUMBER(FIND(P263,D284,1)),ISNUMBER(FIND(P264,D284,1))),COMBIN((LEN(SUBSTITUTE(D284,",",))-10)/2,2)*F284*K284,0)</f>
        <v>1357725.6</v>
      </c>
      <c r="J284" s="37" t="str">
        <f>TRIM(IF(LEN('5Of11Source'!D284)=0,"-",SUBSTITUTE('5Of11Source'!D284,","," ")))</f>
        <v>01 02 03 04 05 06 07 08 09 10 11</v>
      </c>
      <c r="K284" s="34">
        <f t="shared" si="38"/>
        <v>30171.68</v>
      </c>
      <c r="L284" s="53">
        <f t="shared" si="39"/>
        <v>0</v>
      </c>
      <c r="M284" s="78" t="str">
        <f>辅助!F284</f>
        <v>02,04,06,07,09</v>
      </c>
      <c r="N284" s="34">
        <v>29212.390000000003</v>
      </c>
      <c r="O284" s="76"/>
    </row>
    <row r="285" spans="1:21" ht="20.100000000000001" customHeight="1" x14ac:dyDescent="0.15">
      <c r="A285" s="40" t="s">
        <v>70</v>
      </c>
      <c r="B285" s="39" t="s">
        <v>86</v>
      </c>
      <c r="C285" s="39" t="s">
        <v>94</v>
      </c>
      <c r="D285" s="38" t="s">
        <v>264</v>
      </c>
      <c r="E285" s="38">
        <f>COMBIN(LEN(SUBSTITUTE(D285,",",))/2,8)</f>
        <v>165</v>
      </c>
      <c r="F285" s="38">
        <v>3</v>
      </c>
      <c r="I285" s="36">
        <f>IF(AND(ISNUMBER(FIND(P260,D285,1)),ISNUMBER(FIND(P261,D285,1)),ISNUMBER(FIND(P262,D285,1)),ISNUMBER(FIND(P263,D285,1)),ISNUMBER(FIND(P264,D285,1))),COMBIN((LEN(SUBSTITUTE(D285,",",))-10)/2,3)*F285*K285,0)</f>
        <v>1817422.8</v>
      </c>
      <c r="J285" s="37" t="str">
        <f>TRIM(IF(LEN('5Of11Source'!D285)=0,"-",SUBSTITUTE('5Of11Source'!D285,","," ")))</f>
        <v>01 02 03 04 05 06 07 08 09 10 11</v>
      </c>
      <c r="K285" s="34">
        <f t="shared" si="38"/>
        <v>30290.38</v>
      </c>
      <c r="L285" s="53">
        <f t="shared" si="39"/>
        <v>0</v>
      </c>
      <c r="M285" s="78" t="str">
        <f>辅助!F285</f>
        <v>02,04,06,07,10</v>
      </c>
      <c r="N285" s="34">
        <v>29331.090000000004</v>
      </c>
      <c r="O285" s="76"/>
    </row>
    <row r="286" spans="1:21" ht="20.100000000000001" customHeight="1" x14ac:dyDescent="0.15">
      <c r="A286" s="40" t="s">
        <v>96</v>
      </c>
      <c r="B286" s="39" t="s">
        <v>72</v>
      </c>
      <c r="C286" s="39" t="s">
        <v>97</v>
      </c>
      <c r="D286" s="38" t="s">
        <v>256</v>
      </c>
      <c r="E286" s="38">
        <f>LEN(SUBSTITUTE(D286,",",))/2</f>
        <v>11</v>
      </c>
      <c r="F286" s="38">
        <v>4</v>
      </c>
      <c r="I286" s="36">
        <f>(N(ISNUMBER(FIND(P260,D286,1)))+N(ISNUMBER(FIND(P261,D286,1)))+N(ISNUMBER(FIND(P262,D286,1)))+N(ISNUMBER(FIND(P263,D286,1)))+N(ISNUMBER(FIND(P264,D286,1))))*F286*K286</f>
        <v>603433.6</v>
      </c>
      <c r="J286" s="37" t="str">
        <f>TRIM(IF(LEN('5Of11Source'!D286)=0,"-",D286))</f>
        <v>,01,02,03,04,05,06,07,08,09,10,11,</v>
      </c>
      <c r="K286" s="34">
        <f t="shared" si="38"/>
        <v>30171.68</v>
      </c>
      <c r="L286" s="53">
        <f t="shared" si="39"/>
        <v>0</v>
      </c>
      <c r="M286" s="78" t="str">
        <f>辅助!F286</f>
        <v>02,04,06,07,11</v>
      </c>
      <c r="N286" s="34">
        <v>29212.390000000003</v>
      </c>
      <c r="O286" s="76"/>
    </row>
    <row r="287" spans="1:21" ht="20.100000000000001" customHeight="1" x14ac:dyDescent="0.15">
      <c r="A287" s="40" t="s">
        <v>96</v>
      </c>
      <c r="B287" s="39" t="s">
        <v>74</v>
      </c>
      <c r="C287" s="36" t="s">
        <v>11</v>
      </c>
      <c r="D287" s="38" t="s">
        <v>268</v>
      </c>
      <c r="E287" s="38">
        <f>LEN(SUBSTITUTE(SUBSTITUTE(D287,",",)," ",))/4</f>
        <v>5</v>
      </c>
      <c r="F287" s="38">
        <v>5</v>
      </c>
      <c r="I287" s="36">
        <f>SUM(N(AND(ISNUMBER(FIND(LEFT(D287,2),P257,1)),ISNUMBER(FIND(MID(D287,4,2),P257,1))))+N(AND(ISNUMBER(FIND(MID(D287,7,2),P257,1)),ISNUMBER(FIND(MID(D287,10,2),P257,1))))+N(AND(ISNUMBER(FIND(MID(D287,13,2),P257,1)),ISNUMBER(FIND(MID(D287,16,2),P257,1)))))*K287*F287</f>
        <v>0</v>
      </c>
      <c r="J287" s="37" t="str">
        <f>TRIM(IF(LEN('5Of11Source'!D287)=0,"-",D287))</f>
        <v>01 09,03 04,05 06,07 08,09 10</v>
      </c>
      <c r="K287" s="34">
        <f t="shared" si="38"/>
        <v>30171.68</v>
      </c>
      <c r="L287" s="53">
        <f>I294</f>
        <v>113510.76000000001</v>
      </c>
      <c r="M287" s="78" t="str">
        <f>辅助!F287</f>
        <v>02,04,06,08,09</v>
      </c>
      <c r="N287" s="34">
        <v>28377.690000000002</v>
      </c>
      <c r="O287" s="76"/>
      <c r="P287" s="39"/>
      <c r="Q287" s="39"/>
    </row>
    <row r="288" spans="1:21" ht="20.100000000000001" customHeight="1" x14ac:dyDescent="0.15">
      <c r="A288" s="40" t="s">
        <v>96</v>
      </c>
      <c r="B288" s="39" t="s">
        <v>76</v>
      </c>
      <c r="C288" s="39" t="s">
        <v>98</v>
      </c>
      <c r="D288" s="38" t="s">
        <v>269</v>
      </c>
      <c r="E288" s="38">
        <f>LEN(SUBSTITUTE(SUBSTITUTE(D288,",",)," ",))/6</f>
        <v>4</v>
      </c>
      <c r="F288" s="38">
        <v>5</v>
      </c>
      <c r="I288" s="36">
        <f>SUM(N(AND(ISNUMBER(FIND(LEFT(D288,2),P257,1)),ISNUMBER(FIND(MID(D288,4,2),P257,1)),ISNUMBER(FIND(MID(D288,7,2),P257,1)))),N(AND(ISNUMBER(FIND(MID(D288,10,2),P257,1)),ISNUMBER(FIND(MID(D288,13,2),P257,1)),ISNUMBER(FIND(MID(D288,16,2),P257,1)))))*K288*F288</f>
        <v>0</v>
      </c>
      <c r="J288" s="37" t="str">
        <f>TRIM(IF(LEN('5Of11Source'!D288)=0,"-",D288))</f>
        <v>01 02 03,04 05 06,07 08 09,10 11 01</v>
      </c>
      <c r="K288" s="34">
        <f t="shared" si="38"/>
        <v>30164.080000000002</v>
      </c>
      <c r="L288" s="53">
        <f>I296</f>
        <v>588377.52</v>
      </c>
      <c r="M288" s="78" t="str">
        <f>辅助!F288</f>
        <v>02,04,06,08,10</v>
      </c>
      <c r="N288" s="34">
        <v>32687.64</v>
      </c>
      <c r="O288" s="76"/>
    </row>
    <row r="289" spans="1:19" ht="20.100000000000001" customHeight="1" x14ac:dyDescent="0.15">
      <c r="A289" s="40" t="s">
        <v>96</v>
      </c>
      <c r="B289" s="39" t="s">
        <v>78</v>
      </c>
      <c r="C289" s="39" t="s">
        <v>99</v>
      </c>
      <c r="D289" s="38" t="s">
        <v>270</v>
      </c>
      <c r="E289" s="38">
        <f>LEN(SUBSTITUTE(SUBSTITUTE(D289,",",)," ",))/8</f>
        <v>3</v>
      </c>
      <c r="F289" s="38">
        <v>5</v>
      </c>
      <c r="I289" s="36">
        <f>SUM(N(AND(ISNUMBER(FIND(LEFT(D289,2),P257,1)),ISNUMBER(FIND(MID(D289,4,2),P257,1)),ISNUMBER(FIND(MID(D289,7,2),P257,1)),ISNUMBER(FIND(MID(D289,10,2),P257,1)))),N(AND(ISNUMBER(FIND(MID(D289,13,2),P257,1)),ISNUMBER(FIND(MID(D289,16,2),P257,1)),ISNUMBER(FIND(MID(D289,19,2),P257,1)),ISNUMBER(FIND(MID(D289,22,2),P257,1)))))*K289*F289</f>
        <v>0</v>
      </c>
      <c r="J289" s="37" t="str">
        <f>TRIM(IF(LEN('5Of11Source'!D289)=0,"-",D289))</f>
        <v>01 02 03 04,09 10 11 05,06 07 08 09</v>
      </c>
      <c r="K289" s="34">
        <f>'5Of11'!Z268</f>
        <v>0</v>
      </c>
      <c r="L289" s="53">
        <f>I298</f>
        <v>0</v>
      </c>
      <c r="M289" s="78" t="str">
        <f>辅助!F289</f>
        <v>02,04,06,08,11</v>
      </c>
      <c r="N289" s="34">
        <v>28377.690000000002</v>
      </c>
      <c r="O289" s="76"/>
    </row>
    <row r="290" spans="1:19" ht="20.100000000000001" customHeight="1" x14ac:dyDescent="0.15">
      <c r="A290" s="40" t="s">
        <v>96</v>
      </c>
      <c r="B290" s="39" t="s">
        <v>80</v>
      </c>
      <c r="C290" s="39" t="s">
        <v>99</v>
      </c>
      <c r="D290" s="38" t="s">
        <v>271</v>
      </c>
      <c r="E290" s="38">
        <f>LEN(SUBSTITUTE(SUBSTITUTE(D290,",",)," ",))/10</f>
        <v>2</v>
      </c>
      <c r="F290" s="38">
        <v>8</v>
      </c>
      <c r="I290" s="36">
        <f>SUM(N(AND(ISNUMBER(FIND(LEFT(D290,2),P257,1)),ISNUMBER(FIND(MID(D290,4,2),P257,1)),ISNUMBER(FIND(MID(D290,7,2),P257,1)),ISNUMBER(FIND(MID(D290,10,2),P257,1)),ISNUMBER(FIND(MID(D290,13,2),P257,1)))),N(AND(ISNUMBER(FIND(MID(D290,16,2),P257,1)),ISNUMBER(FIND(MID(D290,19,2),P257,1)),ISNUMBER(FIND(MID(D290,22,2),P257,1)),ISNUMBER(FIND(MID(D290,25,2),P257,1)),ISNUMBER(FIND(MID(D290,28,2),P257,1)))))*K290*F290</f>
        <v>0</v>
      </c>
      <c r="J290" s="37" t="str">
        <f>TRIM(IF(LEN('5Of11Source'!D290)=0,"-",D290))</f>
        <v>01 02 06 04 08,06 07 08 09 10</v>
      </c>
      <c r="K290" s="34">
        <f>'5Of11'!Z269</f>
        <v>0</v>
      </c>
      <c r="L290" s="53">
        <f>I300</f>
        <v>141888.45000000001</v>
      </c>
      <c r="M290" s="78" t="str">
        <f>辅助!F290</f>
        <v>02,04,06,09,10</v>
      </c>
      <c r="N290" s="34">
        <v>28377.690000000002</v>
      </c>
      <c r="O290" s="76"/>
    </row>
    <row r="291" spans="1:19" ht="20.100000000000001" customHeight="1" x14ac:dyDescent="0.15">
      <c r="A291" s="40" t="s">
        <v>96</v>
      </c>
      <c r="B291" s="39" t="s">
        <v>82</v>
      </c>
      <c r="C291" s="39" t="s">
        <v>99</v>
      </c>
      <c r="D291" s="38" t="s">
        <v>241</v>
      </c>
      <c r="E291" s="38">
        <f>LEN(SUBSTITUTE(SUBSTITUTE(D291,",",)," ",))/12</f>
        <v>2</v>
      </c>
      <c r="F291" s="38">
        <v>2</v>
      </c>
      <c r="I291" s="36">
        <f>SUM(N(SUM(ISNUMBER(FIND(LEFT(D291,2),P257,1)),ISNUMBER(FIND(MID(D291,4,2),P257,1)),ISNUMBER(FIND(MID(D291,7,2),P257,1)),ISNUMBER(FIND(MID(D291,10,2),P257,1)),ISNUMBER(FIND(MID(D291,13,2),P257,1)),ISNUMBER(FIND(MID(D291,16,2),P257,1)))&gt;4),N(SUM(ISNUMBER(FIND(MID(D291,19,2),P257,1)),ISNUMBER(FIND(MID(D291,22,2),P257,1)),ISNUMBER(FIND(MID(D291,25,2),P257,1)),ISNUMBER(FIND(MID(D291,28,2),P257,1)),ISNUMBER(FIND(MID(D291,31,2),P257,1)),ISNUMBER(FIND(MID(D291,34,2),P257,1)))&gt;4))*K291*F291</f>
        <v>0</v>
      </c>
      <c r="J291" s="37" t="str">
        <f>TRIM(IF(LEN('5Of11Source'!D291)=0,"-",D291))</f>
        <v>01 02 08 04 05 06,07 08 09 10 11 02</v>
      </c>
      <c r="K291" s="34">
        <f>'5Of11'!Z270</f>
        <v>0</v>
      </c>
      <c r="L291" s="53">
        <f>I302</f>
        <v>0</v>
      </c>
      <c r="M291" s="78" t="str">
        <f>辅助!F291</f>
        <v>02,04,06,09,11</v>
      </c>
      <c r="N291" s="34">
        <v>28258.99</v>
      </c>
      <c r="O291" s="76"/>
    </row>
    <row r="292" spans="1:19" ht="20.100000000000001" customHeight="1" x14ac:dyDescent="0.15">
      <c r="A292" s="40" t="s">
        <v>96</v>
      </c>
      <c r="B292" s="39" t="s">
        <v>84</v>
      </c>
      <c r="C292" s="39" t="s">
        <v>98</v>
      </c>
      <c r="D292" s="38" t="s">
        <v>272</v>
      </c>
      <c r="E292" s="38">
        <f>LEN(SUBSTITUTE(SUBSTITUTE(D292,",",)," ",))/14</f>
        <v>2</v>
      </c>
      <c r="F292" s="38">
        <v>2</v>
      </c>
      <c r="I292" s="36">
        <f>N(SUM(ISNUMBER(FIND(LEFT(D292,2),P257,1)),ISNUMBER(FIND(MID(D292,4,2),P257,1)),ISNUMBER(FIND(MID(D292,7,2),P257,1)),ISNUMBER(FIND(MID(D292,10,2),P257,1)),ISNUMBER(FIND(MID(D292,13,2),P257,1)),ISNUMBER(FIND(MID(D292,16,2),P257,1)),ISNUMBER(FIND(MID(D292,19,2),P257,1)))&gt;4)*K292*F292</f>
        <v>0</v>
      </c>
      <c r="J292" s="37" t="str">
        <f>TRIM(IF(LEN('5Of11Source'!D292)=0,"-",D292))</f>
        <v>01 02 03 04 05 06 07,11 10 09 08 07 06 05</v>
      </c>
      <c r="K292" s="34">
        <f>'5Of11'!Z271</f>
        <v>0</v>
      </c>
      <c r="L292" s="53">
        <f>I304</f>
        <v>1702661.4000000001</v>
      </c>
      <c r="M292" s="78" t="str">
        <f>辅助!F292</f>
        <v>02,04,06,10,11</v>
      </c>
      <c r="N292" s="34">
        <v>28377.690000000002</v>
      </c>
      <c r="O292" s="76"/>
    </row>
    <row r="293" spans="1:19" ht="20.100000000000001" customHeight="1" x14ac:dyDescent="0.15">
      <c r="A293" s="40" t="s">
        <v>96</v>
      </c>
      <c r="B293" s="39" t="s">
        <v>86</v>
      </c>
      <c r="C293" s="36" t="s">
        <v>11</v>
      </c>
      <c r="D293" s="38" t="s">
        <v>273</v>
      </c>
      <c r="E293" s="38">
        <f>LEN(SUBSTITUTE(SUBSTITUTE(D293,",",)," ",))/16</f>
        <v>2</v>
      </c>
      <c r="F293" s="38">
        <v>3</v>
      </c>
      <c r="I293" s="36">
        <f>N(SUM(ISNUMBER(FIND(LEFT(D293,2),P257,1)),ISNUMBER(FIND(MID(D293,4,2),P257,1)),ISNUMBER(FIND(MID(D293,7,2),P257,1)),ISNUMBER(FIND(MID(D293,10,2),P257,1)),ISNUMBER(FIND(MID(D293,13,2),P257,1)),ISNUMBER(FIND(MID(D293,16,2),P257,1)),ISNUMBER(FIND(MID(D293,19,2),P257,1)),ISNUMBER(FIND(MID(D293,22,2),P257,1)))&gt;4)*K293*F293</f>
        <v>0</v>
      </c>
      <c r="J293" s="37" t="str">
        <f>TRIM(IF(LEN('5Of11Source'!D293)=0,"-",D293))</f>
        <v>01 02 03 04 05 06 07 08,11 10 09 08 07 06 05 04</v>
      </c>
      <c r="K293" s="34">
        <f>'5Of11'!Z272</f>
        <v>0</v>
      </c>
      <c r="L293" s="53">
        <f>I306</f>
        <v>0</v>
      </c>
      <c r="M293" s="78" t="str">
        <f>辅助!F293</f>
        <v>02,04,07,08,09</v>
      </c>
      <c r="N293" s="34">
        <v>26666.780000000002</v>
      </c>
      <c r="O293" s="76"/>
    </row>
    <row r="294" spans="1:19" ht="20.100000000000001" customHeight="1" x14ac:dyDescent="0.15">
      <c r="A294" s="40" t="s">
        <v>103</v>
      </c>
      <c r="B294" s="40" t="s">
        <v>74</v>
      </c>
      <c r="C294" s="39" t="s">
        <v>30</v>
      </c>
      <c r="D294" s="38" t="s">
        <v>242</v>
      </c>
      <c r="E294" s="38">
        <f>LEN(SUBSTITUTE(D294,",",))/2</f>
        <v>1</v>
      </c>
      <c r="F294" s="82">
        <v>1</v>
      </c>
      <c r="H294" s="83">
        <v>4</v>
      </c>
      <c r="I294" s="83">
        <f>IF(AND(P294,P295&gt;=(B295-E294)),COMBIN(P295,B295-E294)*K294*F294,0)</f>
        <v>113510.76000000001</v>
      </c>
      <c r="J294" s="86" t="str">
        <f>TRIM(IF(LEN(D294)=0,"-",SUBSTITUTE(D294,","," ")))&amp;","&amp;TRIM(IF(LEN(D295)=0,"-",SUBSTITUTE(D295,","," ")))</f>
        <v>01,02 03 04 05 06 07 08 09 10 11</v>
      </c>
      <c r="K294" s="87">
        <f>N287</f>
        <v>28377.690000000002</v>
      </c>
      <c r="L294" s="53"/>
      <c r="M294" s="78" t="str">
        <f>辅助!F294</f>
        <v>02,04,07,08,10</v>
      </c>
      <c r="N294" s="53">
        <v>26785.480000000003</v>
      </c>
      <c r="O294" s="75"/>
      <c r="P294" s="41" t="b">
        <f>ISNUMBER(FIND(SUBSTITUTE(D294,",",),P257,1))</f>
        <v>1</v>
      </c>
      <c r="Q294" s="41" t="str">
        <f>IF(P294,IF(FIND(SUBSTITUTE(D294,",",),P257,1)&lt;3,SUBSTITUTE(P257,RIGHT(D294,3),),SUBSTITUTE(P257,LEFT(D294,3),)),"此订单未中奖！")</f>
        <v>04,08,02,06</v>
      </c>
      <c r="R294" s="41"/>
      <c r="S294" s="41"/>
    </row>
    <row r="295" spans="1:19" ht="20.100000000000001" customHeight="1" x14ac:dyDescent="0.15">
      <c r="A295" s="40" t="s">
        <v>103</v>
      </c>
      <c r="B295" s="40">
        <v>2</v>
      </c>
      <c r="C295" s="39" t="s">
        <v>104</v>
      </c>
      <c r="D295" s="38" t="s">
        <v>112</v>
      </c>
      <c r="E295" s="34">
        <f>COMBIN(LEN(SUBSTITUTE(D295,",",))/2,B295-E294)</f>
        <v>10</v>
      </c>
      <c r="F295" s="82"/>
      <c r="H295" s="83"/>
      <c r="I295" s="83"/>
      <c r="J295" s="86"/>
      <c r="K295" s="88"/>
      <c r="L295" s="53"/>
      <c r="M295" s="78" t="str">
        <f>辅助!F295</f>
        <v>02,04,07,08,11</v>
      </c>
      <c r="N295" s="53">
        <v>26666.780000000002</v>
      </c>
      <c r="O295" s="75"/>
      <c r="P295" s="41">
        <f>IF(LEN(SUBSTITUTE(Q294,",",))/2=4,SUM(N(ISNUMBER(FIND(LEFT(Q294,2),D295,1))),N(ISNUMBER(FIND(MID(Q294,4,2),D295,1))),N(ISNUMBER(FIND(MID(Q294,7,2),D295,1))),N(ISNUMBER(FIND(RIGHT(Q294,2),D295,1)))),IF(LEN(SUBSTITUTE(Q294,",",))/2=3,SUM(N(ISNUMBER(FIND(LEFT(Q294,2),D295,1))),N(ISNUMBER(FIND(MID(Q294,4,2),D295,1))),N(ISNUMBER(FIND(RIGHT(Q294,2),D295,1)))),IF(LEN(SUBSTITUTE(Q294,",",))/2=2,SUM(N(ISNUMBER(FIND(LEFT(Q294,2),D295,1))),N(ISNUMBER(FIND(RIGHT(Q294,2),D295,1)))),N(ISNUMBER(FIND(Q294,D295,1))))))</f>
        <v>4</v>
      </c>
      <c r="Q295" s="41"/>
      <c r="R295" s="41"/>
      <c r="S295" s="41"/>
    </row>
    <row r="296" spans="1:19" ht="20.100000000000001" customHeight="1" x14ac:dyDescent="0.15">
      <c r="A296" s="40" t="s">
        <v>103</v>
      </c>
      <c r="B296" s="40" t="s">
        <v>76</v>
      </c>
      <c r="C296" s="39" t="s">
        <v>30</v>
      </c>
      <c r="D296" s="38" t="s">
        <v>274</v>
      </c>
      <c r="E296" s="38">
        <f>LEN(SUBSTITUTE(D296,",",))/2</f>
        <v>1</v>
      </c>
      <c r="F296" s="82">
        <v>3</v>
      </c>
      <c r="H296" s="83">
        <v>3</v>
      </c>
      <c r="I296" s="83">
        <f>IF(AND(P296,P297&gt;=(B297-E296)),COMBIN(P297,B297-E296)*K296*F296,0)</f>
        <v>588377.52</v>
      </c>
      <c r="J296" s="86" t="str">
        <f>TRIM(IF(LEN(D296)=0,"-",SUBSTITUTE(D296,","," ")))&amp;","&amp;TRIM(IF(LEN(D297)=0,"-",SUBSTITUTE(D297,","," ")))</f>
        <v>02,01 03 04 05 06 07 08 09 10 11</v>
      </c>
      <c r="K296" s="87">
        <f>N288</f>
        <v>32687.64</v>
      </c>
      <c r="L296" s="53"/>
      <c r="M296" s="78" t="str">
        <f>辅助!F296</f>
        <v>02,04,07,09,10</v>
      </c>
      <c r="N296" s="53">
        <v>26666.780000000002</v>
      </c>
      <c r="O296" s="75"/>
      <c r="P296" s="41" t="b">
        <f>AND(ISNUMBER(FIND(SUBSTITUTE(MID(D296,2,2),",",),P257,1)),ISNUMBER(FIND(SUBSTITUTE(MID(D296,5,2),",",),P257,1)))</f>
        <v>1</v>
      </c>
      <c r="Q296" s="41" t="str">
        <f>IF(P296,IF(FIND(SUBSTITUTE(MID(D296,2,2),",",),P257,1)&lt;3,SUBSTITUTE(P257,MID(D296,2,3),),SUBSTITUTE(P257,LEFT(D296,3),)),"此订单未中奖！")</f>
        <v>04,01,08,06</v>
      </c>
      <c r="R296" s="41" t="str">
        <f>IF(P296,IF(FIND(SUBSTITUTE(MID(D296,5,2),",",),Q296,1)&lt;3,SUBSTITUTE(Q296,RIGHT(D296,3),),SUBSTITUTE(Q296,MID(D296,4,3),)),"此订单未中奖！")</f>
        <v>04,01,08,06</v>
      </c>
      <c r="S296" s="41"/>
    </row>
    <row r="297" spans="1:19" ht="20.100000000000001" customHeight="1" x14ac:dyDescent="0.15">
      <c r="A297" s="40" t="s">
        <v>103</v>
      </c>
      <c r="B297" s="40">
        <v>3</v>
      </c>
      <c r="C297" s="39" t="s">
        <v>104</v>
      </c>
      <c r="D297" s="38" t="s">
        <v>275</v>
      </c>
      <c r="E297" s="34">
        <f>COMBIN(LEN(SUBSTITUTE(D297,",",))/2,B297-E296)</f>
        <v>45</v>
      </c>
      <c r="F297" s="82"/>
      <c r="H297" s="83"/>
      <c r="I297" s="83"/>
      <c r="J297" s="86"/>
      <c r="K297" s="88"/>
      <c r="L297" s="53"/>
      <c r="M297" s="78" t="str">
        <f>辅助!F297</f>
        <v>02,04,07,09,11</v>
      </c>
      <c r="N297" s="53">
        <v>26659.180000000004</v>
      </c>
      <c r="O297" s="75"/>
      <c r="P297" s="41">
        <f>IF(LEN(SUBSTITUTE(R296,",",))/2=4,SUM(N(ISNUMBER(FIND(LEFT(R296,2),D297,1))),N(ISNUMBER(FIND(MID(R296,4,2),D297,1))),N(ISNUMBER(FIND(MID(R296,7,2),D297,1))),N(ISNUMBER(FIND(RIGHT(R296,2),D297,1)))),IF(LEN(SUBSTITUTE(R296,",",))/2=3,SUM(N(ISNUMBER(FIND(LEFT(R296,2),D297,1))),N(ISNUMBER(FIND(MID(R296,4,2),D297,1))),N(ISNUMBER(FIND(RIGHT(R296,2),D297,1)))),IF(LEN(SUBSTITUTE(R296,",",))/2=2,SUM(N(ISNUMBER(FIND(LEFT(R296,2),D297,1))),N(ISNUMBER(FIND(RIGHT(R296,2),D297,1)))),N(ISNUMBER(FIND(R296,D297,1))))))</f>
        <v>4</v>
      </c>
      <c r="Q297" s="41"/>
      <c r="R297" s="41"/>
      <c r="S297" s="41"/>
    </row>
    <row r="298" spans="1:19" ht="20.100000000000001" customHeight="1" x14ac:dyDescent="0.15">
      <c r="A298" s="40" t="s">
        <v>103</v>
      </c>
      <c r="B298" s="40" t="s">
        <v>78</v>
      </c>
      <c r="C298" s="39" t="s">
        <v>30</v>
      </c>
      <c r="D298" s="38" t="s">
        <v>276</v>
      </c>
      <c r="E298" s="38">
        <f>LEN(SUBSTITUTE(D298,",",))/2</f>
        <v>1</v>
      </c>
      <c r="F298" s="82">
        <v>4</v>
      </c>
      <c r="H298" s="83">
        <v>3</v>
      </c>
      <c r="I298" s="83">
        <f>IF(AND(P298,P299&gt;=(B299-E298)),COMBIN(P299,B299-E298)*K298*F298,0)</f>
        <v>0</v>
      </c>
      <c r="J298" s="86" t="str">
        <f>TRIM(IF(LEN(D298)=0,"-",SUBSTITUTE(D298,","," ")))&amp;","&amp;TRIM(IF(LEN(D299)=0,"-",SUBSTITUTE(D299,","," ")))</f>
        <v>03,01 02 04 05 06 07 08 09 10 11</v>
      </c>
      <c r="K298" s="87">
        <f>N289</f>
        <v>28377.690000000002</v>
      </c>
      <c r="L298" s="53"/>
      <c r="M298" s="78" t="str">
        <f>辅助!F298</f>
        <v>02,04,07,10,11</v>
      </c>
      <c r="N298" s="53">
        <v>26666.780000000002</v>
      </c>
      <c r="O298" s="75"/>
      <c r="P298" s="41" t="b">
        <f>AND(ISNUMBER(FIND(SUBSTITUTE(MID(D298,2,2),",",),P257,1)),ISNUMBER(FIND(SUBSTITUTE(MID(D298,5,2),",",),P257,1)))</f>
        <v>0</v>
      </c>
      <c r="Q298" s="41" t="str">
        <f>IF(P298,IF(FIND(SUBSTITUTE(MID(D298,2,2),",",),P257,1)&lt;3,SUBSTITUTE(P257,MID(D298,2,3),),SUBSTITUTE(P257,LEFT(D298,3),)),"此订单未中奖！")</f>
        <v>此订单未中奖！</v>
      </c>
      <c r="R298" s="41" t="str">
        <f>IF(P298,IF(FIND(SUBSTITUTE(MID(D298,5,2),",",),Q298,1)&lt;3,SUBSTITUTE(Q298,RIGHT(D298,3),),SUBSTITUTE(Q298,MID(D298,4,3),)),"此订单未中奖！")</f>
        <v>此订单未中奖！</v>
      </c>
      <c r="S298" s="41"/>
    </row>
    <row r="299" spans="1:19" ht="20.100000000000001" customHeight="1" x14ac:dyDescent="0.15">
      <c r="A299" s="40" t="s">
        <v>103</v>
      </c>
      <c r="B299" s="40">
        <v>4</v>
      </c>
      <c r="C299" s="39" t="s">
        <v>104</v>
      </c>
      <c r="D299" s="38" t="s">
        <v>277</v>
      </c>
      <c r="E299" s="34">
        <f>COMBIN(LEN(SUBSTITUTE(D299,",",))/2,B299-E298)</f>
        <v>120</v>
      </c>
      <c r="F299" s="82"/>
      <c r="H299" s="83"/>
      <c r="I299" s="83"/>
      <c r="J299" s="86"/>
      <c r="K299" s="88"/>
      <c r="L299" s="53"/>
      <c r="M299" s="78" t="str">
        <f>辅助!F299</f>
        <v>02,04,08,09,10</v>
      </c>
      <c r="N299" s="53">
        <v>25840.520000000004</v>
      </c>
      <c r="O299" s="75"/>
      <c r="P299" s="41">
        <f>IF(LEN(SUBSTITUTE(R298,",",))/2=4,SUM(N(ISNUMBER(FIND(LEFT(R298,2),D299,1))),N(ISNUMBER(FIND(MID(R298,4,2),D299,1))),N(ISNUMBER(FIND(MID(R298,7,2),D299,1))),N(ISNUMBER(FIND(RIGHT(R298,2),D299,1)))),IF(LEN(SUBSTITUTE(R298,",",))/2=3,SUM(N(ISNUMBER(FIND(LEFT(R298,2),D299,1))),N(ISNUMBER(FIND(MID(R298,4,2),D299,1))),N(ISNUMBER(FIND(RIGHT(R298,2),D299,1)))),IF(LEN(SUBSTITUTE(R298,",",))/2=2,SUM(N(ISNUMBER(FIND(LEFT(R298,2),D299,1))),N(ISNUMBER(FIND(RIGHT(R298,2),D299,1)))),N(ISNUMBER(FIND(R298,D299,1))))))</f>
        <v>0</v>
      </c>
      <c r="Q299" s="41"/>
      <c r="R299" s="41"/>
      <c r="S299" s="41"/>
    </row>
    <row r="300" spans="1:19" ht="20.100000000000001" customHeight="1" x14ac:dyDescent="0.15">
      <c r="A300" s="40" t="s">
        <v>103</v>
      </c>
      <c r="B300" s="40" t="s">
        <v>80</v>
      </c>
      <c r="C300" s="39" t="s">
        <v>30</v>
      </c>
      <c r="D300" s="38" t="s">
        <v>278</v>
      </c>
      <c r="E300" s="38">
        <f>LEN(SUBSTITUTE(D300,",",))/2</f>
        <v>1</v>
      </c>
      <c r="F300" s="82">
        <v>5</v>
      </c>
      <c r="H300" s="83">
        <v>0</v>
      </c>
      <c r="I300" s="83">
        <f>IF(AND(P300,P301&gt;=(B301-E300)),COMBIN(P301,B301-E300)*K300*F300,0)</f>
        <v>141888.45000000001</v>
      </c>
      <c r="J300" s="86" t="str">
        <f>TRIM(IF(LEN(D300)=0,"-",SUBSTITUTE(D300,","," ")))&amp;","&amp;TRIM(IF(LEN(D301)=0,"-",SUBSTITUTE(D301,","," ")))</f>
        <v>04,01 02 03 07 09 10 05 06 08 11</v>
      </c>
      <c r="K300" s="87">
        <f>N290</f>
        <v>28377.690000000002</v>
      </c>
      <c r="L300" s="53"/>
      <c r="M300" s="78" t="str">
        <f>辅助!F300</f>
        <v>02,04,08,09,11</v>
      </c>
      <c r="N300" s="53">
        <v>25721.820000000003</v>
      </c>
      <c r="O300" s="75"/>
      <c r="P300" s="41" t="b">
        <f>AND(ISNUMBER(FIND(SUBSTITUTE(MID(D300,2,2),",",),P257,1)),ISNUMBER(FIND(SUBSTITUTE(MID(D300,5,2),",",),P257,1)),ISNUMBER(FIND(SUBSTITUTE(MID(D300,8,2),",",),P257,1)))</f>
        <v>1</v>
      </c>
      <c r="Q300" s="41" t="str">
        <f>IF(P300,IF(FIND(SUBSTITUTE(MID(D300,2,2),",",),P257,1)&lt;3,SUBSTITUTE(P257,MID(D300,2,3),),SUBSTITUTE(P257,LEFT(D300,3),)),"此订单未中奖！")</f>
        <v>01,08,02,06</v>
      </c>
      <c r="R300" s="41" t="str">
        <f>IF(P300,IF(FIND(SUBSTITUTE(MID(D300,5,2),",",),Q300,1)&lt;3,SUBSTITUTE(Q300,MID(D300,5,3),),SUBSTITUTE(Q300,MID(D300,4,3),)),"此订单未中奖！")</f>
        <v>01,08,02,06</v>
      </c>
      <c r="S300" s="41" t="str">
        <f>IF(P300,IF(FIND(SUBSTITUTE(MID(D300,8,2),",",),R300,1)&lt;3,SUBSTITUTE(R300,RIGHT(D300,3),),SUBSTITUTE(R300,MID(D300,7,3),)),"此订单未中奖！")</f>
        <v>01,08,02,06</v>
      </c>
    </row>
    <row r="301" spans="1:19" ht="20.100000000000001" customHeight="1" x14ac:dyDescent="0.15">
      <c r="A301" s="40" t="s">
        <v>103</v>
      </c>
      <c r="B301" s="40">
        <v>5</v>
      </c>
      <c r="C301" s="39" t="s">
        <v>104</v>
      </c>
      <c r="D301" s="38" t="s">
        <v>279</v>
      </c>
      <c r="E301" s="34">
        <f>COMBIN(LEN(SUBSTITUTE(D301,",",))/2,B301-E300)</f>
        <v>209.99999999999997</v>
      </c>
      <c r="F301" s="82"/>
      <c r="H301" s="83"/>
      <c r="I301" s="83"/>
      <c r="J301" s="86"/>
      <c r="K301" s="88"/>
      <c r="L301" s="53"/>
      <c r="M301" s="78" t="str">
        <f>辅助!F301</f>
        <v>02,04,08,10,11</v>
      </c>
      <c r="N301" s="53">
        <v>25840.520000000004</v>
      </c>
      <c r="O301" s="75"/>
      <c r="P301" s="41">
        <f>IF(LEN(SUBSTITUTE(S300,",",))/2=4,SUM(N(ISNUMBER(FIND(LEFT(S300,2),D301,1))),N(ISNUMBER(FIND(MID(S300,4,2),D301,1))),N(ISNUMBER(FIND(MID(S300,7,2),D301,1))),N(ISNUMBER(FIND(RIGHT(S300,2),D301,1)))),IF(LEN(SUBSTITUTE(S300,",",))/2=3,SUM(N(ISNUMBER(FIND(LEFT(S300,2),D301,1))),N(ISNUMBER(FIND(MID(S300,4,2),D301,1))),N(ISNUMBER(FIND(RIGHT(S300,2),D301,1)))),IF(LEN(SUBSTITUTE(S300,",",))/2=2,SUM(N(ISNUMBER(FIND(LEFT(S300,2),D301,1))),N(ISNUMBER(FIND(RIGHT(S300,2),D301,1)))),N(ISNUMBER(FIND(S300,D301,1))))))</f>
        <v>4</v>
      </c>
      <c r="Q301" s="41"/>
      <c r="R301" s="41"/>
      <c r="S301" s="41"/>
    </row>
    <row r="302" spans="1:19" ht="20.100000000000001" customHeight="1" x14ac:dyDescent="0.15">
      <c r="A302" s="40" t="s">
        <v>103</v>
      </c>
      <c r="B302" s="40" t="s">
        <v>82</v>
      </c>
      <c r="C302" s="39" t="s">
        <v>30</v>
      </c>
      <c r="D302" s="38" t="s">
        <v>280</v>
      </c>
      <c r="E302" s="38">
        <f>LEN(SUBSTITUTE(D302,",",))/2</f>
        <v>1</v>
      </c>
      <c r="F302" s="82">
        <v>5</v>
      </c>
      <c r="H302" s="83">
        <v>0</v>
      </c>
      <c r="I302" s="83">
        <f>IF(AND(P302,P303&gt;=(5-E302)),COMBIN(LEN(SUBSTITUTE(D303,",",))/2-P303,B303-5)*K302*F302,0)</f>
        <v>0</v>
      </c>
      <c r="J302" s="86" t="str">
        <f>TRIM(IF(LEN(D302)=0,"-",SUBSTITUTE(D302,","," ")))&amp;","&amp;TRIM(IF(LEN(D303)=0,"-",SUBSTITUTE(D303,","," ")))</f>
        <v>05,01 02 03 04 06 07 08 09 10 11</v>
      </c>
      <c r="K302" s="87">
        <f>N291</f>
        <v>28258.99</v>
      </c>
      <c r="L302" s="53"/>
      <c r="M302" s="78" t="str">
        <f>辅助!F302</f>
        <v>02,04,09,10,11</v>
      </c>
      <c r="N302" s="53">
        <v>25757.29</v>
      </c>
      <c r="O302" s="75"/>
      <c r="P302" s="41" t="b">
        <f>AND(ISNUMBER(FIND(SUBSTITUTE(MID(D302,2,2),",",),P257,1)),ISNUMBER(FIND(SUBSTITUTE(MID(D302,5,2),",",),P257,1)))</f>
        <v>0</v>
      </c>
      <c r="Q302" s="41" t="str">
        <f>IF(P302,IF(FIND(SUBSTITUTE(MID(D302,2,2),",",),P257,1)&lt;3,SUBSTITUTE(P257,MID(D302,2,3),),SUBSTITUTE(P257,LEFT(D302,3),)),"此订单未中奖！")</f>
        <v>此订单未中奖！</v>
      </c>
      <c r="R302" s="41" t="str">
        <f>IF(P302,IF(FIND(SUBSTITUTE(MID(D302,5,2),",",),Q302,1)&lt;3,SUBSTITUTE(Q302,RIGHT(D302,3),),SUBSTITUTE(Q302,MID(D302,4,3),)),"此订单未中奖！")</f>
        <v>此订单未中奖！</v>
      </c>
      <c r="S302" s="41"/>
    </row>
    <row r="303" spans="1:19" ht="20.100000000000001" customHeight="1" x14ac:dyDescent="0.15">
      <c r="A303" s="40" t="s">
        <v>103</v>
      </c>
      <c r="B303" s="40">
        <v>6</v>
      </c>
      <c r="C303" s="39" t="s">
        <v>104</v>
      </c>
      <c r="D303" s="38" t="s">
        <v>281</v>
      </c>
      <c r="E303" s="34">
        <f>COMBIN(LEN(SUBSTITUTE(D303,",",))/2,B303-E302)</f>
        <v>252</v>
      </c>
      <c r="F303" s="82"/>
      <c r="H303" s="83"/>
      <c r="I303" s="83"/>
      <c r="J303" s="86"/>
      <c r="K303" s="88"/>
      <c r="L303" s="53"/>
      <c r="M303" s="78" t="str">
        <f>辅助!F303</f>
        <v>02,05,06,07,08</v>
      </c>
      <c r="N303" s="53">
        <v>30168.74</v>
      </c>
      <c r="O303" s="75"/>
      <c r="P303" s="41">
        <f>IF(LEN(SUBSTITUTE(R302,",",))/2=4,SUM(N(ISNUMBER(FIND(LEFT(R302,2),D303,1))),N(ISNUMBER(FIND(MID(R302,4,2),D303,1))),N(ISNUMBER(FIND(MID(R302,7,2),D303,1))),N(ISNUMBER(FIND(RIGHT(R302,2),D303,1)))),IF(LEN(SUBSTITUTE(R302,",",))/2=3,SUM(N(ISNUMBER(FIND(LEFT(R302,2),D303,1))),N(ISNUMBER(FIND(MID(R302,4,2),D303,1))),N(ISNUMBER(FIND(RIGHT(R302,2),D303,1)))),IF(LEN(SUBSTITUTE(R302,",",))/2=2,SUM(N(ISNUMBER(FIND(LEFT(R302,2),D303,1))),N(ISNUMBER(FIND(RIGHT(R302,2),D303,1)))),N(ISNUMBER(FIND(R302,D303,1))))))</f>
        <v>0</v>
      </c>
      <c r="Q303" s="41"/>
      <c r="R303" s="41"/>
      <c r="S303" s="41"/>
    </row>
    <row r="304" spans="1:19" ht="20.100000000000001" customHeight="1" x14ac:dyDescent="0.15">
      <c r="A304" s="40" t="s">
        <v>103</v>
      </c>
      <c r="B304" s="40" t="s">
        <v>84</v>
      </c>
      <c r="C304" s="39" t="s">
        <v>30</v>
      </c>
      <c r="D304" s="38" t="s">
        <v>282</v>
      </c>
      <c r="E304" s="38">
        <f>LEN(SUBSTITUTE(D304,",",))/2</f>
        <v>1</v>
      </c>
      <c r="F304" s="82">
        <v>4</v>
      </c>
      <c r="H304" s="83">
        <v>0</v>
      </c>
      <c r="I304" s="83">
        <f>IF(AND(P304,P305&gt;=(5-E304)),COMBIN(LEN(SUBSTITUTE(D305,",",))/2-P305,B305-5)*K304*F304,0)</f>
        <v>1702661.4000000001</v>
      </c>
      <c r="J304" s="86" t="str">
        <f>TRIM(IF(LEN(D304)=0,"-",SUBSTITUTE(D304,","," ")))&amp;","&amp;TRIM(IF(LEN(D305)=0,"-",SUBSTITUTE(D305,","," ")))</f>
        <v>06,01 02 03 04 05 07 08 09 10 11</v>
      </c>
      <c r="K304" s="87">
        <f>N292</f>
        <v>28377.690000000002</v>
      </c>
      <c r="L304" s="53"/>
      <c r="M304" s="78" t="str">
        <f>辅助!F304</f>
        <v>02,05,06,07,09</v>
      </c>
      <c r="N304" s="53">
        <v>30160.140000000003</v>
      </c>
      <c r="O304" s="75"/>
      <c r="P304" s="41" t="b">
        <f>AND(ISNUMBER(FIND(SUBSTITUTE(MID(D304,2,2),",",),P257,1)),ISNUMBER(FIND(SUBSTITUTE(MID(D304,5,2),",",),P257,1)),ISNUMBER(FIND(SUBSTITUTE(MID(D304,8,2),",",),P257,1)))</f>
        <v>1</v>
      </c>
      <c r="Q304" s="41" t="str">
        <f>IF(P304,IF(FIND(SUBSTITUTE(MID(D304,2,2),",",),P257,1)&lt;3,SUBSTITUTE(P257,MID(D304,2,3),),SUBSTITUTE(P257,LEFT(D304,3),)),"此订单未中奖！")</f>
        <v>04,01,08,02</v>
      </c>
      <c r="R304" s="41" t="str">
        <f>IF(P304,IF(FIND(SUBSTITUTE(MID(D304,5,2),",",),Q304,1)&lt;3,SUBSTITUTE(Q304,MID(D304,5,3),),SUBSTITUTE(Q304,MID(D304,4,3),)),"此订单未中奖！")</f>
        <v>04,01,08,02</v>
      </c>
      <c r="S304" s="41" t="str">
        <f>IF(P304,IF(FIND(SUBSTITUTE(MID(D304,8,2),",",),R304,1)&lt;3,SUBSTITUTE(R304,RIGHT(D304,3),),SUBSTITUTE(R304,MID(D304,7,3),)),"此订单未中奖！")</f>
        <v>04,01,08,02</v>
      </c>
    </row>
    <row r="305" spans="1:19" ht="20.100000000000001" customHeight="1" x14ac:dyDescent="0.15">
      <c r="A305" s="40" t="s">
        <v>103</v>
      </c>
      <c r="B305" s="40">
        <v>7</v>
      </c>
      <c r="C305" s="39" t="s">
        <v>104</v>
      </c>
      <c r="D305" s="38" t="s">
        <v>283</v>
      </c>
      <c r="E305" s="34">
        <f>COMBIN(LEN(SUBSTITUTE(D305,",",))/2,B305-E304)</f>
        <v>209.99999999999997</v>
      </c>
      <c r="F305" s="82"/>
      <c r="H305" s="83"/>
      <c r="I305" s="83"/>
      <c r="J305" s="86"/>
      <c r="K305" s="88"/>
      <c r="L305" s="53"/>
      <c r="M305" s="78" t="str">
        <f>辅助!F305</f>
        <v>02,05,06,07,10</v>
      </c>
      <c r="N305" s="53">
        <v>30167.74</v>
      </c>
      <c r="O305" s="75"/>
      <c r="P305" s="41">
        <f>IF(LEN(SUBSTITUTE(S304,",",))/2=4,SUM(N(ISNUMBER(FIND(LEFT(S304,2),D305,1))),N(ISNUMBER(FIND(MID(S304,4,2),D305,1))),N(ISNUMBER(FIND(MID(S304,7,2),D305,1))),N(ISNUMBER(FIND(RIGHT(S304,2),D305,1)))),IF(LEN(SUBSTITUTE(S304,",",))/2=3,SUM(N(ISNUMBER(FIND(LEFT(S304,2),D305,1))),N(ISNUMBER(FIND(MID(S304,4,2),D305,1))),N(ISNUMBER(FIND(RIGHT(S304,2),D305,1)))),IF(LEN(SUBSTITUTE(S304,",",))/2=2,SUM(N(ISNUMBER(FIND(LEFT(S304,2),D305,1))),N(ISNUMBER(FIND(RIGHT(S304,2),D305,1)))),N(ISNUMBER(FIND(S304,D305,1))))))</f>
        <v>4</v>
      </c>
      <c r="Q305" s="41"/>
      <c r="R305" s="41"/>
      <c r="S305" s="41"/>
    </row>
    <row r="306" spans="1:19" ht="20.100000000000001" customHeight="1" x14ac:dyDescent="0.15">
      <c r="A306" s="40" t="s">
        <v>103</v>
      </c>
      <c r="B306" s="40" t="s">
        <v>86</v>
      </c>
      <c r="C306" s="39" t="s">
        <v>30</v>
      </c>
      <c r="D306" s="38" t="s">
        <v>258</v>
      </c>
      <c r="E306" s="38">
        <f>LEN(SUBSTITUTE(D306,",",))/2</f>
        <v>1</v>
      </c>
      <c r="F306" s="82">
        <v>3</v>
      </c>
      <c r="H306" s="83">
        <v>0</v>
      </c>
      <c r="I306" s="83">
        <f>IF(AND(P306,P307&gt;=(5-E306)),COMBIN(LEN(SUBSTITUTE(D307,",",))/2-P307,B307-5)*K306*F306,0)</f>
        <v>0</v>
      </c>
      <c r="J306" s="86" t="str">
        <f>TRIM(IF(LEN(D306)=0,"-",SUBSTITUTE(D306,","," ")))&amp;","&amp;TRIM(IF(LEN(D307)=0,"-",SUBSTITUTE(D307,","," ")))</f>
        <v>07,01 02 03 04 05 06 09 10 08 11</v>
      </c>
      <c r="K306" s="87">
        <f>N293</f>
        <v>26666.780000000002</v>
      </c>
      <c r="L306" s="53"/>
      <c r="M306" s="78" t="str">
        <f>辅助!F306</f>
        <v>02,05,06,07,11</v>
      </c>
      <c r="N306" s="53">
        <v>30160.140000000003</v>
      </c>
      <c r="O306" s="75"/>
      <c r="P306" s="41" t="b">
        <f>AND(ISNUMBER(FIND(SUBSTITUTE(MID(D306,2,2),",",),P257,1)),ISNUMBER(FIND(SUBSTITUTE(MID(D306,5,2),",",),P257,1)))</f>
        <v>0</v>
      </c>
      <c r="Q306" s="41" t="str">
        <f>IF(P306,IF(FIND(SUBSTITUTE(MID(D306,2,2),",",),P257,1)&lt;3,SUBSTITUTE(P257,MID(D306,2,3),),SUBSTITUTE(P257,LEFT(D306,3),)),"此订单未中奖！")</f>
        <v>此订单未中奖！</v>
      </c>
      <c r="R306" s="41" t="str">
        <f>IF(P306,IF(FIND(SUBSTITUTE(MID(D306,5,2),",",),Q306,1)&lt;3,SUBSTITUTE(Q306,RIGHT(D306,3),),SUBSTITUTE(Q306,MID(D306,4,3),)),"此订单未中奖！")</f>
        <v>此订单未中奖！</v>
      </c>
      <c r="S306" s="41"/>
    </row>
    <row r="307" spans="1:19" ht="20.100000000000001" customHeight="1" x14ac:dyDescent="0.15">
      <c r="A307" s="40" t="s">
        <v>103</v>
      </c>
      <c r="B307" s="40">
        <v>8</v>
      </c>
      <c r="C307" s="39" t="s">
        <v>104</v>
      </c>
      <c r="D307" s="38" t="s">
        <v>284</v>
      </c>
      <c r="E307" s="34">
        <f>COMBIN(LEN(SUBSTITUTE(D307,",",))/2,B307-E306)</f>
        <v>120</v>
      </c>
      <c r="F307" s="82"/>
      <c r="H307" s="83"/>
      <c r="I307" s="83"/>
      <c r="J307" s="86"/>
      <c r="K307" s="88"/>
      <c r="L307" s="53"/>
      <c r="M307" s="78" t="str">
        <f>辅助!F307</f>
        <v>02,05,06,08,09</v>
      </c>
      <c r="N307" s="53">
        <v>29214.34</v>
      </c>
      <c r="O307" s="75"/>
      <c r="P307" s="41">
        <f>IF(LEN(SUBSTITUTE(R306,",",))/2=4,SUM(N(ISNUMBER(FIND(LEFT(R306,2),D307,1))),N(ISNUMBER(FIND(MID(R306,4,2),D307,1))),N(ISNUMBER(FIND(MID(R306,7,2),D307,1))),N(ISNUMBER(FIND(RIGHT(R306,2),D307,1)))),IF(LEN(SUBSTITUTE(R306,",",))/2=3,SUM(N(ISNUMBER(FIND(LEFT(R306,2),D307,1))),N(ISNUMBER(FIND(MID(R306,4,2),D307,1))),N(ISNUMBER(FIND(RIGHT(R306,2),D307,1)))),IF(LEN(SUBSTITUTE(R306,",",))/2=2,SUM(N(ISNUMBER(FIND(LEFT(R306,2),D307,1))),N(ISNUMBER(FIND(RIGHT(R306,2),D307,1)))),N(ISNUMBER(FIND(R306,D307,1))))))</f>
        <v>0</v>
      </c>
      <c r="Q307" s="41"/>
      <c r="R307" s="41"/>
      <c r="S307" s="41"/>
    </row>
    <row r="308" spans="1:19" ht="20.100000000000001" customHeight="1" x14ac:dyDescent="0.15">
      <c r="M308" s="78" t="str">
        <f>辅助!F308</f>
        <v>02,05,06,08,10</v>
      </c>
      <c r="N308" s="37">
        <v>29333.040000000001</v>
      </c>
    </row>
    <row r="309" spans="1:19" ht="20.100000000000001" customHeight="1" x14ac:dyDescent="0.15">
      <c r="M309" s="78" t="str">
        <f>辅助!F309</f>
        <v>02,05,06,08,11</v>
      </c>
      <c r="N309" s="37">
        <v>29214.34</v>
      </c>
    </row>
    <row r="310" spans="1:19" ht="20.100000000000001" customHeight="1" x14ac:dyDescent="0.15">
      <c r="M310" s="78" t="str">
        <f>辅助!F310</f>
        <v>02,05,06,09,10</v>
      </c>
      <c r="N310" s="37">
        <v>29214.34</v>
      </c>
    </row>
    <row r="311" spans="1:19" ht="20.100000000000001" customHeight="1" x14ac:dyDescent="0.15">
      <c r="M311" s="78" t="str">
        <f>辅助!F311</f>
        <v>02,05,06,09,11</v>
      </c>
      <c r="N311" s="37">
        <v>29206.74</v>
      </c>
    </row>
    <row r="312" spans="1:19" ht="20.100000000000001" customHeight="1" x14ac:dyDescent="0.15">
      <c r="M312" s="78" t="str">
        <f>辅助!F312</f>
        <v>02,05,06,10,11</v>
      </c>
      <c r="N312" s="37">
        <v>29214.34</v>
      </c>
    </row>
    <row r="313" spans="1:19" ht="20.100000000000001" customHeight="1" x14ac:dyDescent="0.15">
      <c r="M313" s="78" t="str">
        <f>辅助!F313</f>
        <v>02,05,07,08,09</v>
      </c>
      <c r="N313" s="37">
        <v>38335.420000000006</v>
      </c>
    </row>
    <row r="314" spans="1:19" ht="20.100000000000001" customHeight="1" x14ac:dyDescent="0.15">
      <c r="M314" s="78" t="str">
        <f>辅助!F314</f>
        <v>02,05,07,08,10</v>
      </c>
      <c r="N314" s="37">
        <v>38343.020000000011</v>
      </c>
    </row>
    <row r="315" spans="1:19" ht="20.100000000000001" customHeight="1" x14ac:dyDescent="0.15">
      <c r="M315" s="78" t="str">
        <f>辅助!F315</f>
        <v>02,05,07,08,11</v>
      </c>
      <c r="N315" s="37">
        <v>38335.420000000006</v>
      </c>
    </row>
    <row r="316" spans="1:19" ht="20.100000000000001" customHeight="1" x14ac:dyDescent="0.15">
      <c r="M316" s="78" t="str">
        <f>辅助!F316</f>
        <v>02,05,07,09,10</v>
      </c>
      <c r="N316" s="37">
        <v>38335.420000000006</v>
      </c>
    </row>
    <row r="317" spans="1:19" ht="20.100000000000001" customHeight="1" x14ac:dyDescent="0.15">
      <c r="M317" s="78" t="str">
        <f>辅助!F317</f>
        <v>02,05,07,09,11</v>
      </c>
      <c r="N317" s="37">
        <v>38372.670000000006</v>
      </c>
    </row>
    <row r="318" spans="1:19" ht="20.100000000000001" customHeight="1" x14ac:dyDescent="0.15">
      <c r="M318" s="78" t="str">
        <f>辅助!F318</f>
        <v>02,05,07,10,11</v>
      </c>
      <c r="N318" s="37">
        <v>38335.420000000006</v>
      </c>
    </row>
    <row r="319" spans="1:19" ht="20.100000000000001" customHeight="1" x14ac:dyDescent="0.15">
      <c r="M319" s="78" t="str">
        <f>辅助!F319</f>
        <v>02,05,08,09,10</v>
      </c>
      <c r="N319" s="37">
        <v>26571.02</v>
      </c>
    </row>
    <row r="320" spans="1:19" ht="20.100000000000001" customHeight="1" x14ac:dyDescent="0.15">
      <c r="M320" s="78" t="str">
        <f>辅助!F320</f>
        <v>02,05,08,09,11</v>
      </c>
      <c r="N320" s="37">
        <v>26563.420000000002</v>
      </c>
    </row>
    <row r="321" spans="13:14" ht="20.100000000000001" customHeight="1" x14ac:dyDescent="0.15">
      <c r="M321" s="78" t="str">
        <f>辅助!F321</f>
        <v>02,05,08,10,11</v>
      </c>
      <c r="N321" s="37">
        <v>26571.02</v>
      </c>
    </row>
    <row r="322" spans="13:14" ht="20.100000000000001" customHeight="1" x14ac:dyDescent="0.15">
      <c r="M322" s="78" t="str">
        <f>辅助!F322</f>
        <v>02,05,09,10,11</v>
      </c>
      <c r="N322" s="37">
        <v>27235.790000000005</v>
      </c>
    </row>
    <row r="323" spans="13:14" ht="20.100000000000001" customHeight="1" x14ac:dyDescent="0.15">
      <c r="M323" s="78" t="str">
        <f>辅助!F323</f>
        <v>02,06,07,08,09</v>
      </c>
      <c r="N323" s="37">
        <v>24756.080000000002</v>
      </c>
    </row>
    <row r="324" spans="13:14" ht="20.100000000000001" customHeight="1" x14ac:dyDescent="0.15">
      <c r="M324" s="78" t="str">
        <f>辅助!F324</f>
        <v>02,06,07,08,10</v>
      </c>
      <c r="N324" s="37">
        <v>24874.780000000002</v>
      </c>
    </row>
    <row r="325" spans="13:14" ht="20.100000000000001" customHeight="1" x14ac:dyDescent="0.15">
      <c r="M325" s="78" t="str">
        <f>辅助!F325</f>
        <v>02,06,07,08,11</v>
      </c>
      <c r="N325" s="37">
        <v>24756.080000000002</v>
      </c>
    </row>
    <row r="326" spans="13:14" ht="20.100000000000001" customHeight="1" x14ac:dyDescent="0.15">
      <c r="M326" s="78" t="str">
        <f>辅助!F326</f>
        <v>02,06,07,09,10</v>
      </c>
      <c r="N326" s="37">
        <v>24756.080000000002</v>
      </c>
    </row>
    <row r="327" spans="13:14" ht="20.100000000000001" customHeight="1" x14ac:dyDescent="0.15">
      <c r="M327" s="78" t="str">
        <f>辅助!F327</f>
        <v>02,06,07,09,11</v>
      </c>
      <c r="N327" s="37">
        <v>24748.480000000003</v>
      </c>
    </row>
    <row r="328" spans="13:14" ht="20.100000000000001" customHeight="1" x14ac:dyDescent="0.15">
      <c r="M328" s="78" t="str">
        <f>辅助!F328</f>
        <v>02,06,07,10,11</v>
      </c>
      <c r="N328" s="37">
        <v>24756.080000000002</v>
      </c>
    </row>
    <row r="329" spans="13:14" ht="20.100000000000001" customHeight="1" x14ac:dyDescent="0.15">
      <c r="M329" s="78" t="str">
        <f>辅助!F329</f>
        <v>02,06,08,09,10</v>
      </c>
      <c r="N329" s="37">
        <v>23929.820000000003</v>
      </c>
    </row>
    <row r="330" spans="13:14" ht="20.100000000000001" customHeight="1" x14ac:dyDescent="0.15">
      <c r="M330" s="78" t="str">
        <f>辅助!F330</f>
        <v>02,06,08,09,11</v>
      </c>
      <c r="N330" s="37">
        <v>23811.120000000003</v>
      </c>
    </row>
    <row r="331" spans="13:14" ht="20.100000000000001" customHeight="1" x14ac:dyDescent="0.15">
      <c r="M331" s="78" t="str">
        <f>辅助!F331</f>
        <v>02,06,08,10,11</v>
      </c>
      <c r="N331" s="37">
        <v>23929.820000000003</v>
      </c>
    </row>
    <row r="332" spans="13:14" ht="20.100000000000001" customHeight="1" x14ac:dyDescent="0.15">
      <c r="M332" s="78" t="str">
        <f>辅助!F332</f>
        <v>02,06,09,10,11</v>
      </c>
      <c r="N332" s="37">
        <v>23846.59</v>
      </c>
    </row>
    <row r="333" spans="13:14" ht="20.100000000000001" customHeight="1" x14ac:dyDescent="0.15">
      <c r="M333" s="78" t="str">
        <f>辅助!F333</f>
        <v>02,07,08,09,10</v>
      </c>
      <c r="N333" s="37">
        <v>22514.140000000007</v>
      </c>
    </row>
    <row r="334" spans="13:14" ht="20.100000000000001" customHeight="1" x14ac:dyDescent="0.15">
      <c r="M334" s="78" t="str">
        <f>辅助!F334</f>
        <v>02,07,08,09,11</v>
      </c>
      <c r="N334" s="37">
        <v>22506.540000000005</v>
      </c>
    </row>
    <row r="335" spans="13:14" ht="20.100000000000001" customHeight="1" x14ac:dyDescent="0.15">
      <c r="M335" s="78" t="str">
        <f>辅助!F335</f>
        <v>02,07,08,10,11</v>
      </c>
      <c r="N335" s="37">
        <v>22514.140000000007</v>
      </c>
    </row>
    <row r="336" spans="13:14" ht="20.100000000000001" customHeight="1" x14ac:dyDescent="0.15">
      <c r="M336" s="78" t="str">
        <f>辅助!F336</f>
        <v>02,07,09,10,11</v>
      </c>
      <c r="N336" s="37">
        <v>22542.010000000006</v>
      </c>
    </row>
    <row r="337" spans="13:14" ht="20.100000000000001" customHeight="1" x14ac:dyDescent="0.15">
      <c r="M337" s="78" t="str">
        <f>辅助!F337</f>
        <v>02,08,09,10,11</v>
      </c>
      <c r="N337" s="37">
        <v>21596.210000000003</v>
      </c>
    </row>
    <row r="338" spans="13:14" ht="20.100000000000001" customHeight="1" x14ac:dyDescent="0.15">
      <c r="M338" s="78" t="str">
        <f>辅助!F338</f>
        <v>03,04,05,06,07</v>
      </c>
      <c r="N338" s="37">
        <v>35587.394999999997</v>
      </c>
    </row>
    <row r="339" spans="13:14" ht="20.100000000000001" customHeight="1" x14ac:dyDescent="0.15">
      <c r="M339" s="78" t="str">
        <f>辅助!F339</f>
        <v>03,04,05,06,08</v>
      </c>
      <c r="N339" s="37">
        <v>34556.674999999996</v>
      </c>
    </row>
    <row r="340" spans="13:14" ht="20.100000000000001" customHeight="1" x14ac:dyDescent="0.15">
      <c r="M340" s="78" t="str">
        <f>辅助!F340</f>
        <v>03,04,05,06,09</v>
      </c>
      <c r="N340" s="37">
        <v>34548.074999999997</v>
      </c>
    </row>
    <row r="341" spans="13:14" ht="20.100000000000001" customHeight="1" x14ac:dyDescent="0.15">
      <c r="M341" s="78" t="str">
        <f>辅助!F341</f>
        <v>03,04,05,06,10</v>
      </c>
      <c r="N341" s="37">
        <v>34555.674999999996</v>
      </c>
    </row>
    <row r="342" spans="13:14" ht="20.100000000000001" customHeight="1" x14ac:dyDescent="0.15">
      <c r="M342" s="78" t="str">
        <f>辅助!F342</f>
        <v>03,04,05,06,11</v>
      </c>
      <c r="N342" s="37">
        <v>34548.074999999997</v>
      </c>
    </row>
    <row r="343" spans="13:14" ht="20.100000000000001" customHeight="1" x14ac:dyDescent="0.15">
      <c r="M343" s="78" t="str">
        <f>辅助!F343</f>
        <v>03,04,05,07,08</v>
      </c>
      <c r="N343" s="37">
        <v>32689.500000000007</v>
      </c>
    </row>
    <row r="344" spans="13:14" ht="20.100000000000001" customHeight="1" x14ac:dyDescent="0.15">
      <c r="M344" s="78" t="str">
        <f>辅助!F344</f>
        <v>03,04,05,07,09</v>
      </c>
      <c r="N344" s="37">
        <v>32725.750000000007</v>
      </c>
    </row>
    <row r="345" spans="13:14" ht="20.100000000000001" customHeight="1" x14ac:dyDescent="0.15">
      <c r="M345" s="78" t="str">
        <f>辅助!F345</f>
        <v>03,04,05,07,10</v>
      </c>
      <c r="N345" s="37">
        <v>32688.500000000007</v>
      </c>
    </row>
    <row r="346" spans="13:14" ht="20.100000000000001" customHeight="1" x14ac:dyDescent="0.15">
      <c r="M346" s="78" t="str">
        <f>辅助!F346</f>
        <v>03,04,05,07,11</v>
      </c>
      <c r="N346" s="37">
        <v>32725.750000000007</v>
      </c>
    </row>
    <row r="347" spans="13:14" ht="20.100000000000001" customHeight="1" x14ac:dyDescent="0.15">
      <c r="M347" s="78" t="str">
        <f>辅助!F347</f>
        <v>03,04,05,08,09</v>
      </c>
      <c r="N347" s="37">
        <v>31735.100000000006</v>
      </c>
    </row>
    <row r="348" spans="13:14" ht="20.100000000000001" customHeight="1" x14ac:dyDescent="0.15">
      <c r="M348" s="78" t="str">
        <f>辅助!F348</f>
        <v>03,04,05,08,10</v>
      </c>
      <c r="N348" s="37">
        <v>31742.700000000004</v>
      </c>
    </row>
    <row r="349" spans="13:14" ht="20.100000000000001" customHeight="1" x14ac:dyDescent="0.15">
      <c r="M349" s="78" t="str">
        <f>辅助!F349</f>
        <v>03,04,05,08,11</v>
      </c>
      <c r="N349" s="37">
        <v>31735.100000000006</v>
      </c>
    </row>
    <row r="350" spans="13:14" ht="20.100000000000001" customHeight="1" x14ac:dyDescent="0.15">
      <c r="M350" s="78" t="str">
        <f>辅助!F350</f>
        <v>03,04,05,09,10</v>
      </c>
      <c r="N350" s="37">
        <v>31735.100000000006</v>
      </c>
    </row>
    <row r="351" spans="13:14" ht="20.100000000000001" customHeight="1" x14ac:dyDescent="0.15">
      <c r="M351" s="78" t="str">
        <f>辅助!F351</f>
        <v>03,04,05,09,11</v>
      </c>
      <c r="N351" s="37">
        <v>31772.350000000006</v>
      </c>
    </row>
    <row r="352" spans="13:14" ht="20.100000000000001" customHeight="1" x14ac:dyDescent="0.15">
      <c r="M352" s="78" t="str">
        <f>辅助!F352</f>
        <v>03,04,05,10,11</v>
      </c>
      <c r="N352" s="37">
        <v>31735.100000000006</v>
      </c>
    </row>
    <row r="353" spans="13:14" ht="20.100000000000001" customHeight="1" x14ac:dyDescent="0.15">
      <c r="M353" s="78" t="str">
        <f>辅助!F353</f>
        <v>03,04,06,07,08</v>
      </c>
      <c r="N353" s="37">
        <v>30784.410000000007</v>
      </c>
    </row>
    <row r="354" spans="13:14" ht="20.100000000000001" customHeight="1" x14ac:dyDescent="0.15">
      <c r="M354" s="78" t="str">
        <f>辅助!F354</f>
        <v>03,04,06,07,09</v>
      </c>
      <c r="N354" s="37">
        <v>30775.81</v>
      </c>
    </row>
    <row r="355" spans="13:14" ht="20.100000000000001" customHeight="1" x14ac:dyDescent="0.15">
      <c r="M355" s="78" t="str">
        <f>辅助!F355</f>
        <v>03,04,06,07,10</v>
      </c>
      <c r="N355" s="37">
        <v>30783.410000000007</v>
      </c>
    </row>
    <row r="356" spans="13:14" ht="20.100000000000001" customHeight="1" x14ac:dyDescent="0.15">
      <c r="M356" s="78" t="str">
        <f>辅助!F356</f>
        <v>03,04,06,07,11</v>
      </c>
      <c r="N356" s="37">
        <v>30775.81</v>
      </c>
    </row>
    <row r="357" spans="13:14" ht="20.100000000000001" customHeight="1" x14ac:dyDescent="0.15">
      <c r="M357" s="78" t="str">
        <f>辅助!F357</f>
        <v>03,04,06,08,09</v>
      </c>
      <c r="N357" s="37">
        <v>29830.010000000006</v>
      </c>
    </row>
    <row r="358" spans="13:14" ht="20.100000000000001" customHeight="1" x14ac:dyDescent="0.15">
      <c r="M358" s="78" t="str">
        <f>辅助!F358</f>
        <v>03,04,06,08,10</v>
      </c>
      <c r="N358" s="37">
        <v>29948.710000000003</v>
      </c>
    </row>
    <row r="359" spans="13:14" ht="20.100000000000001" customHeight="1" x14ac:dyDescent="0.15">
      <c r="M359" s="78" t="str">
        <f>辅助!F359</f>
        <v>03,04,06,08,11</v>
      </c>
      <c r="N359" s="37">
        <v>29830.010000000006</v>
      </c>
    </row>
    <row r="360" spans="13:14" ht="20.100000000000001" customHeight="1" x14ac:dyDescent="0.15">
      <c r="M360" s="78" t="str">
        <f>辅助!F360</f>
        <v>03,04,06,09,10</v>
      </c>
      <c r="N360" s="37">
        <v>29830.010000000006</v>
      </c>
    </row>
    <row r="361" spans="13:14" ht="20.100000000000001" customHeight="1" x14ac:dyDescent="0.15">
      <c r="M361" s="78" t="str">
        <f>辅助!F361</f>
        <v>03,04,06,09,11</v>
      </c>
      <c r="N361" s="37">
        <v>29822.41</v>
      </c>
    </row>
    <row r="362" spans="13:14" ht="20.100000000000001" customHeight="1" x14ac:dyDescent="0.15">
      <c r="M362" s="78" t="str">
        <f>辅助!F362</f>
        <v>03,04,06,10,11</v>
      </c>
      <c r="N362" s="37">
        <v>29830.010000000006</v>
      </c>
    </row>
    <row r="363" spans="13:14" ht="20.100000000000001" customHeight="1" x14ac:dyDescent="0.15">
      <c r="M363" s="78" t="str">
        <f>辅助!F363</f>
        <v>03,04,07,08,09</v>
      </c>
      <c r="N363" s="37">
        <v>28230.200000000008</v>
      </c>
    </row>
    <row r="364" spans="13:14" ht="20.100000000000001" customHeight="1" x14ac:dyDescent="0.15">
      <c r="M364" s="78" t="str">
        <f>辅助!F364</f>
        <v>03,04,07,08,10</v>
      </c>
      <c r="N364" s="37">
        <v>28237.800000000007</v>
      </c>
    </row>
    <row r="365" spans="13:14" ht="20.100000000000001" customHeight="1" x14ac:dyDescent="0.15">
      <c r="M365" s="78" t="str">
        <f>辅助!F365</f>
        <v>03,04,07,08,11</v>
      </c>
      <c r="N365" s="37">
        <v>28230.200000000008</v>
      </c>
    </row>
    <row r="366" spans="13:14" ht="20.100000000000001" customHeight="1" x14ac:dyDescent="0.15">
      <c r="M366" s="78" t="str">
        <f>辅助!F366</f>
        <v>03,04,07,09,10</v>
      </c>
      <c r="N366" s="37">
        <v>28230.200000000008</v>
      </c>
    </row>
    <row r="367" spans="13:14" ht="20.100000000000001" customHeight="1" x14ac:dyDescent="0.15">
      <c r="M367" s="78" t="str">
        <f>辅助!F367</f>
        <v>03,04,07,09,11</v>
      </c>
      <c r="N367" s="37">
        <v>28267.450000000008</v>
      </c>
    </row>
    <row r="368" spans="13:14" ht="20.100000000000001" customHeight="1" x14ac:dyDescent="0.15">
      <c r="M368" s="78" t="str">
        <f>辅助!F368</f>
        <v>03,04,07,10,11</v>
      </c>
      <c r="N368" s="37">
        <v>28230.200000000008</v>
      </c>
    </row>
    <row r="369" spans="13:14" ht="20.100000000000001" customHeight="1" x14ac:dyDescent="0.15">
      <c r="M369" s="78" t="str">
        <f>辅助!F369</f>
        <v>03,04,08,09,10</v>
      </c>
      <c r="N369" s="37">
        <v>27292.840000000007</v>
      </c>
    </row>
    <row r="370" spans="13:14" ht="20.100000000000001" customHeight="1" x14ac:dyDescent="0.15">
      <c r="M370" s="78" t="str">
        <f>辅助!F370</f>
        <v>03,04,08,09,11</v>
      </c>
      <c r="N370" s="37">
        <v>27285.24</v>
      </c>
    </row>
    <row r="371" spans="13:14" ht="20.100000000000001" customHeight="1" x14ac:dyDescent="0.15">
      <c r="M371" s="78" t="str">
        <f>辅助!F371</f>
        <v>03,04,08,10,11</v>
      </c>
      <c r="N371" s="37">
        <v>27292.840000000007</v>
      </c>
    </row>
    <row r="372" spans="13:14" ht="20.100000000000001" customHeight="1" x14ac:dyDescent="0.15">
      <c r="M372" s="78" t="str">
        <f>辅助!F372</f>
        <v>03,04,09,10,11</v>
      </c>
      <c r="N372" s="37">
        <v>27320.710000000003</v>
      </c>
    </row>
    <row r="373" spans="13:14" ht="20.100000000000001" customHeight="1" x14ac:dyDescent="0.15">
      <c r="M373" s="78" t="str">
        <f>辅助!F373</f>
        <v>03,05,06,07,08</v>
      </c>
      <c r="N373" s="37">
        <v>30776.81</v>
      </c>
    </row>
    <row r="374" spans="13:14" ht="20.100000000000001" customHeight="1" x14ac:dyDescent="0.15">
      <c r="M374" s="78" t="str">
        <f>辅助!F374</f>
        <v>03,05,06,07,09</v>
      </c>
      <c r="N374" s="37">
        <v>30813.06</v>
      </c>
    </row>
    <row r="375" spans="13:14" ht="20.100000000000001" customHeight="1" x14ac:dyDescent="0.15">
      <c r="M375" s="78" t="str">
        <f>辅助!F375</f>
        <v>03,05,06,07,10</v>
      </c>
      <c r="N375" s="37">
        <v>30775.81</v>
      </c>
    </row>
    <row r="376" spans="13:14" ht="20.100000000000001" customHeight="1" x14ac:dyDescent="0.15">
      <c r="M376" s="78" t="str">
        <f>辅助!F376</f>
        <v>03,05,06,07,11</v>
      </c>
      <c r="N376" s="37">
        <v>30813.06</v>
      </c>
    </row>
    <row r="377" spans="13:14" ht="20.100000000000001" customHeight="1" x14ac:dyDescent="0.15">
      <c r="M377" s="78" t="str">
        <f>辅助!F377</f>
        <v>03,05,06,08,09</v>
      </c>
      <c r="N377" s="37">
        <v>29822.41</v>
      </c>
    </row>
    <row r="378" spans="13:14" ht="20.100000000000001" customHeight="1" x14ac:dyDescent="0.15">
      <c r="M378" s="78" t="str">
        <f>辅助!F378</f>
        <v>03,05,06,08,10</v>
      </c>
      <c r="N378" s="37">
        <v>29830.010000000006</v>
      </c>
    </row>
    <row r="379" spans="13:14" ht="20.100000000000001" customHeight="1" x14ac:dyDescent="0.15">
      <c r="M379" s="78" t="str">
        <f>辅助!F379</f>
        <v>03,05,06,08,11</v>
      </c>
      <c r="N379" s="37">
        <v>29822.41</v>
      </c>
    </row>
    <row r="380" spans="13:14" ht="20.100000000000001" customHeight="1" x14ac:dyDescent="0.15">
      <c r="M380" s="78" t="str">
        <f>辅助!F380</f>
        <v>03,05,06,09,10</v>
      </c>
      <c r="N380" s="37">
        <v>29822.41</v>
      </c>
    </row>
    <row r="381" spans="13:14" ht="20.100000000000001" customHeight="1" x14ac:dyDescent="0.15">
      <c r="M381" s="78" t="str">
        <f>辅助!F381</f>
        <v>03,05,06,09,11</v>
      </c>
      <c r="N381" s="37">
        <v>29859.66</v>
      </c>
    </row>
    <row r="382" spans="13:14" ht="20.100000000000001" customHeight="1" x14ac:dyDescent="0.15">
      <c r="M382" s="78" t="str">
        <f>辅助!F382</f>
        <v>03,05,06,10,11</v>
      </c>
      <c r="N382" s="37">
        <v>29822.41</v>
      </c>
    </row>
    <row r="383" spans="13:14" ht="20.100000000000001" customHeight="1" x14ac:dyDescent="0.15">
      <c r="M383" s="78" t="str">
        <f>辅助!F383</f>
        <v>03,05,07,08,09</v>
      </c>
      <c r="N383" s="37">
        <v>28161.300000000007</v>
      </c>
    </row>
    <row r="384" spans="13:14" ht="20.100000000000001" customHeight="1" x14ac:dyDescent="0.15">
      <c r="M384" s="78" t="str">
        <f>辅助!F384</f>
        <v>03,05,07,08,10</v>
      </c>
      <c r="N384" s="37">
        <v>28124.050000000007</v>
      </c>
    </row>
    <row r="385" spans="13:14" ht="20.100000000000001" customHeight="1" x14ac:dyDescent="0.15">
      <c r="M385" s="78" t="str">
        <f>辅助!F385</f>
        <v>03,05,07,08,11</v>
      </c>
      <c r="N385" s="37">
        <v>28161.300000000007</v>
      </c>
    </row>
    <row r="386" spans="13:14" ht="20.100000000000001" customHeight="1" x14ac:dyDescent="0.15">
      <c r="M386" s="78" t="str">
        <f>辅助!F386</f>
        <v>03,05,07,09,10</v>
      </c>
      <c r="N386" s="37">
        <v>28161.300000000007</v>
      </c>
    </row>
    <row r="387" spans="13:14" ht="20.100000000000001" customHeight="1" x14ac:dyDescent="0.15">
      <c r="M387" s="78" t="str">
        <f>辅助!F387</f>
        <v>03,05,07,09,11</v>
      </c>
      <c r="N387" s="37">
        <v>28845.050000000007</v>
      </c>
    </row>
    <row r="388" spans="13:14" ht="20.100000000000001" customHeight="1" x14ac:dyDescent="0.15">
      <c r="M388" s="78" t="str">
        <f>辅助!F388</f>
        <v>03,05,07,10,11</v>
      </c>
      <c r="N388" s="37">
        <v>28161.300000000007</v>
      </c>
    </row>
    <row r="389" spans="13:14" ht="20.100000000000001" customHeight="1" x14ac:dyDescent="0.15">
      <c r="M389" s="78" t="str">
        <f>辅助!F389</f>
        <v>03,05,08,09,10</v>
      </c>
      <c r="N389" s="37">
        <v>27179.09</v>
      </c>
    </row>
    <row r="390" spans="13:14" ht="20.100000000000001" customHeight="1" x14ac:dyDescent="0.15">
      <c r="M390" s="78" t="str">
        <f>辅助!F390</f>
        <v>03,05,08,09,11</v>
      </c>
      <c r="N390" s="37">
        <v>27216.34</v>
      </c>
    </row>
    <row r="391" spans="13:14" ht="20.100000000000001" customHeight="1" x14ac:dyDescent="0.15">
      <c r="M391" s="78" t="str">
        <f>辅助!F391</f>
        <v>03,05,08,10,11</v>
      </c>
      <c r="N391" s="37">
        <v>27179.09</v>
      </c>
    </row>
    <row r="392" spans="13:14" ht="20.100000000000001" customHeight="1" x14ac:dyDescent="0.15">
      <c r="M392" s="78" t="str">
        <f>辅助!F392</f>
        <v>03,05,09,10,11</v>
      </c>
      <c r="N392" s="37">
        <v>27888.710000000003</v>
      </c>
    </row>
    <row r="393" spans="13:14" ht="20.100000000000001" customHeight="1" x14ac:dyDescent="0.15">
      <c r="M393" s="78" t="str">
        <f>辅助!F393</f>
        <v>03,06,07,08,09</v>
      </c>
      <c r="N393" s="37">
        <v>26213.350000000006</v>
      </c>
    </row>
    <row r="394" spans="13:14" ht="20.100000000000001" customHeight="1" x14ac:dyDescent="0.15">
      <c r="M394" s="78" t="str">
        <f>辅助!F394</f>
        <v>03,06,07,08,10</v>
      </c>
      <c r="N394" s="37">
        <v>26220.950000000004</v>
      </c>
    </row>
    <row r="395" spans="13:14" ht="20.100000000000001" customHeight="1" x14ac:dyDescent="0.15">
      <c r="M395" s="78" t="str">
        <f>辅助!F395</f>
        <v>03,06,07,08,11</v>
      </c>
      <c r="N395" s="37">
        <v>26213.350000000006</v>
      </c>
    </row>
    <row r="396" spans="13:14" ht="20.100000000000001" customHeight="1" x14ac:dyDescent="0.15">
      <c r="M396" s="78" t="str">
        <f>辅助!F396</f>
        <v>03,06,07,09,10</v>
      </c>
      <c r="N396" s="37">
        <v>26213.350000000006</v>
      </c>
    </row>
    <row r="397" spans="13:14" ht="20.100000000000001" customHeight="1" x14ac:dyDescent="0.15">
      <c r="M397" s="78" t="str">
        <f>辅助!F397</f>
        <v>03,06,07,09,11</v>
      </c>
      <c r="N397" s="37">
        <v>26250.600000000006</v>
      </c>
    </row>
    <row r="398" spans="13:14" ht="20.100000000000001" customHeight="1" x14ac:dyDescent="0.15">
      <c r="M398" s="78" t="str">
        <f>辅助!F398</f>
        <v>03,06,07,10,11</v>
      </c>
      <c r="N398" s="37">
        <v>26213.350000000006</v>
      </c>
    </row>
    <row r="399" spans="13:14" ht="20.100000000000001" customHeight="1" x14ac:dyDescent="0.15">
      <c r="M399" s="78" t="str">
        <f>辅助!F399</f>
        <v>03,06,08,09,10</v>
      </c>
      <c r="N399" s="37">
        <v>25275.990000000005</v>
      </c>
    </row>
    <row r="400" spans="13:14" ht="20.100000000000001" customHeight="1" x14ac:dyDescent="0.15">
      <c r="M400" s="78" t="str">
        <f>辅助!F400</f>
        <v>03,06,08,09,11</v>
      </c>
      <c r="N400" s="37">
        <v>25268.39</v>
      </c>
    </row>
    <row r="401" spans="13:14" ht="20.100000000000001" customHeight="1" x14ac:dyDescent="0.15">
      <c r="M401" s="78" t="str">
        <f>辅助!F401</f>
        <v>03,06,08,10,11</v>
      </c>
      <c r="N401" s="37">
        <v>25275.990000000005</v>
      </c>
    </row>
    <row r="402" spans="13:14" ht="20.100000000000001" customHeight="1" x14ac:dyDescent="0.15">
      <c r="M402" s="78" t="str">
        <f>辅助!F402</f>
        <v>03,06,09,10,11</v>
      </c>
      <c r="N402" s="37">
        <v>25303.86</v>
      </c>
    </row>
    <row r="403" spans="13:14" ht="20.100000000000001" customHeight="1" x14ac:dyDescent="0.15">
      <c r="M403" s="78" t="str">
        <f>辅助!F403</f>
        <v>03,07,08,09,10</v>
      </c>
      <c r="N403" s="37">
        <v>23674.190000000002</v>
      </c>
    </row>
    <row r="404" spans="13:14" ht="20.100000000000001" customHeight="1" x14ac:dyDescent="0.15">
      <c r="M404" s="78" t="str">
        <f>辅助!F404</f>
        <v>03,07,08,09,11</v>
      </c>
      <c r="N404" s="37">
        <v>23711.440000000002</v>
      </c>
    </row>
    <row r="405" spans="13:14" ht="20.100000000000001" customHeight="1" x14ac:dyDescent="0.15">
      <c r="M405" s="78" t="str">
        <f>辅助!F405</f>
        <v>03,07,08,10,11</v>
      </c>
      <c r="N405" s="37">
        <v>23674.190000000002</v>
      </c>
    </row>
    <row r="406" spans="13:14" ht="20.100000000000001" customHeight="1" x14ac:dyDescent="0.15">
      <c r="M406" s="78" t="str">
        <f>辅助!F406</f>
        <v>03,07,09,10,11</v>
      </c>
      <c r="N406" s="37">
        <v>23746.910000000003</v>
      </c>
    </row>
    <row r="407" spans="13:14" ht="20.100000000000001" customHeight="1" x14ac:dyDescent="0.15">
      <c r="M407" s="78" t="str">
        <f>辅助!F407</f>
        <v>03,08,09,10,11</v>
      </c>
      <c r="N407" s="37">
        <v>22756.260000000002</v>
      </c>
    </row>
    <row r="408" spans="13:14" ht="20.100000000000001" customHeight="1" x14ac:dyDescent="0.15">
      <c r="M408" s="78" t="str">
        <f>辅助!F408</f>
        <v>04,05,06,07,08</v>
      </c>
      <c r="N408" s="37">
        <v>42965.025000000001</v>
      </c>
    </row>
    <row r="409" spans="13:14" ht="20.100000000000001" customHeight="1" x14ac:dyDescent="0.15">
      <c r="M409" s="78" t="str">
        <f>辅助!F409</f>
        <v>04,05,06,07,09</v>
      </c>
      <c r="N409" s="37">
        <v>42956.425000000003</v>
      </c>
    </row>
    <row r="410" spans="13:14" ht="20.100000000000001" customHeight="1" x14ac:dyDescent="0.15">
      <c r="M410" s="78" t="str">
        <f>辅助!F410</f>
        <v>04,05,06,07,10</v>
      </c>
      <c r="N410" s="37">
        <v>42964.025000000001</v>
      </c>
    </row>
    <row r="411" spans="13:14" ht="20.100000000000001" customHeight="1" x14ac:dyDescent="0.15">
      <c r="M411" s="78" t="str">
        <f>辅助!F411</f>
        <v>04,05,06,07,11</v>
      </c>
      <c r="N411" s="37">
        <v>42956.425000000003</v>
      </c>
    </row>
    <row r="412" spans="13:14" ht="20.100000000000001" customHeight="1" x14ac:dyDescent="0.15">
      <c r="M412" s="78" t="str">
        <f>辅助!F412</f>
        <v>04,05,06,08,09</v>
      </c>
      <c r="N412" s="37">
        <v>42010.625</v>
      </c>
    </row>
    <row r="413" spans="13:14" ht="20.100000000000001" customHeight="1" x14ac:dyDescent="0.15">
      <c r="M413" s="78" t="str">
        <f>辅助!F413</f>
        <v>04,05,06,08,10</v>
      </c>
      <c r="N413" s="37">
        <v>42129.325000000004</v>
      </c>
    </row>
    <row r="414" spans="13:14" ht="20.100000000000001" customHeight="1" x14ac:dyDescent="0.15">
      <c r="M414" s="78" t="str">
        <f>辅助!F414</f>
        <v>04,05,06,08,11</v>
      </c>
      <c r="N414" s="37">
        <v>42010.625</v>
      </c>
    </row>
    <row r="415" spans="13:14" ht="20.100000000000001" customHeight="1" x14ac:dyDescent="0.15">
      <c r="M415" s="78" t="str">
        <f>辅助!F415</f>
        <v>04,05,06,09,10</v>
      </c>
      <c r="N415" s="37">
        <v>42010.625</v>
      </c>
    </row>
    <row r="416" spans="13:14" ht="20.100000000000001" customHeight="1" x14ac:dyDescent="0.15">
      <c r="M416" s="78" t="str">
        <f>辅助!F416</f>
        <v>04,05,06,09,11</v>
      </c>
      <c r="N416" s="37">
        <v>42003.025000000001</v>
      </c>
    </row>
    <row r="417" spans="13:14" ht="20.100000000000001" customHeight="1" x14ac:dyDescent="0.15">
      <c r="M417" s="78" t="str">
        <f>辅助!F417</f>
        <v>04,05,06,10,11</v>
      </c>
      <c r="N417" s="37">
        <v>42010.625</v>
      </c>
    </row>
    <row r="418" spans="13:14" ht="20.100000000000001" customHeight="1" x14ac:dyDescent="0.15">
      <c r="M418" s="78" t="str">
        <f>辅助!F418</f>
        <v>04,05,07,08,09</v>
      </c>
      <c r="N418" s="37">
        <v>30591.940000000002</v>
      </c>
    </row>
    <row r="419" spans="13:14" ht="20.100000000000001" customHeight="1" x14ac:dyDescent="0.15">
      <c r="M419" s="78" t="str">
        <f>辅助!F419</f>
        <v>04,05,07,08,10</v>
      </c>
      <c r="N419" s="37">
        <v>30599.54</v>
      </c>
    </row>
    <row r="420" spans="13:14" ht="20.100000000000001" customHeight="1" x14ac:dyDescent="0.15">
      <c r="M420" s="78" t="str">
        <f>辅助!F420</f>
        <v>04,05,07,08,11</v>
      </c>
      <c r="N420" s="37">
        <v>30591.940000000002</v>
      </c>
    </row>
    <row r="421" spans="13:14" ht="20.100000000000001" customHeight="1" x14ac:dyDescent="0.15">
      <c r="M421" s="78" t="str">
        <f>辅助!F421</f>
        <v>04,05,07,09,10</v>
      </c>
      <c r="N421" s="37">
        <v>30591.940000000002</v>
      </c>
    </row>
    <row r="422" spans="13:14" ht="20.100000000000001" customHeight="1" x14ac:dyDescent="0.15">
      <c r="M422" s="78" t="str">
        <f>辅助!F422</f>
        <v>04,05,07,09,11</v>
      </c>
      <c r="N422" s="37">
        <v>30629.190000000002</v>
      </c>
    </row>
    <row r="423" spans="13:14" ht="20.100000000000001" customHeight="1" x14ac:dyDescent="0.15">
      <c r="M423" s="78" t="str">
        <f>辅助!F423</f>
        <v>04,05,07,10,11</v>
      </c>
      <c r="N423" s="37">
        <v>30591.940000000002</v>
      </c>
    </row>
    <row r="424" spans="13:14" ht="20.100000000000001" customHeight="1" x14ac:dyDescent="0.15">
      <c r="M424" s="78" t="str">
        <f>辅助!F424</f>
        <v>04,05,08,09,10</v>
      </c>
      <c r="N424" s="37">
        <v>29654.58</v>
      </c>
    </row>
    <row r="425" spans="13:14" ht="20.100000000000001" customHeight="1" x14ac:dyDescent="0.15">
      <c r="M425" s="78" t="str">
        <f>辅助!F425</f>
        <v>04,05,08,09,11</v>
      </c>
      <c r="N425" s="37">
        <v>29646.98</v>
      </c>
    </row>
    <row r="426" spans="13:14" ht="20.100000000000001" customHeight="1" x14ac:dyDescent="0.15">
      <c r="M426" s="78" t="str">
        <f>辅助!F426</f>
        <v>04,05,08,10,11</v>
      </c>
      <c r="N426" s="37">
        <v>29654.58</v>
      </c>
    </row>
    <row r="427" spans="13:14" ht="20.100000000000001" customHeight="1" x14ac:dyDescent="0.15">
      <c r="M427" s="78" t="str">
        <f>辅助!F427</f>
        <v>04,05,09,10,11</v>
      </c>
      <c r="N427" s="37">
        <v>30319.350000000002</v>
      </c>
    </row>
    <row r="428" spans="13:14" ht="20.100000000000001" customHeight="1" x14ac:dyDescent="0.15">
      <c r="M428" s="78" t="str">
        <f>辅助!F428</f>
        <v>04,06,07,08,09</v>
      </c>
      <c r="N428" s="37">
        <v>28688.84</v>
      </c>
    </row>
    <row r="429" spans="13:14" ht="20.100000000000001" customHeight="1" x14ac:dyDescent="0.15">
      <c r="M429" s="78" t="str">
        <f>辅助!F429</f>
        <v>04,06,07,08,10</v>
      </c>
      <c r="N429" s="37">
        <v>28807.54</v>
      </c>
    </row>
    <row r="430" spans="13:14" ht="20.100000000000001" customHeight="1" x14ac:dyDescent="0.15">
      <c r="M430" s="78" t="str">
        <f>辅助!F430</f>
        <v>04,06,07,08,11</v>
      </c>
      <c r="N430" s="37">
        <v>28688.84</v>
      </c>
    </row>
    <row r="431" spans="13:14" ht="20.100000000000001" customHeight="1" x14ac:dyDescent="0.15">
      <c r="M431" s="78" t="str">
        <f>辅助!F431</f>
        <v>04,06,07,09,10</v>
      </c>
      <c r="N431" s="37">
        <v>28688.84</v>
      </c>
    </row>
    <row r="432" spans="13:14" ht="20.100000000000001" customHeight="1" x14ac:dyDescent="0.15">
      <c r="M432" s="78" t="str">
        <f>辅助!F432</f>
        <v>04,06,07,09,11</v>
      </c>
      <c r="N432" s="37">
        <v>28681.24</v>
      </c>
    </row>
    <row r="433" spans="13:14" ht="20.100000000000001" customHeight="1" x14ac:dyDescent="0.15">
      <c r="M433" s="78" t="str">
        <f>辅助!F433</f>
        <v>04,06,07,10,11</v>
      </c>
      <c r="N433" s="37">
        <v>28688.84</v>
      </c>
    </row>
    <row r="434" spans="13:14" ht="20.100000000000001" customHeight="1" x14ac:dyDescent="0.15">
      <c r="M434" s="78" t="str">
        <f>辅助!F434</f>
        <v>04,06,08,09,10</v>
      </c>
      <c r="N434" s="37">
        <v>27862.58</v>
      </c>
    </row>
    <row r="435" spans="13:14" ht="20.100000000000001" customHeight="1" x14ac:dyDescent="0.15">
      <c r="M435" s="78" t="str">
        <f>辅助!F435</f>
        <v>04,06,08,09,11</v>
      </c>
      <c r="N435" s="37">
        <v>27743.88</v>
      </c>
    </row>
    <row r="436" spans="13:14" ht="20.100000000000001" customHeight="1" x14ac:dyDescent="0.15">
      <c r="M436" s="78" t="str">
        <f>辅助!F436</f>
        <v>04,06,08,10,11</v>
      </c>
      <c r="N436" s="37">
        <v>27862.58</v>
      </c>
    </row>
    <row r="437" spans="13:14" ht="20.100000000000001" customHeight="1" x14ac:dyDescent="0.15">
      <c r="M437" s="78" t="str">
        <f>辅助!F437</f>
        <v>04,06,09,10,11</v>
      </c>
      <c r="N437" s="37">
        <v>27779.35</v>
      </c>
    </row>
    <row r="438" spans="13:14" ht="20.100000000000001" customHeight="1" x14ac:dyDescent="0.15">
      <c r="M438" s="78" t="str">
        <f>辅助!F438</f>
        <v>04,07,08,09,10</v>
      </c>
      <c r="N438" s="37">
        <v>26149.680000000004</v>
      </c>
    </row>
    <row r="439" spans="13:14" ht="20.100000000000001" customHeight="1" x14ac:dyDescent="0.15">
      <c r="M439" s="78" t="str">
        <f>辅助!F439</f>
        <v>04,07,08,09,11</v>
      </c>
      <c r="N439" s="37">
        <v>26142.080000000002</v>
      </c>
    </row>
    <row r="440" spans="13:14" ht="20.100000000000001" customHeight="1" x14ac:dyDescent="0.15">
      <c r="M440" s="78" t="str">
        <f>辅助!F440</f>
        <v>04,07,08,10,11</v>
      </c>
      <c r="N440" s="37">
        <v>26149.680000000004</v>
      </c>
    </row>
    <row r="441" spans="13:14" ht="20.100000000000001" customHeight="1" x14ac:dyDescent="0.15">
      <c r="M441" s="78" t="str">
        <f>辅助!F441</f>
        <v>04,07,09,10,11</v>
      </c>
      <c r="N441" s="37">
        <v>26177.550000000003</v>
      </c>
    </row>
    <row r="442" spans="13:14" ht="20.100000000000001" customHeight="1" x14ac:dyDescent="0.15">
      <c r="M442" s="78" t="str">
        <f>辅助!F442</f>
        <v>04,08,09,10,11</v>
      </c>
      <c r="N442" s="37">
        <v>25231.75</v>
      </c>
    </row>
    <row r="443" spans="13:14" ht="20.100000000000001" customHeight="1" x14ac:dyDescent="0.15">
      <c r="M443" s="78" t="str">
        <f>辅助!F443</f>
        <v>05,06,07,08,09</v>
      </c>
      <c r="N443" s="37">
        <v>28787.390000000003</v>
      </c>
    </row>
    <row r="444" spans="13:14" ht="20.100000000000001" customHeight="1" x14ac:dyDescent="0.15">
      <c r="M444" s="78" t="str">
        <f>辅助!F444</f>
        <v>05,06,07,08,10</v>
      </c>
      <c r="N444" s="37">
        <v>28794.99</v>
      </c>
    </row>
    <row r="445" spans="13:14" ht="20.100000000000001" customHeight="1" x14ac:dyDescent="0.15">
      <c r="M445" s="78" t="str">
        <f>辅助!F445</f>
        <v>05,06,07,08,11</v>
      </c>
      <c r="N445" s="37">
        <v>28787.390000000003</v>
      </c>
    </row>
    <row r="446" spans="13:14" ht="20.100000000000001" customHeight="1" x14ac:dyDescent="0.15">
      <c r="M446" s="78" t="str">
        <f>辅助!F446</f>
        <v>05,06,07,09,10</v>
      </c>
      <c r="N446" s="37">
        <v>28787.390000000003</v>
      </c>
    </row>
    <row r="447" spans="13:14" ht="20.100000000000001" customHeight="1" x14ac:dyDescent="0.15">
      <c r="M447" s="78" t="str">
        <f>辅助!F447</f>
        <v>05,06,07,09,11</v>
      </c>
      <c r="N447" s="37">
        <v>28824.640000000003</v>
      </c>
    </row>
    <row r="448" spans="13:14" ht="20.100000000000001" customHeight="1" x14ac:dyDescent="0.15">
      <c r="M448" s="78" t="str">
        <f>辅助!F448</f>
        <v>05,06,07,10,11</v>
      </c>
      <c r="N448" s="37">
        <v>28787.390000000003</v>
      </c>
    </row>
    <row r="449" spans="13:14" ht="20.100000000000001" customHeight="1" x14ac:dyDescent="0.15">
      <c r="M449" s="78" t="str">
        <f>辅助!F449</f>
        <v>05,06,08,09,10</v>
      </c>
      <c r="N449" s="37">
        <v>27850.030000000002</v>
      </c>
    </row>
    <row r="450" spans="13:14" ht="20.100000000000001" customHeight="1" x14ac:dyDescent="0.15">
      <c r="M450" s="78" t="str">
        <f>辅助!F450</f>
        <v>05,06,08,09,11</v>
      </c>
      <c r="N450" s="37">
        <v>27842.43</v>
      </c>
    </row>
    <row r="451" spans="13:14" ht="20.100000000000001" customHeight="1" x14ac:dyDescent="0.15">
      <c r="M451" s="78" t="str">
        <f>辅助!F451</f>
        <v>05,06,08,10,11</v>
      </c>
      <c r="N451" s="37">
        <v>27850.030000000002</v>
      </c>
    </row>
    <row r="452" spans="13:14" ht="20.100000000000001" customHeight="1" x14ac:dyDescent="0.15">
      <c r="M452" s="78" t="str">
        <f>辅助!F452</f>
        <v>05,06,09,10,11</v>
      </c>
      <c r="N452" s="37">
        <v>28514.800000000003</v>
      </c>
    </row>
    <row r="453" spans="13:14" ht="20.100000000000001" customHeight="1" x14ac:dyDescent="0.15">
      <c r="M453" s="78" t="str">
        <f>辅助!F453</f>
        <v>05,07,08,09,10</v>
      </c>
      <c r="N453" s="37">
        <v>26142.080000000002</v>
      </c>
    </row>
    <row r="454" spans="13:14" ht="20.100000000000001" customHeight="1" x14ac:dyDescent="0.15">
      <c r="M454" s="78" t="str">
        <f>辅助!F454</f>
        <v>05,07,08,09,11</v>
      </c>
      <c r="N454" s="37">
        <v>26179.33</v>
      </c>
    </row>
    <row r="455" spans="13:14" ht="20.100000000000001" customHeight="1" x14ac:dyDescent="0.15">
      <c r="M455" s="78" t="str">
        <f>辅助!F455</f>
        <v>05,07,08,10,11</v>
      </c>
      <c r="N455" s="37">
        <v>26142.080000000002</v>
      </c>
    </row>
    <row r="456" spans="13:14" ht="20.100000000000001" customHeight="1" x14ac:dyDescent="0.15">
      <c r="M456" s="78" t="str">
        <f>辅助!F456</f>
        <v>05,07,09,10,11</v>
      </c>
      <c r="N456" s="37">
        <v>26851.700000000004</v>
      </c>
    </row>
    <row r="457" spans="13:14" ht="20.100000000000001" customHeight="1" x14ac:dyDescent="0.15">
      <c r="M457" s="78" t="str">
        <f>辅助!F457</f>
        <v>05,08,09,10,11</v>
      </c>
      <c r="N457" s="37">
        <v>25861.050000000003</v>
      </c>
    </row>
    <row r="458" spans="13:14" ht="20.100000000000001" customHeight="1" x14ac:dyDescent="0.15">
      <c r="M458" s="78" t="str">
        <f>辅助!F458</f>
        <v>06,07,08,09,10</v>
      </c>
      <c r="N458" s="37">
        <v>32645.8</v>
      </c>
    </row>
    <row r="459" spans="13:14" ht="20.100000000000001" customHeight="1" x14ac:dyDescent="0.15">
      <c r="M459" s="78" t="str">
        <f>辅助!F459</f>
        <v>06,07,08,09,11</v>
      </c>
      <c r="N459" s="37">
        <v>25504.920000000002</v>
      </c>
    </row>
    <row r="460" spans="13:14" ht="20.100000000000001" customHeight="1" x14ac:dyDescent="0.15">
      <c r="M460" s="78" t="str">
        <f>辅助!F460</f>
        <v>06,07,08,10,11</v>
      </c>
      <c r="N460" s="37">
        <v>25512.52</v>
      </c>
    </row>
    <row r="461" spans="13:14" ht="20.100000000000001" customHeight="1" x14ac:dyDescent="0.15">
      <c r="M461" s="78" t="str">
        <f>辅助!F461</f>
        <v>06,07,09,10,11</v>
      </c>
      <c r="N461" s="37">
        <v>24266.850000000002</v>
      </c>
    </row>
    <row r="462" spans="13:14" ht="20.100000000000001" customHeight="1" x14ac:dyDescent="0.15">
      <c r="M462" s="78" t="str">
        <f>辅助!F462</f>
        <v>06,08,09,10,11</v>
      </c>
      <c r="N462" s="37">
        <v>23321.05</v>
      </c>
    </row>
    <row r="463" spans="13:14" ht="20.100000000000001" customHeight="1" x14ac:dyDescent="0.15">
      <c r="M463" s="78" t="str">
        <f>辅助!F463</f>
        <v>07,08,09,10,11</v>
      </c>
      <c r="N463" s="37">
        <v>32419.17</v>
      </c>
    </row>
  </sheetData>
  <mergeCells count="372">
    <mergeCell ref="E2:E4"/>
    <mergeCell ref="E8:E9"/>
    <mergeCell ref="E10:E11"/>
    <mergeCell ref="E15:E16"/>
    <mergeCell ref="H2:H4"/>
    <mergeCell ref="H10:H11"/>
    <mergeCell ref="F2:F4"/>
    <mergeCell ref="F8:F9"/>
    <mergeCell ref="F10:F11"/>
    <mergeCell ref="F15:F16"/>
    <mergeCell ref="K2:K4"/>
    <mergeCell ref="K10:K11"/>
    <mergeCell ref="K8:K9"/>
    <mergeCell ref="I8:I9"/>
    <mergeCell ref="I10:I11"/>
    <mergeCell ref="I2:I4"/>
    <mergeCell ref="J49:J50"/>
    <mergeCell ref="J2:J4"/>
    <mergeCell ref="J8:J9"/>
    <mergeCell ref="J10:J11"/>
    <mergeCell ref="J15:J16"/>
    <mergeCell ref="J18:J20"/>
    <mergeCell ref="J43:J44"/>
    <mergeCell ref="J45:J46"/>
    <mergeCell ref="J47:J48"/>
    <mergeCell ref="I15:I16"/>
    <mergeCell ref="K15:K16"/>
    <mergeCell ref="K49:K50"/>
    <mergeCell ref="K51:K52"/>
    <mergeCell ref="K18:K20"/>
    <mergeCell ref="I18:I20"/>
    <mergeCell ref="I47:I48"/>
    <mergeCell ref="I49:I50"/>
    <mergeCell ref="I51:I52"/>
    <mergeCell ref="K39:K40"/>
    <mergeCell ref="K41:K42"/>
    <mergeCell ref="K43:K44"/>
    <mergeCell ref="K45:K46"/>
    <mergeCell ref="K47:K48"/>
    <mergeCell ref="J51:J52"/>
    <mergeCell ref="J39:J40"/>
    <mergeCell ref="J41:J42"/>
    <mergeCell ref="F51:F52"/>
    <mergeCell ref="F49:F50"/>
    <mergeCell ref="F47:F48"/>
    <mergeCell ref="F18:F20"/>
    <mergeCell ref="I39:I40"/>
    <mergeCell ref="I41:I42"/>
    <mergeCell ref="I43:I44"/>
    <mergeCell ref="I45:I46"/>
    <mergeCell ref="F39:F40"/>
    <mergeCell ref="F41:F42"/>
    <mergeCell ref="F43:F44"/>
    <mergeCell ref="F45:F46"/>
    <mergeCell ref="H39:H40"/>
    <mergeCell ref="H41:H42"/>
    <mergeCell ref="H43:H44"/>
    <mergeCell ref="H51:H52"/>
    <mergeCell ref="H49:H50"/>
    <mergeCell ref="H47:H48"/>
    <mergeCell ref="H45:H46"/>
    <mergeCell ref="K53:K55"/>
    <mergeCell ref="E59:E60"/>
    <mergeCell ref="F59:F60"/>
    <mergeCell ref="I59:I60"/>
    <mergeCell ref="J59:J60"/>
    <mergeCell ref="K59:K60"/>
    <mergeCell ref="E53:E55"/>
    <mergeCell ref="F53:F55"/>
    <mergeCell ref="H53:H55"/>
    <mergeCell ref="I53:I55"/>
    <mergeCell ref="J53:J55"/>
    <mergeCell ref="K61:K62"/>
    <mergeCell ref="E66:E67"/>
    <mergeCell ref="F66:F67"/>
    <mergeCell ref="I66:I67"/>
    <mergeCell ref="J66:J67"/>
    <mergeCell ref="K66:K67"/>
    <mergeCell ref="E61:E62"/>
    <mergeCell ref="F61:F62"/>
    <mergeCell ref="H61:H62"/>
    <mergeCell ref="I61:I62"/>
    <mergeCell ref="J61:J62"/>
    <mergeCell ref="F69:F71"/>
    <mergeCell ref="I69:I71"/>
    <mergeCell ref="J69:J71"/>
    <mergeCell ref="K69:K71"/>
    <mergeCell ref="F90:F91"/>
    <mergeCell ref="H90:H91"/>
    <mergeCell ref="I90:I91"/>
    <mergeCell ref="J90:J91"/>
    <mergeCell ref="K90:K91"/>
    <mergeCell ref="F94:F95"/>
    <mergeCell ref="H94:H95"/>
    <mergeCell ref="I94:I95"/>
    <mergeCell ref="J94:J95"/>
    <mergeCell ref="K94:K95"/>
    <mergeCell ref="F92:F93"/>
    <mergeCell ref="H92:H93"/>
    <mergeCell ref="I92:I93"/>
    <mergeCell ref="J92:J93"/>
    <mergeCell ref="K92:K93"/>
    <mergeCell ref="F98:F99"/>
    <mergeCell ref="H98:H99"/>
    <mergeCell ref="I98:I99"/>
    <mergeCell ref="J98:J99"/>
    <mergeCell ref="K98:K99"/>
    <mergeCell ref="F96:F97"/>
    <mergeCell ref="H96:H97"/>
    <mergeCell ref="I96:I97"/>
    <mergeCell ref="J96:J97"/>
    <mergeCell ref="K96:K97"/>
    <mergeCell ref="F102:F103"/>
    <mergeCell ref="H102:H103"/>
    <mergeCell ref="I102:I103"/>
    <mergeCell ref="J102:J103"/>
    <mergeCell ref="K102:K103"/>
    <mergeCell ref="F100:F101"/>
    <mergeCell ref="H100:H101"/>
    <mergeCell ref="I100:I101"/>
    <mergeCell ref="J100:J101"/>
    <mergeCell ref="K100:K101"/>
    <mergeCell ref="K104:K106"/>
    <mergeCell ref="E110:E111"/>
    <mergeCell ref="F110:F111"/>
    <mergeCell ref="I110:I111"/>
    <mergeCell ref="J110:J111"/>
    <mergeCell ref="K110:K111"/>
    <mergeCell ref="E104:E106"/>
    <mergeCell ref="F104:F106"/>
    <mergeCell ref="H104:H106"/>
    <mergeCell ref="I104:I106"/>
    <mergeCell ref="J104:J106"/>
    <mergeCell ref="K112:K113"/>
    <mergeCell ref="E117:E118"/>
    <mergeCell ref="F117:F118"/>
    <mergeCell ref="I117:I118"/>
    <mergeCell ref="J117:J118"/>
    <mergeCell ref="K117:K118"/>
    <mergeCell ref="E112:E113"/>
    <mergeCell ref="F112:F113"/>
    <mergeCell ref="H112:H113"/>
    <mergeCell ref="I112:I113"/>
    <mergeCell ref="J112:J113"/>
    <mergeCell ref="F120:F122"/>
    <mergeCell ref="I120:I122"/>
    <mergeCell ref="J120:J122"/>
    <mergeCell ref="K120:K122"/>
    <mergeCell ref="F141:F142"/>
    <mergeCell ref="H141:H142"/>
    <mergeCell ref="I141:I142"/>
    <mergeCell ref="J141:J142"/>
    <mergeCell ref="K141:K142"/>
    <mergeCell ref="F145:F146"/>
    <mergeCell ref="H145:H146"/>
    <mergeCell ref="I145:I146"/>
    <mergeCell ref="J145:J146"/>
    <mergeCell ref="K145:K146"/>
    <mergeCell ref="F143:F144"/>
    <mergeCell ref="H143:H144"/>
    <mergeCell ref="I143:I144"/>
    <mergeCell ref="J143:J144"/>
    <mergeCell ref="K143:K144"/>
    <mergeCell ref="F149:F150"/>
    <mergeCell ref="H149:H150"/>
    <mergeCell ref="I149:I150"/>
    <mergeCell ref="J149:J150"/>
    <mergeCell ref="K149:K150"/>
    <mergeCell ref="F147:F148"/>
    <mergeCell ref="H147:H148"/>
    <mergeCell ref="I147:I148"/>
    <mergeCell ref="J147:J148"/>
    <mergeCell ref="K147:K148"/>
    <mergeCell ref="F153:F154"/>
    <mergeCell ref="H153:H154"/>
    <mergeCell ref="I153:I154"/>
    <mergeCell ref="J153:J154"/>
    <mergeCell ref="K153:K154"/>
    <mergeCell ref="F151:F152"/>
    <mergeCell ref="H151:H152"/>
    <mergeCell ref="I151:I152"/>
    <mergeCell ref="J151:J152"/>
    <mergeCell ref="K151:K152"/>
    <mergeCell ref="K155:K157"/>
    <mergeCell ref="E161:E162"/>
    <mergeCell ref="F161:F162"/>
    <mergeCell ref="I161:I162"/>
    <mergeCell ref="J161:J162"/>
    <mergeCell ref="K161:K162"/>
    <mergeCell ref="E155:E157"/>
    <mergeCell ref="F155:F157"/>
    <mergeCell ref="H155:H157"/>
    <mergeCell ref="I155:I157"/>
    <mergeCell ref="J155:J157"/>
    <mergeCell ref="K163:K164"/>
    <mergeCell ref="E168:E169"/>
    <mergeCell ref="F168:F169"/>
    <mergeCell ref="I168:I169"/>
    <mergeCell ref="J168:J169"/>
    <mergeCell ref="K168:K169"/>
    <mergeCell ref="E163:E164"/>
    <mergeCell ref="F163:F164"/>
    <mergeCell ref="H163:H164"/>
    <mergeCell ref="I163:I164"/>
    <mergeCell ref="J163:J164"/>
    <mergeCell ref="F194:F195"/>
    <mergeCell ref="H194:H195"/>
    <mergeCell ref="I194:I195"/>
    <mergeCell ref="J194:J195"/>
    <mergeCell ref="K194:K195"/>
    <mergeCell ref="F171:F173"/>
    <mergeCell ref="I171:I173"/>
    <mergeCell ref="J171:J173"/>
    <mergeCell ref="K171:K173"/>
    <mergeCell ref="F192:F193"/>
    <mergeCell ref="H192:H193"/>
    <mergeCell ref="I192:I193"/>
    <mergeCell ref="J192:J193"/>
    <mergeCell ref="K192:K193"/>
    <mergeCell ref="F198:F199"/>
    <mergeCell ref="H198:H199"/>
    <mergeCell ref="I198:I199"/>
    <mergeCell ref="J198:J199"/>
    <mergeCell ref="K198:K199"/>
    <mergeCell ref="F196:F197"/>
    <mergeCell ref="H196:H197"/>
    <mergeCell ref="I196:I197"/>
    <mergeCell ref="J196:J197"/>
    <mergeCell ref="K196:K197"/>
    <mergeCell ref="J204:J205"/>
    <mergeCell ref="K204:K205"/>
    <mergeCell ref="F202:F203"/>
    <mergeCell ref="H202:H203"/>
    <mergeCell ref="I202:I203"/>
    <mergeCell ref="J202:J203"/>
    <mergeCell ref="K202:K203"/>
    <mergeCell ref="F200:F201"/>
    <mergeCell ref="H200:H201"/>
    <mergeCell ref="I200:I201"/>
    <mergeCell ref="J200:J201"/>
    <mergeCell ref="K200:K201"/>
    <mergeCell ref="K206:K208"/>
    <mergeCell ref="E212:E213"/>
    <mergeCell ref="F212:F213"/>
    <mergeCell ref="I212:I213"/>
    <mergeCell ref="J212:J213"/>
    <mergeCell ref="K212:K213"/>
    <mergeCell ref="E206:E208"/>
    <mergeCell ref="F206:F208"/>
    <mergeCell ref="H206:H208"/>
    <mergeCell ref="I206:I208"/>
    <mergeCell ref="J206:J208"/>
    <mergeCell ref="J222:J224"/>
    <mergeCell ref="K222:K224"/>
    <mergeCell ref="F243:F244"/>
    <mergeCell ref="H243:H244"/>
    <mergeCell ref="I243:I244"/>
    <mergeCell ref="J243:J244"/>
    <mergeCell ref="K243:K244"/>
    <mergeCell ref="K214:K215"/>
    <mergeCell ref="E219:E220"/>
    <mergeCell ref="F219:F220"/>
    <mergeCell ref="I219:I220"/>
    <mergeCell ref="J219:J220"/>
    <mergeCell ref="K219:K220"/>
    <mergeCell ref="E214:E215"/>
    <mergeCell ref="F214:F215"/>
    <mergeCell ref="H214:H215"/>
    <mergeCell ref="I214:I215"/>
    <mergeCell ref="J214:J215"/>
    <mergeCell ref="J249:J250"/>
    <mergeCell ref="K249:K250"/>
    <mergeCell ref="F247:F248"/>
    <mergeCell ref="H247:H248"/>
    <mergeCell ref="I247:I248"/>
    <mergeCell ref="J247:J248"/>
    <mergeCell ref="K247:K248"/>
    <mergeCell ref="F245:F246"/>
    <mergeCell ref="H245:H246"/>
    <mergeCell ref="I245:I246"/>
    <mergeCell ref="J245:J246"/>
    <mergeCell ref="K245:K246"/>
    <mergeCell ref="J255:J256"/>
    <mergeCell ref="K255:K256"/>
    <mergeCell ref="F253:F254"/>
    <mergeCell ref="H253:H254"/>
    <mergeCell ref="I253:I254"/>
    <mergeCell ref="J253:J254"/>
    <mergeCell ref="K253:K254"/>
    <mergeCell ref="F251:F252"/>
    <mergeCell ref="H251:H252"/>
    <mergeCell ref="I251:I252"/>
    <mergeCell ref="J251:J252"/>
    <mergeCell ref="K251:K252"/>
    <mergeCell ref="K257:K259"/>
    <mergeCell ref="E263:E264"/>
    <mergeCell ref="F263:F264"/>
    <mergeCell ref="I263:I264"/>
    <mergeCell ref="J263:J264"/>
    <mergeCell ref="K263:K264"/>
    <mergeCell ref="E257:E259"/>
    <mergeCell ref="F257:F259"/>
    <mergeCell ref="H257:H259"/>
    <mergeCell ref="I257:I259"/>
    <mergeCell ref="J257:J259"/>
    <mergeCell ref="J273:J275"/>
    <mergeCell ref="K273:K275"/>
    <mergeCell ref="F294:F295"/>
    <mergeCell ref="H294:H295"/>
    <mergeCell ref="I294:I295"/>
    <mergeCell ref="J294:J295"/>
    <mergeCell ref="K294:K295"/>
    <mergeCell ref="K265:K266"/>
    <mergeCell ref="E270:E271"/>
    <mergeCell ref="F270:F271"/>
    <mergeCell ref="I270:I271"/>
    <mergeCell ref="J270:J271"/>
    <mergeCell ref="K270:K271"/>
    <mergeCell ref="E265:E266"/>
    <mergeCell ref="F265:F266"/>
    <mergeCell ref="H265:H266"/>
    <mergeCell ref="I265:I266"/>
    <mergeCell ref="J265:J266"/>
    <mergeCell ref="E273:E275"/>
    <mergeCell ref="J300:J301"/>
    <mergeCell ref="K300:K301"/>
    <mergeCell ref="F298:F299"/>
    <mergeCell ref="H298:H299"/>
    <mergeCell ref="I298:I299"/>
    <mergeCell ref="J298:J299"/>
    <mergeCell ref="K298:K299"/>
    <mergeCell ref="F296:F297"/>
    <mergeCell ref="H296:H297"/>
    <mergeCell ref="I296:I297"/>
    <mergeCell ref="J296:J297"/>
    <mergeCell ref="K296:K297"/>
    <mergeCell ref="J306:J307"/>
    <mergeCell ref="K306:K307"/>
    <mergeCell ref="F304:F305"/>
    <mergeCell ref="H304:H305"/>
    <mergeCell ref="I304:I305"/>
    <mergeCell ref="J304:J305"/>
    <mergeCell ref="K304:K305"/>
    <mergeCell ref="F302:F303"/>
    <mergeCell ref="H302:H303"/>
    <mergeCell ref="I302:I303"/>
    <mergeCell ref="J302:J303"/>
    <mergeCell ref="K302:K303"/>
    <mergeCell ref="E69:E71"/>
    <mergeCell ref="E18:E20"/>
    <mergeCell ref="E120:E122"/>
    <mergeCell ref="E171:E173"/>
    <mergeCell ref="E222:E224"/>
    <mergeCell ref="F306:F307"/>
    <mergeCell ref="H306:H307"/>
    <mergeCell ref="I306:I307"/>
    <mergeCell ref="F300:F301"/>
    <mergeCell ref="H300:H301"/>
    <mergeCell ref="I300:I301"/>
    <mergeCell ref="F273:F275"/>
    <mergeCell ref="I273:I275"/>
    <mergeCell ref="F255:F256"/>
    <mergeCell ref="H255:H256"/>
    <mergeCell ref="I255:I256"/>
    <mergeCell ref="F249:F250"/>
    <mergeCell ref="H249:H250"/>
    <mergeCell ref="I249:I250"/>
    <mergeCell ref="F222:F224"/>
    <mergeCell ref="I222:I224"/>
    <mergeCell ref="F204:F205"/>
    <mergeCell ref="H204:H205"/>
    <mergeCell ref="I204:I205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8"/>
  <sheetViews>
    <sheetView workbookViewId="0">
      <selection activeCell="I14" sqref="I14"/>
    </sheetView>
  </sheetViews>
  <sheetFormatPr defaultRowHeight="13.5" x14ac:dyDescent="0.15"/>
  <cols>
    <col min="1" max="1" width="14.75" style="2" bestFit="1" customWidth="1"/>
    <col min="2" max="2" width="15.125" style="2" customWidth="1"/>
    <col min="3" max="3" width="14" style="2" customWidth="1"/>
    <col min="4" max="4" width="13.625" style="2" customWidth="1"/>
    <col min="5" max="5" width="12.5" style="2" customWidth="1"/>
    <col min="6" max="6" width="11.375" style="2" customWidth="1"/>
    <col min="7" max="7" width="16" style="2" bestFit="1" customWidth="1"/>
    <col min="8" max="8" width="18.5" style="2" bestFit="1" customWidth="1"/>
    <col min="9" max="9" width="13.625" style="2" customWidth="1"/>
    <col min="10" max="10" width="16" style="2" customWidth="1"/>
    <col min="11" max="11" width="13.625" style="2" bestFit="1" customWidth="1"/>
    <col min="12" max="16384" width="9" style="2"/>
  </cols>
  <sheetData>
    <row r="1" spans="1:10" x14ac:dyDescent="0.15">
      <c r="A1" s="2" t="s">
        <v>299</v>
      </c>
      <c r="B1" s="2" t="s">
        <v>300</v>
      </c>
      <c r="C1" s="2" t="s">
        <v>301</v>
      </c>
      <c r="D1" s="2" t="s">
        <v>302</v>
      </c>
      <c r="E1" s="2" t="s">
        <v>303</v>
      </c>
      <c r="F1" s="2" t="s">
        <v>304</v>
      </c>
      <c r="G1" s="2" t="s">
        <v>305</v>
      </c>
      <c r="H1" s="2" t="s">
        <v>306</v>
      </c>
      <c r="I1" s="2" t="s">
        <v>307</v>
      </c>
      <c r="J1" s="2" t="s">
        <v>308</v>
      </c>
    </row>
    <row r="2" spans="1:10" x14ac:dyDescent="0.15">
      <c r="A2" s="4" t="s">
        <v>22</v>
      </c>
      <c r="B2" s="3" t="s">
        <v>24</v>
      </c>
      <c r="C2" s="3" t="s">
        <v>107</v>
      </c>
      <c r="D2" s="4">
        <v>2</v>
      </c>
      <c r="E2" s="4">
        <v>1</v>
      </c>
      <c r="F2" s="4">
        <v>3960</v>
      </c>
      <c r="G2" s="4">
        <v>134.64000000000001</v>
      </c>
      <c r="H2" s="4">
        <v>3821.4</v>
      </c>
      <c r="I2" s="4">
        <v>999999861.39999998</v>
      </c>
      <c r="J2" s="4" t="s">
        <v>309</v>
      </c>
    </row>
    <row r="3" spans="1:10" x14ac:dyDescent="0.15">
      <c r="A3" s="28" t="s">
        <v>22</v>
      </c>
      <c r="B3" s="29" t="s">
        <v>29</v>
      </c>
      <c r="C3" s="29" t="s">
        <v>219</v>
      </c>
      <c r="D3" s="28">
        <v>5</v>
      </c>
      <c r="E3" s="28">
        <v>1</v>
      </c>
      <c r="F3" s="28">
        <v>40</v>
      </c>
      <c r="G3" s="28">
        <v>0</v>
      </c>
      <c r="H3" s="28">
        <v>0</v>
      </c>
      <c r="I3" s="28">
        <v>999999821.39999998</v>
      </c>
      <c r="J3" s="28" t="s">
        <v>309</v>
      </c>
    </row>
    <row r="4" spans="1:10" x14ac:dyDescent="0.15">
      <c r="A4" s="28" t="s">
        <v>22</v>
      </c>
      <c r="B4" s="29" t="s">
        <v>34</v>
      </c>
      <c r="C4" s="29" t="s">
        <v>106</v>
      </c>
      <c r="D4" s="28">
        <v>3</v>
      </c>
      <c r="E4" s="28">
        <v>1</v>
      </c>
      <c r="F4" s="28">
        <v>990</v>
      </c>
      <c r="G4" s="28">
        <v>33.558</v>
      </c>
      <c r="H4" s="28">
        <v>955.15499999999997</v>
      </c>
      <c r="I4" s="28">
        <v>999999786.55499995</v>
      </c>
      <c r="J4" s="28" t="s">
        <v>309</v>
      </c>
    </row>
    <row r="5" spans="1:10" x14ac:dyDescent="0.15">
      <c r="A5" s="28" t="s">
        <v>22</v>
      </c>
      <c r="B5" s="29" t="s">
        <v>33</v>
      </c>
      <c r="C5" s="29" t="s">
        <v>221</v>
      </c>
      <c r="D5" s="28">
        <v>4</v>
      </c>
      <c r="E5" s="28">
        <v>1</v>
      </c>
      <c r="F5" s="28">
        <v>32</v>
      </c>
      <c r="G5" s="28">
        <v>0</v>
      </c>
      <c r="H5" s="28">
        <v>0</v>
      </c>
      <c r="I5" s="28">
        <v>999999754.55499995</v>
      </c>
      <c r="J5" s="28" t="s">
        <v>309</v>
      </c>
    </row>
    <row r="6" spans="1:10" x14ac:dyDescent="0.15">
      <c r="A6" s="28" t="s">
        <v>22</v>
      </c>
      <c r="B6" s="29" t="s">
        <v>37</v>
      </c>
      <c r="C6" s="29" t="s">
        <v>286</v>
      </c>
      <c r="D6" s="28">
        <v>2</v>
      </c>
      <c r="E6" s="28">
        <v>1</v>
      </c>
      <c r="F6" s="28">
        <v>180</v>
      </c>
      <c r="G6" s="28">
        <v>0</v>
      </c>
      <c r="H6" s="28">
        <v>0</v>
      </c>
      <c r="I6" s="28">
        <v>999999574.55499995</v>
      </c>
      <c r="J6" s="28" t="s">
        <v>309</v>
      </c>
    </row>
    <row r="7" spans="1:10" x14ac:dyDescent="0.15">
      <c r="A7" s="28" t="s">
        <v>40</v>
      </c>
      <c r="B7" s="29" t="s">
        <v>42</v>
      </c>
      <c r="C7" s="29" t="s">
        <v>287</v>
      </c>
      <c r="D7" s="28">
        <v>5</v>
      </c>
      <c r="E7" s="28">
        <v>1</v>
      </c>
      <c r="F7" s="28">
        <v>1100</v>
      </c>
      <c r="G7" s="28">
        <v>37.4</v>
      </c>
      <c r="H7" s="28">
        <v>1061.5</v>
      </c>
      <c r="I7" s="28">
        <v>999999536.05499995</v>
      </c>
      <c r="J7" s="28" t="s">
        <v>309</v>
      </c>
    </row>
    <row r="8" spans="1:10" x14ac:dyDescent="0.15">
      <c r="A8" s="28" t="s">
        <v>40</v>
      </c>
      <c r="B8" s="29" t="s">
        <v>44</v>
      </c>
      <c r="C8" s="29" t="s">
        <v>223</v>
      </c>
      <c r="D8" s="28">
        <v>3</v>
      </c>
      <c r="E8" s="28">
        <v>1</v>
      </c>
      <c r="F8" s="28">
        <v>30</v>
      </c>
      <c r="G8" s="28">
        <v>0</v>
      </c>
      <c r="H8" s="28">
        <v>0</v>
      </c>
      <c r="I8" s="28">
        <v>999999506.05499995</v>
      </c>
      <c r="J8" s="28" t="s">
        <v>309</v>
      </c>
    </row>
    <row r="9" spans="1:10" x14ac:dyDescent="0.15">
      <c r="A9" s="28" t="s">
        <v>40</v>
      </c>
      <c r="B9" s="29" t="s">
        <v>46</v>
      </c>
      <c r="C9" s="29" t="s">
        <v>106</v>
      </c>
      <c r="D9" s="28">
        <v>1</v>
      </c>
      <c r="E9" s="28">
        <v>1</v>
      </c>
      <c r="F9" s="28">
        <v>110</v>
      </c>
      <c r="G9" s="28">
        <v>3.74</v>
      </c>
      <c r="H9" s="28">
        <v>106.15</v>
      </c>
      <c r="I9" s="28">
        <v>999999502.20499992</v>
      </c>
      <c r="J9" s="28" t="s">
        <v>309</v>
      </c>
    </row>
    <row r="10" spans="1:10" x14ac:dyDescent="0.15">
      <c r="A10" s="28" t="s">
        <v>40</v>
      </c>
      <c r="B10" s="29" t="s">
        <v>50</v>
      </c>
      <c r="C10" s="29" t="s">
        <v>224</v>
      </c>
      <c r="D10" s="28">
        <v>2</v>
      </c>
      <c r="E10" s="28">
        <v>1</v>
      </c>
      <c r="F10" s="28">
        <v>20</v>
      </c>
      <c r="G10" s="28">
        <v>0</v>
      </c>
      <c r="H10" s="28">
        <v>0</v>
      </c>
      <c r="I10" s="28">
        <v>999999482.20499992</v>
      </c>
      <c r="J10" s="28" t="s">
        <v>309</v>
      </c>
    </row>
    <row r="11" spans="1:10" x14ac:dyDescent="0.15">
      <c r="A11" s="28" t="s">
        <v>40</v>
      </c>
      <c r="B11" s="29" t="s">
        <v>48</v>
      </c>
      <c r="C11" s="29" t="s">
        <v>227</v>
      </c>
      <c r="D11" s="28">
        <v>3</v>
      </c>
      <c r="E11" s="28">
        <v>1</v>
      </c>
      <c r="F11" s="28">
        <v>60</v>
      </c>
      <c r="G11" s="28">
        <v>0</v>
      </c>
      <c r="H11" s="28">
        <v>0</v>
      </c>
      <c r="I11" s="28">
        <v>999999422.20499992</v>
      </c>
      <c r="J11" s="28" t="s">
        <v>309</v>
      </c>
    </row>
    <row r="12" spans="1:10" x14ac:dyDescent="0.15">
      <c r="A12" s="28" t="s">
        <v>13</v>
      </c>
      <c r="B12" s="29" t="s">
        <v>57</v>
      </c>
      <c r="C12" s="29" t="s">
        <v>106</v>
      </c>
      <c r="D12" s="28">
        <v>5</v>
      </c>
      <c r="E12" s="28">
        <v>1</v>
      </c>
      <c r="F12" s="28">
        <v>110</v>
      </c>
      <c r="G12" s="28">
        <v>3.57</v>
      </c>
      <c r="H12" s="28">
        <v>105.82499999999999</v>
      </c>
      <c r="I12" s="28">
        <v>999999418.02999997</v>
      </c>
      <c r="J12" s="28" t="s">
        <v>309</v>
      </c>
    </row>
    <row r="13" spans="1:10" x14ac:dyDescent="0.15">
      <c r="A13" s="28" t="s">
        <v>9</v>
      </c>
      <c r="B13" s="29" t="s">
        <v>4</v>
      </c>
      <c r="C13" s="29" t="s">
        <v>107</v>
      </c>
      <c r="D13" s="28">
        <v>2</v>
      </c>
      <c r="E13" s="28">
        <v>1</v>
      </c>
      <c r="F13" s="28">
        <v>132</v>
      </c>
      <c r="G13" s="28">
        <v>4.4880000000000004</v>
      </c>
      <c r="H13" s="28">
        <v>127.38</v>
      </c>
      <c r="I13" s="28">
        <v>999999413.40999997</v>
      </c>
      <c r="J13" s="28" t="s">
        <v>309</v>
      </c>
    </row>
    <row r="14" spans="1:10" x14ac:dyDescent="0.15">
      <c r="A14" s="28" t="s">
        <v>62</v>
      </c>
      <c r="B14" s="29" t="s">
        <v>64</v>
      </c>
      <c r="C14" s="29" t="s">
        <v>215</v>
      </c>
      <c r="D14" s="28">
        <v>5</v>
      </c>
      <c r="E14" s="28">
        <v>1</v>
      </c>
      <c r="F14" s="28">
        <v>60</v>
      </c>
      <c r="G14" s="28">
        <v>1.02</v>
      </c>
      <c r="H14" s="28">
        <v>29.65</v>
      </c>
      <c r="I14" s="28">
        <v>999999383.05999994</v>
      </c>
      <c r="J14" s="28" t="s">
        <v>309</v>
      </c>
    </row>
    <row r="15" spans="1:10" x14ac:dyDescent="0.15">
      <c r="A15" s="28" t="s">
        <v>62</v>
      </c>
      <c r="B15" s="29" t="s">
        <v>67</v>
      </c>
      <c r="C15" s="29" t="s">
        <v>216</v>
      </c>
      <c r="D15" s="28">
        <v>2</v>
      </c>
      <c r="E15" s="28">
        <v>1</v>
      </c>
      <c r="F15" s="28">
        <v>28</v>
      </c>
      <c r="G15" s="28">
        <v>0.67999999999999994</v>
      </c>
      <c r="H15" s="28">
        <v>19.78</v>
      </c>
      <c r="I15" s="28">
        <v>999999374.83999991</v>
      </c>
      <c r="J15" s="28" t="s">
        <v>309</v>
      </c>
    </row>
    <row r="16" spans="1:10" x14ac:dyDescent="0.15">
      <c r="A16" s="28" t="s">
        <v>69</v>
      </c>
      <c r="B16" s="29" t="s">
        <v>71</v>
      </c>
      <c r="C16" s="29" t="s">
        <v>106</v>
      </c>
      <c r="D16" s="28">
        <v>1</v>
      </c>
      <c r="E16" s="28">
        <v>1</v>
      </c>
      <c r="F16" s="28">
        <v>22</v>
      </c>
      <c r="G16" s="28">
        <v>0.67999999999999994</v>
      </c>
      <c r="H16" s="28">
        <v>21.099999999999998</v>
      </c>
      <c r="I16" s="28">
        <v>999999373.93999994</v>
      </c>
      <c r="J16" s="28" t="s">
        <v>309</v>
      </c>
    </row>
    <row r="17" spans="1:10" x14ac:dyDescent="0.15">
      <c r="A17" s="28" t="s">
        <v>69</v>
      </c>
      <c r="B17" s="29" t="s">
        <v>73</v>
      </c>
      <c r="C17" s="29" t="s">
        <v>106</v>
      </c>
      <c r="D17" s="28">
        <v>2</v>
      </c>
      <c r="E17" s="28">
        <v>1</v>
      </c>
      <c r="F17" s="28">
        <v>220</v>
      </c>
      <c r="G17" s="28">
        <v>7.48</v>
      </c>
      <c r="H17" s="28">
        <v>212.3</v>
      </c>
      <c r="I17" s="28">
        <v>999999366.23999989</v>
      </c>
      <c r="J17" s="28" t="s">
        <v>309</v>
      </c>
    </row>
    <row r="18" spans="1:10" x14ac:dyDescent="0.15">
      <c r="A18" s="28" t="s">
        <v>69</v>
      </c>
      <c r="B18" s="29" t="s">
        <v>75</v>
      </c>
      <c r="C18" s="29" t="s">
        <v>106</v>
      </c>
      <c r="D18" s="28">
        <v>3</v>
      </c>
      <c r="E18" s="28">
        <v>1</v>
      </c>
      <c r="F18" s="28">
        <v>990</v>
      </c>
      <c r="G18" s="28">
        <v>33.660000000000004</v>
      </c>
      <c r="H18" s="28">
        <v>955.34999999999991</v>
      </c>
      <c r="I18" s="28">
        <v>999999331.58999991</v>
      </c>
      <c r="J18" s="28" t="s">
        <v>309</v>
      </c>
    </row>
    <row r="19" spans="1:10" x14ac:dyDescent="0.15">
      <c r="A19" s="28" t="s">
        <v>69</v>
      </c>
      <c r="B19" s="29" t="s">
        <v>77</v>
      </c>
      <c r="C19" s="29" t="s">
        <v>106</v>
      </c>
      <c r="D19" s="28">
        <v>5</v>
      </c>
      <c r="E19" s="28">
        <v>1</v>
      </c>
      <c r="F19" s="28">
        <v>3300</v>
      </c>
      <c r="G19" s="28">
        <v>112.20000000000002</v>
      </c>
      <c r="H19" s="28">
        <v>3184.5</v>
      </c>
      <c r="I19" s="28">
        <v>999999216.08999991</v>
      </c>
      <c r="J19" s="28" t="s">
        <v>309</v>
      </c>
    </row>
    <row r="20" spans="1:10" x14ac:dyDescent="0.15">
      <c r="A20" s="28" t="s">
        <v>69</v>
      </c>
      <c r="B20" s="29" t="s">
        <v>79</v>
      </c>
      <c r="C20" s="29" t="s">
        <v>106</v>
      </c>
      <c r="D20" s="28">
        <v>4</v>
      </c>
      <c r="E20" s="28">
        <v>1</v>
      </c>
      <c r="F20" s="28">
        <v>3695.9999999999995</v>
      </c>
      <c r="G20" s="28">
        <v>125.664</v>
      </c>
      <c r="H20" s="28">
        <v>3566.64</v>
      </c>
      <c r="I20" s="28">
        <v>999999086.7299999</v>
      </c>
      <c r="J20" s="28" t="s">
        <v>309</v>
      </c>
    </row>
    <row r="21" spans="1:10" x14ac:dyDescent="0.15">
      <c r="A21" s="28" t="s">
        <v>69</v>
      </c>
      <c r="B21" s="29" t="s">
        <v>81</v>
      </c>
      <c r="C21" s="29" t="s">
        <v>106</v>
      </c>
      <c r="D21" s="28">
        <v>4</v>
      </c>
      <c r="E21" s="28">
        <v>1</v>
      </c>
      <c r="F21" s="28">
        <v>3695.9999999999995</v>
      </c>
      <c r="G21" s="28">
        <v>125.664</v>
      </c>
      <c r="H21" s="28">
        <v>3566.6400000000003</v>
      </c>
      <c r="I21" s="28">
        <v>999998957.36999989</v>
      </c>
      <c r="J21" s="28" t="s">
        <v>309</v>
      </c>
    </row>
    <row r="22" spans="1:10" x14ac:dyDescent="0.15">
      <c r="A22" s="28" t="s">
        <v>69</v>
      </c>
      <c r="B22" s="29" t="s">
        <v>83</v>
      </c>
      <c r="C22" s="29" t="s">
        <v>106</v>
      </c>
      <c r="D22" s="28">
        <v>3</v>
      </c>
      <c r="E22" s="28">
        <v>1</v>
      </c>
      <c r="F22" s="28">
        <v>1980</v>
      </c>
      <c r="G22" s="28">
        <v>67.320000000000007</v>
      </c>
      <c r="H22" s="28">
        <v>1910.7</v>
      </c>
      <c r="I22" s="28">
        <v>999998888.06999993</v>
      </c>
      <c r="J22" s="28" t="s">
        <v>309</v>
      </c>
    </row>
    <row r="23" spans="1:10" x14ac:dyDescent="0.15">
      <c r="A23" s="28" t="s">
        <v>69</v>
      </c>
      <c r="B23" s="29" t="s">
        <v>85</v>
      </c>
      <c r="C23" s="29" t="s">
        <v>106</v>
      </c>
      <c r="D23" s="28">
        <v>3</v>
      </c>
      <c r="E23" s="28">
        <v>1</v>
      </c>
      <c r="F23" s="28">
        <v>990</v>
      </c>
      <c r="G23" s="28">
        <v>32.64</v>
      </c>
      <c r="H23" s="28">
        <v>953.40000000000009</v>
      </c>
      <c r="I23" s="28">
        <v>999998851.46999991</v>
      </c>
      <c r="J23" s="28" t="s">
        <v>309</v>
      </c>
    </row>
    <row r="24" spans="1:10" x14ac:dyDescent="0.15">
      <c r="A24" s="28" t="s">
        <v>95</v>
      </c>
      <c r="B24" s="29" t="s">
        <v>71</v>
      </c>
      <c r="C24" s="29" t="s">
        <v>285</v>
      </c>
      <c r="D24" s="28">
        <v>4</v>
      </c>
      <c r="E24" s="28">
        <v>1</v>
      </c>
      <c r="F24" s="28">
        <v>88</v>
      </c>
      <c r="G24" s="28">
        <v>2.7199999999999998</v>
      </c>
      <c r="H24" s="28">
        <v>84.399999999999991</v>
      </c>
      <c r="I24" s="28">
        <v>999998847.86999989</v>
      </c>
      <c r="J24" s="28" t="s">
        <v>309</v>
      </c>
    </row>
    <row r="25" spans="1:10" x14ac:dyDescent="0.15">
      <c r="A25" s="28" t="s">
        <v>95</v>
      </c>
      <c r="B25" s="29" t="s">
        <v>73</v>
      </c>
      <c r="C25" s="29" t="s">
        <v>288</v>
      </c>
      <c r="D25" s="28">
        <v>5</v>
      </c>
      <c r="E25" s="28">
        <v>1</v>
      </c>
      <c r="F25" s="28">
        <v>50</v>
      </c>
      <c r="G25" s="28">
        <v>0</v>
      </c>
      <c r="H25" s="28">
        <v>0</v>
      </c>
      <c r="I25" s="28">
        <v>999998797.86999989</v>
      </c>
      <c r="J25" s="28" t="s">
        <v>309</v>
      </c>
    </row>
    <row r="26" spans="1:10" x14ac:dyDescent="0.15">
      <c r="A26" s="28" t="s">
        <v>95</v>
      </c>
      <c r="B26" s="29" t="s">
        <v>75</v>
      </c>
      <c r="C26" s="29" t="s">
        <v>289</v>
      </c>
      <c r="D26" s="28">
        <v>5</v>
      </c>
      <c r="E26" s="28">
        <v>1</v>
      </c>
      <c r="F26" s="28">
        <v>40</v>
      </c>
      <c r="G26" s="28">
        <v>0</v>
      </c>
      <c r="H26" s="28">
        <v>0</v>
      </c>
      <c r="I26" s="28">
        <v>999998757.86999989</v>
      </c>
      <c r="J26" s="28" t="s">
        <v>309</v>
      </c>
    </row>
    <row r="27" spans="1:10" x14ac:dyDescent="0.15">
      <c r="A27" s="28" t="s">
        <v>95</v>
      </c>
      <c r="B27" s="29" t="s">
        <v>77</v>
      </c>
      <c r="C27" s="29" t="s">
        <v>290</v>
      </c>
      <c r="D27" s="28">
        <v>5</v>
      </c>
      <c r="E27" s="28">
        <v>1</v>
      </c>
      <c r="F27" s="28">
        <v>30</v>
      </c>
      <c r="G27" s="28">
        <v>0</v>
      </c>
      <c r="H27" s="28">
        <v>0</v>
      </c>
      <c r="I27" s="28">
        <v>999998727.86999989</v>
      </c>
      <c r="J27" s="28" t="s">
        <v>309</v>
      </c>
    </row>
    <row r="28" spans="1:10" x14ac:dyDescent="0.15">
      <c r="A28" s="28" t="s">
        <v>95</v>
      </c>
      <c r="B28" s="29" t="s">
        <v>79</v>
      </c>
      <c r="C28" s="29" t="s">
        <v>239</v>
      </c>
      <c r="D28" s="28">
        <v>8</v>
      </c>
      <c r="E28" s="28">
        <v>1</v>
      </c>
      <c r="F28" s="28">
        <v>32</v>
      </c>
      <c r="G28" s="28">
        <v>0</v>
      </c>
      <c r="H28" s="28">
        <v>0</v>
      </c>
      <c r="I28" s="28">
        <v>999998695.86999989</v>
      </c>
      <c r="J28" s="28" t="s">
        <v>309</v>
      </c>
    </row>
    <row r="29" spans="1:10" x14ac:dyDescent="0.15">
      <c r="A29" s="28" t="s">
        <v>95</v>
      </c>
      <c r="B29" s="29" t="s">
        <v>81</v>
      </c>
      <c r="C29" s="29" t="s">
        <v>240</v>
      </c>
      <c r="D29" s="28">
        <v>2</v>
      </c>
      <c r="E29" s="28">
        <v>1</v>
      </c>
      <c r="F29" s="28">
        <v>8</v>
      </c>
      <c r="G29" s="28">
        <v>0</v>
      </c>
      <c r="H29" s="28">
        <v>0</v>
      </c>
      <c r="I29" s="28">
        <v>999998687.86999989</v>
      </c>
      <c r="J29" s="28" t="s">
        <v>309</v>
      </c>
    </row>
    <row r="30" spans="1:10" x14ac:dyDescent="0.15">
      <c r="A30" s="28" t="s">
        <v>95</v>
      </c>
      <c r="B30" s="29" t="s">
        <v>83</v>
      </c>
      <c r="C30" s="29" t="s">
        <v>291</v>
      </c>
      <c r="D30" s="28">
        <v>2</v>
      </c>
      <c r="E30" s="28">
        <v>1</v>
      </c>
      <c r="F30" s="28">
        <v>8</v>
      </c>
      <c r="G30" s="28">
        <v>0</v>
      </c>
      <c r="H30" s="28">
        <v>0</v>
      </c>
      <c r="I30" s="28">
        <v>999998679.86999989</v>
      </c>
      <c r="J30" s="28" t="s">
        <v>309</v>
      </c>
    </row>
    <row r="31" spans="1:10" x14ac:dyDescent="0.15">
      <c r="A31" s="28" t="s">
        <v>95</v>
      </c>
      <c r="B31" s="29" t="s">
        <v>85</v>
      </c>
      <c r="C31" s="29" t="s">
        <v>292</v>
      </c>
      <c r="D31" s="28">
        <v>3</v>
      </c>
      <c r="E31" s="28">
        <v>1</v>
      </c>
      <c r="F31" s="28">
        <v>12</v>
      </c>
      <c r="G31" s="28">
        <v>0</v>
      </c>
      <c r="H31" s="28">
        <v>0</v>
      </c>
      <c r="I31" s="28">
        <v>999998667.86999989</v>
      </c>
      <c r="J31" s="28" t="s">
        <v>309</v>
      </c>
    </row>
    <row r="32" spans="1:10" x14ac:dyDescent="0.15">
      <c r="A32" s="28" t="s">
        <v>102</v>
      </c>
      <c r="B32" s="29" t="s">
        <v>73</v>
      </c>
      <c r="C32" s="29" t="s">
        <v>227</v>
      </c>
      <c r="D32" s="28">
        <v>1</v>
      </c>
      <c r="E32" s="28">
        <v>1</v>
      </c>
      <c r="F32" s="28">
        <v>20</v>
      </c>
      <c r="G32" s="28">
        <v>0</v>
      </c>
      <c r="H32" s="28">
        <v>0</v>
      </c>
      <c r="I32" s="28">
        <v>999998647.86999989</v>
      </c>
      <c r="J32" s="28" t="s">
        <v>309</v>
      </c>
    </row>
    <row r="33" spans="1:10" x14ac:dyDescent="0.15">
      <c r="A33" s="28" t="s">
        <v>102</v>
      </c>
      <c r="B33" s="29" t="s">
        <v>75</v>
      </c>
      <c r="C33" s="29" t="s">
        <v>293</v>
      </c>
      <c r="D33" s="28">
        <v>3</v>
      </c>
      <c r="E33" s="28">
        <v>1</v>
      </c>
      <c r="F33" s="28">
        <v>270</v>
      </c>
      <c r="G33" s="28">
        <v>0</v>
      </c>
      <c r="H33" s="28">
        <v>0</v>
      </c>
      <c r="I33" s="28">
        <v>999998377.86999989</v>
      </c>
      <c r="J33" s="28" t="s">
        <v>309</v>
      </c>
    </row>
    <row r="34" spans="1:10" x14ac:dyDescent="0.15">
      <c r="A34" s="28" t="s">
        <v>102</v>
      </c>
      <c r="B34" s="29" t="s">
        <v>77</v>
      </c>
      <c r="C34" s="29" t="s">
        <v>294</v>
      </c>
      <c r="D34" s="28">
        <v>4</v>
      </c>
      <c r="E34" s="28">
        <v>1</v>
      </c>
      <c r="F34" s="28">
        <v>960</v>
      </c>
      <c r="G34" s="28">
        <v>0</v>
      </c>
      <c r="H34" s="28">
        <v>0</v>
      </c>
      <c r="I34" s="28">
        <v>999997417.86999989</v>
      </c>
      <c r="J34" s="28" t="s">
        <v>309</v>
      </c>
    </row>
    <row r="35" spans="1:10" x14ac:dyDescent="0.15">
      <c r="A35" s="28" t="s">
        <v>102</v>
      </c>
      <c r="B35" s="29" t="s">
        <v>79</v>
      </c>
      <c r="C35" s="29" t="s">
        <v>295</v>
      </c>
      <c r="D35" s="28">
        <v>5</v>
      </c>
      <c r="E35" s="28">
        <v>1</v>
      </c>
      <c r="F35" s="28">
        <v>2099.9999999999995</v>
      </c>
      <c r="G35" s="28">
        <v>157.07999999999998</v>
      </c>
      <c r="H35" s="28">
        <v>4458.3</v>
      </c>
      <c r="I35" s="28">
        <v>999999776.16999984</v>
      </c>
      <c r="J35" s="28" t="s">
        <v>309</v>
      </c>
    </row>
    <row r="36" spans="1:10" x14ac:dyDescent="0.15">
      <c r="A36" s="28" t="s">
        <v>102</v>
      </c>
      <c r="B36" s="29" t="s">
        <v>81</v>
      </c>
      <c r="C36" s="29" t="s">
        <v>296</v>
      </c>
      <c r="D36" s="28">
        <v>5</v>
      </c>
      <c r="E36" s="28">
        <v>1</v>
      </c>
      <c r="F36" s="28">
        <v>2520</v>
      </c>
      <c r="G36" s="28">
        <v>0</v>
      </c>
      <c r="H36" s="28">
        <v>0</v>
      </c>
      <c r="I36" s="28">
        <v>999997256.16999984</v>
      </c>
      <c r="J36" s="28" t="s">
        <v>309</v>
      </c>
    </row>
    <row r="37" spans="1:10" x14ac:dyDescent="0.15">
      <c r="A37" s="28" t="s">
        <v>102</v>
      </c>
      <c r="B37" s="29" t="s">
        <v>83</v>
      </c>
      <c r="C37" s="29" t="s">
        <v>297</v>
      </c>
      <c r="D37" s="28">
        <v>4</v>
      </c>
      <c r="E37" s="28">
        <v>1</v>
      </c>
      <c r="F37" s="28">
        <v>1679.9999999999998</v>
      </c>
      <c r="G37" s="28">
        <v>89.76</v>
      </c>
      <c r="H37" s="28">
        <v>2547.6</v>
      </c>
      <c r="I37" s="28">
        <v>999998123.76999986</v>
      </c>
      <c r="J37" s="28" t="s">
        <v>309</v>
      </c>
    </row>
    <row r="38" spans="1:10" x14ac:dyDescent="0.15">
      <c r="A38" s="28" t="s">
        <v>102</v>
      </c>
      <c r="B38" s="29" t="s">
        <v>85</v>
      </c>
      <c r="C38" s="29" t="s">
        <v>298</v>
      </c>
      <c r="D38" s="28">
        <v>3</v>
      </c>
      <c r="E38" s="28">
        <v>1</v>
      </c>
      <c r="F38" s="28">
        <v>720</v>
      </c>
      <c r="G38" s="28">
        <v>32.64</v>
      </c>
      <c r="H38" s="28">
        <v>953.40000000000009</v>
      </c>
      <c r="I38" s="28">
        <v>999998357.16999984</v>
      </c>
      <c r="J38" s="28" t="s">
        <v>309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203"/>
  <sheetViews>
    <sheetView topLeftCell="H1" zoomScaleNormal="100" workbookViewId="0">
      <pane ySplit="1" topLeftCell="A2" activePane="bottomLeft" state="frozen"/>
      <selection activeCell="D1" sqref="D1"/>
      <selection pane="bottomLeft" activeCell="J2" sqref="J2"/>
    </sheetView>
  </sheetViews>
  <sheetFormatPr defaultColWidth="9" defaultRowHeight="13.5" x14ac:dyDescent="0.15"/>
  <cols>
    <col min="1" max="1" width="8" style="14" customWidth="1"/>
    <col min="2" max="2" width="6.125" style="14" customWidth="1"/>
    <col min="3" max="3" width="6.5" style="15" customWidth="1"/>
    <col min="4" max="4" width="6.875" style="14" customWidth="1"/>
    <col min="5" max="6" width="7.25" style="14" customWidth="1"/>
    <col min="7" max="7" width="7" style="14" customWidth="1"/>
    <col min="8" max="8" width="7.125" style="14" customWidth="1"/>
    <col min="9" max="9" width="5.375" style="14" customWidth="1"/>
    <col min="10" max="10" width="10.375" style="14" customWidth="1"/>
    <col min="11" max="11" width="4.75" style="14" customWidth="1"/>
    <col min="12" max="12" width="17.875" style="14" customWidth="1"/>
    <col min="13" max="13" width="12.875" style="14" customWidth="1"/>
    <col min="14" max="14" width="13.25" style="14" customWidth="1"/>
    <col min="15" max="15" width="14.625" style="14" customWidth="1"/>
    <col min="16" max="16" width="12.875" style="14" customWidth="1"/>
    <col min="17" max="17" width="11" style="14" customWidth="1"/>
    <col min="18" max="19" width="11.25" style="14" customWidth="1"/>
    <col min="20" max="20" width="13.25" style="14" customWidth="1"/>
    <col min="21" max="23" width="9" style="14"/>
    <col min="24" max="24" width="11.125" style="14" customWidth="1"/>
    <col min="25" max="27" width="9" style="14"/>
    <col min="28" max="28" width="10.875" style="14" customWidth="1"/>
    <col min="29" max="16384" width="9" style="14"/>
  </cols>
  <sheetData>
    <row r="1" spans="1:29" x14ac:dyDescent="0.15">
      <c r="A1" s="12" t="s">
        <v>149</v>
      </c>
      <c r="B1" s="13" t="s">
        <v>150</v>
      </c>
      <c r="C1" s="13" t="s">
        <v>151</v>
      </c>
      <c r="D1" s="102" t="s">
        <v>152</v>
      </c>
      <c r="E1" s="102"/>
      <c r="F1" s="102" t="s">
        <v>153</v>
      </c>
      <c r="G1" s="102"/>
      <c r="H1" s="102" t="s">
        <v>116</v>
      </c>
      <c r="I1" s="102"/>
      <c r="J1" s="12" t="s">
        <v>154</v>
      </c>
      <c r="K1" s="12"/>
      <c r="Q1" s="12" t="s">
        <v>149</v>
      </c>
      <c r="R1" s="13" t="s">
        <v>150</v>
      </c>
      <c r="S1" s="13" t="s">
        <v>151</v>
      </c>
      <c r="T1" s="102" t="s">
        <v>115</v>
      </c>
      <c r="U1" s="102"/>
      <c r="V1" s="102" t="s">
        <v>153</v>
      </c>
      <c r="W1" s="102"/>
      <c r="X1" s="102"/>
      <c r="Y1" s="102"/>
      <c r="Z1" s="102" t="s">
        <v>155</v>
      </c>
      <c r="AA1" s="102"/>
      <c r="AB1" s="102"/>
      <c r="AC1" s="102"/>
    </row>
    <row r="2" spans="1:29" x14ac:dyDescent="0.15">
      <c r="A2" s="14">
        <v>1</v>
      </c>
      <c r="B2" s="14">
        <v>9.9</v>
      </c>
      <c r="C2" s="15">
        <v>9.9</v>
      </c>
      <c r="D2" s="12">
        <v>7001</v>
      </c>
      <c r="E2" s="14">
        <f t="shared" ref="E2:E65" si="0">C2</f>
        <v>9.9</v>
      </c>
      <c r="F2" s="12">
        <v>8001</v>
      </c>
      <c r="G2" s="14">
        <f t="shared" ref="G2:G65" si="1">$E2-0.1</f>
        <v>9.8000000000000007</v>
      </c>
      <c r="H2" s="12">
        <v>9001</v>
      </c>
      <c r="I2" s="14">
        <f t="shared" ref="I2:I65" si="2">$E2-0.2</f>
        <v>9.7000000000000011</v>
      </c>
      <c r="J2" s="14">
        <v>151</v>
      </c>
      <c r="L2" s="12" t="s">
        <v>117</v>
      </c>
      <c r="P2" s="14">
        <v>15196685175</v>
      </c>
      <c r="Q2" s="14">
        <v>82</v>
      </c>
      <c r="R2" s="14" t="s">
        <v>156</v>
      </c>
      <c r="S2" s="14">
        <v>9.9</v>
      </c>
      <c r="T2" s="16">
        <v>1697265</v>
      </c>
      <c r="U2" s="14">
        <f t="shared" ref="U2:U14" si="3">S2</f>
        <v>9.9</v>
      </c>
      <c r="X2" s="16">
        <v>1170912</v>
      </c>
      <c r="Y2" s="14">
        <f>U2-0.3</f>
        <v>9.6</v>
      </c>
      <c r="AB2" s="16">
        <v>1171951</v>
      </c>
      <c r="AC2" s="14">
        <f>U2-0.5</f>
        <v>9.4</v>
      </c>
    </row>
    <row r="3" spans="1:29" x14ac:dyDescent="0.15">
      <c r="A3" s="14">
        <v>2</v>
      </c>
      <c r="B3" s="14">
        <f>F2</f>
        <v>8001</v>
      </c>
      <c r="C3" s="15">
        <f>G2</f>
        <v>9.8000000000000007</v>
      </c>
      <c r="D3" s="12">
        <v>7002</v>
      </c>
      <c r="E3" s="14">
        <f t="shared" si="0"/>
        <v>9.8000000000000007</v>
      </c>
      <c r="F3" s="12">
        <v>8002</v>
      </c>
      <c r="G3" s="14">
        <f t="shared" si="1"/>
        <v>9.7000000000000011</v>
      </c>
      <c r="H3" s="12">
        <v>9002</v>
      </c>
      <c r="I3" s="14">
        <f t="shared" si="2"/>
        <v>9.6000000000000014</v>
      </c>
      <c r="L3" s="12">
        <f>INDEX(Q$2:AC$48,MATCH(J2,Q:Q)-1,3)</f>
        <v>6.5</v>
      </c>
      <c r="P3" s="14" t="s">
        <v>228</v>
      </c>
      <c r="Q3" s="14">
        <v>140</v>
      </c>
      <c r="R3" s="14">
        <f>X2</f>
        <v>1170912</v>
      </c>
      <c r="S3" s="14">
        <f>Y2</f>
        <v>9.6</v>
      </c>
      <c r="T3" s="16">
        <v>1172987</v>
      </c>
      <c r="U3" s="14">
        <f t="shared" si="3"/>
        <v>9.6</v>
      </c>
      <c r="V3" s="14">
        <v>1330921</v>
      </c>
      <c r="W3" s="14">
        <v>6.5</v>
      </c>
      <c r="X3" s="16">
        <v>1176952</v>
      </c>
      <c r="Y3" s="14">
        <f>U3-0.4</f>
        <v>9.1999999999999993</v>
      </c>
      <c r="Z3" s="16">
        <v>1331915</v>
      </c>
      <c r="AA3" s="14">
        <v>6.5</v>
      </c>
      <c r="AC3" s="14">
        <f>U3-0.3</f>
        <v>9.2999999999999989</v>
      </c>
    </row>
    <row r="4" spans="1:29" x14ac:dyDescent="0.15">
      <c r="A4" s="14">
        <v>3</v>
      </c>
      <c r="B4" s="14">
        <f>H2</f>
        <v>9001</v>
      </c>
      <c r="C4" s="15">
        <f>I2</f>
        <v>9.7000000000000011</v>
      </c>
      <c r="D4" s="12">
        <v>7003</v>
      </c>
      <c r="E4" s="14">
        <f t="shared" si="0"/>
        <v>9.7000000000000011</v>
      </c>
      <c r="F4" s="12">
        <v>8003</v>
      </c>
      <c r="G4" s="14">
        <f t="shared" si="1"/>
        <v>9.6000000000000014</v>
      </c>
      <c r="H4" s="12">
        <v>9003</v>
      </c>
      <c r="I4" s="14">
        <f t="shared" si="2"/>
        <v>9.5000000000000018</v>
      </c>
      <c r="P4" s="14" t="s">
        <v>229</v>
      </c>
      <c r="Q4" s="14">
        <v>143</v>
      </c>
      <c r="R4" s="14">
        <f t="shared" ref="R4:S14" si="4">X3</f>
        <v>1176952</v>
      </c>
      <c r="S4" s="14">
        <f t="shared" si="4"/>
        <v>9.1999999999999993</v>
      </c>
      <c r="T4" s="16"/>
      <c r="U4" s="14">
        <f t="shared" si="3"/>
        <v>9.1999999999999993</v>
      </c>
      <c r="V4" s="14">
        <v>1332962</v>
      </c>
      <c r="W4" s="14">
        <v>6.5</v>
      </c>
      <c r="X4" s="16">
        <v>1200960</v>
      </c>
      <c r="Y4" s="14">
        <f>U4-0.3</f>
        <v>8.8999999999999986</v>
      </c>
      <c r="Z4" s="14">
        <v>1333967</v>
      </c>
      <c r="AA4" s="14">
        <v>6.5</v>
      </c>
      <c r="AB4" s="16"/>
      <c r="AC4" s="14">
        <f>U4-0.3</f>
        <v>8.8999999999999986</v>
      </c>
    </row>
    <row r="5" spans="1:29" x14ac:dyDescent="0.15">
      <c r="A5" s="14">
        <v>4</v>
      </c>
      <c r="B5" s="14">
        <f>F3</f>
        <v>8002</v>
      </c>
      <c r="C5" s="15">
        <f>G3</f>
        <v>9.7000000000000011</v>
      </c>
      <c r="D5" s="12">
        <v>7004</v>
      </c>
      <c r="E5" s="14">
        <f t="shared" si="0"/>
        <v>9.7000000000000011</v>
      </c>
      <c r="F5" s="12">
        <v>8004</v>
      </c>
      <c r="G5" s="14">
        <f t="shared" si="1"/>
        <v>9.6000000000000014</v>
      </c>
      <c r="H5" s="12">
        <v>9004</v>
      </c>
      <c r="I5" s="14">
        <f t="shared" si="2"/>
        <v>9.5000000000000018</v>
      </c>
      <c r="L5" s="12" t="s">
        <v>157</v>
      </c>
      <c r="M5" s="12" t="s">
        <v>158</v>
      </c>
      <c r="N5" s="12" t="s">
        <v>159</v>
      </c>
      <c r="O5" s="12" t="s">
        <v>160</v>
      </c>
      <c r="P5" s="14" t="s">
        <v>230</v>
      </c>
      <c r="Q5" s="14">
        <v>144</v>
      </c>
      <c r="R5" s="14">
        <f t="shared" si="4"/>
        <v>1200960</v>
      </c>
      <c r="S5" s="14">
        <f t="shared" si="4"/>
        <v>8.8999999999999986</v>
      </c>
      <c r="T5" s="16"/>
      <c r="U5" s="14">
        <f t="shared" si="3"/>
        <v>8.8999999999999986</v>
      </c>
      <c r="V5" s="14">
        <v>1334925</v>
      </c>
      <c r="W5" s="14">
        <v>6.5</v>
      </c>
      <c r="X5" s="16">
        <v>1202928</v>
      </c>
      <c r="Y5" s="14">
        <f>U5-0.7</f>
        <v>8.1999999999999993</v>
      </c>
      <c r="Z5" s="14">
        <v>1335900</v>
      </c>
      <c r="AA5" s="14">
        <v>6.5</v>
      </c>
      <c r="AB5" s="16"/>
      <c r="AC5" s="14">
        <f>U5-0.5</f>
        <v>8.3999999999999986</v>
      </c>
    </row>
    <row r="6" spans="1:29" x14ac:dyDescent="0.15">
      <c r="A6" s="14">
        <v>5</v>
      </c>
      <c r="B6" s="14">
        <f>H3</f>
        <v>9002</v>
      </c>
      <c r="C6" s="15">
        <f>I3</f>
        <v>9.6000000000000014</v>
      </c>
      <c r="D6" s="12">
        <v>7005</v>
      </c>
      <c r="E6" s="14">
        <f t="shared" si="0"/>
        <v>9.6000000000000014</v>
      </c>
      <c r="F6" s="12">
        <v>8005</v>
      </c>
      <c r="G6" s="14">
        <f t="shared" si="1"/>
        <v>9.5000000000000018</v>
      </c>
      <c r="H6" s="12">
        <v>9005</v>
      </c>
      <c r="I6" s="14">
        <f t="shared" si="2"/>
        <v>9.4000000000000021</v>
      </c>
      <c r="L6" s="14">
        <f>IF(ISNUMBER(INDEX(Q$2:AC$48,MATCH(J2,Q:Q)-1,2)),INDEX(Q$2:AC$48,MATCH(J2,Q:Q)-1,2),"没有上级")</f>
        <v>1216992</v>
      </c>
      <c r="M6" s="16">
        <f>IF(ISNUMBER(INT(L6)),IF(OR(AND(J2&lt;=Q12,J2&gt;Q2),AND(J2&lt;Q39,J2&gt;Q29)),INDEX(Q$2:AC$48,MATCH(L6,X:X,0)-1,1),IF(OR(J2=Q2,J2=Q29),"没有上级",INDEX(Q$2:AC$48,MATCH(L6,AB:AB,0)-1,1))),"没有上级")</f>
        <v>150</v>
      </c>
      <c r="N6" s="14">
        <f>IF(ISNUMBER(INDEX(Q$2:AC$48,MATCH(M6,$Q:$Q)-1,3)),INDEX(Q$2:AC$48,MATCH(M6,$Q:$Q)-1,3),"没有上级")</f>
        <v>6.6</v>
      </c>
      <c r="O6" s="14">
        <f>IF(ISNUMBER(N6-L3),ROUND((N6-L3)*10,0),"没有上级")</f>
        <v>1</v>
      </c>
      <c r="P6" s="14" t="s">
        <v>231</v>
      </c>
      <c r="Q6" s="14">
        <v>145</v>
      </c>
      <c r="R6" s="14">
        <f t="shared" si="4"/>
        <v>1202928</v>
      </c>
      <c r="S6" s="14">
        <f t="shared" si="4"/>
        <v>8.1999999999999993</v>
      </c>
      <c r="T6" s="16"/>
      <c r="U6" s="14">
        <f t="shared" si="3"/>
        <v>8.1999999999999993</v>
      </c>
      <c r="V6" s="14">
        <v>1336965</v>
      </c>
      <c r="W6" s="14">
        <v>6.5</v>
      </c>
      <c r="X6" s="16">
        <v>1204995</v>
      </c>
      <c r="Y6" s="14">
        <f>U6-0.1</f>
        <v>8.1</v>
      </c>
      <c r="Z6" s="14">
        <v>1337946</v>
      </c>
      <c r="AA6" s="14">
        <v>6.5</v>
      </c>
      <c r="AB6" s="16"/>
      <c r="AC6" s="14">
        <f>U6-0.3</f>
        <v>7.8999999999999995</v>
      </c>
    </row>
    <row r="7" spans="1:29" x14ac:dyDescent="0.15">
      <c r="A7" s="14">
        <v>6</v>
      </c>
      <c r="B7" s="14">
        <f>F4</f>
        <v>8003</v>
      </c>
      <c r="C7" s="15">
        <f>G4</f>
        <v>9.6000000000000014</v>
      </c>
      <c r="D7" s="12">
        <v>7006</v>
      </c>
      <c r="E7" s="14">
        <f t="shared" si="0"/>
        <v>9.6000000000000014</v>
      </c>
      <c r="F7" s="12">
        <v>8006</v>
      </c>
      <c r="G7" s="14">
        <f t="shared" si="1"/>
        <v>9.5000000000000018</v>
      </c>
      <c r="H7" s="12">
        <v>9006</v>
      </c>
      <c r="I7" s="14">
        <f t="shared" si="2"/>
        <v>9.4000000000000021</v>
      </c>
      <c r="P7" s="14" t="s">
        <v>232</v>
      </c>
      <c r="Q7" s="14">
        <v>146</v>
      </c>
      <c r="R7" s="14">
        <f t="shared" si="4"/>
        <v>1204995</v>
      </c>
      <c r="S7" s="14">
        <f t="shared" si="4"/>
        <v>8.1</v>
      </c>
      <c r="T7" s="16"/>
      <c r="U7" s="14">
        <f t="shared" si="3"/>
        <v>8.1</v>
      </c>
      <c r="V7" s="14">
        <v>1340950</v>
      </c>
      <c r="W7" s="14">
        <v>6.5</v>
      </c>
      <c r="X7" s="16">
        <v>1206981</v>
      </c>
      <c r="Y7" s="14">
        <f>U7-0.3</f>
        <v>7.8</v>
      </c>
      <c r="Z7" s="14">
        <v>1341951</v>
      </c>
      <c r="AA7" s="14">
        <v>6.5</v>
      </c>
      <c r="AB7" s="16"/>
      <c r="AC7" s="14">
        <f>U7-0.4</f>
        <v>7.6999999999999993</v>
      </c>
    </row>
    <row r="8" spans="1:29" x14ac:dyDescent="0.15">
      <c r="A8" s="14">
        <v>7</v>
      </c>
      <c r="B8" s="14">
        <f>F5</f>
        <v>8004</v>
      </c>
      <c r="C8" s="15">
        <f>G5</f>
        <v>9.6000000000000014</v>
      </c>
      <c r="D8" s="12">
        <v>7007</v>
      </c>
      <c r="E8" s="14">
        <f t="shared" si="0"/>
        <v>9.6000000000000014</v>
      </c>
      <c r="F8" s="12">
        <v>8007</v>
      </c>
      <c r="G8" s="14">
        <f t="shared" si="1"/>
        <v>9.5000000000000018</v>
      </c>
      <c r="H8" s="12">
        <v>9007</v>
      </c>
      <c r="I8" s="14">
        <f t="shared" si="2"/>
        <v>9.4000000000000021</v>
      </c>
      <c r="L8" s="12" t="s">
        <v>118</v>
      </c>
      <c r="M8" s="12" t="s">
        <v>161</v>
      </c>
      <c r="N8" s="12" t="s">
        <v>162</v>
      </c>
      <c r="O8" s="14" t="s">
        <v>201</v>
      </c>
      <c r="P8" s="14" t="s">
        <v>233</v>
      </c>
      <c r="Q8" s="14">
        <v>147</v>
      </c>
      <c r="R8" s="14">
        <f t="shared" si="4"/>
        <v>1206981</v>
      </c>
      <c r="S8" s="14">
        <f t="shared" si="4"/>
        <v>7.8</v>
      </c>
      <c r="T8" s="16"/>
      <c r="U8" s="14">
        <f t="shared" si="3"/>
        <v>7.8</v>
      </c>
      <c r="W8" s="14">
        <v>6.5</v>
      </c>
      <c r="X8" s="16">
        <v>1210988</v>
      </c>
      <c r="Y8" s="14">
        <f>U8-0.4</f>
        <v>7.3999999999999995</v>
      </c>
      <c r="AA8" s="14">
        <v>6.5</v>
      </c>
      <c r="AB8" s="16"/>
      <c r="AC8" s="14">
        <f>U8-0.2</f>
        <v>7.6</v>
      </c>
    </row>
    <row r="9" spans="1:29" x14ac:dyDescent="0.15">
      <c r="A9" s="14">
        <v>8</v>
      </c>
      <c r="B9" s="14">
        <f>H5</f>
        <v>9004</v>
      </c>
      <c r="C9" s="15">
        <f>I5</f>
        <v>9.5000000000000018</v>
      </c>
      <c r="D9" s="12">
        <v>7008</v>
      </c>
      <c r="E9" s="14">
        <f t="shared" si="0"/>
        <v>9.5000000000000018</v>
      </c>
      <c r="F9" s="12">
        <v>8008</v>
      </c>
      <c r="G9" s="14">
        <f t="shared" si="1"/>
        <v>9.4000000000000021</v>
      </c>
      <c r="H9" s="12">
        <v>9008</v>
      </c>
      <c r="I9" s="14">
        <f t="shared" si="2"/>
        <v>9.3000000000000025</v>
      </c>
      <c r="L9" s="14">
        <f>IF(ISNUMBER(INDEX(Q$2:AC$48,MATCH(M6,Q:Q)-1,2)),INDEX(Q$2:AC$48,MATCH(M6,Q:Q)-1,2),"没有上级")</f>
        <v>1214993</v>
      </c>
      <c r="M9" s="16">
        <f>IF(ISNUMBER(INT(L9)),IF(OR(AND(M6&lt;=Q$12,M6&gt;Q$2),AND(M6&lt;Q$39,M6&gt;Q$29)),INDEX(Q$2:AC$48,MATCH(L9,X:X,0)-1,1),IF(OR(M6=Q$2,M6=Q$29),"没有上级",INDEX(Q$2:AC$48,MATCH(L9,AB:AB,0)-1,1))),"没有上级")</f>
        <v>149</v>
      </c>
      <c r="N9" s="14">
        <f>IF(ISNUMBER(INDEX(Q$2:AC$48,MATCH(M9,$Q:$Q)-1,3)),INDEX(Q$2:AC$48,MATCH(M9,$Q:$Q)-1,3),"没有上级")</f>
        <v>7.1999999999999993</v>
      </c>
      <c r="O9" s="14">
        <f>IF(ISNUMBER(N9-N6),ROUND((N9-N6)*10,0),"没有上级")</f>
        <v>6</v>
      </c>
      <c r="P9" s="14" t="s">
        <v>234</v>
      </c>
      <c r="Q9" s="14">
        <v>148</v>
      </c>
      <c r="R9" s="14">
        <f t="shared" si="4"/>
        <v>1210988</v>
      </c>
      <c r="S9" s="14">
        <f t="shared" si="4"/>
        <v>7.3999999999999995</v>
      </c>
      <c r="T9" s="16"/>
      <c r="U9" s="14">
        <f t="shared" si="3"/>
        <v>7.3999999999999995</v>
      </c>
      <c r="W9" s="14">
        <v>6.5</v>
      </c>
      <c r="X9" s="16">
        <v>1212942</v>
      </c>
      <c r="Y9" s="14">
        <f>U9-0.2</f>
        <v>7.1999999999999993</v>
      </c>
      <c r="AA9" s="14">
        <v>6.5</v>
      </c>
      <c r="AB9" s="16"/>
      <c r="AC9" s="14">
        <f>U9-0.1</f>
        <v>7.3</v>
      </c>
    </row>
    <row r="10" spans="1:29" x14ac:dyDescent="0.15">
      <c r="A10" s="14">
        <v>9</v>
      </c>
      <c r="B10" s="14">
        <f>F6</f>
        <v>8005</v>
      </c>
      <c r="C10" s="15">
        <f>G6</f>
        <v>9.5000000000000018</v>
      </c>
      <c r="D10" s="12">
        <v>7009</v>
      </c>
      <c r="E10" s="14">
        <f t="shared" si="0"/>
        <v>9.5000000000000018</v>
      </c>
      <c r="F10" s="12">
        <v>8009</v>
      </c>
      <c r="G10" s="14">
        <f t="shared" si="1"/>
        <v>9.4000000000000021</v>
      </c>
      <c r="H10" s="12">
        <v>9009</v>
      </c>
      <c r="I10" s="14">
        <f t="shared" si="2"/>
        <v>9.3000000000000025</v>
      </c>
      <c r="P10" s="14" t="s">
        <v>235</v>
      </c>
      <c r="Q10" s="14">
        <v>149</v>
      </c>
      <c r="R10" s="14">
        <f t="shared" si="4"/>
        <v>1212942</v>
      </c>
      <c r="S10" s="14">
        <f t="shared" si="4"/>
        <v>7.1999999999999993</v>
      </c>
      <c r="T10" s="16"/>
      <c r="U10" s="14">
        <f t="shared" si="3"/>
        <v>7.1999999999999993</v>
      </c>
      <c r="W10" s="14">
        <v>6.5</v>
      </c>
      <c r="X10" s="16">
        <v>1214993</v>
      </c>
      <c r="Y10" s="14">
        <f>U10-0.6</f>
        <v>6.6</v>
      </c>
      <c r="AA10" s="14">
        <v>6.5</v>
      </c>
      <c r="AB10" s="16"/>
      <c r="AC10" s="14">
        <f>U10-0.2</f>
        <v>6.9999999999999991</v>
      </c>
    </row>
    <row r="11" spans="1:29" x14ac:dyDescent="0.15">
      <c r="A11" s="14">
        <v>10</v>
      </c>
      <c r="B11" s="14">
        <f>D7</f>
        <v>7006</v>
      </c>
      <c r="C11" s="15">
        <f>E7</f>
        <v>9.6000000000000014</v>
      </c>
      <c r="D11" s="12">
        <v>7010</v>
      </c>
      <c r="E11" s="14">
        <f t="shared" si="0"/>
        <v>9.6000000000000014</v>
      </c>
      <c r="F11" s="12">
        <v>8010</v>
      </c>
      <c r="G11" s="14">
        <f t="shared" si="1"/>
        <v>9.5000000000000018</v>
      </c>
      <c r="H11" s="12">
        <v>9010</v>
      </c>
      <c r="I11" s="14">
        <f t="shared" si="2"/>
        <v>9.4000000000000021</v>
      </c>
      <c r="L11" s="12" t="s">
        <v>163</v>
      </c>
      <c r="M11" s="12" t="s">
        <v>164</v>
      </c>
      <c r="N11" s="12" t="s">
        <v>165</v>
      </c>
      <c r="O11" s="14" t="s">
        <v>202</v>
      </c>
      <c r="P11" s="14" t="s">
        <v>236</v>
      </c>
      <c r="Q11" s="14">
        <v>150</v>
      </c>
      <c r="R11" s="14">
        <f t="shared" si="4"/>
        <v>1214993</v>
      </c>
      <c r="S11" s="14">
        <f t="shared" si="4"/>
        <v>6.6</v>
      </c>
      <c r="T11" s="16"/>
      <c r="U11" s="14">
        <f t="shared" si="3"/>
        <v>6.6</v>
      </c>
      <c r="W11" s="14">
        <v>6.5</v>
      </c>
      <c r="X11" s="16">
        <v>1216992</v>
      </c>
      <c r="Y11" s="14">
        <f>U11-0.1</f>
        <v>6.5</v>
      </c>
      <c r="AA11" s="14">
        <v>6.5</v>
      </c>
      <c r="AB11" s="16"/>
      <c r="AC11" s="14">
        <f>U11-0.3</f>
        <v>6.3</v>
      </c>
    </row>
    <row r="12" spans="1:29" x14ac:dyDescent="0.15">
      <c r="A12" s="14">
        <v>11</v>
      </c>
      <c r="B12" s="14">
        <f>F7</f>
        <v>8006</v>
      </c>
      <c r="C12" s="15">
        <f>G7</f>
        <v>9.5000000000000018</v>
      </c>
      <c r="D12" s="12">
        <v>7011</v>
      </c>
      <c r="E12" s="14">
        <f t="shared" si="0"/>
        <v>9.5000000000000018</v>
      </c>
      <c r="F12" s="12">
        <v>8011</v>
      </c>
      <c r="G12" s="14">
        <f t="shared" si="1"/>
        <v>9.4000000000000021</v>
      </c>
      <c r="H12" s="12">
        <v>9011</v>
      </c>
      <c r="I12" s="14">
        <f t="shared" si="2"/>
        <v>9.3000000000000025</v>
      </c>
      <c r="L12" s="14">
        <f>IF(ISNUMBER(INDEX(Q$2:AC$48,MATCH(M9,Q:Q)-1,2)),INDEX(Q$2:AC$48,MATCH(M9,Q:Q)-1,2),"没有上级")</f>
        <v>1212942</v>
      </c>
      <c r="M12" s="16">
        <f>IF(ISNUMBER(INT(L12)),IF(OR(AND(M9&lt;=Q$12,M9&gt;Q$2),AND(M9&lt;Q$39,M9&gt;Q$29)),INDEX(Q$2:AC$48,MATCH(L12,X:X,0)-1,1),IF(OR(M9=Q$2,M9=Q$29),"没有上级",INDEX(Q$2:AC$48,MATCH(L12,AB:AB,0)-1,1))),"没有上级")</f>
        <v>148</v>
      </c>
      <c r="N12" s="14">
        <f>IF(ISNUMBER(INDEX(Q$2:AC$48,MATCH(M12,$Q:$Q)-1,3)),INDEX(Q$2:AC$48,MATCH(M12,$Q:$Q)-1,3),"没有上级")</f>
        <v>7.3999999999999995</v>
      </c>
      <c r="O12" s="14">
        <f>IF(ISNUMBER(N12-N9),ROUND((N12-N9)*10,0),"没有上级")</f>
        <v>2</v>
      </c>
      <c r="P12" s="14" t="s">
        <v>237</v>
      </c>
      <c r="Q12" s="14">
        <v>151</v>
      </c>
      <c r="R12" s="14">
        <f t="shared" si="4"/>
        <v>1216992</v>
      </c>
      <c r="S12" s="14">
        <f t="shared" si="4"/>
        <v>6.5</v>
      </c>
      <c r="T12" s="16"/>
      <c r="U12" s="14">
        <f t="shared" si="3"/>
        <v>6.5</v>
      </c>
      <c r="W12" s="14">
        <v>6.5</v>
      </c>
      <c r="X12" s="16"/>
      <c r="Y12" s="14">
        <f>U12-0.4</f>
        <v>6.1</v>
      </c>
      <c r="AA12" s="14">
        <v>6.5</v>
      </c>
      <c r="AB12" s="16"/>
      <c r="AC12" s="14">
        <f>U12-0.4</f>
        <v>6.1</v>
      </c>
    </row>
    <row r="13" spans="1:29" x14ac:dyDescent="0.15">
      <c r="A13" s="14">
        <v>12</v>
      </c>
      <c r="B13" s="14">
        <f>H7</f>
        <v>9006</v>
      </c>
      <c r="C13" s="15">
        <f>I7</f>
        <v>9.4000000000000021</v>
      </c>
      <c r="D13" s="12">
        <v>7012</v>
      </c>
      <c r="E13" s="14">
        <f t="shared" si="0"/>
        <v>9.4000000000000021</v>
      </c>
      <c r="F13" s="12">
        <v>8012</v>
      </c>
      <c r="G13" s="14">
        <f t="shared" si="1"/>
        <v>9.3000000000000025</v>
      </c>
      <c r="H13" s="12">
        <v>9012</v>
      </c>
      <c r="I13" s="14">
        <f t="shared" si="2"/>
        <v>9.2000000000000028</v>
      </c>
      <c r="P13" s="14" t="s">
        <v>252</v>
      </c>
      <c r="Q13" s="14">
        <v>194</v>
      </c>
      <c r="R13" s="14">
        <f t="shared" si="4"/>
        <v>0</v>
      </c>
      <c r="S13" s="14">
        <f t="shared" si="4"/>
        <v>6.1</v>
      </c>
      <c r="T13" s="16"/>
      <c r="U13" s="14">
        <f t="shared" si="3"/>
        <v>6.1</v>
      </c>
      <c r="X13" s="16"/>
      <c r="Y13" s="14">
        <f>U13-0.3</f>
        <v>5.8</v>
      </c>
      <c r="AB13" s="16"/>
      <c r="AC13" s="14">
        <f>U13-0.2</f>
        <v>5.8999999999999995</v>
      </c>
    </row>
    <row r="14" spans="1:29" x14ac:dyDescent="0.15">
      <c r="A14" s="14">
        <v>13</v>
      </c>
      <c r="B14" s="14">
        <f>F8</f>
        <v>8007</v>
      </c>
      <c r="C14" s="15">
        <f>G8</f>
        <v>9.5000000000000018</v>
      </c>
      <c r="D14" s="12">
        <v>7013</v>
      </c>
      <c r="E14" s="14">
        <f t="shared" si="0"/>
        <v>9.5000000000000018</v>
      </c>
      <c r="F14" s="12">
        <v>8013</v>
      </c>
      <c r="G14" s="14">
        <f t="shared" si="1"/>
        <v>9.4000000000000021</v>
      </c>
      <c r="H14" s="12">
        <v>9013</v>
      </c>
      <c r="I14" s="14">
        <f t="shared" si="2"/>
        <v>9.3000000000000025</v>
      </c>
      <c r="L14" s="12" t="s">
        <v>119</v>
      </c>
      <c r="M14" s="12" t="s">
        <v>166</v>
      </c>
      <c r="N14" s="12" t="s">
        <v>167</v>
      </c>
      <c r="O14" s="14" t="s">
        <v>203</v>
      </c>
      <c r="P14" s="14">
        <v>15196685187</v>
      </c>
      <c r="R14" s="14">
        <f t="shared" si="4"/>
        <v>0</v>
      </c>
      <c r="S14" s="14">
        <f t="shared" si="4"/>
        <v>5.8</v>
      </c>
      <c r="T14" s="16"/>
      <c r="U14" s="14">
        <f t="shared" si="3"/>
        <v>5.8</v>
      </c>
      <c r="X14" s="16"/>
      <c r="Y14" s="14">
        <f>U14-0.2</f>
        <v>5.6</v>
      </c>
      <c r="AB14" s="16"/>
      <c r="AC14" s="14">
        <f>U14-0.1</f>
        <v>5.7</v>
      </c>
    </row>
    <row r="15" spans="1:29" x14ac:dyDescent="0.15">
      <c r="A15" s="14">
        <v>14</v>
      </c>
      <c r="B15" s="14">
        <f>H8</f>
        <v>9007</v>
      </c>
      <c r="C15" s="15">
        <f>I8</f>
        <v>9.4000000000000021</v>
      </c>
      <c r="D15" s="12">
        <v>7014</v>
      </c>
      <c r="E15" s="14">
        <f t="shared" si="0"/>
        <v>9.4000000000000021</v>
      </c>
      <c r="F15" s="12">
        <v>8014</v>
      </c>
      <c r="G15" s="14">
        <f t="shared" si="1"/>
        <v>9.3000000000000025</v>
      </c>
      <c r="H15" s="12">
        <v>9014</v>
      </c>
      <c r="I15" s="14">
        <f t="shared" si="2"/>
        <v>9.2000000000000028</v>
      </c>
      <c r="L15" s="14">
        <f>IF(ISNUMBER(INDEX(Q$2:AC$48,MATCH(M12,Q:Q)-1,2)),INDEX(Q$2:AC$48,MATCH(M12,Q:Q)-1,2),"没有上级")</f>
        <v>1210988</v>
      </c>
      <c r="M15" s="16">
        <f>IF(ISNUMBER(INT(L15)),IF(OR(AND(M12&lt;=Q$12,M12&gt;Q$2),AND(M12&lt;Q$39,M12&gt;Q$29)),INDEX(Q$2:AC$48,MATCH(L15,X:X,0)-1,1),IF(OR(M12=Q$2,M12=Q$29),"没有上级",INDEX(Q$2:AC$48,MATCH(L15,AB:AB,0)-1,1))),"没有上级")</f>
        <v>147</v>
      </c>
      <c r="N15" s="14">
        <f>IF(ISNUMBER(INDEX(Q$2:AC$48,MATCH(M15,$Q:$Q)-1,3)),INDEX(Q$2:AC$48,MATCH(M15,$Q:$Q)-1,3),"没有上级")</f>
        <v>7.8</v>
      </c>
      <c r="O15" s="14">
        <f>IF(ISNUMBER(N15-N12),ROUND((N15-N12)*10,0),"没有上级")</f>
        <v>4</v>
      </c>
      <c r="P15" s="14">
        <v>15196685188</v>
      </c>
      <c r="S15" s="14">
        <f>AC2</f>
        <v>9.4</v>
      </c>
    </row>
    <row r="16" spans="1:29" x14ac:dyDescent="0.15">
      <c r="A16" s="14">
        <v>15</v>
      </c>
      <c r="B16" s="14">
        <f>F9</f>
        <v>8008</v>
      </c>
      <c r="C16" s="15">
        <f>G9</f>
        <v>9.4000000000000021</v>
      </c>
      <c r="D16" s="12">
        <v>7015</v>
      </c>
      <c r="E16" s="14">
        <f t="shared" si="0"/>
        <v>9.4000000000000021</v>
      </c>
      <c r="F16" s="12">
        <v>8015</v>
      </c>
      <c r="G16" s="14">
        <f t="shared" si="1"/>
        <v>9.3000000000000025</v>
      </c>
      <c r="H16" s="12">
        <v>9015</v>
      </c>
      <c r="I16" s="14">
        <f t="shared" si="2"/>
        <v>9.2000000000000028</v>
      </c>
      <c r="P16" s="14">
        <v>15196685189</v>
      </c>
      <c r="S16" s="14">
        <f t="shared" ref="R16:S27" si="5">AC3</f>
        <v>9.2999999999999989</v>
      </c>
    </row>
    <row r="17" spans="1:30" x14ac:dyDescent="0.15">
      <c r="A17" s="14">
        <v>16</v>
      </c>
      <c r="B17" s="14">
        <f>D10</f>
        <v>7009</v>
      </c>
      <c r="C17" s="15">
        <f>E10</f>
        <v>9.5000000000000018</v>
      </c>
      <c r="D17" s="12">
        <v>7016</v>
      </c>
      <c r="E17" s="14">
        <f t="shared" si="0"/>
        <v>9.5000000000000018</v>
      </c>
      <c r="F17" s="12">
        <v>8016</v>
      </c>
      <c r="G17" s="14">
        <f t="shared" si="1"/>
        <v>9.4000000000000021</v>
      </c>
      <c r="H17" s="12">
        <v>9016</v>
      </c>
      <c r="I17" s="14">
        <f t="shared" si="2"/>
        <v>9.3000000000000025</v>
      </c>
      <c r="L17" s="12" t="s">
        <v>120</v>
      </c>
      <c r="M17" s="12" t="s">
        <v>168</v>
      </c>
      <c r="N17" s="12" t="s">
        <v>169</v>
      </c>
      <c r="O17" s="14" t="s">
        <v>204</v>
      </c>
      <c r="P17" s="14">
        <v>15196685190</v>
      </c>
      <c r="S17" s="14">
        <f t="shared" si="5"/>
        <v>8.8999999999999986</v>
      </c>
    </row>
    <row r="18" spans="1:30" x14ac:dyDescent="0.15">
      <c r="A18" s="14">
        <v>17</v>
      </c>
      <c r="B18" s="14">
        <f>F10</f>
        <v>8009</v>
      </c>
      <c r="C18" s="15">
        <f>G10</f>
        <v>9.4000000000000021</v>
      </c>
      <c r="D18" s="12">
        <v>7017</v>
      </c>
      <c r="E18" s="14">
        <f t="shared" si="0"/>
        <v>9.4000000000000021</v>
      </c>
      <c r="F18" s="12">
        <v>8017</v>
      </c>
      <c r="G18" s="14">
        <f t="shared" si="1"/>
        <v>9.3000000000000025</v>
      </c>
      <c r="H18" s="12">
        <v>9017</v>
      </c>
      <c r="I18" s="14">
        <f t="shared" si="2"/>
        <v>9.2000000000000028</v>
      </c>
      <c r="L18" s="14">
        <f>IF(ISNUMBER(INDEX(Q$2:AC$48,MATCH(M15,Q:Q)-1,2)),INDEX(Q$2:AC$48,MATCH(M15,Q:Q)-1,2),"没有上级")</f>
        <v>1206981</v>
      </c>
      <c r="M18" s="16">
        <f>IF(ISNUMBER(INT(L18)),IF(OR(AND(M15&lt;=Q$12,M15&gt;Q$2),AND(M15&lt;Q$39,M15&gt;Q$29)),INDEX(Q$2:AC$48,MATCH(L18,X:X,0)-1,1),IF(OR(M15=Q$2,M15=Q$29),"没有上级",INDEX(Q$2:AC$48,MATCH(L18,AB:AB,0)-1,1))),"没有上级")</f>
        <v>146</v>
      </c>
      <c r="N18" s="14">
        <f>IF(ISNUMBER(INDEX(Q$2:AC$48,MATCH(M18,$Q:$Q)-1,3)),INDEX(Q$2:AC$48,MATCH(M18,$Q:$Q)-1,3),"没有上级")</f>
        <v>8.1</v>
      </c>
      <c r="O18" s="14">
        <f>IF(ISNUMBER(N18-N15),ROUND((N18-N15)*10,0),"没有上级")</f>
        <v>3</v>
      </c>
      <c r="P18" s="14">
        <v>15196685191</v>
      </c>
      <c r="R18" s="14">
        <f t="shared" si="5"/>
        <v>0</v>
      </c>
      <c r="S18" s="14">
        <f t="shared" si="5"/>
        <v>8.3999999999999986</v>
      </c>
    </row>
    <row r="19" spans="1:30" x14ac:dyDescent="0.15">
      <c r="A19" s="14">
        <v>18</v>
      </c>
      <c r="B19" s="14">
        <f>H10</f>
        <v>9009</v>
      </c>
      <c r="C19" s="15">
        <f>I10</f>
        <v>9.3000000000000025</v>
      </c>
      <c r="D19" s="12">
        <v>7018</v>
      </c>
      <c r="E19" s="14">
        <f t="shared" si="0"/>
        <v>9.3000000000000025</v>
      </c>
      <c r="F19" s="12">
        <v>8018</v>
      </c>
      <c r="G19" s="14">
        <f t="shared" si="1"/>
        <v>9.2000000000000028</v>
      </c>
      <c r="H19" s="12">
        <v>9018</v>
      </c>
      <c r="I19" s="14">
        <f t="shared" si="2"/>
        <v>9.1000000000000032</v>
      </c>
      <c r="P19" s="14">
        <v>15196685192</v>
      </c>
      <c r="R19" s="14">
        <f t="shared" si="5"/>
        <v>0</v>
      </c>
      <c r="S19" s="14">
        <f t="shared" si="5"/>
        <v>7.8999999999999995</v>
      </c>
    </row>
    <row r="20" spans="1:30" x14ac:dyDescent="0.15">
      <c r="A20" s="14">
        <v>19</v>
      </c>
      <c r="B20" s="14">
        <f>F11</f>
        <v>8010</v>
      </c>
      <c r="C20" s="15">
        <f>G11</f>
        <v>9.5000000000000018</v>
      </c>
      <c r="D20" s="12">
        <v>7019</v>
      </c>
      <c r="E20" s="14">
        <f t="shared" si="0"/>
        <v>9.5000000000000018</v>
      </c>
      <c r="F20" s="12">
        <v>8019</v>
      </c>
      <c r="G20" s="14">
        <f t="shared" si="1"/>
        <v>9.4000000000000021</v>
      </c>
      <c r="H20" s="12">
        <v>9019</v>
      </c>
      <c r="I20" s="14">
        <f t="shared" si="2"/>
        <v>9.3000000000000025</v>
      </c>
      <c r="L20" s="12" t="s">
        <v>170</v>
      </c>
      <c r="M20" s="12" t="s">
        <v>171</v>
      </c>
      <c r="N20" s="12" t="s">
        <v>172</v>
      </c>
      <c r="O20" s="14" t="s">
        <v>205</v>
      </c>
      <c r="P20" s="14">
        <v>15196685193</v>
      </c>
      <c r="R20" s="14">
        <f t="shared" si="5"/>
        <v>0</v>
      </c>
      <c r="S20" s="14">
        <f t="shared" si="5"/>
        <v>7.6999999999999993</v>
      </c>
    </row>
    <row r="21" spans="1:30" x14ac:dyDescent="0.15">
      <c r="A21" s="14">
        <v>20</v>
      </c>
      <c r="B21" s="14">
        <f>H11</f>
        <v>9010</v>
      </c>
      <c r="C21" s="15">
        <f>I11</f>
        <v>9.4000000000000021</v>
      </c>
      <c r="D21" s="12">
        <v>7020</v>
      </c>
      <c r="E21" s="14">
        <f t="shared" si="0"/>
        <v>9.4000000000000021</v>
      </c>
      <c r="F21" s="12">
        <v>8020</v>
      </c>
      <c r="G21" s="14">
        <f t="shared" si="1"/>
        <v>9.3000000000000025</v>
      </c>
      <c r="H21" s="12">
        <v>9020</v>
      </c>
      <c r="I21" s="14">
        <f t="shared" si="2"/>
        <v>9.2000000000000028</v>
      </c>
      <c r="L21" s="14">
        <f>IF(ISNUMBER(INDEX(Q$2:AC$48,MATCH(M18,Q:Q)-1,2)),INDEX(Q$2:AC$48,MATCH(M18,Q:Q)-1,2),"没有上级")</f>
        <v>1204995</v>
      </c>
      <c r="M21" s="16">
        <f>IF(ISNUMBER(INT(L21)),IF(OR(AND(M18&lt;=Q$12,M18&gt;Q$2),AND(M18&lt;Q$39,M18&gt;Q$29)),INDEX(Q$2:AC$48,MATCH(L21,X:X,0)-1,1),IF(OR(M18=Q$2,M18=Q$29),"没有上级",INDEX(Q$2:AC$48,MATCH(L21,AB:AB,0)-1,1))),"没有上级")</f>
        <v>145</v>
      </c>
      <c r="N21" s="14">
        <f>IF(ISNUMBER(INDEX(Q$2:AC$48,MATCH(M21,$Q:$Q)-1,3)),INDEX(Q$2:AC$48,MATCH(M21,$Q:$Q)-1,3),"没有上级")</f>
        <v>8.1999999999999993</v>
      </c>
      <c r="O21" s="14">
        <f>IF(ISNUMBER(N21-N18),ROUND((N21-N18)*10,0),"没有上级")</f>
        <v>1</v>
      </c>
      <c r="P21" s="14">
        <v>15196685194</v>
      </c>
      <c r="R21" s="14">
        <f t="shared" si="5"/>
        <v>0</v>
      </c>
      <c r="S21" s="14">
        <f t="shared" si="5"/>
        <v>7.6</v>
      </c>
    </row>
    <row r="22" spans="1:30" x14ac:dyDescent="0.15">
      <c r="A22" s="14">
        <v>21</v>
      </c>
      <c r="B22" s="14">
        <f>H12</f>
        <v>9011</v>
      </c>
      <c r="C22" s="15">
        <f>I12</f>
        <v>9.3000000000000025</v>
      </c>
      <c r="D22" s="12">
        <v>7021</v>
      </c>
      <c r="E22" s="14">
        <f t="shared" si="0"/>
        <v>9.3000000000000025</v>
      </c>
      <c r="F22" s="12">
        <v>8021</v>
      </c>
      <c r="G22" s="14">
        <f t="shared" si="1"/>
        <v>9.2000000000000028</v>
      </c>
      <c r="H22" s="12">
        <v>9021</v>
      </c>
      <c r="I22" s="14">
        <f t="shared" si="2"/>
        <v>9.1000000000000032</v>
      </c>
      <c r="P22" s="14">
        <v>15196685195</v>
      </c>
      <c r="R22" s="14">
        <f t="shared" si="5"/>
        <v>0</v>
      </c>
      <c r="S22" s="14">
        <f t="shared" si="5"/>
        <v>7.3</v>
      </c>
    </row>
    <row r="23" spans="1:30" x14ac:dyDescent="0.15">
      <c r="A23" s="14">
        <v>22</v>
      </c>
      <c r="B23" s="14">
        <f>F13</f>
        <v>8012</v>
      </c>
      <c r="C23" s="15">
        <f>G13</f>
        <v>9.3000000000000025</v>
      </c>
      <c r="D23" s="12">
        <v>7022</v>
      </c>
      <c r="E23" s="14">
        <f t="shared" si="0"/>
        <v>9.3000000000000025</v>
      </c>
      <c r="F23" s="12">
        <v>8022</v>
      </c>
      <c r="G23" s="14">
        <f t="shared" si="1"/>
        <v>9.2000000000000028</v>
      </c>
      <c r="H23" s="12">
        <v>9022</v>
      </c>
      <c r="I23" s="14">
        <f t="shared" si="2"/>
        <v>9.1000000000000032</v>
      </c>
      <c r="L23" s="12" t="s">
        <v>121</v>
      </c>
      <c r="M23" s="12" t="s">
        <v>122</v>
      </c>
      <c r="N23" s="12" t="s">
        <v>173</v>
      </c>
      <c r="O23" s="14" t="s">
        <v>206</v>
      </c>
      <c r="P23" s="14">
        <v>15196685196</v>
      </c>
      <c r="R23" s="14">
        <f t="shared" si="5"/>
        <v>0</v>
      </c>
      <c r="S23" s="14">
        <f t="shared" si="5"/>
        <v>6.9999999999999991</v>
      </c>
    </row>
    <row r="24" spans="1:30" x14ac:dyDescent="0.15">
      <c r="A24" s="14">
        <v>23</v>
      </c>
      <c r="B24" s="14">
        <f>H13</f>
        <v>9012</v>
      </c>
      <c r="C24" s="15">
        <f>I13</f>
        <v>9.2000000000000028</v>
      </c>
      <c r="D24" s="12">
        <v>7023</v>
      </c>
      <c r="E24" s="14">
        <f t="shared" si="0"/>
        <v>9.2000000000000028</v>
      </c>
      <c r="F24" s="12">
        <v>8023</v>
      </c>
      <c r="G24" s="14">
        <f t="shared" si="1"/>
        <v>9.1000000000000032</v>
      </c>
      <c r="H24" s="12">
        <v>9023</v>
      </c>
      <c r="I24" s="14">
        <f t="shared" si="2"/>
        <v>9.0000000000000036</v>
      </c>
      <c r="L24" s="14">
        <f>IF(ISNUMBER(INDEX(Q$2:AC$48,MATCH(M21,Q:Q)-1,2)),INDEX(Q$2:AC$48,MATCH(M21,Q:Q)-1,2),"没有上级")</f>
        <v>1202928</v>
      </c>
      <c r="M24" s="16">
        <f>IF(ISNUMBER(INT(L24)),IF(OR(AND(M21&lt;=Q$12,M21&gt;Q$2),AND(M21&lt;Q$39,M21&gt;Q$29)),INDEX(Q$2:AC$48,MATCH(L24,X:X,0)-1,1),IF(OR(M21=Q$2,M21=Q$29),"没有上级",INDEX(Q$2:AC$48,MATCH(L24,AB:AB,0)-1,1))),"没有上级")</f>
        <v>144</v>
      </c>
      <c r="N24" s="14">
        <f>IF(ISNUMBER(INDEX(Q$2:AC$48,MATCH(M24,$Q:$Q)-1,3)),INDEX(Q$2:AC$48,MATCH(M24,$Q:$Q)-1,3),"没有上级")</f>
        <v>8.8999999999999986</v>
      </c>
      <c r="O24" s="14">
        <f>IF(ISNUMBER(N24-N21),ROUND((N24-N21)*10,0),"没有上级")</f>
        <v>7</v>
      </c>
      <c r="P24" s="14">
        <v>15196685197</v>
      </c>
      <c r="R24" s="14">
        <f t="shared" si="5"/>
        <v>0</v>
      </c>
      <c r="S24" s="14">
        <f t="shared" si="5"/>
        <v>6.3</v>
      </c>
    </row>
    <row r="25" spans="1:30" x14ac:dyDescent="0.15">
      <c r="A25" s="14">
        <v>24</v>
      </c>
      <c r="B25" s="14">
        <f>F14</f>
        <v>8013</v>
      </c>
      <c r="C25" s="15">
        <f>G14</f>
        <v>9.4000000000000021</v>
      </c>
      <c r="D25" s="12">
        <v>7024</v>
      </c>
      <c r="E25" s="14">
        <f t="shared" si="0"/>
        <v>9.4000000000000021</v>
      </c>
      <c r="F25" s="12">
        <v>8024</v>
      </c>
      <c r="G25" s="14">
        <f t="shared" si="1"/>
        <v>9.3000000000000025</v>
      </c>
      <c r="H25" s="12">
        <v>9024</v>
      </c>
      <c r="I25" s="14">
        <f t="shared" si="2"/>
        <v>9.2000000000000028</v>
      </c>
      <c r="P25" s="14">
        <v>15196685198</v>
      </c>
      <c r="R25" s="14">
        <f t="shared" si="5"/>
        <v>0</v>
      </c>
      <c r="S25" s="14">
        <f t="shared" si="5"/>
        <v>6.1</v>
      </c>
    </row>
    <row r="26" spans="1:30" x14ac:dyDescent="0.15">
      <c r="A26" s="14">
        <v>25</v>
      </c>
      <c r="B26" s="14">
        <f>H14</f>
        <v>9013</v>
      </c>
      <c r="C26" s="15">
        <f>I14</f>
        <v>9.3000000000000025</v>
      </c>
      <c r="D26" s="12">
        <v>7025</v>
      </c>
      <c r="E26" s="14">
        <f t="shared" si="0"/>
        <v>9.3000000000000025</v>
      </c>
      <c r="F26" s="12">
        <v>8025</v>
      </c>
      <c r="G26" s="14">
        <f t="shared" si="1"/>
        <v>9.2000000000000028</v>
      </c>
      <c r="H26" s="12">
        <v>9025</v>
      </c>
      <c r="I26" s="14">
        <f t="shared" si="2"/>
        <v>9.1000000000000032</v>
      </c>
      <c r="L26" s="12" t="s">
        <v>174</v>
      </c>
      <c r="M26" s="12" t="s">
        <v>123</v>
      </c>
      <c r="N26" s="12" t="s">
        <v>175</v>
      </c>
      <c r="O26" s="14" t="s">
        <v>207</v>
      </c>
      <c r="P26" s="14">
        <v>15196685199</v>
      </c>
      <c r="R26" s="14">
        <f t="shared" si="5"/>
        <v>0</v>
      </c>
      <c r="S26" s="14">
        <f t="shared" si="5"/>
        <v>5.8999999999999995</v>
      </c>
    </row>
    <row r="27" spans="1:30" x14ac:dyDescent="0.15">
      <c r="A27" s="14">
        <v>26</v>
      </c>
      <c r="B27" s="14">
        <f>F15</f>
        <v>8014</v>
      </c>
      <c r="C27" s="15">
        <f>G15</f>
        <v>9.3000000000000025</v>
      </c>
      <c r="D27" s="12">
        <v>7026</v>
      </c>
      <c r="E27" s="14">
        <f t="shared" si="0"/>
        <v>9.3000000000000025</v>
      </c>
      <c r="F27" s="12">
        <v>8026</v>
      </c>
      <c r="G27" s="14">
        <f t="shared" si="1"/>
        <v>9.2000000000000028</v>
      </c>
      <c r="H27" s="12">
        <v>9026</v>
      </c>
      <c r="I27" s="14">
        <f t="shared" si="2"/>
        <v>9.1000000000000032</v>
      </c>
      <c r="L27" s="14">
        <f>IF(ISNUMBER(INDEX(Q$2:AC$48,MATCH(M24,Q:Q)-1,2)),INDEX(Q$2:AC$48,MATCH(M24,Q:Q)-1,2),"没有上级")</f>
        <v>1200960</v>
      </c>
      <c r="M27" s="16">
        <f>IF(ISNUMBER(INT(L27)),IF(OR(AND(M24&lt;=Q$12,M24&gt;Q$2),AND(M24&lt;Q$39,M24&gt;Q$29)),INDEX(Q$2:AC$48,MATCH(L27,X:X,0)-1,1),IF(OR(M24=Q$2,M24=Q$29),"没有上级",INDEX(Q$2:AC$48,MATCH(L27,AB:AB,0)-1,1))),"没有上级")</f>
        <v>143</v>
      </c>
      <c r="N27" s="14">
        <f>IF(ISNUMBER(INDEX(Q$2:AC$48,MATCH(M27,$Q:$Q)-1,3)),INDEX(Q$2:AC$48,MATCH(M27,$Q:$Q)-1,3),"没有上级")</f>
        <v>9.1999999999999993</v>
      </c>
      <c r="O27" s="14">
        <f>IF(ISNUMBER(N27-N24),ROUND((N27-N24)*10,0),"没有上级")</f>
        <v>3</v>
      </c>
      <c r="P27" s="14">
        <v>15196685200</v>
      </c>
      <c r="R27" s="14">
        <f t="shared" si="5"/>
        <v>0</v>
      </c>
      <c r="S27" s="14">
        <f t="shared" si="5"/>
        <v>5.7</v>
      </c>
    </row>
    <row r="28" spans="1:30" x14ac:dyDescent="0.15">
      <c r="A28" s="14">
        <v>27</v>
      </c>
      <c r="B28" s="14">
        <f>H15</f>
        <v>9014</v>
      </c>
      <c r="C28" s="15">
        <f>I15</f>
        <v>9.2000000000000028</v>
      </c>
      <c r="D28" s="12">
        <v>7027</v>
      </c>
      <c r="E28" s="14">
        <f t="shared" si="0"/>
        <v>9.2000000000000028</v>
      </c>
      <c r="F28" s="12">
        <v>8027</v>
      </c>
      <c r="G28" s="14">
        <f t="shared" si="1"/>
        <v>9.1000000000000032</v>
      </c>
      <c r="H28" s="12">
        <v>9027</v>
      </c>
      <c r="I28" s="14">
        <f t="shared" si="2"/>
        <v>9.0000000000000036</v>
      </c>
      <c r="P28" s="14" t="s">
        <v>176</v>
      </c>
      <c r="Q28" s="14" t="s">
        <v>177</v>
      </c>
      <c r="R28" s="14" t="s">
        <v>177</v>
      </c>
      <c r="S28" s="14" t="s">
        <v>177</v>
      </c>
      <c r="T28" s="14" t="s">
        <v>176</v>
      </c>
      <c r="U28" s="14" t="s">
        <v>176</v>
      </c>
      <c r="X28" s="14" t="s">
        <v>176</v>
      </c>
      <c r="Y28" s="14" t="s">
        <v>176</v>
      </c>
      <c r="AB28" s="14" t="s">
        <v>176</v>
      </c>
      <c r="AC28" s="14" t="s">
        <v>177</v>
      </c>
      <c r="AD28" s="14" t="s">
        <v>176</v>
      </c>
    </row>
    <row r="29" spans="1:30" x14ac:dyDescent="0.15">
      <c r="A29" s="14">
        <v>28</v>
      </c>
      <c r="B29" s="14">
        <f>H16</f>
        <v>9015</v>
      </c>
      <c r="C29" s="15">
        <f>I16</f>
        <v>9.2000000000000028</v>
      </c>
      <c r="D29" s="12">
        <v>7028</v>
      </c>
      <c r="E29" s="14">
        <f t="shared" si="0"/>
        <v>9.2000000000000028</v>
      </c>
      <c r="F29" s="12">
        <v>8028</v>
      </c>
      <c r="G29" s="14">
        <f t="shared" si="1"/>
        <v>9.1000000000000032</v>
      </c>
      <c r="H29" s="12">
        <v>9028</v>
      </c>
      <c r="I29" s="14">
        <f t="shared" si="2"/>
        <v>9.0000000000000036</v>
      </c>
      <c r="L29" s="12" t="s">
        <v>178</v>
      </c>
      <c r="M29" s="12" t="s">
        <v>179</v>
      </c>
      <c r="N29" s="12" t="s">
        <v>180</v>
      </c>
      <c r="O29" s="14" t="s">
        <v>208</v>
      </c>
      <c r="P29" s="14">
        <v>15196685175</v>
      </c>
      <c r="Q29" s="14">
        <v>361</v>
      </c>
      <c r="S29" s="14">
        <v>9.9</v>
      </c>
      <c r="T29" s="14">
        <v>7139182</v>
      </c>
      <c r="U29" s="14">
        <f t="shared" ref="U29:U38" si="6">S29</f>
        <v>9.9</v>
      </c>
      <c r="X29" s="14">
        <v>7209805</v>
      </c>
      <c r="Y29" s="14">
        <f>U29-0.4</f>
        <v>9.5</v>
      </c>
      <c r="AB29" s="14">
        <v>7219909</v>
      </c>
      <c r="AC29" s="14">
        <f>U29-0.6</f>
        <v>9.3000000000000007</v>
      </c>
    </row>
    <row r="30" spans="1:30" x14ac:dyDescent="0.15">
      <c r="A30" s="14">
        <v>29</v>
      </c>
      <c r="B30" s="14">
        <f>F16</f>
        <v>8015</v>
      </c>
      <c r="C30" s="14">
        <f>G16</f>
        <v>9.3000000000000025</v>
      </c>
      <c r="D30" s="12">
        <v>7029</v>
      </c>
      <c r="E30" s="14">
        <f t="shared" si="0"/>
        <v>9.3000000000000025</v>
      </c>
      <c r="F30" s="12">
        <v>8029</v>
      </c>
      <c r="G30" s="14">
        <f t="shared" si="1"/>
        <v>9.2000000000000028</v>
      </c>
      <c r="H30" s="12">
        <v>9029</v>
      </c>
      <c r="I30" s="14">
        <f t="shared" si="2"/>
        <v>9.1000000000000032</v>
      </c>
      <c r="L30" s="14">
        <f>IF(ISNUMBER(INDEX(Q$2:AC$48,MATCH(M27,Q:Q)-1,2)),INDEX(Q$2:AC$48,MATCH(M27,Q:Q)-1,2),"没有上级")</f>
        <v>1176952</v>
      </c>
      <c r="M30" s="16">
        <f>IF(ISNUMBER(INT(L30)),IF(OR(AND(M27&lt;=Q$12,M27&gt;Q$2),AND(M27&lt;Q$39,M27&gt;Q$29)),INDEX(Q$2:AC$48,MATCH(L30,X:X,0)-1,1),IF(OR(M27=Q$2,M27=Q$29),"没有上级",INDEX(Q$2:AC$48,MATCH(L30,AB:AB,0)-1,1))),"没有上级")</f>
        <v>140</v>
      </c>
      <c r="N30" s="14">
        <f>IF(ISNUMBER(INDEX(Q$2:AC$48,MATCH(M30,$Q:$Q)-1,3)),INDEX(Q$2:AC$48,MATCH(M30,$Q:$Q)-1,3),"没有上级")</f>
        <v>9.6</v>
      </c>
      <c r="O30" s="14">
        <f>IF(ISNUMBER(N30-N27),ROUND((N30-N27)*10,0),"没有上级")</f>
        <v>4</v>
      </c>
      <c r="P30" s="14">
        <v>15196685176</v>
      </c>
      <c r="Q30" s="14">
        <v>366</v>
      </c>
      <c r="R30" s="14">
        <f>X29</f>
        <v>7209805</v>
      </c>
      <c r="S30" s="14">
        <f>Y29</f>
        <v>9.5</v>
      </c>
      <c r="T30" s="14">
        <v>7229270</v>
      </c>
      <c r="U30" s="14">
        <f t="shared" si="6"/>
        <v>9.5</v>
      </c>
      <c r="X30" s="14">
        <v>7239404</v>
      </c>
      <c r="Y30" s="14">
        <f t="shared" ref="Y30:Y38" si="7">U30-0.4</f>
        <v>9.1</v>
      </c>
      <c r="AB30" s="14">
        <v>7249766</v>
      </c>
      <c r="AC30" s="14">
        <f t="shared" ref="AC30:AC38" si="8">U30-0.6</f>
        <v>8.9</v>
      </c>
    </row>
    <row r="31" spans="1:30" x14ac:dyDescent="0.15">
      <c r="A31" s="14">
        <v>30</v>
      </c>
      <c r="B31" s="14">
        <f>D17</f>
        <v>7016</v>
      </c>
      <c r="C31" s="14">
        <f>E17</f>
        <v>9.5000000000000018</v>
      </c>
      <c r="D31" s="12">
        <v>7030</v>
      </c>
      <c r="E31" s="14">
        <f t="shared" si="0"/>
        <v>9.5000000000000018</v>
      </c>
      <c r="F31" s="12">
        <v>8030</v>
      </c>
      <c r="G31" s="14">
        <f t="shared" si="1"/>
        <v>9.4000000000000021</v>
      </c>
      <c r="H31" s="12">
        <v>9030</v>
      </c>
      <c r="I31" s="14">
        <f t="shared" si="2"/>
        <v>9.3000000000000025</v>
      </c>
      <c r="P31" s="14">
        <v>15196685177</v>
      </c>
      <c r="Q31" s="14">
        <v>367</v>
      </c>
      <c r="R31" s="14">
        <f t="shared" ref="R31:S38" si="9">X30</f>
        <v>7239404</v>
      </c>
      <c r="S31" s="14">
        <f t="shared" si="9"/>
        <v>9.1</v>
      </c>
      <c r="T31" s="14">
        <v>7259484</v>
      </c>
      <c r="U31" s="14">
        <f t="shared" si="6"/>
        <v>9.1</v>
      </c>
      <c r="X31" s="14">
        <v>7269356</v>
      </c>
      <c r="Y31" s="14">
        <f t="shared" si="7"/>
        <v>8.6999999999999993</v>
      </c>
      <c r="AB31" s="14">
        <v>7279915</v>
      </c>
      <c r="AC31" s="14">
        <f t="shared" si="8"/>
        <v>8.5</v>
      </c>
    </row>
    <row r="32" spans="1:30" x14ac:dyDescent="0.15">
      <c r="A32" s="14">
        <v>31</v>
      </c>
      <c r="B32" s="14">
        <f>F18</f>
        <v>8017</v>
      </c>
      <c r="C32" s="14">
        <f>G18</f>
        <v>9.3000000000000025</v>
      </c>
      <c r="D32" s="12">
        <v>7031</v>
      </c>
      <c r="E32" s="14">
        <f t="shared" si="0"/>
        <v>9.3000000000000025</v>
      </c>
      <c r="F32" s="12">
        <v>8031</v>
      </c>
      <c r="G32" s="14">
        <f t="shared" si="1"/>
        <v>9.2000000000000028</v>
      </c>
      <c r="H32" s="12">
        <v>9031</v>
      </c>
      <c r="I32" s="14">
        <f t="shared" si="2"/>
        <v>9.1000000000000032</v>
      </c>
      <c r="L32" s="12" t="s">
        <v>181</v>
      </c>
      <c r="M32" s="12" t="s">
        <v>182</v>
      </c>
      <c r="N32" s="12" t="s">
        <v>183</v>
      </c>
      <c r="O32" s="14" t="s">
        <v>209</v>
      </c>
      <c r="P32" s="14">
        <v>15196685178</v>
      </c>
      <c r="Q32" s="14">
        <v>368</v>
      </c>
      <c r="R32" s="14">
        <f t="shared" si="9"/>
        <v>7269356</v>
      </c>
      <c r="S32" s="14">
        <f t="shared" si="9"/>
        <v>8.6999999999999993</v>
      </c>
      <c r="T32" s="14">
        <v>7309117</v>
      </c>
      <c r="U32" s="14">
        <f t="shared" si="6"/>
        <v>8.6999999999999993</v>
      </c>
      <c r="X32" s="14">
        <v>7319721</v>
      </c>
      <c r="Y32" s="14">
        <f t="shared" si="7"/>
        <v>8.2999999999999989</v>
      </c>
      <c r="AB32" s="14">
        <v>7329619</v>
      </c>
      <c r="AC32" s="14">
        <f t="shared" si="8"/>
        <v>8.1</v>
      </c>
    </row>
    <row r="33" spans="1:29" x14ac:dyDescent="0.15">
      <c r="A33" s="14">
        <v>32</v>
      </c>
      <c r="B33" s="14">
        <f>H18</f>
        <v>9017</v>
      </c>
      <c r="C33" s="14">
        <f>I18</f>
        <v>9.2000000000000028</v>
      </c>
      <c r="D33" s="12">
        <v>7032</v>
      </c>
      <c r="E33" s="14">
        <f t="shared" si="0"/>
        <v>9.2000000000000028</v>
      </c>
      <c r="F33" s="12">
        <v>8032</v>
      </c>
      <c r="G33" s="14">
        <f t="shared" si="1"/>
        <v>9.1000000000000032</v>
      </c>
      <c r="H33" s="12">
        <v>9032</v>
      </c>
      <c r="I33" s="14">
        <f t="shared" si="2"/>
        <v>9.0000000000000036</v>
      </c>
      <c r="L33" s="14">
        <f>IF(ISNUMBER(INDEX(Q$2:AC$48,MATCH(M30,Q:Q)-1,2)),INDEX(Q$2:AC$48,MATCH(M30,Q:Q)-1,2),"没有上级")</f>
        <v>1170912</v>
      </c>
      <c r="M33" s="16">
        <f>IF(ISNUMBER(INT(L33)),IF(OR(AND(M30&lt;=Q$12,M30&gt;Q$2),AND(M30&lt;Q$39,M30&gt;Q$29)),INDEX(Q$2:AC$48,MATCH(L33,X:X,0)-1,1),IF(OR(M30=Q$2,M30=Q$29),"没有上级",INDEX(Q$2:AC$48,MATCH(L33,AB:AB,0)-1,1))),"没有上级")</f>
        <v>82</v>
      </c>
      <c r="N33" s="14">
        <f>IF(ISNUMBER(INDEX(Q$2:AC$48,MATCH(M33,$Q:$Q)-1,3)),INDEX(Q$2:AC$48,MATCH(M33,$Q:$Q)-1,3),"没有上级")</f>
        <v>9.9</v>
      </c>
      <c r="O33" s="14">
        <f>IF(ISNUMBER(N33-N30),ROUND((N33-N30)*10,0),"没有上级")</f>
        <v>3</v>
      </c>
      <c r="P33" s="14">
        <v>15196685179</v>
      </c>
      <c r="Q33" s="14">
        <v>369</v>
      </c>
      <c r="R33" s="14">
        <f t="shared" si="9"/>
        <v>7319721</v>
      </c>
      <c r="S33" s="14">
        <f t="shared" si="9"/>
        <v>8.2999999999999989</v>
      </c>
      <c r="T33" s="14">
        <v>7339621</v>
      </c>
      <c r="U33" s="14">
        <f t="shared" si="6"/>
        <v>8.2999999999999989</v>
      </c>
      <c r="X33" s="14">
        <v>7349227</v>
      </c>
      <c r="Y33" s="14">
        <f t="shared" si="7"/>
        <v>7.8999999999999986</v>
      </c>
      <c r="AB33" s="14">
        <v>7359997</v>
      </c>
      <c r="AC33" s="14">
        <f t="shared" si="8"/>
        <v>7.6999999999999993</v>
      </c>
    </row>
    <row r="34" spans="1:29" x14ac:dyDescent="0.15">
      <c r="A34" s="14">
        <v>33</v>
      </c>
      <c r="B34" s="14">
        <f>F19</f>
        <v>8018</v>
      </c>
      <c r="C34" s="14">
        <f>G19</f>
        <v>9.2000000000000028</v>
      </c>
      <c r="D34" s="12">
        <v>7033</v>
      </c>
      <c r="E34" s="14">
        <f t="shared" si="0"/>
        <v>9.2000000000000028</v>
      </c>
      <c r="F34" s="12">
        <v>8033</v>
      </c>
      <c r="G34" s="14">
        <f t="shared" si="1"/>
        <v>9.1000000000000032</v>
      </c>
      <c r="H34" s="12">
        <v>9033</v>
      </c>
      <c r="I34" s="14">
        <f t="shared" si="2"/>
        <v>9.0000000000000036</v>
      </c>
      <c r="P34" s="14">
        <v>15196685180</v>
      </c>
      <c r="Q34" s="14">
        <v>370</v>
      </c>
      <c r="R34" s="14">
        <f t="shared" si="9"/>
        <v>7349227</v>
      </c>
      <c r="S34" s="14">
        <f t="shared" si="9"/>
        <v>7.8999999999999986</v>
      </c>
      <c r="T34" s="14">
        <v>7369300</v>
      </c>
      <c r="U34" s="14">
        <f t="shared" si="6"/>
        <v>7.8999999999999986</v>
      </c>
      <c r="X34" s="14">
        <v>7379939</v>
      </c>
      <c r="Y34" s="14">
        <f t="shared" si="7"/>
        <v>7.4999999999999982</v>
      </c>
      <c r="AB34" s="14">
        <v>7409200</v>
      </c>
      <c r="AC34" s="14">
        <f t="shared" si="8"/>
        <v>7.2999999999999989</v>
      </c>
    </row>
    <row r="35" spans="1:29" x14ac:dyDescent="0.15">
      <c r="A35" s="14">
        <v>34</v>
      </c>
      <c r="B35" s="14">
        <f>H19</f>
        <v>9018</v>
      </c>
      <c r="C35" s="14">
        <f>I19</f>
        <v>9.1000000000000032</v>
      </c>
      <c r="D35" s="12">
        <v>7034</v>
      </c>
      <c r="E35" s="14">
        <f t="shared" si="0"/>
        <v>9.1000000000000032</v>
      </c>
      <c r="F35" s="12">
        <v>8034</v>
      </c>
      <c r="G35" s="14">
        <f t="shared" si="1"/>
        <v>9.0000000000000036</v>
      </c>
      <c r="H35" s="12">
        <v>9034</v>
      </c>
      <c r="I35" s="14">
        <f t="shared" si="2"/>
        <v>8.9000000000000039</v>
      </c>
      <c r="L35" s="12" t="s">
        <v>184</v>
      </c>
      <c r="M35" s="12" t="s">
        <v>185</v>
      </c>
      <c r="N35" s="12" t="s">
        <v>186</v>
      </c>
      <c r="O35" s="14" t="s">
        <v>210</v>
      </c>
      <c r="P35" s="14">
        <v>15196685181</v>
      </c>
      <c r="Q35" s="14">
        <v>371</v>
      </c>
      <c r="R35" s="14">
        <f t="shared" si="9"/>
        <v>7379939</v>
      </c>
      <c r="S35" s="14">
        <f t="shared" si="9"/>
        <v>7.4999999999999982</v>
      </c>
      <c r="T35" s="14">
        <v>7419878</v>
      </c>
      <c r="U35" s="14">
        <f t="shared" si="6"/>
        <v>7.4999999999999982</v>
      </c>
      <c r="X35" s="14">
        <v>7429171</v>
      </c>
      <c r="Y35" s="14">
        <f t="shared" si="7"/>
        <v>7.0999999999999979</v>
      </c>
      <c r="AB35" s="14">
        <v>7439254</v>
      </c>
      <c r="AC35" s="14">
        <f t="shared" si="8"/>
        <v>6.8999999999999986</v>
      </c>
    </row>
    <row r="36" spans="1:29" x14ac:dyDescent="0.15">
      <c r="A36" s="14">
        <v>35</v>
      </c>
      <c r="B36" s="14">
        <f>D20</f>
        <v>7019</v>
      </c>
      <c r="C36" s="14">
        <f>E20</f>
        <v>9.5000000000000018</v>
      </c>
      <c r="D36" s="12">
        <v>7035</v>
      </c>
      <c r="E36" s="14">
        <f t="shared" si="0"/>
        <v>9.5000000000000018</v>
      </c>
      <c r="F36" s="12">
        <v>8035</v>
      </c>
      <c r="G36" s="14">
        <f t="shared" si="1"/>
        <v>9.4000000000000021</v>
      </c>
      <c r="H36" s="12">
        <v>9035</v>
      </c>
      <c r="I36" s="14">
        <f t="shared" si="2"/>
        <v>9.3000000000000025</v>
      </c>
      <c r="L36" s="14" t="str">
        <f>IF(ISNUMBER(INDEX(Q$2:AC$48,MATCH(M33,Q:Q)-1,2)),INDEX(Q$2:AC$48,MATCH(M33,Q:Q)-1,2),"没有上级")</f>
        <v>没有上级</v>
      </c>
      <c r="M36" s="16" t="str">
        <f>IF(ISNUMBER(INT(L36)),IF(OR(AND(M33&lt;=Q$12,M33&gt;Q$2),AND(M33&lt;Q$39,M33&gt;Q$29)),INDEX(Q$2:AC$48,MATCH(L36,X:X,0)-1,1),IF(OR(M33=Q$2,M33=Q$29),"没有上级",INDEX(Q$2:AC$48,MATCH(L36,AB:AB,0)-1,1))),"没有上级")</f>
        <v>没有上级</v>
      </c>
      <c r="N36" s="14" t="str">
        <f>IF(ISNUMBER(INDEX(Q$2:AC$48,MATCH(M36,$Q:$Q)-1,3)),INDEX(Q$2:AC$48,MATCH(M36,$Q:$Q)-1,3),"没有上级")</f>
        <v>没有上级</v>
      </c>
      <c r="O36" s="14" t="str">
        <f>IF(ISNUMBER(N36-N33),ROUND((N36-N33)*10,0),"没有上级")</f>
        <v>没有上级</v>
      </c>
      <c r="P36" s="14">
        <v>15196685182</v>
      </c>
      <c r="Q36" s="14">
        <v>372</v>
      </c>
      <c r="R36" s="14">
        <f t="shared" si="9"/>
        <v>7429171</v>
      </c>
      <c r="S36" s="14">
        <f t="shared" si="9"/>
        <v>7.0999999999999979</v>
      </c>
      <c r="T36" s="14">
        <v>7449348</v>
      </c>
      <c r="U36" s="14">
        <f t="shared" si="6"/>
        <v>7.0999999999999979</v>
      </c>
      <c r="X36" s="14">
        <v>7459622</v>
      </c>
      <c r="Y36" s="14">
        <f t="shared" si="7"/>
        <v>6.6999999999999975</v>
      </c>
      <c r="AB36" s="14">
        <v>7469802</v>
      </c>
      <c r="AC36" s="14">
        <f t="shared" si="8"/>
        <v>6.4999999999999982</v>
      </c>
    </row>
    <row r="37" spans="1:29" x14ac:dyDescent="0.15">
      <c r="A37" s="14">
        <v>36</v>
      </c>
      <c r="B37" s="14">
        <f>H20</f>
        <v>9019</v>
      </c>
      <c r="C37" s="14">
        <f>I20</f>
        <v>9.3000000000000025</v>
      </c>
      <c r="D37" s="12">
        <v>7036</v>
      </c>
      <c r="E37" s="14">
        <f t="shared" si="0"/>
        <v>9.3000000000000025</v>
      </c>
      <c r="F37" s="12">
        <v>8036</v>
      </c>
      <c r="G37" s="14">
        <f t="shared" si="1"/>
        <v>9.2000000000000028</v>
      </c>
      <c r="H37" s="12">
        <v>9036</v>
      </c>
      <c r="I37" s="14">
        <f t="shared" si="2"/>
        <v>9.1000000000000032</v>
      </c>
      <c r="P37" s="14">
        <v>15196685183</v>
      </c>
      <c r="Q37" s="14">
        <v>373</v>
      </c>
      <c r="R37" s="14">
        <f t="shared" si="9"/>
        <v>7459622</v>
      </c>
      <c r="S37" s="14">
        <f t="shared" si="9"/>
        <v>6.6999999999999975</v>
      </c>
      <c r="T37" s="14">
        <v>7479834</v>
      </c>
      <c r="U37" s="14">
        <f t="shared" si="6"/>
        <v>6.6999999999999975</v>
      </c>
      <c r="X37" s="14">
        <v>7509015</v>
      </c>
      <c r="Y37" s="14">
        <f t="shared" si="7"/>
        <v>6.2999999999999972</v>
      </c>
      <c r="AB37" s="14">
        <v>7519385</v>
      </c>
      <c r="AC37" s="14">
        <f t="shared" si="8"/>
        <v>6.0999999999999979</v>
      </c>
    </row>
    <row r="38" spans="1:29" x14ac:dyDescent="0.15">
      <c r="A38" s="14">
        <v>37</v>
      </c>
      <c r="B38" s="14">
        <f>F22</f>
        <v>8021</v>
      </c>
      <c r="C38" s="14">
        <f>G22</f>
        <v>9.2000000000000028</v>
      </c>
      <c r="D38" s="12">
        <v>7037</v>
      </c>
      <c r="E38" s="14">
        <f t="shared" si="0"/>
        <v>9.2000000000000028</v>
      </c>
      <c r="F38" s="12">
        <v>8037</v>
      </c>
      <c r="G38" s="14">
        <f t="shared" si="1"/>
        <v>9.1000000000000032</v>
      </c>
      <c r="H38" s="12">
        <v>9037</v>
      </c>
      <c r="I38" s="14">
        <f t="shared" si="2"/>
        <v>9.0000000000000036</v>
      </c>
      <c r="L38" s="12" t="s">
        <v>187</v>
      </c>
      <c r="M38" s="12" t="s">
        <v>188</v>
      </c>
      <c r="N38" s="12" t="s">
        <v>189</v>
      </c>
      <c r="O38" s="14" t="s">
        <v>211</v>
      </c>
      <c r="P38" s="14">
        <v>15196685184</v>
      </c>
      <c r="Q38" s="14">
        <v>374</v>
      </c>
      <c r="R38" s="14">
        <f t="shared" si="9"/>
        <v>7509015</v>
      </c>
      <c r="S38" s="14">
        <f t="shared" si="9"/>
        <v>6.2999999999999972</v>
      </c>
      <c r="T38" s="14">
        <v>7529798</v>
      </c>
      <c r="U38" s="14">
        <f t="shared" si="6"/>
        <v>6.2999999999999972</v>
      </c>
      <c r="X38" s="14">
        <v>7539879</v>
      </c>
      <c r="Y38" s="14">
        <f t="shared" si="7"/>
        <v>5.8999999999999968</v>
      </c>
      <c r="AB38" s="14">
        <v>7549362</v>
      </c>
      <c r="AC38" s="14">
        <f t="shared" si="8"/>
        <v>5.6999999999999975</v>
      </c>
    </row>
    <row r="39" spans="1:29" x14ac:dyDescent="0.15">
      <c r="A39" s="14">
        <v>38</v>
      </c>
      <c r="B39" s="14">
        <f>H22</f>
        <v>9021</v>
      </c>
      <c r="C39" s="14">
        <f>I22</f>
        <v>9.1000000000000032</v>
      </c>
      <c r="D39" s="12">
        <v>7038</v>
      </c>
      <c r="E39" s="14">
        <f t="shared" si="0"/>
        <v>9.1000000000000032</v>
      </c>
      <c r="F39" s="12">
        <v>8038</v>
      </c>
      <c r="G39" s="14">
        <f t="shared" si="1"/>
        <v>9.0000000000000036</v>
      </c>
      <c r="H39" s="12">
        <v>9038</v>
      </c>
      <c r="I39" s="14">
        <f t="shared" si="2"/>
        <v>8.9000000000000039</v>
      </c>
      <c r="L39" s="14" t="str">
        <f>IF(ISNUMBER(INDEX(Q$2:AC$48,MATCH(M36,Q:Q)-1,2)),INDEX(Q$2:AC$48,MATCH(M36,Q:Q)-1,2),"没有上级")</f>
        <v>没有上级</v>
      </c>
      <c r="M39" s="16" t="str">
        <f>IF(ISNUMBER(INT(L39)),IF(OR(AND(M36&lt;=Q$12,M36&gt;Q$2),AND(M36&lt;Q$39,M36&gt;Q$29)),INDEX(Q$2:AC$48,MATCH(L39,X:X,0)-1,1),IF(OR(M36=Q$2,M36=Q$29),"没有上级",INDEX(Q$2:AC$48,MATCH(L39,AB:AB,0)-1,1))),"没有上级")</f>
        <v>没有上级</v>
      </c>
      <c r="N39" s="14" t="str">
        <f>IF(ISNUMBER(INDEX(Q$2:AC$48,MATCH(M39,$Q:$Q)-1,3)),INDEX(Q$2:AC$48,MATCH(M39,$Q:$Q)-1,3),"没有上级")</f>
        <v>没有上级</v>
      </c>
      <c r="O39" s="14" t="str">
        <f>IF(ISNUMBER(N39-N36),ROUND((N39-N36)*10,0),"没有上级")</f>
        <v>没有上级</v>
      </c>
      <c r="P39" s="14">
        <v>15196685185</v>
      </c>
      <c r="Q39" s="14">
        <v>375</v>
      </c>
      <c r="R39" s="14">
        <f>AB29</f>
        <v>7219909</v>
      </c>
      <c r="S39" s="14">
        <f>AC29</f>
        <v>9.3000000000000007</v>
      </c>
    </row>
    <row r="40" spans="1:29" x14ac:dyDescent="0.15">
      <c r="A40" s="14">
        <v>39</v>
      </c>
      <c r="B40" s="14">
        <f>F23</f>
        <v>8022</v>
      </c>
      <c r="C40" s="14">
        <f>G23</f>
        <v>9.2000000000000028</v>
      </c>
      <c r="D40" s="12">
        <v>7039</v>
      </c>
      <c r="E40" s="14">
        <f t="shared" si="0"/>
        <v>9.2000000000000028</v>
      </c>
      <c r="F40" s="12">
        <v>8039</v>
      </c>
      <c r="G40" s="14">
        <f t="shared" si="1"/>
        <v>9.1000000000000032</v>
      </c>
      <c r="H40" s="12">
        <v>9039</v>
      </c>
      <c r="I40" s="14">
        <f t="shared" si="2"/>
        <v>9.0000000000000036</v>
      </c>
      <c r="P40" s="14">
        <v>15196685186</v>
      </c>
      <c r="Q40" s="14">
        <v>376</v>
      </c>
      <c r="R40" s="14">
        <f t="shared" ref="R40:S48" si="10">AB30</f>
        <v>7249766</v>
      </c>
      <c r="S40" s="14">
        <f t="shared" si="10"/>
        <v>8.9</v>
      </c>
    </row>
    <row r="41" spans="1:29" x14ac:dyDescent="0.15">
      <c r="A41" s="14">
        <v>40</v>
      </c>
      <c r="B41" s="14">
        <f>F25</f>
        <v>8024</v>
      </c>
      <c r="C41" s="14">
        <f>G25</f>
        <v>9.3000000000000025</v>
      </c>
      <c r="D41" s="12">
        <v>7040</v>
      </c>
      <c r="E41" s="14">
        <f t="shared" si="0"/>
        <v>9.3000000000000025</v>
      </c>
      <c r="F41" s="12">
        <v>8040</v>
      </c>
      <c r="G41" s="14">
        <f t="shared" si="1"/>
        <v>9.2000000000000028</v>
      </c>
      <c r="H41" s="12">
        <v>9040</v>
      </c>
      <c r="I41" s="14">
        <f t="shared" si="2"/>
        <v>9.1000000000000032</v>
      </c>
      <c r="L41" s="12" t="s">
        <v>190</v>
      </c>
      <c r="M41" s="12" t="s">
        <v>191</v>
      </c>
      <c r="N41" s="12" t="s">
        <v>192</v>
      </c>
      <c r="O41" s="14" t="s">
        <v>212</v>
      </c>
      <c r="P41" s="14">
        <v>15196685187</v>
      </c>
      <c r="Q41" s="14">
        <v>377</v>
      </c>
      <c r="R41" s="14">
        <f t="shared" si="10"/>
        <v>7279915</v>
      </c>
      <c r="S41" s="14">
        <f t="shared" si="10"/>
        <v>8.5</v>
      </c>
    </row>
    <row r="42" spans="1:29" x14ac:dyDescent="0.15">
      <c r="A42" s="14">
        <v>41</v>
      </c>
      <c r="B42" s="14">
        <f>H25</f>
        <v>9024</v>
      </c>
      <c r="C42" s="14">
        <f>I25</f>
        <v>9.2000000000000028</v>
      </c>
      <c r="D42" s="12">
        <v>7041</v>
      </c>
      <c r="E42" s="14">
        <f t="shared" si="0"/>
        <v>9.2000000000000028</v>
      </c>
      <c r="F42" s="12">
        <v>8041</v>
      </c>
      <c r="G42" s="14">
        <f t="shared" si="1"/>
        <v>9.1000000000000032</v>
      </c>
      <c r="H42" s="12">
        <v>9041</v>
      </c>
      <c r="I42" s="14">
        <f t="shared" si="2"/>
        <v>9.0000000000000036</v>
      </c>
      <c r="L42" s="14" t="str">
        <f>IF(ISNUMBER(INDEX(Q$2:AC$48,MATCH(M39,Q:Q)-1,2)),INDEX(Q$2:AC$48,MATCH(M39,Q:Q)-1,2),"没有上级")</f>
        <v>没有上级</v>
      </c>
      <c r="M42" s="16" t="str">
        <f>IF(ISNUMBER(INT(L42)),IF(OR(AND(M39&lt;=Q$12,M39&gt;Q$2),AND(M39&lt;Q$39,M39&gt;Q$29)),INDEX(Q$2:AC$48,MATCH(L42,X:X,0)-1,1),IF(OR(M39=Q$2,M39=Q$29),"没有上级",INDEX(Q$2:AC$48,MATCH(L42,AB:AB,0)-1,1))),"没有上级")</f>
        <v>没有上级</v>
      </c>
      <c r="N42" s="14" t="str">
        <f>IF(ISNUMBER(INDEX(Q$2:AC$48,MATCH(M42,$Q:$Q)-1,3)),INDEX(Q$2:AC$48,MATCH(M42,$Q:$Q)-1,3),"没有上级")</f>
        <v>没有上级</v>
      </c>
      <c r="O42" s="14" t="str">
        <f>IF(ISNUMBER(N42-N39),ROUND((N42-N39)*10,0),"没有上级")</f>
        <v>没有上级</v>
      </c>
      <c r="P42" s="14">
        <v>15196685188</v>
      </c>
      <c r="Q42" s="14">
        <v>378</v>
      </c>
      <c r="R42" s="14">
        <f t="shared" si="10"/>
        <v>7329619</v>
      </c>
      <c r="S42" s="14">
        <f t="shared" si="10"/>
        <v>8.1</v>
      </c>
    </row>
    <row r="43" spans="1:29" x14ac:dyDescent="0.15">
      <c r="A43" s="14">
        <v>42</v>
      </c>
      <c r="B43" s="14">
        <f>H26</f>
        <v>9025</v>
      </c>
      <c r="C43" s="14">
        <f>I26</f>
        <v>9.1000000000000032</v>
      </c>
      <c r="D43" s="12">
        <v>7042</v>
      </c>
      <c r="E43" s="14">
        <f t="shared" si="0"/>
        <v>9.1000000000000032</v>
      </c>
      <c r="F43" s="12">
        <v>8042</v>
      </c>
      <c r="G43" s="14">
        <f t="shared" si="1"/>
        <v>9.0000000000000036</v>
      </c>
      <c r="H43" s="12">
        <v>9042</v>
      </c>
      <c r="I43" s="14">
        <f t="shared" si="2"/>
        <v>8.9000000000000039</v>
      </c>
      <c r="M43" s="16"/>
      <c r="P43" s="14">
        <v>15196685189</v>
      </c>
      <c r="Q43" s="14">
        <v>379</v>
      </c>
      <c r="R43" s="14">
        <f t="shared" si="10"/>
        <v>7359997</v>
      </c>
      <c r="S43" s="14">
        <f t="shared" si="10"/>
        <v>7.6999999999999993</v>
      </c>
    </row>
    <row r="44" spans="1:29" x14ac:dyDescent="0.15">
      <c r="A44" s="14">
        <v>43</v>
      </c>
      <c r="B44" s="14">
        <f>F26</f>
        <v>8025</v>
      </c>
      <c r="C44" s="14">
        <f>G26</f>
        <v>9.2000000000000028</v>
      </c>
      <c r="D44" s="12">
        <v>7043</v>
      </c>
      <c r="E44" s="14">
        <f t="shared" si="0"/>
        <v>9.2000000000000028</v>
      </c>
      <c r="F44" s="12">
        <v>8043</v>
      </c>
      <c r="G44" s="14">
        <f t="shared" si="1"/>
        <v>9.1000000000000032</v>
      </c>
      <c r="H44" s="12">
        <v>9043</v>
      </c>
      <c r="I44" s="14">
        <f t="shared" si="2"/>
        <v>9.0000000000000036</v>
      </c>
      <c r="L44" s="12" t="s">
        <v>193</v>
      </c>
      <c r="M44" s="12" t="s">
        <v>194</v>
      </c>
      <c r="N44" s="12" t="s">
        <v>195</v>
      </c>
      <c r="O44" s="14" t="s">
        <v>196</v>
      </c>
      <c r="P44" s="14">
        <v>15196685190</v>
      </c>
      <c r="Q44" s="14">
        <v>380</v>
      </c>
      <c r="R44" s="14">
        <f t="shared" si="10"/>
        <v>7409200</v>
      </c>
      <c r="S44" s="14">
        <f t="shared" si="10"/>
        <v>7.2999999999999989</v>
      </c>
    </row>
    <row r="45" spans="1:29" x14ac:dyDescent="0.15">
      <c r="A45" s="14">
        <v>44</v>
      </c>
      <c r="B45" s="14">
        <f>D27</f>
        <v>7026</v>
      </c>
      <c r="C45" s="14">
        <f>E27</f>
        <v>9.3000000000000025</v>
      </c>
      <c r="D45" s="12">
        <v>7044</v>
      </c>
      <c r="E45" s="14">
        <f t="shared" si="0"/>
        <v>9.3000000000000025</v>
      </c>
      <c r="F45" s="12">
        <v>8044</v>
      </c>
      <c r="G45" s="14">
        <f t="shared" si="1"/>
        <v>9.2000000000000028</v>
      </c>
      <c r="H45" s="12">
        <v>9044</v>
      </c>
      <c r="I45" s="14">
        <f t="shared" si="2"/>
        <v>9.1000000000000032</v>
      </c>
      <c r="L45" s="14" t="str">
        <f>IF(ISNUMBER(INDEX(Q$2:AC$48,MATCH(M42,Q:Q)-1,2)),INDEX(Q$2:AC$48,MATCH(M42,Q:Q)-1,2),"没有上级")</f>
        <v>没有上级</v>
      </c>
      <c r="M45" s="16" t="str">
        <f>IF(ISNUMBER(INT(L45)),IF(OR(AND(M42&lt;=Q$12,M42&gt;Q$2),AND(M42&lt;Q$39,M42&gt;Q$29)),INDEX(Q$2:AC$48,MATCH(L45,X:X,0)-1,1),IF(OR(M42=Q$2,M42=Q$29),"没有上级",INDEX(Q$2:AC$48,MATCH(L45,AB:AB,0)-1,1))),"没有上级")</f>
        <v>没有上级</v>
      </c>
      <c r="N45" s="14" t="str">
        <f>IF(ISNUMBER(INDEX(Q$2:AC$48,MATCH(M45,$Q:$Q)-1,3)),INDEX(Q$2:AC$48,MATCH(M45,$Q:$Q)-1,3),"没有上级")</f>
        <v>没有上级</v>
      </c>
      <c r="O45" s="14" t="str">
        <f>IF(ISNUMBER(N45-N42),ROUND((N45-N42)*10,0),"没有上级")</f>
        <v>没有上级</v>
      </c>
      <c r="P45" s="14">
        <v>15196685191</v>
      </c>
      <c r="Q45" s="14">
        <v>381</v>
      </c>
      <c r="R45" s="14">
        <f t="shared" si="10"/>
        <v>7439254</v>
      </c>
      <c r="S45" s="14">
        <f t="shared" si="10"/>
        <v>6.8999999999999986</v>
      </c>
    </row>
    <row r="46" spans="1:29" x14ac:dyDescent="0.15">
      <c r="A46" s="14">
        <v>45</v>
      </c>
      <c r="B46" s="14">
        <f>H28</f>
        <v>9027</v>
      </c>
      <c r="C46" s="14">
        <f>I28</f>
        <v>9.0000000000000036</v>
      </c>
      <c r="D46" s="12">
        <v>7045</v>
      </c>
      <c r="E46" s="14">
        <f t="shared" si="0"/>
        <v>9.0000000000000036</v>
      </c>
      <c r="F46" s="12">
        <v>8045</v>
      </c>
      <c r="G46" s="14">
        <f t="shared" si="1"/>
        <v>8.9000000000000039</v>
      </c>
      <c r="H46" s="12">
        <v>9045</v>
      </c>
      <c r="I46" s="14">
        <f t="shared" si="2"/>
        <v>8.8000000000000043</v>
      </c>
      <c r="P46" s="14">
        <v>15196685192</v>
      </c>
      <c r="Q46" s="14">
        <v>382</v>
      </c>
      <c r="R46" s="14">
        <f t="shared" si="10"/>
        <v>7469802</v>
      </c>
      <c r="S46" s="14">
        <f t="shared" si="10"/>
        <v>6.4999999999999982</v>
      </c>
    </row>
    <row r="47" spans="1:29" x14ac:dyDescent="0.15">
      <c r="A47" s="14">
        <v>46</v>
      </c>
      <c r="B47" s="14">
        <f>H29</f>
        <v>9028</v>
      </c>
      <c r="C47" s="14">
        <f>I29</f>
        <v>9.0000000000000036</v>
      </c>
      <c r="D47" s="12">
        <v>7046</v>
      </c>
      <c r="E47" s="14">
        <f t="shared" si="0"/>
        <v>9.0000000000000036</v>
      </c>
      <c r="F47" s="12">
        <v>8046</v>
      </c>
      <c r="G47" s="14">
        <f t="shared" si="1"/>
        <v>8.9000000000000039</v>
      </c>
      <c r="H47" s="12">
        <v>9046</v>
      </c>
      <c r="I47" s="14">
        <f t="shared" si="2"/>
        <v>8.8000000000000043</v>
      </c>
      <c r="L47" s="12" t="s">
        <v>197</v>
      </c>
      <c r="M47" s="12" t="s">
        <v>198</v>
      </c>
      <c r="N47" s="12" t="s">
        <v>199</v>
      </c>
      <c r="O47" s="14" t="s">
        <v>213</v>
      </c>
      <c r="P47" s="14">
        <v>15196685193</v>
      </c>
      <c r="Q47" s="14">
        <v>383</v>
      </c>
      <c r="R47" s="14">
        <f t="shared" si="10"/>
        <v>7519385</v>
      </c>
      <c r="S47" s="14">
        <f t="shared" si="10"/>
        <v>6.0999999999999979</v>
      </c>
    </row>
    <row r="48" spans="1:29" x14ac:dyDescent="0.15">
      <c r="A48" s="14">
        <v>47</v>
      </c>
      <c r="B48" s="14">
        <f>F29</f>
        <v>8028</v>
      </c>
      <c r="C48" s="14">
        <f>G29</f>
        <v>9.1000000000000032</v>
      </c>
      <c r="D48" s="12">
        <v>7047</v>
      </c>
      <c r="E48" s="14">
        <f t="shared" si="0"/>
        <v>9.1000000000000032</v>
      </c>
      <c r="F48" s="12">
        <v>8047</v>
      </c>
      <c r="G48" s="14">
        <f t="shared" si="1"/>
        <v>9.0000000000000036</v>
      </c>
      <c r="H48" s="12">
        <v>9047</v>
      </c>
      <c r="I48" s="14">
        <f t="shared" si="2"/>
        <v>8.9000000000000039</v>
      </c>
      <c r="L48" s="14" t="str">
        <f>IF(ISNUMBER(INDEX(Q$2:AC$48,MATCH(M45,Q:Q)-1,2)),INDEX(Q$2:AC$48,MATCH(M45,Q:Q)-1,2),"没有上级")</f>
        <v>没有上级</v>
      </c>
      <c r="M48" s="16" t="str">
        <f>IF(ISNUMBER(INT(L48)),IF(OR(AND(M45&lt;=Q$12,M45&gt;Q$2),AND(M45&lt;Q$39,M45&gt;Q$29)),INDEX(Q$2:AC$48,MATCH(L48,X:X,0)-1,1),IF(OR(M45=Q$2,M45=Q$29),"没有上级",INDEX(Q$2:AC$48,MATCH(L48,AB:AB,0)-1,1))),"没有上级")</f>
        <v>没有上级</v>
      </c>
      <c r="N48" s="14" t="str">
        <f>IF(ISNUMBER(INDEX(Q$2:AC$48,MATCH(M48,$Q:$Q)-1,3)),INDEX(Q$2:AC$48,MATCH(M48,$Q:$Q)-1,3),"没有上级")</f>
        <v>没有上级</v>
      </c>
      <c r="O48" s="14" t="str">
        <f>IF(ISNUMBER(N48-N45),ROUND((N48-N45)*10,0),"没有上级")</f>
        <v>没有上级</v>
      </c>
      <c r="P48" s="14">
        <v>15196685194</v>
      </c>
      <c r="Q48" s="14">
        <v>384</v>
      </c>
      <c r="R48" s="14">
        <f t="shared" si="10"/>
        <v>7549362</v>
      </c>
      <c r="S48" s="14">
        <f t="shared" si="10"/>
        <v>5.6999999999999975</v>
      </c>
    </row>
    <row r="49" spans="1:9" x14ac:dyDescent="0.15">
      <c r="A49" s="14">
        <v>48</v>
      </c>
      <c r="B49" s="14">
        <f>F30</f>
        <v>8029</v>
      </c>
      <c r="C49" s="14">
        <f>G30</f>
        <v>9.2000000000000028</v>
      </c>
      <c r="D49" s="12">
        <v>7048</v>
      </c>
      <c r="E49" s="14">
        <f t="shared" si="0"/>
        <v>9.2000000000000028</v>
      </c>
      <c r="F49" s="12">
        <v>8048</v>
      </c>
      <c r="G49" s="14">
        <f t="shared" si="1"/>
        <v>9.1000000000000032</v>
      </c>
      <c r="H49" s="12">
        <v>9048</v>
      </c>
      <c r="I49" s="14">
        <f t="shared" si="2"/>
        <v>9.0000000000000036</v>
      </c>
    </row>
    <row r="50" spans="1:9" x14ac:dyDescent="0.15">
      <c r="A50" s="14">
        <v>49</v>
      </c>
      <c r="B50" s="14">
        <f>H31</f>
        <v>9030</v>
      </c>
      <c r="C50" s="14">
        <f>I31</f>
        <v>9.3000000000000025</v>
      </c>
      <c r="D50" s="12">
        <v>7049</v>
      </c>
      <c r="E50" s="14">
        <f t="shared" si="0"/>
        <v>9.3000000000000025</v>
      </c>
      <c r="F50" s="12">
        <v>8049</v>
      </c>
      <c r="G50" s="14">
        <f t="shared" si="1"/>
        <v>9.2000000000000028</v>
      </c>
      <c r="H50" s="12">
        <v>9049</v>
      </c>
      <c r="I50" s="14">
        <f t="shared" si="2"/>
        <v>9.1000000000000032</v>
      </c>
    </row>
    <row r="51" spans="1:9" x14ac:dyDescent="0.15">
      <c r="A51" s="14">
        <v>50</v>
      </c>
      <c r="B51" s="14">
        <f>H32</f>
        <v>9031</v>
      </c>
      <c r="C51" s="14">
        <f>I32</f>
        <v>9.1000000000000032</v>
      </c>
      <c r="D51" s="12">
        <v>7050</v>
      </c>
      <c r="E51" s="14">
        <f t="shared" si="0"/>
        <v>9.1000000000000032</v>
      </c>
      <c r="F51" s="12">
        <v>8050</v>
      </c>
      <c r="G51" s="14">
        <f t="shared" si="1"/>
        <v>9.0000000000000036</v>
      </c>
      <c r="H51" s="12">
        <v>9050</v>
      </c>
      <c r="I51" s="14">
        <f t="shared" si="2"/>
        <v>8.9000000000000039</v>
      </c>
    </row>
    <row r="52" spans="1:9" x14ac:dyDescent="0.15">
      <c r="A52" s="14">
        <v>51</v>
      </c>
      <c r="B52" s="14">
        <f>F32</f>
        <v>8031</v>
      </c>
      <c r="C52" s="14">
        <f>G32</f>
        <v>9.2000000000000028</v>
      </c>
      <c r="D52" s="12">
        <v>7051</v>
      </c>
      <c r="E52" s="14">
        <f t="shared" si="0"/>
        <v>9.2000000000000028</v>
      </c>
      <c r="F52" s="12">
        <v>8051</v>
      </c>
      <c r="G52" s="14">
        <f t="shared" si="1"/>
        <v>9.1000000000000032</v>
      </c>
      <c r="H52" s="12">
        <v>9051</v>
      </c>
      <c r="I52" s="14">
        <f t="shared" si="2"/>
        <v>9.0000000000000036</v>
      </c>
    </row>
    <row r="53" spans="1:9" x14ac:dyDescent="0.15">
      <c r="A53" s="14">
        <v>52</v>
      </c>
      <c r="B53" s="14">
        <f>F33</f>
        <v>8032</v>
      </c>
      <c r="C53" s="14">
        <f>G33</f>
        <v>9.1000000000000032</v>
      </c>
      <c r="D53" s="12">
        <v>7052</v>
      </c>
      <c r="E53" s="14">
        <f t="shared" si="0"/>
        <v>9.1000000000000032</v>
      </c>
      <c r="F53" s="12">
        <v>8052</v>
      </c>
      <c r="G53" s="14">
        <f t="shared" si="1"/>
        <v>9.0000000000000036</v>
      </c>
      <c r="H53" s="12">
        <v>9052</v>
      </c>
      <c r="I53" s="14">
        <f t="shared" si="2"/>
        <v>8.9000000000000039</v>
      </c>
    </row>
    <row r="54" spans="1:9" x14ac:dyDescent="0.15">
      <c r="A54" s="14">
        <v>53</v>
      </c>
      <c r="B54" s="14">
        <f>H33</f>
        <v>9032</v>
      </c>
      <c r="C54" s="14">
        <f>I33</f>
        <v>9.0000000000000036</v>
      </c>
      <c r="D54" s="12">
        <v>7053</v>
      </c>
      <c r="E54" s="14">
        <f t="shared" si="0"/>
        <v>9.0000000000000036</v>
      </c>
      <c r="F54" s="12">
        <v>8053</v>
      </c>
      <c r="G54" s="14">
        <f t="shared" si="1"/>
        <v>8.9000000000000039</v>
      </c>
      <c r="H54" s="12">
        <v>9053</v>
      </c>
      <c r="I54" s="14">
        <f t="shared" si="2"/>
        <v>8.8000000000000043</v>
      </c>
    </row>
    <row r="55" spans="1:9" x14ac:dyDescent="0.15">
      <c r="A55" s="14">
        <v>54</v>
      </c>
      <c r="B55" s="14">
        <f>F34</f>
        <v>8033</v>
      </c>
      <c r="C55" s="14">
        <f>G34</f>
        <v>9.1000000000000032</v>
      </c>
      <c r="D55" s="12">
        <v>7054</v>
      </c>
      <c r="E55" s="14">
        <f t="shared" si="0"/>
        <v>9.1000000000000032</v>
      </c>
      <c r="F55" s="12">
        <v>8054</v>
      </c>
      <c r="G55" s="14">
        <f t="shared" si="1"/>
        <v>9.0000000000000036</v>
      </c>
      <c r="H55" s="12">
        <v>9054</v>
      </c>
      <c r="I55" s="14">
        <f t="shared" si="2"/>
        <v>8.9000000000000039</v>
      </c>
    </row>
    <row r="56" spans="1:9" x14ac:dyDescent="0.15">
      <c r="A56" s="14">
        <v>55</v>
      </c>
      <c r="B56" s="14">
        <f>H34</f>
        <v>9033</v>
      </c>
      <c r="C56" s="14">
        <f>I34</f>
        <v>9.0000000000000036</v>
      </c>
      <c r="D56" s="12">
        <v>7055</v>
      </c>
      <c r="E56" s="14">
        <f t="shared" si="0"/>
        <v>9.0000000000000036</v>
      </c>
      <c r="F56" s="12">
        <v>8055</v>
      </c>
      <c r="G56" s="14">
        <f t="shared" si="1"/>
        <v>8.9000000000000039</v>
      </c>
      <c r="H56" s="12">
        <v>9055</v>
      </c>
      <c r="I56" s="14">
        <f t="shared" si="2"/>
        <v>8.8000000000000043</v>
      </c>
    </row>
    <row r="57" spans="1:9" x14ac:dyDescent="0.15">
      <c r="A57" s="14">
        <v>56</v>
      </c>
      <c r="B57" s="14">
        <f>H35</f>
        <v>9034</v>
      </c>
      <c r="C57" s="14">
        <f>I35</f>
        <v>8.9000000000000039</v>
      </c>
      <c r="D57" s="12">
        <v>7056</v>
      </c>
      <c r="E57" s="14">
        <f t="shared" si="0"/>
        <v>8.9000000000000039</v>
      </c>
      <c r="F57" s="12">
        <v>8056</v>
      </c>
      <c r="G57" s="14">
        <f t="shared" si="1"/>
        <v>8.8000000000000043</v>
      </c>
      <c r="H57" s="12">
        <v>9056</v>
      </c>
      <c r="I57" s="14">
        <f t="shared" si="2"/>
        <v>8.7000000000000046</v>
      </c>
    </row>
    <row r="58" spans="1:9" x14ac:dyDescent="0.15">
      <c r="A58" s="14">
        <v>57</v>
      </c>
      <c r="B58" s="14">
        <f>H39</f>
        <v>9038</v>
      </c>
      <c r="C58" s="14">
        <f>I39</f>
        <v>8.9000000000000039</v>
      </c>
      <c r="D58" s="12">
        <v>7057</v>
      </c>
      <c r="E58" s="14">
        <f t="shared" si="0"/>
        <v>8.9000000000000039</v>
      </c>
      <c r="F58" s="12">
        <v>8057</v>
      </c>
      <c r="G58" s="14">
        <f t="shared" si="1"/>
        <v>8.8000000000000043</v>
      </c>
      <c r="H58" s="12">
        <v>9057</v>
      </c>
      <c r="I58" s="14">
        <f t="shared" si="2"/>
        <v>8.7000000000000046</v>
      </c>
    </row>
    <row r="59" spans="1:9" x14ac:dyDescent="0.15">
      <c r="A59" s="14">
        <v>58</v>
      </c>
      <c r="B59" s="14">
        <f>H40</f>
        <v>9039</v>
      </c>
      <c r="C59" s="14">
        <f>I40</f>
        <v>9.0000000000000036</v>
      </c>
      <c r="D59" s="12">
        <v>7058</v>
      </c>
      <c r="E59" s="14">
        <f t="shared" si="0"/>
        <v>9.0000000000000036</v>
      </c>
      <c r="F59" s="12">
        <v>8058</v>
      </c>
      <c r="G59" s="14">
        <f t="shared" si="1"/>
        <v>8.9000000000000039</v>
      </c>
      <c r="H59" s="12">
        <v>9058</v>
      </c>
      <c r="I59" s="14">
        <f t="shared" si="2"/>
        <v>8.8000000000000043</v>
      </c>
    </row>
    <row r="60" spans="1:9" x14ac:dyDescent="0.15">
      <c r="A60" s="14">
        <v>59</v>
      </c>
      <c r="B60" s="14">
        <f>F41</f>
        <v>8040</v>
      </c>
      <c r="C60" s="14">
        <f>G41</f>
        <v>9.2000000000000028</v>
      </c>
      <c r="D60" s="12">
        <v>7059</v>
      </c>
      <c r="E60" s="14">
        <f t="shared" si="0"/>
        <v>9.2000000000000028</v>
      </c>
      <c r="F60" s="12">
        <v>8059</v>
      </c>
      <c r="G60" s="14">
        <f t="shared" si="1"/>
        <v>9.1000000000000032</v>
      </c>
      <c r="H60" s="12">
        <v>9059</v>
      </c>
      <c r="I60" s="14">
        <f t="shared" si="2"/>
        <v>9.0000000000000036</v>
      </c>
    </row>
    <row r="61" spans="1:9" x14ac:dyDescent="0.15">
      <c r="A61" s="14">
        <v>60</v>
      </c>
      <c r="B61" s="14">
        <f>H41</f>
        <v>9040</v>
      </c>
      <c r="C61" s="14">
        <f>I41</f>
        <v>9.1000000000000032</v>
      </c>
      <c r="D61" s="12">
        <v>7060</v>
      </c>
      <c r="E61" s="14">
        <f t="shared" si="0"/>
        <v>9.1000000000000032</v>
      </c>
      <c r="F61" s="12">
        <v>8060</v>
      </c>
      <c r="G61" s="14">
        <f t="shared" si="1"/>
        <v>9.0000000000000036</v>
      </c>
      <c r="H61" s="12">
        <v>9060</v>
      </c>
      <c r="I61" s="14">
        <f t="shared" si="2"/>
        <v>8.9000000000000039</v>
      </c>
    </row>
    <row r="62" spans="1:9" x14ac:dyDescent="0.15">
      <c r="A62" s="14">
        <v>61</v>
      </c>
      <c r="B62" s="14">
        <f>H42</f>
        <v>9041</v>
      </c>
      <c r="C62" s="14">
        <f>I42</f>
        <v>9.0000000000000036</v>
      </c>
      <c r="D62" s="12">
        <v>7061</v>
      </c>
      <c r="E62" s="14">
        <f t="shared" si="0"/>
        <v>9.0000000000000036</v>
      </c>
      <c r="F62" s="12">
        <v>8061</v>
      </c>
      <c r="G62" s="14">
        <f t="shared" si="1"/>
        <v>8.9000000000000039</v>
      </c>
      <c r="H62" s="12">
        <v>9061</v>
      </c>
      <c r="I62" s="14">
        <f t="shared" si="2"/>
        <v>8.8000000000000043</v>
      </c>
    </row>
    <row r="63" spans="1:9" x14ac:dyDescent="0.15">
      <c r="A63" s="14">
        <v>62</v>
      </c>
      <c r="B63" s="14">
        <f>F42</f>
        <v>8041</v>
      </c>
      <c r="C63" s="14">
        <f>G42</f>
        <v>9.1000000000000032</v>
      </c>
      <c r="D63" s="12">
        <v>7062</v>
      </c>
      <c r="E63" s="14">
        <f t="shared" si="0"/>
        <v>9.1000000000000032</v>
      </c>
      <c r="F63" s="12">
        <v>8062</v>
      </c>
      <c r="G63" s="14">
        <f t="shared" si="1"/>
        <v>9.0000000000000036</v>
      </c>
      <c r="H63" s="12">
        <v>9062</v>
      </c>
      <c r="I63" s="14">
        <f t="shared" si="2"/>
        <v>8.9000000000000039</v>
      </c>
    </row>
    <row r="64" spans="1:9" x14ac:dyDescent="0.15">
      <c r="A64" s="14">
        <v>63</v>
      </c>
      <c r="B64" s="14">
        <f>F43</f>
        <v>8042</v>
      </c>
      <c r="C64" s="14">
        <f>G43</f>
        <v>9.0000000000000036</v>
      </c>
      <c r="D64" s="12">
        <v>7063</v>
      </c>
      <c r="E64" s="14">
        <f t="shared" si="0"/>
        <v>9.0000000000000036</v>
      </c>
      <c r="F64" s="12">
        <v>8063</v>
      </c>
      <c r="G64" s="14">
        <f t="shared" si="1"/>
        <v>8.9000000000000039</v>
      </c>
      <c r="H64" s="12">
        <v>9063</v>
      </c>
      <c r="I64" s="14">
        <f t="shared" si="2"/>
        <v>8.8000000000000043</v>
      </c>
    </row>
    <row r="65" spans="1:9" x14ac:dyDescent="0.15">
      <c r="A65" s="14">
        <v>64</v>
      </c>
      <c r="B65" s="14">
        <f>H43</f>
        <v>9042</v>
      </c>
      <c r="C65" s="14">
        <f>I43</f>
        <v>8.9000000000000039</v>
      </c>
      <c r="D65" s="12">
        <v>7064</v>
      </c>
      <c r="E65" s="14">
        <f t="shared" si="0"/>
        <v>8.9000000000000039</v>
      </c>
      <c r="F65" s="12">
        <v>8064</v>
      </c>
      <c r="G65" s="14">
        <f t="shared" si="1"/>
        <v>8.8000000000000043</v>
      </c>
      <c r="H65" s="12">
        <v>9064</v>
      </c>
      <c r="I65" s="14">
        <f t="shared" si="2"/>
        <v>8.7000000000000046</v>
      </c>
    </row>
    <row r="66" spans="1:9" x14ac:dyDescent="0.15">
      <c r="A66" s="14">
        <v>65</v>
      </c>
      <c r="B66" s="14">
        <f>H44</f>
        <v>9043</v>
      </c>
      <c r="C66" s="14">
        <f>I44</f>
        <v>9.0000000000000036</v>
      </c>
      <c r="D66" s="12">
        <v>7065</v>
      </c>
      <c r="E66" s="14">
        <f t="shared" ref="E66:E129" si="11">C66</f>
        <v>9.0000000000000036</v>
      </c>
      <c r="F66" s="12">
        <v>8065</v>
      </c>
      <c r="G66" s="14">
        <f t="shared" ref="G66:G129" si="12">$E66-0.1</f>
        <v>8.9000000000000039</v>
      </c>
      <c r="H66" s="12">
        <v>9065</v>
      </c>
      <c r="I66" s="14">
        <f t="shared" ref="I66:I129" si="13">$E66-0.2</f>
        <v>8.8000000000000043</v>
      </c>
    </row>
    <row r="67" spans="1:9" x14ac:dyDescent="0.15">
      <c r="A67" s="14">
        <v>66</v>
      </c>
      <c r="B67" s="14">
        <f>F44</f>
        <v>8043</v>
      </c>
      <c r="C67" s="14">
        <f>G44</f>
        <v>9.1000000000000032</v>
      </c>
      <c r="D67" s="12">
        <v>7066</v>
      </c>
      <c r="E67" s="14">
        <f t="shared" si="11"/>
        <v>9.1000000000000032</v>
      </c>
      <c r="F67" s="12">
        <v>8066</v>
      </c>
      <c r="G67" s="14">
        <f t="shared" si="12"/>
        <v>9.0000000000000036</v>
      </c>
      <c r="H67" s="12">
        <v>9066</v>
      </c>
      <c r="I67" s="14">
        <f t="shared" si="13"/>
        <v>8.9000000000000039</v>
      </c>
    </row>
    <row r="68" spans="1:9" x14ac:dyDescent="0.15">
      <c r="A68" s="14">
        <v>67</v>
      </c>
      <c r="B68" s="14">
        <f>F45</f>
        <v>8044</v>
      </c>
      <c r="C68" s="14">
        <f>G45</f>
        <v>9.2000000000000028</v>
      </c>
      <c r="D68" s="12">
        <v>7067</v>
      </c>
      <c r="E68" s="14">
        <f t="shared" si="11"/>
        <v>9.2000000000000028</v>
      </c>
      <c r="F68" s="12">
        <v>8067</v>
      </c>
      <c r="G68" s="14">
        <f t="shared" si="12"/>
        <v>9.1000000000000032</v>
      </c>
      <c r="H68" s="12">
        <v>9067</v>
      </c>
      <c r="I68" s="14">
        <f t="shared" si="13"/>
        <v>9.0000000000000036</v>
      </c>
    </row>
    <row r="69" spans="1:9" x14ac:dyDescent="0.15">
      <c r="A69" s="14">
        <v>68</v>
      </c>
      <c r="B69" s="14">
        <f>H45</f>
        <v>9044</v>
      </c>
      <c r="C69" s="14">
        <f>I45</f>
        <v>9.1000000000000032</v>
      </c>
      <c r="D69" s="12">
        <v>7068</v>
      </c>
      <c r="E69" s="14">
        <f t="shared" si="11"/>
        <v>9.1000000000000032</v>
      </c>
      <c r="F69" s="12">
        <v>8068</v>
      </c>
      <c r="G69" s="14">
        <f t="shared" si="12"/>
        <v>9.0000000000000036</v>
      </c>
      <c r="H69" s="12">
        <v>9068</v>
      </c>
      <c r="I69" s="14">
        <f t="shared" si="13"/>
        <v>8.9000000000000039</v>
      </c>
    </row>
    <row r="70" spans="1:9" x14ac:dyDescent="0.15">
      <c r="A70" s="14">
        <v>69</v>
      </c>
      <c r="B70" s="14">
        <f>F46</f>
        <v>8045</v>
      </c>
      <c r="C70" s="14">
        <f>G46</f>
        <v>8.9000000000000039</v>
      </c>
      <c r="D70" s="12">
        <v>7069</v>
      </c>
      <c r="E70" s="14">
        <f t="shared" si="11"/>
        <v>8.9000000000000039</v>
      </c>
      <c r="F70" s="12">
        <v>8069</v>
      </c>
      <c r="G70" s="14">
        <f t="shared" si="12"/>
        <v>8.8000000000000043</v>
      </c>
      <c r="H70" s="12">
        <v>9069</v>
      </c>
      <c r="I70" s="14">
        <f t="shared" si="13"/>
        <v>8.7000000000000046</v>
      </c>
    </row>
    <row r="71" spans="1:9" x14ac:dyDescent="0.15">
      <c r="A71" s="14">
        <v>70</v>
      </c>
      <c r="B71" s="14">
        <f>H46</f>
        <v>9045</v>
      </c>
      <c r="C71" s="14">
        <f>I46</f>
        <v>8.8000000000000043</v>
      </c>
      <c r="D71" s="12">
        <v>7070</v>
      </c>
      <c r="E71" s="14">
        <f t="shared" si="11"/>
        <v>8.8000000000000043</v>
      </c>
      <c r="F71" s="12">
        <v>8070</v>
      </c>
      <c r="G71" s="14">
        <f t="shared" si="12"/>
        <v>8.7000000000000046</v>
      </c>
      <c r="H71" s="12">
        <v>9070</v>
      </c>
      <c r="I71" s="14">
        <f t="shared" si="13"/>
        <v>8.600000000000005</v>
      </c>
    </row>
    <row r="72" spans="1:9" x14ac:dyDescent="0.15">
      <c r="A72" s="14">
        <v>71</v>
      </c>
      <c r="B72" s="14">
        <f>H47</f>
        <v>9046</v>
      </c>
      <c r="C72" s="14">
        <f>I47</f>
        <v>8.8000000000000043</v>
      </c>
      <c r="D72" s="12">
        <v>7071</v>
      </c>
      <c r="E72" s="14">
        <f t="shared" si="11"/>
        <v>8.8000000000000043</v>
      </c>
      <c r="F72" s="12">
        <v>8071</v>
      </c>
      <c r="G72" s="14">
        <f t="shared" si="12"/>
        <v>8.7000000000000046</v>
      </c>
      <c r="H72" s="12">
        <v>9071</v>
      </c>
      <c r="I72" s="14">
        <f t="shared" si="13"/>
        <v>8.600000000000005</v>
      </c>
    </row>
    <row r="73" spans="1:9" x14ac:dyDescent="0.15">
      <c r="A73" s="14">
        <v>72</v>
      </c>
      <c r="B73" s="14">
        <f>F49</f>
        <v>8048</v>
      </c>
      <c r="C73" s="14">
        <f>G49</f>
        <v>9.1000000000000032</v>
      </c>
      <c r="D73" s="12">
        <v>7072</v>
      </c>
      <c r="E73" s="14">
        <f t="shared" si="11"/>
        <v>9.1000000000000032</v>
      </c>
      <c r="F73" s="12">
        <v>8072</v>
      </c>
      <c r="G73" s="14">
        <f t="shared" si="12"/>
        <v>9.0000000000000036</v>
      </c>
      <c r="H73" s="12">
        <v>9072</v>
      </c>
      <c r="I73" s="14">
        <f t="shared" si="13"/>
        <v>8.9000000000000039</v>
      </c>
    </row>
    <row r="74" spans="1:9" x14ac:dyDescent="0.15">
      <c r="A74" s="14">
        <v>73</v>
      </c>
      <c r="B74" s="14">
        <f>H49</f>
        <v>9048</v>
      </c>
      <c r="C74" s="14">
        <f>I49</f>
        <v>9.0000000000000036</v>
      </c>
      <c r="D74" s="12">
        <v>7073</v>
      </c>
      <c r="E74" s="14">
        <f t="shared" si="11"/>
        <v>9.0000000000000036</v>
      </c>
      <c r="F74" s="12">
        <v>8073</v>
      </c>
      <c r="G74" s="14">
        <f t="shared" si="12"/>
        <v>8.9000000000000039</v>
      </c>
      <c r="H74" s="12">
        <v>9073</v>
      </c>
      <c r="I74" s="14">
        <f t="shared" si="13"/>
        <v>8.8000000000000043</v>
      </c>
    </row>
    <row r="75" spans="1:9" x14ac:dyDescent="0.15">
      <c r="A75" s="14">
        <v>74</v>
      </c>
      <c r="B75" s="14">
        <f>H50</f>
        <v>9049</v>
      </c>
      <c r="C75" s="14">
        <f>I50</f>
        <v>9.1000000000000032</v>
      </c>
      <c r="D75" s="12">
        <v>7074</v>
      </c>
      <c r="E75" s="14">
        <f t="shared" si="11"/>
        <v>9.1000000000000032</v>
      </c>
      <c r="F75" s="12">
        <v>8074</v>
      </c>
      <c r="G75" s="14">
        <f t="shared" si="12"/>
        <v>9.0000000000000036</v>
      </c>
      <c r="H75" s="12">
        <v>9074</v>
      </c>
      <c r="I75" s="14">
        <f t="shared" si="13"/>
        <v>8.9000000000000039</v>
      </c>
    </row>
    <row r="76" spans="1:9" x14ac:dyDescent="0.15">
      <c r="A76" s="14">
        <v>75</v>
      </c>
      <c r="B76" s="14">
        <f>F50</f>
        <v>8049</v>
      </c>
      <c r="C76" s="14">
        <f>G50</f>
        <v>9.2000000000000028</v>
      </c>
      <c r="D76" s="12">
        <v>7075</v>
      </c>
      <c r="E76" s="14">
        <f t="shared" si="11"/>
        <v>9.2000000000000028</v>
      </c>
      <c r="F76" s="12">
        <v>8075</v>
      </c>
      <c r="G76" s="14">
        <f t="shared" si="12"/>
        <v>9.1000000000000032</v>
      </c>
      <c r="H76" s="12">
        <v>9075</v>
      </c>
      <c r="I76" s="14">
        <f t="shared" si="13"/>
        <v>9.0000000000000036</v>
      </c>
    </row>
    <row r="77" spans="1:9" x14ac:dyDescent="0.15">
      <c r="A77" s="14">
        <v>76</v>
      </c>
      <c r="B77" s="14">
        <f>H51</f>
        <v>9050</v>
      </c>
      <c r="C77" s="14">
        <f>I51</f>
        <v>8.9000000000000039</v>
      </c>
      <c r="D77" s="12">
        <v>7076</v>
      </c>
      <c r="E77" s="14">
        <f t="shared" si="11"/>
        <v>8.9000000000000039</v>
      </c>
      <c r="F77" s="12">
        <v>8076</v>
      </c>
      <c r="G77" s="14">
        <f t="shared" si="12"/>
        <v>8.8000000000000043</v>
      </c>
      <c r="H77" s="12">
        <v>9076</v>
      </c>
      <c r="I77" s="14">
        <f t="shared" si="13"/>
        <v>8.7000000000000046</v>
      </c>
    </row>
    <row r="78" spans="1:9" x14ac:dyDescent="0.15">
      <c r="A78" s="14">
        <v>77</v>
      </c>
      <c r="B78" s="14">
        <f>F51</f>
        <v>8050</v>
      </c>
      <c r="C78" s="14">
        <f>G51</f>
        <v>9.0000000000000036</v>
      </c>
      <c r="D78" s="12">
        <v>7077</v>
      </c>
      <c r="E78" s="14">
        <f t="shared" si="11"/>
        <v>9.0000000000000036</v>
      </c>
      <c r="F78" s="12">
        <v>8077</v>
      </c>
      <c r="G78" s="14">
        <f t="shared" si="12"/>
        <v>8.9000000000000039</v>
      </c>
      <c r="H78" s="12">
        <v>9077</v>
      </c>
      <c r="I78" s="14">
        <f t="shared" si="13"/>
        <v>8.8000000000000043</v>
      </c>
    </row>
    <row r="79" spans="1:9" x14ac:dyDescent="0.15">
      <c r="A79" s="14">
        <v>78</v>
      </c>
      <c r="B79" s="14">
        <f>F53</f>
        <v>8052</v>
      </c>
      <c r="C79" s="14">
        <f>G53</f>
        <v>9.0000000000000036</v>
      </c>
      <c r="D79" s="12">
        <v>7078</v>
      </c>
      <c r="E79" s="14">
        <f t="shared" si="11"/>
        <v>9.0000000000000036</v>
      </c>
      <c r="F79" s="12">
        <v>8078</v>
      </c>
      <c r="G79" s="14">
        <f t="shared" si="12"/>
        <v>8.9000000000000039</v>
      </c>
      <c r="H79" s="12">
        <v>9078</v>
      </c>
      <c r="I79" s="14">
        <f t="shared" si="13"/>
        <v>8.8000000000000043</v>
      </c>
    </row>
    <row r="80" spans="1:9" x14ac:dyDescent="0.15">
      <c r="A80" s="14">
        <v>79</v>
      </c>
      <c r="B80" s="14">
        <f>H53</f>
        <v>9052</v>
      </c>
      <c r="C80" s="14">
        <f>I53</f>
        <v>8.9000000000000039</v>
      </c>
      <c r="D80" s="12">
        <v>7079</v>
      </c>
      <c r="E80" s="14">
        <f t="shared" si="11"/>
        <v>8.9000000000000039</v>
      </c>
      <c r="F80" s="12">
        <v>8079</v>
      </c>
      <c r="G80" s="14">
        <f t="shared" si="12"/>
        <v>8.8000000000000043</v>
      </c>
      <c r="H80" s="12">
        <v>9079</v>
      </c>
      <c r="I80" s="14">
        <f t="shared" si="13"/>
        <v>8.7000000000000046</v>
      </c>
    </row>
    <row r="81" spans="1:9" x14ac:dyDescent="0.15">
      <c r="A81" s="14">
        <v>80</v>
      </c>
      <c r="B81" s="14">
        <f>F56</f>
        <v>8055</v>
      </c>
      <c r="C81" s="14">
        <f>G56</f>
        <v>8.9000000000000039</v>
      </c>
      <c r="D81" s="12">
        <v>7080</v>
      </c>
      <c r="E81" s="14">
        <f t="shared" si="11"/>
        <v>8.9000000000000039</v>
      </c>
      <c r="F81" s="12">
        <v>8080</v>
      </c>
      <c r="G81" s="14">
        <f t="shared" si="12"/>
        <v>8.8000000000000043</v>
      </c>
      <c r="H81" s="12">
        <v>9080</v>
      </c>
      <c r="I81" s="14">
        <f t="shared" si="13"/>
        <v>8.7000000000000046</v>
      </c>
    </row>
    <row r="82" spans="1:9" x14ac:dyDescent="0.15">
      <c r="A82" s="14">
        <v>81</v>
      </c>
      <c r="B82" s="14">
        <f>H56</f>
        <v>9055</v>
      </c>
      <c r="C82" s="14">
        <f>I56</f>
        <v>8.8000000000000043</v>
      </c>
      <c r="D82" s="12">
        <v>7081</v>
      </c>
      <c r="E82" s="14">
        <f t="shared" si="11"/>
        <v>8.8000000000000043</v>
      </c>
      <c r="F82" s="12">
        <v>8081</v>
      </c>
      <c r="G82" s="14">
        <f t="shared" si="12"/>
        <v>8.7000000000000046</v>
      </c>
      <c r="H82" s="12">
        <v>9081</v>
      </c>
      <c r="I82" s="14">
        <f t="shared" si="13"/>
        <v>8.600000000000005</v>
      </c>
    </row>
    <row r="83" spans="1:9" x14ac:dyDescent="0.15">
      <c r="A83" s="14">
        <v>82</v>
      </c>
      <c r="B83" s="14">
        <f>D57</f>
        <v>7056</v>
      </c>
      <c r="C83" s="14">
        <f>E57</f>
        <v>8.9000000000000039</v>
      </c>
      <c r="D83" s="12">
        <v>7082</v>
      </c>
      <c r="E83" s="14">
        <f t="shared" si="11"/>
        <v>8.9000000000000039</v>
      </c>
      <c r="F83" s="12">
        <v>8082</v>
      </c>
      <c r="G83" s="14">
        <f t="shared" si="12"/>
        <v>8.8000000000000043</v>
      </c>
      <c r="H83" s="12">
        <v>9082</v>
      </c>
      <c r="I83" s="14">
        <f t="shared" si="13"/>
        <v>8.7000000000000046</v>
      </c>
    </row>
    <row r="84" spans="1:9" x14ac:dyDescent="0.15">
      <c r="A84" s="14">
        <v>83</v>
      </c>
      <c r="B84" s="14">
        <f>D58</f>
        <v>7057</v>
      </c>
      <c r="C84" s="14">
        <f>E58</f>
        <v>8.9000000000000039</v>
      </c>
      <c r="D84" s="12">
        <v>7083</v>
      </c>
      <c r="E84" s="14">
        <f t="shared" si="11"/>
        <v>8.9000000000000039</v>
      </c>
      <c r="F84" s="12">
        <v>8083</v>
      </c>
      <c r="G84" s="14">
        <f t="shared" si="12"/>
        <v>8.8000000000000043</v>
      </c>
      <c r="H84" s="12">
        <v>9083</v>
      </c>
      <c r="I84" s="14">
        <f t="shared" si="13"/>
        <v>8.7000000000000046</v>
      </c>
    </row>
    <row r="85" spans="1:9" x14ac:dyDescent="0.15">
      <c r="A85" s="14">
        <v>84</v>
      </c>
      <c r="B85" s="14">
        <f>F58</f>
        <v>8057</v>
      </c>
      <c r="C85" s="14">
        <f>G58</f>
        <v>8.8000000000000043</v>
      </c>
      <c r="D85" s="12">
        <v>7084</v>
      </c>
      <c r="E85" s="14">
        <f t="shared" si="11"/>
        <v>8.8000000000000043</v>
      </c>
      <c r="F85" s="12">
        <v>8084</v>
      </c>
      <c r="G85" s="14">
        <f t="shared" si="12"/>
        <v>8.7000000000000046</v>
      </c>
      <c r="H85" s="12">
        <v>9084</v>
      </c>
      <c r="I85" s="14">
        <f t="shared" si="13"/>
        <v>8.600000000000005</v>
      </c>
    </row>
    <row r="86" spans="1:9" x14ac:dyDescent="0.15">
      <c r="A86" s="14">
        <v>85</v>
      </c>
      <c r="B86" s="14">
        <f>H58</f>
        <v>9057</v>
      </c>
      <c r="C86" s="14">
        <f>I58</f>
        <v>8.7000000000000046</v>
      </c>
      <c r="D86" s="12">
        <v>7085</v>
      </c>
      <c r="E86" s="14">
        <f t="shared" si="11"/>
        <v>8.7000000000000046</v>
      </c>
      <c r="F86" s="12">
        <v>8085</v>
      </c>
      <c r="G86" s="14">
        <f t="shared" si="12"/>
        <v>8.600000000000005</v>
      </c>
      <c r="H86" s="12">
        <v>9085</v>
      </c>
      <c r="I86" s="14">
        <f t="shared" si="13"/>
        <v>8.5000000000000053</v>
      </c>
    </row>
    <row r="87" spans="1:9" x14ac:dyDescent="0.15">
      <c r="A87" s="14">
        <v>86</v>
      </c>
      <c r="B87" s="14">
        <f>F59</f>
        <v>8058</v>
      </c>
      <c r="C87" s="14">
        <f>G59</f>
        <v>8.9000000000000039</v>
      </c>
      <c r="D87" s="12">
        <v>7086</v>
      </c>
      <c r="E87" s="14">
        <f t="shared" si="11"/>
        <v>8.9000000000000039</v>
      </c>
      <c r="F87" s="12">
        <v>8086</v>
      </c>
      <c r="G87" s="14">
        <f t="shared" si="12"/>
        <v>8.8000000000000043</v>
      </c>
      <c r="H87" s="12">
        <v>9086</v>
      </c>
      <c r="I87" s="14">
        <f t="shared" si="13"/>
        <v>8.7000000000000046</v>
      </c>
    </row>
    <row r="88" spans="1:9" x14ac:dyDescent="0.15">
      <c r="A88" s="14">
        <v>87</v>
      </c>
      <c r="B88" s="14">
        <f>H59</f>
        <v>9058</v>
      </c>
      <c r="C88" s="14">
        <f>I59</f>
        <v>8.8000000000000043</v>
      </c>
      <c r="D88" s="12">
        <v>7087</v>
      </c>
      <c r="E88" s="14">
        <f t="shared" si="11"/>
        <v>8.8000000000000043</v>
      </c>
      <c r="F88" s="12">
        <v>8087</v>
      </c>
      <c r="G88" s="14">
        <f t="shared" si="12"/>
        <v>8.7000000000000046</v>
      </c>
      <c r="H88" s="12">
        <v>9087</v>
      </c>
      <c r="I88" s="14">
        <f t="shared" si="13"/>
        <v>8.600000000000005</v>
      </c>
    </row>
    <row r="89" spans="1:9" x14ac:dyDescent="0.15">
      <c r="A89" s="14">
        <v>88</v>
      </c>
      <c r="B89" s="14">
        <f>H60</f>
        <v>9059</v>
      </c>
      <c r="C89" s="14">
        <f>I60</f>
        <v>9.0000000000000036</v>
      </c>
      <c r="D89" s="12">
        <v>7088</v>
      </c>
      <c r="E89" s="14">
        <f t="shared" si="11"/>
        <v>9.0000000000000036</v>
      </c>
      <c r="F89" s="12">
        <v>8088</v>
      </c>
      <c r="G89" s="14">
        <f t="shared" si="12"/>
        <v>8.9000000000000039</v>
      </c>
      <c r="H89" s="12">
        <v>9088</v>
      </c>
      <c r="I89" s="14">
        <f t="shared" si="13"/>
        <v>8.8000000000000043</v>
      </c>
    </row>
    <row r="90" spans="1:9" x14ac:dyDescent="0.15">
      <c r="A90" s="14">
        <v>89</v>
      </c>
      <c r="B90" s="14">
        <f>F60</f>
        <v>8059</v>
      </c>
      <c r="C90" s="14">
        <f>G60</f>
        <v>9.1000000000000032</v>
      </c>
      <c r="D90" s="12">
        <v>7089</v>
      </c>
      <c r="E90" s="14">
        <f t="shared" si="11"/>
        <v>9.1000000000000032</v>
      </c>
      <c r="F90" s="12">
        <v>8089</v>
      </c>
      <c r="G90" s="14">
        <f t="shared" si="12"/>
        <v>9.0000000000000036</v>
      </c>
      <c r="H90" s="12">
        <v>9089</v>
      </c>
      <c r="I90" s="14">
        <f t="shared" si="13"/>
        <v>8.9000000000000039</v>
      </c>
    </row>
    <row r="91" spans="1:9" x14ac:dyDescent="0.15">
      <c r="A91" s="14">
        <v>90</v>
      </c>
      <c r="B91" s="14">
        <f>F61</f>
        <v>8060</v>
      </c>
      <c r="C91" s="14">
        <f>G61</f>
        <v>9.0000000000000036</v>
      </c>
      <c r="D91" s="12">
        <v>7090</v>
      </c>
      <c r="E91" s="14">
        <f t="shared" si="11"/>
        <v>9.0000000000000036</v>
      </c>
      <c r="F91" s="12">
        <v>8090</v>
      </c>
      <c r="G91" s="14">
        <f t="shared" si="12"/>
        <v>8.9000000000000039</v>
      </c>
      <c r="H91" s="12">
        <v>9090</v>
      </c>
      <c r="I91" s="14">
        <f t="shared" si="13"/>
        <v>8.8000000000000043</v>
      </c>
    </row>
    <row r="92" spans="1:9" x14ac:dyDescent="0.15">
      <c r="A92" s="14">
        <v>91</v>
      </c>
      <c r="B92" s="14">
        <f>H61</f>
        <v>9060</v>
      </c>
      <c r="C92" s="14">
        <f>I61</f>
        <v>8.9000000000000039</v>
      </c>
      <c r="D92" s="12">
        <v>7091</v>
      </c>
      <c r="E92" s="14">
        <f t="shared" si="11"/>
        <v>8.9000000000000039</v>
      </c>
      <c r="F92" s="12">
        <v>8091</v>
      </c>
      <c r="G92" s="14">
        <f t="shared" si="12"/>
        <v>8.8000000000000043</v>
      </c>
      <c r="H92" s="12">
        <v>9091</v>
      </c>
      <c r="I92" s="14">
        <f t="shared" si="13"/>
        <v>8.7000000000000046</v>
      </c>
    </row>
    <row r="93" spans="1:9" x14ac:dyDescent="0.15">
      <c r="A93" s="14">
        <v>92</v>
      </c>
      <c r="B93" s="14">
        <f>F62</f>
        <v>8061</v>
      </c>
      <c r="C93" s="14">
        <f>G62</f>
        <v>8.9000000000000039</v>
      </c>
      <c r="D93" s="12">
        <v>7092</v>
      </c>
      <c r="E93" s="14">
        <f t="shared" si="11"/>
        <v>8.9000000000000039</v>
      </c>
      <c r="F93" s="12">
        <v>8092</v>
      </c>
      <c r="G93" s="14">
        <f t="shared" si="12"/>
        <v>8.8000000000000043</v>
      </c>
      <c r="H93" s="12">
        <v>9092</v>
      </c>
      <c r="I93" s="14">
        <f t="shared" si="13"/>
        <v>8.7000000000000046</v>
      </c>
    </row>
    <row r="94" spans="1:9" x14ac:dyDescent="0.15">
      <c r="A94" s="14">
        <v>93</v>
      </c>
      <c r="B94" s="14">
        <f>H62</f>
        <v>9061</v>
      </c>
      <c r="C94" s="14">
        <f>I62</f>
        <v>8.8000000000000043</v>
      </c>
      <c r="D94" s="12">
        <v>7093</v>
      </c>
      <c r="E94" s="14">
        <f t="shared" si="11"/>
        <v>8.8000000000000043</v>
      </c>
      <c r="F94" s="12">
        <v>8093</v>
      </c>
      <c r="G94" s="14">
        <f t="shared" si="12"/>
        <v>8.7000000000000046</v>
      </c>
      <c r="H94" s="12">
        <v>9093</v>
      </c>
      <c r="I94" s="14">
        <f t="shared" si="13"/>
        <v>8.600000000000005</v>
      </c>
    </row>
    <row r="95" spans="1:9" x14ac:dyDescent="0.15">
      <c r="A95" s="14">
        <v>94</v>
      </c>
      <c r="B95" s="14">
        <f>H63</f>
        <v>9062</v>
      </c>
      <c r="C95" s="14">
        <f>I63</f>
        <v>8.9000000000000039</v>
      </c>
      <c r="D95" s="12">
        <v>7094</v>
      </c>
      <c r="E95" s="14">
        <f t="shared" si="11"/>
        <v>8.9000000000000039</v>
      </c>
      <c r="F95" s="12">
        <v>8094</v>
      </c>
      <c r="G95" s="14">
        <f t="shared" si="12"/>
        <v>8.8000000000000043</v>
      </c>
      <c r="H95" s="12">
        <v>9094</v>
      </c>
      <c r="I95" s="14">
        <f t="shared" si="13"/>
        <v>8.7000000000000046</v>
      </c>
    </row>
    <row r="96" spans="1:9" x14ac:dyDescent="0.15">
      <c r="A96" s="14">
        <v>95</v>
      </c>
      <c r="B96" s="14">
        <f>F63</f>
        <v>8062</v>
      </c>
      <c r="C96" s="14">
        <f>G63</f>
        <v>9.0000000000000036</v>
      </c>
      <c r="D96" s="12">
        <v>7095</v>
      </c>
      <c r="E96" s="14">
        <f t="shared" si="11"/>
        <v>9.0000000000000036</v>
      </c>
      <c r="F96" s="12">
        <v>8095</v>
      </c>
      <c r="G96" s="14">
        <f t="shared" si="12"/>
        <v>8.9000000000000039</v>
      </c>
      <c r="H96" s="12">
        <v>9095</v>
      </c>
      <c r="I96" s="14">
        <f t="shared" si="13"/>
        <v>8.8000000000000043</v>
      </c>
    </row>
    <row r="97" spans="1:9" x14ac:dyDescent="0.15">
      <c r="A97" s="14">
        <v>96</v>
      </c>
      <c r="B97" s="14">
        <f>F64</f>
        <v>8063</v>
      </c>
      <c r="C97" s="14">
        <f>G64</f>
        <v>8.9000000000000039</v>
      </c>
      <c r="D97" s="12">
        <v>7096</v>
      </c>
      <c r="E97" s="14">
        <f t="shared" si="11"/>
        <v>8.9000000000000039</v>
      </c>
      <c r="F97" s="12">
        <v>8096</v>
      </c>
      <c r="G97" s="14">
        <f t="shared" si="12"/>
        <v>8.8000000000000043</v>
      </c>
      <c r="H97" s="12">
        <v>9096</v>
      </c>
      <c r="I97" s="14">
        <f t="shared" si="13"/>
        <v>8.7000000000000046</v>
      </c>
    </row>
    <row r="98" spans="1:9" x14ac:dyDescent="0.15">
      <c r="A98" s="14">
        <v>97</v>
      </c>
      <c r="B98" s="14">
        <f>H64</f>
        <v>9063</v>
      </c>
      <c r="C98" s="14">
        <f>I64</f>
        <v>8.8000000000000043</v>
      </c>
      <c r="D98" s="12">
        <v>7097</v>
      </c>
      <c r="E98" s="14">
        <f t="shared" si="11"/>
        <v>8.8000000000000043</v>
      </c>
      <c r="F98" s="12">
        <v>8097</v>
      </c>
      <c r="G98" s="14">
        <f t="shared" si="12"/>
        <v>8.7000000000000046</v>
      </c>
      <c r="H98" s="12">
        <v>9097</v>
      </c>
      <c r="I98" s="14">
        <f t="shared" si="13"/>
        <v>8.600000000000005</v>
      </c>
    </row>
    <row r="99" spans="1:9" x14ac:dyDescent="0.15">
      <c r="A99" s="14">
        <v>98</v>
      </c>
      <c r="B99" s="14">
        <f>H65</f>
        <v>9064</v>
      </c>
      <c r="C99" s="14">
        <f>I65</f>
        <v>8.7000000000000046</v>
      </c>
      <c r="D99" s="12">
        <v>7098</v>
      </c>
      <c r="E99" s="14">
        <f t="shared" si="11"/>
        <v>8.7000000000000046</v>
      </c>
      <c r="F99" s="12">
        <v>8098</v>
      </c>
      <c r="G99" s="14">
        <f t="shared" si="12"/>
        <v>8.600000000000005</v>
      </c>
      <c r="H99" s="12">
        <v>9098</v>
      </c>
      <c r="I99" s="14">
        <f t="shared" si="13"/>
        <v>8.5000000000000053</v>
      </c>
    </row>
    <row r="100" spans="1:9" x14ac:dyDescent="0.15">
      <c r="A100" s="14">
        <v>99</v>
      </c>
      <c r="B100" s="14">
        <f>F65</f>
        <v>8064</v>
      </c>
      <c r="C100" s="14">
        <f>G65</f>
        <v>8.8000000000000043</v>
      </c>
      <c r="D100" s="12">
        <v>7099</v>
      </c>
      <c r="E100" s="14">
        <f t="shared" si="11"/>
        <v>8.8000000000000043</v>
      </c>
      <c r="F100" s="12">
        <v>8099</v>
      </c>
      <c r="G100" s="14">
        <f t="shared" si="12"/>
        <v>8.7000000000000046</v>
      </c>
      <c r="H100" s="12">
        <v>9099</v>
      </c>
      <c r="I100" s="14">
        <f t="shared" si="13"/>
        <v>8.600000000000005</v>
      </c>
    </row>
    <row r="101" spans="1:9" x14ac:dyDescent="0.15">
      <c r="A101" s="14">
        <v>100</v>
      </c>
      <c r="B101" s="14">
        <f>F68</f>
        <v>8067</v>
      </c>
      <c r="C101" s="14">
        <f>G68</f>
        <v>9.1000000000000032</v>
      </c>
      <c r="D101" s="12">
        <v>7100</v>
      </c>
      <c r="E101" s="14">
        <f t="shared" si="11"/>
        <v>9.1000000000000032</v>
      </c>
      <c r="F101" s="12">
        <v>8100</v>
      </c>
      <c r="G101" s="14">
        <f t="shared" si="12"/>
        <v>9.0000000000000036</v>
      </c>
      <c r="H101" s="12">
        <v>9100</v>
      </c>
      <c r="I101" s="14">
        <f t="shared" si="13"/>
        <v>8.9000000000000039</v>
      </c>
    </row>
    <row r="102" spans="1:9" x14ac:dyDescent="0.15">
      <c r="A102" s="14">
        <v>101</v>
      </c>
      <c r="B102" s="14">
        <f>H68</f>
        <v>9067</v>
      </c>
      <c r="C102" s="14">
        <f>I68</f>
        <v>9.0000000000000036</v>
      </c>
      <c r="D102" s="12">
        <v>7101</v>
      </c>
      <c r="E102" s="14">
        <f t="shared" si="11"/>
        <v>9.0000000000000036</v>
      </c>
      <c r="F102" s="12">
        <v>8101</v>
      </c>
      <c r="G102" s="14">
        <f t="shared" si="12"/>
        <v>8.9000000000000039</v>
      </c>
      <c r="H102" s="12">
        <v>9101</v>
      </c>
      <c r="I102" s="14">
        <f t="shared" si="13"/>
        <v>8.8000000000000043</v>
      </c>
    </row>
    <row r="103" spans="1:9" x14ac:dyDescent="0.15">
      <c r="A103" s="14">
        <v>102</v>
      </c>
      <c r="B103" s="14">
        <f>F69</f>
        <v>8068</v>
      </c>
      <c r="C103" s="14">
        <f>G69</f>
        <v>9.0000000000000036</v>
      </c>
      <c r="D103" s="12">
        <v>7102</v>
      </c>
      <c r="E103" s="14">
        <f t="shared" si="11"/>
        <v>9.0000000000000036</v>
      </c>
      <c r="F103" s="12">
        <v>8102</v>
      </c>
      <c r="G103" s="14">
        <f t="shared" si="12"/>
        <v>8.9000000000000039</v>
      </c>
      <c r="H103" s="12">
        <v>9102</v>
      </c>
      <c r="I103" s="14">
        <f t="shared" si="13"/>
        <v>8.8000000000000043</v>
      </c>
    </row>
    <row r="104" spans="1:9" x14ac:dyDescent="0.15">
      <c r="A104" s="14">
        <v>103</v>
      </c>
      <c r="B104" s="14">
        <f>H69</f>
        <v>9068</v>
      </c>
      <c r="C104" s="14">
        <f>I69</f>
        <v>8.9000000000000039</v>
      </c>
      <c r="D104" s="12">
        <v>7103</v>
      </c>
      <c r="E104" s="14">
        <f t="shared" si="11"/>
        <v>8.9000000000000039</v>
      </c>
      <c r="F104" s="12">
        <v>8103</v>
      </c>
      <c r="G104" s="14">
        <f t="shared" si="12"/>
        <v>8.8000000000000043</v>
      </c>
      <c r="H104" s="12">
        <v>9103</v>
      </c>
      <c r="I104" s="14">
        <f t="shared" si="13"/>
        <v>8.7000000000000046</v>
      </c>
    </row>
    <row r="105" spans="1:9" x14ac:dyDescent="0.15">
      <c r="A105" s="14">
        <v>104</v>
      </c>
      <c r="B105" s="14">
        <f>D70</f>
        <v>7069</v>
      </c>
      <c r="C105" s="14">
        <f>E70</f>
        <v>8.9000000000000039</v>
      </c>
      <c r="D105" s="12">
        <v>7104</v>
      </c>
      <c r="E105" s="14">
        <f t="shared" si="11"/>
        <v>8.9000000000000039</v>
      </c>
      <c r="F105" s="12">
        <v>8104</v>
      </c>
      <c r="G105" s="14">
        <f t="shared" si="12"/>
        <v>8.8000000000000043</v>
      </c>
      <c r="H105" s="12">
        <v>9104</v>
      </c>
      <c r="I105" s="14">
        <f t="shared" si="13"/>
        <v>8.7000000000000046</v>
      </c>
    </row>
    <row r="106" spans="1:9" x14ac:dyDescent="0.15">
      <c r="A106" s="14">
        <v>105</v>
      </c>
      <c r="B106" s="14">
        <f>H70</f>
        <v>9069</v>
      </c>
      <c r="C106" s="14">
        <f>I70</f>
        <v>8.7000000000000046</v>
      </c>
      <c r="D106" s="12">
        <v>7105</v>
      </c>
      <c r="E106" s="14">
        <f t="shared" si="11"/>
        <v>8.7000000000000046</v>
      </c>
      <c r="F106" s="12">
        <v>8105</v>
      </c>
      <c r="G106" s="14">
        <f t="shared" si="12"/>
        <v>8.600000000000005</v>
      </c>
      <c r="H106" s="12">
        <v>9105</v>
      </c>
      <c r="I106" s="14">
        <f t="shared" si="13"/>
        <v>8.5000000000000053</v>
      </c>
    </row>
    <row r="107" spans="1:9" x14ac:dyDescent="0.15">
      <c r="A107" s="14">
        <v>106</v>
      </c>
      <c r="B107" s="14">
        <f>H71</f>
        <v>9070</v>
      </c>
      <c r="C107" s="14">
        <f>I71</f>
        <v>8.600000000000005</v>
      </c>
      <c r="D107" s="12">
        <v>7106</v>
      </c>
      <c r="E107" s="14">
        <f t="shared" si="11"/>
        <v>8.600000000000005</v>
      </c>
      <c r="F107" s="12">
        <v>8106</v>
      </c>
      <c r="G107" s="14">
        <f t="shared" si="12"/>
        <v>8.5000000000000053</v>
      </c>
      <c r="H107" s="12">
        <v>9106</v>
      </c>
      <c r="I107" s="14">
        <f t="shared" si="13"/>
        <v>8.4000000000000057</v>
      </c>
    </row>
    <row r="108" spans="1:9" x14ac:dyDescent="0.15">
      <c r="A108" s="14">
        <v>107</v>
      </c>
      <c r="B108" s="14">
        <f>F71</f>
        <v>8070</v>
      </c>
      <c r="C108" s="14">
        <f>G71</f>
        <v>8.7000000000000046</v>
      </c>
      <c r="D108" s="12">
        <v>7107</v>
      </c>
      <c r="E108" s="14">
        <f t="shared" si="11"/>
        <v>8.7000000000000046</v>
      </c>
      <c r="F108" s="12">
        <v>8107</v>
      </c>
      <c r="G108" s="14">
        <f t="shared" si="12"/>
        <v>8.600000000000005</v>
      </c>
      <c r="H108" s="12">
        <v>9107</v>
      </c>
      <c r="I108" s="14">
        <f t="shared" si="13"/>
        <v>8.5000000000000053</v>
      </c>
    </row>
    <row r="109" spans="1:9" x14ac:dyDescent="0.15">
      <c r="A109" s="14">
        <v>108</v>
      </c>
      <c r="B109" s="14">
        <f>F72</f>
        <v>8071</v>
      </c>
      <c r="C109" s="14">
        <f>G72</f>
        <v>8.7000000000000046</v>
      </c>
      <c r="D109" s="12">
        <v>7108</v>
      </c>
      <c r="E109" s="14">
        <f t="shared" si="11"/>
        <v>8.7000000000000046</v>
      </c>
      <c r="F109" s="12">
        <v>8108</v>
      </c>
      <c r="G109" s="14">
        <f t="shared" si="12"/>
        <v>8.600000000000005</v>
      </c>
      <c r="H109" s="12">
        <v>9108</v>
      </c>
      <c r="I109" s="14">
        <f t="shared" si="13"/>
        <v>8.5000000000000053</v>
      </c>
    </row>
    <row r="110" spans="1:9" x14ac:dyDescent="0.15">
      <c r="A110" s="14">
        <v>109</v>
      </c>
      <c r="B110" s="14">
        <f>H72</f>
        <v>9071</v>
      </c>
      <c r="C110" s="14">
        <f>I72</f>
        <v>8.600000000000005</v>
      </c>
      <c r="D110" s="12">
        <v>7109</v>
      </c>
      <c r="E110" s="14">
        <f t="shared" si="11"/>
        <v>8.600000000000005</v>
      </c>
      <c r="F110" s="12">
        <v>8109</v>
      </c>
      <c r="G110" s="14">
        <f t="shared" si="12"/>
        <v>8.5000000000000053</v>
      </c>
      <c r="H110" s="12">
        <v>9109</v>
      </c>
      <c r="I110" s="14">
        <f t="shared" si="13"/>
        <v>8.4000000000000057</v>
      </c>
    </row>
    <row r="111" spans="1:9" x14ac:dyDescent="0.15">
      <c r="A111" s="14">
        <v>110</v>
      </c>
      <c r="B111" s="14">
        <f>H48</f>
        <v>9047</v>
      </c>
      <c r="C111" s="14">
        <f>I48</f>
        <v>8.9000000000000039</v>
      </c>
      <c r="D111" s="12">
        <v>7110</v>
      </c>
      <c r="E111" s="14">
        <f t="shared" si="11"/>
        <v>8.9000000000000039</v>
      </c>
      <c r="F111" s="12">
        <v>8110</v>
      </c>
      <c r="G111" s="14">
        <f t="shared" si="12"/>
        <v>8.8000000000000043</v>
      </c>
      <c r="H111" s="12">
        <v>9110</v>
      </c>
      <c r="I111" s="14">
        <f t="shared" si="13"/>
        <v>8.7000000000000046</v>
      </c>
    </row>
    <row r="112" spans="1:9" x14ac:dyDescent="0.15">
      <c r="A112" s="14">
        <v>111</v>
      </c>
      <c r="B112" s="14">
        <f>D73</f>
        <v>7072</v>
      </c>
      <c r="C112" s="14">
        <f>E73</f>
        <v>9.1000000000000032</v>
      </c>
      <c r="D112" s="12">
        <v>7111</v>
      </c>
      <c r="E112" s="14">
        <f t="shared" si="11"/>
        <v>9.1000000000000032</v>
      </c>
      <c r="F112" s="12">
        <v>8111</v>
      </c>
      <c r="G112" s="14">
        <f t="shared" si="12"/>
        <v>9.0000000000000036</v>
      </c>
      <c r="H112" s="12">
        <v>9111</v>
      </c>
      <c r="I112" s="14">
        <f t="shared" si="13"/>
        <v>8.9000000000000039</v>
      </c>
    </row>
    <row r="113" spans="1:9" x14ac:dyDescent="0.15">
      <c r="A113" s="14">
        <v>112</v>
      </c>
      <c r="B113" s="14">
        <f>H73</f>
        <v>9072</v>
      </c>
      <c r="C113" s="14">
        <f>I73</f>
        <v>8.9000000000000039</v>
      </c>
      <c r="D113" s="12">
        <v>7112</v>
      </c>
      <c r="E113" s="14">
        <f t="shared" si="11"/>
        <v>8.9000000000000039</v>
      </c>
      <c r="F113" s="12">
        <v>8112</v>
      </c>
      <c r="G113" s="14">
        <f t="shared" si="12"/>
        <v>8.8000000000000043</v>
      </c>
      <c r="H113" s="12">
        <v>9112</v>
      </c>
      <c r="I113" s="14">
        <f t="shared" si="13"/>
        <v>8.7000000000000046</v>
      </c>
    </row>
    <row r="114" spans="1:9" x14ac:dyDescent="0.15">
      <c r="A114" s="14">
        <v>113</v>
      </c>
      <c r="B114" s="14">
        <f>F74</f>
        <v>8073</v>
      </c>
      <c r="C114" s="14">
        <f>G74</f>
        <v>8.9000000000000039</v>
      </c>
      <c r="D114" s="12">
        <v>7113</v>
      </c>
      <c r="E114" s="14">
        <f t="shared" si="11"/>
        <v>8.9000000000000039</v>
      </c>
      <c r="F114" s="12">
        <v>8113</v>
      </c>
      <c r="G114" s="14">
        <f t="shared" si="12"/>
        <v>8.8000000000000043</v>
      </c>
      <c r="H114" s="12">
        <v>9113</v>
      </c>
      <c r="I114" s="14">
        <f t="shared" si="13"/>
        <v>8.7000000000000046</v>
      </c>
    </row>
    <row r="115" spans="1:9" x14ac:dyDescent="0.15">
      <c r="A115" s="14">
        <v>114</v>
      </c>
      <c r="B115" s="14">
        <f>H74</f>
        <v>9073</v>
      </c>
      <c r="C115" s="14">
        <f>I74</f>
        <v>8.8000000000000043</v>
      </c>
      <c r="D115" s="12">
        <v>7114</v>
      </c>
      <c r="E115" s="14">
        <f t="shared" si="11"/>
        <v>8.8000000000000043</v>
      </c>
      <c r="F115" s="12">
        <v>8114</v>
      </c>
      <c r="G115" s="14">
        <f t="shared" si="12"/>
        <v>8.7000000000000046</v>
      </c>
      <c r="H115" s="12">
        <v>9114</v>
      </c>
      <c r="I115" s="14">
        <f t="shared" si="13"/>
        <v>8.600000000000005</v>
      </c>
    </row>
    <row r="116" spans="1:9" x14ac:dyDescent="0.15">
      <c r="A116" s="14">
        <v>115</v>
      </c>
      <c r="B116" s="14">
        <f>H75</f>
        <v>9074</v>
      </c>
      <c r="C116" s="14">
        <f>I75</f>
        <v>8.9000000000000039</v>
      </c>
      <c r="D116" s="12">
        <v>7115</v>
      </c>
      <c r="E116" s="14">
        <f t="shared" si="11"/>
        <v>8.9000000000000039</v>
      </c>
      <c r="F116" s="12">
        <v>8115</v>
      </c>
      <c r="G116" s="14">
        <f t="shared" si="12"/>
        <v>8.8000000000000043</v>
      </c>
      <c r="H116" s="12">
        <v>9115</v>
      </c>
      <c r="I116" s="14">
        <f t="shared" si="13"/>
        <v>8.7000000000000046</v>
      </c>
    </row>
    <row r="117" spans="1:9" x14ac:dyDescent="0.15">
      <c r="A117" s="14">
        <v>116</v>
      </c>
      <c r="B117" s="14">
        <f>F75</f>
        <v>8074</v>
      </c>
      <c r="C117" s="14">
        <f>G75</f>
        <v>9.0000000000000036</v>
      </c>
      <c r="D117" s="12">
        <v>7116</v>
      </c>
      <c r="E117" s="14">
        <f t="shared" si="11"/>
        <v>9.0000000000000036</v>
      </c>
      <c r="F117" s="12">
        <v>8116</v>
      </c>
      <c r="G117" s="14">
        <f t="shared" si="12"/>
        <v>8.9000000000000039</v>
      </c>
      <c r="H117" s="12">
        <v>9116</v>
      </c>
      <c r="I117" s="14">
        <f t="shared" si="13"/>
        <v>8.8000000000000043</v>
      </c>
    </row>
    <row r="118" spans="1:9" x14ac:dyDescent="0.15">
      <c r="A118" s="14">
        <v>117</v>
      </c>
      <c r="B118" s="14">
        <f>F76</f>
        <v>8075</v>
      </c>
      <c r="C118" s="14">
        <f>G76</f>
        <v>9.1000000000000032</v>
      </c>
      <c r="D118" s="12">
        <v>7117</v>
      </c>
      <c r="E118" s="14">
        <f t="shared" si="11"/>
        <v>9.1000000000000032</v>
      </c>
      <c r="F118" s="12">
        <v>8117</v>
      </c>
      <c r="G118" s="14">
        <f t="shared" si="12"/>
        <v>9.0000000000000036</v>
      </c>
      <c r="H118" s="12">
        <v>9117</v>
      </c>
      <c r="I118" s="14">
        <f t="shared" si="13"/>
        <v>8.9000000000000039</v>
      </c>
    </row>
    <row r="119" spans="1:9" x14ac:dyDescent="0.15">
      <c r="A119" s="14">
        <v>118</v>
      </c>
      <c r="B119" s="14">
        <f>H76</f>
        <v>9075</v>
      </c>
      <c r="C119" s="14">
        <f>I76</f>
        <v>9.0000000000000036</v>
      </c>
      <c r="D119" s="12">
        <v>7118</v>
      </c>
      <c r="E119" s="14">
        <f t="shared" si="11"/>
        <v>9.0000000000000036</v>
      </c>
      <c r="F119" s="12">
        <v>8118</v>
      </c>
      <c r="G119" s="14">
        <f t="shared" si="12"/>
        <v>8.9000000000000039</v>
      </c>
      <c r="H119" s="12">
        <v>9118</v>
      </c>
      <c r="I119" s="14">
        <f t="shared" si="13"/>
        <v>8.8000000000000043</v>
      </c>
    </row>
    <row r="120" spans="1:9" x14ac:dyDescent="0.15">
      <c r="A120" s="14">
        <v>119</v>
      </c>
      <c r="B120" s="14">
        <f>F81</f>
        <v>8080</v>
      </c>
      <c r="C120" s="14">
        <f>G81</f>
        <v>8.8000000000000043</v>
      </c>
      <c r="D120" s="12">
        <v>7119</v>
      </c>
      <c r="E120" s="14">
        <f t="shared" si="11"/>
        <v>8.8000000000000043</v>
      </c>
      <c r="F120" s="12">
        <v>8119</v>
      </c>
      <c r="G120" s="14">
        <f t="shared" si="12"/>
        <v>8.7000000000000046</v>
      </c>
      <c r="H120" s="12">
        <v>9119</v>
      </c>
      <c r="I120" s="14">
        <f t="shared" si="13"/>
        <v>8.600000000000005</v>
      </c>
    </row>
    <row r="121" spans="1:9" x14ac:dyDescent="0.15">
      <c r="A121" s="14">
        <v>120</v>
      </c>
      <c r="B121" s="14">
        <f>H83</f>
        <v>9082</v>
      </c>
      <c r="C121" s="14">
        <f>I83</f>
        <v>8.7000000000000046</v>
      </c>
      <c r="D121" s="12">
        <v>7120</v>
      </c>
      <c r="E121" s="14">
        <f t="shared" si="11"/>
        <v>8.7000000000000046</v>
      </c>
      <c r="F121" s="12">
        <v>8120</v>
      </c>
      <c r="G121" s="14">
        <f t="shared" si="12"/>
        <v>8.600000000000005</v>
      </c>
      <c r="H121" s="12">
        <v>9120</v>
      </c>
      <c r="I121" s="14">
        <f t="shared" si="13"/>
        <v>8.5000000000000053</v>
      </c>
    </row>
    <row r="122" spans="1:9" x14ac:dyDescent="0.15">
      <c r="A122" s="14">
        <v>121</v>
      </c>
      <c r="B122" s="14">
        <f>F83</f>
        <v>8082</v>
      </c>
      <c r="C122" s="14">
        <f>G83</f>
        <v>8.8000000000000043</v>
      </c>
      <c r="D122" s="12">
        <v>7121</v>
      </c>
      <c r="E122" s="14">
        <f t="shared" si="11"/>
        <v>8.8000000000000043</v>
      </c>
      <c r="F122" s="12">
        <v>8121</v>
      </c>
      <c r="G122" s="14">
        <f t="shared" si="12"/>
        <v>8.7000000000000046</v>
      </c>
      <c r="H122" s="12">
        <v>9121</v>
      </c>
      <c r="I122" s="14">
        <f t="shared" si="13"/>
        <v>8.600000000000005</v>
      </c>
    </row>
    <row r="123" spans="1:9" x14ac:dyDescent="0.15">
      <c r="A123" s="14">
        <v>122</v>
      </c>
      <c r="B123" s="14">
        <f>H87</f>
        <v>9086</v>
      </c>
      <c r="C123" s="14">
        <f>I87</f>
        <v>8.7000000000000046</v>
      </c>
      <c r="D123" s="12">
        <v>7122</v>
      </c>
      <c r="E123" s="14">
        <f t="shared" si="11"/>
        <v>8.7000000000000046</v>
      </c>
      <c r="F123" s="12">
        <v>8122</v>
      </c>
      <c r="G123" s="14">
        <f t="shared" si="12"/>
        <v>8.600000000000005</v>
      </c>
      <c r="H123" s="12">
        <v>9122</v>
      </c>
      <c r="I123" s="14">
        <f t="shared" si="13"/>
        <v>8.5000000000000053</v>
      </c>
    </row>
    <row r="124" spans="1:9" x14ac:dyDescent="0.15">
      <c r="A124" s="14">
        <v>123</v>
      </c>
      <c r="B124" s="14">
        <f>H89</f>
        <v>9088</v>
      </c>
      <c r="C124" s="14">
        <f>I89</f>
        <v>8.8000000000000043</v>
      </c>
      <c r="D124" s="12">
        <v>7123</v>
      </c>
      <c r="E124" s="14">
        <f t="shared" si="11"/>
        <v>8.8000000000000043</v>
      </c>
      <c r="F124" s="12">
        <v>8123</v>
      </c>
      <c r="G124" s="14">
        <f t="shared" si="12"/>
        <v>8.7000000000000046</v>
      </c>
      <c r="H124" s="12">
        <v>9123</v>
      </c>
      <c r="I124" s="14">
        <f t="shared" si="13"/>
        <v>8.600000000000005</v>
      </c>
    </row>
    <row r="125" spans="1:9" x14ac:dyDescent="0.15">
      <c r="A125" s="14">
        <v>124</v>
      </c>
      <c r="B125" s="14">
        <f>F89</f>
        <v>8088</v>
      </c>
      <c r="C125" s="14">
        <f>G89</f>
        <v>8.9000000000000039</v>
      </c>
      <c r="D125" s="12">
        <v>7124</v>
      </c>
      <c r="E125" s="14">
        <f t="shared" si="11"/>
        <v>8.9000000000000039</v>
      </c>
      <c r="F125" s="12">
        <v>8124</v>
      </c>
      <c r="G125" s="14">
        <f t="shared" si="12"/>
        <v>8.8000000000000043</v>
      </c>
      <c r="H125" s="12">
        <v>9124</v>
      </c>
      <c r="I125" s="14">
        <f t="shared" si="13"/>
        <v>8.7000000000000046</v>
      </c>
    </row>
    <row r="126" spans="1:9" x14ac:dyDescent="0.15">
      <c r="A126" s="14">
        <v>125</v>
      </c>
      <c r="B126" s="14">
        <f>F92</f>
        <v>8091</v>
      </c>
      <c r="C126" s="14">
        <f>G92</f>
        <v>8.8000000000000043</v>
      </c>
      <c r="D126" s="12">
        <v>7125</v>
      </c>
      <c r="E126" s="14">
        <f t="shared" si="11"/>
        <v>8.8000000000000043</v>
      </c>
      <c r="F126" s="12">
        <v>8125</v>
      </c>
      <c r="G126" s="14">
        <f t="shared" si="12"/>
        <v>8.7000000000000046</v>
      </c>
      <c r="H126" s="12">
        <v>9125</v>
      </c>
      <c r="I126" s="14">
        <f t="shared" si="13"/>
        <v>8.600000000000005</v>
      </c>
    </row>
    <row r="127" spans="1:9" x14ac:dyDescent="0.15">
      <c r="A127" s="14">
        <v>126</v>
      </c>
      <c r="B127" s="14">
        <f>H92</f>
        <v>9091</v>
      </c>
      <c r="C127" s="14">
        <f>I92</f>
        <v>8.7000000000000046</v>
      </c>
      <c r="D127" s="12">
        <v>7126</v>
      </c>
      <c r="E127" s="14">
        <f t="shared" si="11"/>
        <v>8.7000000000000046</v>
      </c>
      <c r="F127" s="12">
        <v>8126</v>
      </c>
      <c r="G127" s="14">
        <f t="shared" si="12"/>
        <v>8.600000000000005</v>
      </c>
      <c r="H127" s="12">
        <v>9126</v>
      </c>
      <c r="I127" s="14">
        <f t="shared" si="13"/>
        <v>8.5000000000000053</v>
      </c>
    </row>
    <row r="128" spans="1:9" x14ac:dyDescent="0.15">
      <c r="A128" s="14">
        <v>127</v>
      </c>
      <c r="B128" s="14">
        <f>D93</f>
        <v>7092</v>
      </c>
      <c r="C128" s="14">
        <f>E93</f>
        <v>8.9000000000000039</v>
      </c>
      <c r="D128" s="12">
        <v>7127</v>
      </c>
      <c r="E128" s="14">
        <f t="shared" si="11"/>
        <v>8.9000000000000039</v>
      </c>
      <c r="F128" s="12">
        <v>8127</v>
      </c>
      <c r="G128" s="14">
        <f t="shared" si="12"/>
        <v>8.8000000000000043</v>
      </c>
      <c r="H128" s="12">
        <v>9127</v>
      </c>
      <c r="I128" s="14">
        <f t="shared" si="13"/>
        <v>8.7000000000000046</v>
      </c>
    </row>
    <row r="129" spans="1:9" x14ac:dyDescent="0.15">
      <c r="A129" s="14">
        <v>128</v>
      </c>
      <c r="B129" s="14">
        <f>F93</f>
        <v>8092</v>
      </c>
      <c r="C129" s="14">
        <f>G93</f>
        <v>8.8000000000000043</v>
      </c>
      <c r="D129" s="12">
        <v>7128</v>
      </c>
      <c r="E129" s="14">
        <f t="shared" si="11"/>
        <v>8.8000000000000043</v>
      </c>
      <c r="F129" s="12">
        <v>8128</v>
      </c>
      <c r="G129" s="14">
        <f t="shared" si="12"/>
        <v>8.7000000000000046</v>
      </c>
      <c r="H129" s="12">
        <v>9128</v>
      </c>
      <c r="I129" s="14">
        <f t="shared" si="13"/>
        <v>8.600000000000005</v>
      </c>
    </row>
    <row r="130" spans="1:9" x14ac:dyDescent="0.15">
      <c r="A130" s="14">
        <v>129</v>
      </c>
      <c r="B130" s="14">
        <f>H93</f>
        <v>9092</v>
      </c>
      <c r="C130" s="14">
        <f>I93</f>
        <v>8.7000000000000046</v>
      </c>
      <c r="D130" s="12">
        <v>7129</v>
      </c>
      <c r="E130" s="14">
        <f t="shared" ref="E130:E193" si="14">C130</f>
        <v>8.7000000000000046</v>
      </c>
      <c r="F130" s="12">
        <v>8129</v>
      </c>
      <c r="G130" s="14">
        <f t="shared" ref="G130:G193" si="15">$E130-0.1</f>
        <v>8.600000000000005</v>
      </c>
      <c r="H130" s="12">
        <v>9129</v>
      </c>
      <c r="I130" s="14">
        <f t="shared" ref="I130:I193" si="16">$E130-0.2</f>
        <v>8.5000000000000053</v>
      </c>
    </row>
    <row r="131" spans="1:9" x14ac:dyDescent="0.15">
      <c r="A131" s="14">
        <v>130</v>
      </c>
      <c r="B131" s="14">
        <f>H93</f>
        <v>9092</v>
      </c>
      <c r="C131" s="14">
        <f>I93</f>
        <v>8.7000000000000046</v>
      </c>
      <c r="D131" s="12">
        <v>7130</v>
      </c>
      <c r="E131" s="14">
        <f t="shared" si="14"/>
        <v>8.7000000000000046</v>
      </c>
      <c r="F131" s="12">
        <v>8130</v>
      </c>
      <c r="G131" s="14">
        <f t="shared" si="15"/>
        <v>8.600000000000005</v>
      </c>
      <c r="H131" s="12">
        <v>9130</v>
      </c>
      <c r="I131" s="14">
        <f t="shared" si="16"/>
        <v>8.5000000000000053</v>
      </c>
    </row>
    <row r="132" spans="1:9" x14ac:dyDescent="0.15">
      <c r="A132" s="14">
        <v>131</v>
      </c>
      <c r="B132" s="14">
        <f>H95</f>
        <v>9094</v>
      </c>
      <c r="C132" s="14">
        <f>I95</f>
        <v>8.7000000000000046</v>
      </c>
      <c r="D132" s="12">
        <v>7131</v>
      </c>
      <c r="E132" s="14">
        <f t="shared" si="14"/>
        <v>8.7000000000000046</v>
      </c>
      <c r="F132" s="12">
        <v>8131</v>
      </c>
      <c r="G132" s="14">
        <f t="shared" si="15"/>
        <v>8.600000000000005</v>
      </c>
      <c r="H132" s="12">
        <v>9131</v>
      </c>
      <c r="I132" s="14">
        <f t="shared" si="16"/>
        <v>8.5000000000000053</v>
      </c>
    </row>
    <row r="133" spans="1:9" x14ac:dyDescent="0.15">
      <c r="A133" s="14">
        <v>132</v>
      </c>
      <c r="B133" s="14">
        <f>F95</f>
        <v>8094</v>
      </c>
      <c r="C133" s="14">
        <f>G95</f>
        <v>8.8000000000000043</v>
      </c>
      <c r="D133" s="12">
        <v>7132</v>
      </c>
      <c r="E133" s="14">
        <f t="shared" si="14"/>
        <v>8.8000000000000043</v>
      </c>
      <c r="F133" s="12">
        <v>8132</v>
      </c>
      <c r="G133" s="14">
        <f t="shared" si="15"/>
        <v>8.7000000000000046</v>
      </c>
      <c r="H133" s="12">
        <v>9132</v>
      </c>
      <c r="I133" s="14">
        <f t="shared" si="16"/>
        <v>8.600000000000005</v>
      </c>
    </row>
    <row r="134" spans="1:9" x14ac:dyDescent="0.15">
      <c r="A134" s="14">
        <v>133</v>
      </c>
      <c r="B134" s="14">
        <f>F97</f>
        <v>8096</v>
      </c>
      <c r="C134" s="14">
        <f>G97</f>
        <v>8.8000000000000043</v>
      </c>
      <c r="D134" s="12">
        <v>7133</v>
      </c>
      <c r="E134" s="14">
        <f t="shared" si="14"/>
        <v>8.8000000000000043</v>
      </c>
      <c r="F134" s="12">
        <v>8133</v>
      </c>
      <c r="G134" s="14">
        <f t="shared" si="15"/>
        <v>8.7000000000000046</v>
      </c>
      <c r="H134" s="12">
        <v>9133</v>
      </c>
      <c r="I134" s="14">
        <f t="shared" si="16"/>
        <v>8.600000000000005</v>
      </c>
    </row>
    <row r="135" spans="1:9" x14ac:dyDescent="0.15">
      <c r="A135" s="14">
        <v>134</v>
      </c>
      <c r="B135" s="14">
        <f>H97</f>
        <v>9096</v>
      </c>
      <c r="C135" s="14">
        <f>I97</f>
        <v>8.7000000000000046</v>
      </c>
      <c r="D135" s="12">
        <v>7134</v>
      </c>
      <c r="E135" s="14">
        <f t="shared" si="14"/>
        <v>8.7000000000000046</v>
      </c>
      <c r="F135" s="12">
        <v>8134</v>
      </c>
      <c r="G135" s="14">
        <f t="shared" si="15"/>
        <v>8.600000000000005</v>
      </c>
      <c r="H135" s="12">
        <v>9134</v>
      </c>
      <c r="I135" s="14">
        <f t="shared" si="16"/>
        <v>8.5000000000000053</v>
      </c>
    </row>
    <row r="136" spans="1:9" x14ac:dyDescent="0.15">
      <c r="A136" s="14">
        <v>135</v>
      </c>
      <c r="B136" s="14">
        <f>F99</f>
        <v>8098</v>
      </c>
      <c r="C136" s="14">
        <f>G99</f>
        <v>8.600000000000005</v>
      </c>
      <c r="D136" s="12">
        <v>7135</v>
      </c>
      <c r="E136" s="14">
        <f t="shared" si="14"/>
        <v>8.600000000000005</v>
      </c>
      <c r="F136" s="12">
        <v>8135</v>
      </c>
      <c r="G136" s="14">
        <f t="shared" si="15"/>
        <v>8.5000000000000053</v>
      </c>
      <c r="H136" s="12">
        <v>9135</v>
      </c>
      <c r="I136" s="14">
        <f t="shared" si="16"/>
        <v>8.4000000000000057</v>
      </c>
    </row>
    <row r="137" spans="1:9" x14ac:dyDescent="0.15">
      <c r="A137" s="14">
        <v>136</v>
      </c>
      <c r="B137" s="14">
        <f>H99</f>
        <v>9098</v>
      </c>
      <c r="C137" s="14">
        <f>I99</f>
        <v>8.5000000000000053</v>
      </c>
      <c r="D137" s="12">
        <v>7136</v>
      </c>
      <c r="E137" s="14">
        <f t="shared" si="14"/>
        <v>8.5000000000000053</v>
      </c>
      <c r="F137" s="12">
        <v>8136</v>
      </c>
      <c r="G137" s="14">
        <f t="shared" si="15"/>
        <v>8.4000000000000057</v>
      </c>
      <c r="H137" s="12">
        <v>9136</v>
      </c>
      <c r="I137" s="14">
        <f t="shared" si="16"/>
        <v>8.300000000000006</v>
      </c>
    </row>
    <row r="138" spans="1:9" x14ac:dyDescent="0.15">
      <c r="A138" s="14">
        <v>137</v>
      </c>
      <c r="B138" s="14">
        <f>H100</f>
        <v>9099</v>
      </c>
      <c r="C138" s="14">
        <f>I100</f>
        <v>8.600000000000005</v>
      </c>
      <c r="D138" s="12">
        <v>7137</v>
      </c>
      <c r="E138" s="14">
        <f t="shared" si="14"/>
        <v>8.600000000000005</v>
      </c>
      <c r="F138" s="12">
        <v>8137</v>
      </c>
      <c r="G138" s="14">
        <f t="shared" si="15"/>
        <v>8.5000000000000053</v>
      </c>
      <c r="H138" s="12">
        <v>9137</v>
      </c>
      <c r="I138" s="14">
        <f t="shared" si="16"/>
        <v>8.4000000000000057</v>
      </c>
    </row>
    <row r="139" spans="1:9" x14ac:dyDescent="0.15">
      <c r="A139" s="14">
        <v>138</v>
      </c>
      <c r="B139" s="14">
        <f>F100</f>
        <v>8099</v>
      </c>
      <c r="C139" s="14">
        <f>G100</f>
        <v>8.7000000000000046</v>
      </c>
      <c r="D139" s="12">
        <v>7138</v>
      </c>
      <c r="E139" s="14">
        <f t="shared" si="14"/>
        <v>8.7000000000000046</v>
      </c>
      <c r="F139" s="12">
        <v>8138</v>
      </c>
      <c r="G139" s="14">
        <f t="shared" si="15"/>
        <v>8.600000000000005</v>
      </c>
      <c r="H139" s="12">
        <v>9138</v>
      </c>
      <c r="I139" s="14">
        <f t="shared" si="16"/>
        <v>8.5000000000000053</v>
      </c>
    </row>
    <row r="140" spans="1:9" x14ac:dyDescent="0.15">
      <c r="A140" s="14">
        <v>139</v>
      </c>
      <c r="B140" s="14">
        <f>F101</f>
        <v>8100</v>
      </c>
      <c r="C140" s="14">
        <f>G101</f>
        <v>9.0000000000000036</v>
      </c>
      <c r="D140" s="12">
        <v>7139</v>
      </c>
      <c r="E140" s="14">
        <f t="shared" si="14"/>
        <v>9.0000000000000036</v>
      </c>
      <c r="F140" s="12">
        <v>8139</v>
      </c>
      <c r="G140" s="14">
        <f t="shared" si="15"/>
        <v>8.9000000000000039</v>
      </c>
      <c r="H140" s="12">
        <v>9139</v>
      </c>
      <c r="I140" s="14">
        <f t="shared" si="16"/>
        <v>8.8000000000000043</v>
      </c>
    </row>
    <row r="141" spans="1:9" x14ac:dyDescent="0.15">
      <c r="A141" s="14">
        <v>140</v>
      </c>
      <c r="B141" s="14">
        <f>H101</f>
        <v>9100</v>
      </c>
      <c r="C141" s="14">
        <f>I101</f>
        <v>8.9000000000000039</v>
      </c>
      <c r="D141" s="12">
        <v>7140</v>
      </c>
      <c r="E141" s="14">
        <f t="shared" si="14"/>
        <v>8.9000000000000039</v>
      </c>
      <c r="F141" s="12">
        <v>8140</v>
      </c>
      <c r="G141" s="14">
        <f t="shared" si="15"/>
        <v>8.8000000000000043</v>
      </c>
      <c r="H141" s="12">
        <v>9140</v>
      </c>
      <c r="I141" s="14">
        <f t="shared" si="16"/>
        <v>8.7000000000000046</v>
      </c>
    </row>
    <row r="142" spans="1:9" x14ac:dyDescent="0.15">
      <c r="A142" s="14">
        <v>141</v>
      </c>
      <c r="B142" s="14">
        <f>F104</f>
        <v>8103</v>
      </c>
      <c r="C142" s="14">
        <f>G104</f>
        <v>8.8000000000000043</v>
      </c>
      <c r="D142" s="12">
        <v>7141</v>
      </c>
      <c r="E142" s="14">
        <f t="shared" si="14"/>
        <v>8.8000000000000043</v>
      </c>
      <c r="F142" s="12">
        <v>8141</v>
      </c>
      <c r="G142" s="14">
        <f t="shared" si="15"/>
        <v>8.7000000000000046</v>
      </c>
      <c r="H142" s="12">
        <v>9141</v>
      </c>
      <c r="I142" s="14">
        <f t="shared" si="16"/>
        <v>8.600000000000005</v>
      </c>
    </row>
    <row r="143" spans="1:9" x14ac:dyDescent="0.15">
      <c r="A143" s="14">
        <v>142</v>
      </c>
      <c r="B143" s="14">
        <f>H104</f>
        <v>9103</v>
      </c>
      <c r="C143" s="14">
        <f>I104</f>
        <v>8.7000000000000046</v>
      </c>
      <c r="D143" s="12">
        <v>7142</v>
      </c>
      <c r="E143" s="14">
        <f t="shared" si="14"/>
        <v>8.7000000000000046</v>
      </c>
      <c r="F143" s="12">
        <v>8142</v>
      </c>
      <c r="G143" s="14">
        <f t="shared" si="15"/>
        <v>8.600000000000005</v>
      </c>
      <c r="H143" s="12">
        <v>9142</v>
      </c>
      <c r="I143" s="14">
        <f t="shared" si="16"/>
        <v>8.5000000000000053</v>
      </c>
    </row>
    <row r="144" spans="1:9" x14ac:dyDescent="0.15">
      <c r="A144" s="14">
        <v>143</v>
      </c>
      <c r="B144" s="14">
        <f>H105</f>
        <v>9104</v>
      </c>
      <c r="C144" s="14">
        <f>I105</f>
        <v>8.7000000000000046</v>
      </c>
      <c r="D144" s="12">
        <v>7143</v>
      </c>
      <c r="E144" s="14">
        <f t="shared" si="14"/>
        <v>8.7000000000000046</v>
      </c>
      <c r="F144" s="12">
        <v>8143</v>
      </c>
      <c r="G144" s="14">
        <f t="shared" si="15"/>
        <v>8.600000000000005</v>
      </c>
      <c r="H144" s="12">
        <v>9143</v>
      </c>
      <c r="I144" s="14">
        <f t="shared" si="16"/>
        <v>8.5000000000000053</v>
      </c>
    </row>
    <row r="145" spans="1:9" x14ac:dyDescent="0.15">
      <c r="A145" s="14">
        <v>144</v>
      </c>
      <c r="B145" s="14">
        <f>F105</f>
        <v>8104</v>
      </c>
      <c r="C145" s="14">
        <f>G105</f>
        <v>8.8000000000000043</v>
      </c>
      <c r="D145" s="12">
        <v>7144</v>
      </c>
      <c r="E145" s="14">
        <f t="shared" si="14"/>
        <v>8.8000000000000043</v>
      </c>
      <c r="F145" s="12">
        <v>8144</v>
      </c>
      <c r="G145" s="14">
        <f t="shared" si="15"/>
        <v>8.7000000000000046</v>
      </c>
      <c r="H145" s="12">
        <v>9144</v>
      </c>
      <c r="I145" s="14">
        <f t="shared" si="16"/>
        <v>8.600000000000005</v>
      </c>
    </row>
    <row r="146" spans="1:9" x14ac:dyDescent="0.15">
      <c r="A146" s="14">
        <v>145</v>
      </c>
      <c r="B146" s="14">
        <f>F105</f>
        <v>8104</v>
      </c>
      <c r="C146" s="14">
        <f>G105</f>
        <v>8.8000000000000043</v>
      </c>
      <c r="D146" s="12">
        <v>7145</v>
      </c>
      <c r="E146" s="14">
        <f t="shared" si="14"/>
        <v>8.8000000000000043</v>
      </c>
      <c r="F146" s="12">
        <v>8145</v>
      </c>
      <c r="G146" s="14">
        <f t="shared" si="15"/>
        <v>8.7000000000000046</v>
      </c>
      <c r="H146" s="12">
        <v>9145</v>
      </c>
      <c r="I146" s="14">
        <f t="shared" si="16"/>
        <v>8.600000000000005</v>
      </c>
    </row>
    <row r="147" spans="1:9" x14ac:dyDescent="0.15">
      <c r="A147" s="14">
        <v>146</v>
      </c>
      <c r="B147" s="14">
        <f>H105</f>
        <v>9104</v>
      </c>
      <c r="C147" s="14">
        <f>I105</f>
        <v>8.7000000000000046</v>
      </c>
      <c r="D147" s="12">
        <v>7146</v>
      </c>
      <c r="E147" s="14">
        <f t="shared" si="14"/>
        <v>8.7000000000000046</v>
      </c>
      <c r="F147" s="12">
        <v>8146</v>
      </c>
      <c r="G147" s="14">
        <f t="shared" si="15"/>
        <v>8.600000000000005</v>
      </c>
      <c r="H147" s="12">
        <v>9146</v>
      </c>
      <c r="I147" s="14">
        <f t="shared" si="16"/>
        <v>8.5000000000000053</v>
      </c>
    </row>
    <row r="148" spans="1:9" x14ac:dyDescent="0.15">
      <c r="A148" s="14">
        <v>147</v>
      </c>
      <c r="B148" s="14">
        <f>F107</f>
        <v>8106</v>
      </c>
      <c r="C148" s="14">
        <f>G107</f>
        <v>8.5000000000000053</v>
      </c>
      <c r="D148" s="12">
        <v>7147</v>
      </c>
      <c r="E148" s="14">
        <f t="shared" si="14"/>
        <v>8.5000000000000053</v>
      </c>
      <c r="F148" s="12">
        <v>8147</v>
      </c>
      <c r="G148" s="14">
        <f t="shared" si="15"/>
        <v>8.4000000000000057</v>
      </c>
      <c r="H148" s="12">
        <v>9147</v>
      </c>
      <c r="I148" s="14">
        <f t="shared" si="16"/>
        <v>8.300000000000006</v>
      </c>
    </row>
    <row r="149" spans="1:9" x14ac:dyDescent="0.15">
      <c r="A149" s="14">
        <v>148</v>
      </c>
      <c r="B149" s="14">
        <f>H107</f>
        <v>9106</v>
      </c>
      <c r="C149" s="14">
        <f>I107</f>
        <v>8.4000000000000057</v>
      </c>
      <c r="D149" s="12">
        <v>7148</v>
      </c>
      <c r="E149" s="14">
        <f t="shared" si="14"/>
        <v>8.4000000000000057</v>
      </c>
      <c r="F149" s="12">
        <v>8148</v>
      </c>
      <c r="G149" s="14">
        <f t="shared" si="15"/>
        <v>8.300000000000006</v>
      </c>
      <c r="H149" s="12">
        <v>9148</v>
      </c>
      <c r="I149" s="14">
        <f t="shared" si="16"/>
        <v>8.2000000000000064</v>
      </c>
    </row>
    <row r="150" spans="1:9" x14ac:dyDescent="0.15">
      <c r="A150" s="14">
        <v>149</v>
      </c>
      <c r="B150" s="14">
        <f>H109</f>
        <v>9108</v>
      </c>
      <c r="C150" s="14">
        <f>I109</f>
        <v>8.5000000000000053</v>
      </c>
      <c r="D150" s="12">
        <v>7149</v>
      </c>
      <c r="E150" s="14">
        <f t="shared" si="14"/>
        <v>8.5000000000000053</v>
      </c>
      <c r="F150" s="12">
        <v>8149</v>
      </c>
      <c r="G150" s="14">
        <f t="shared" si="15"/>
        <v>8.4000000000000057</v>
      </c>
      <c r="H150" s="12">
        <v>9149</v>
      </c>
      <c r="I150" s="14">
        <f t="shared" si="16"/>
        <v>8.300000000000006</v>
      </c>
    </row>
    <row r="151" spans="1:9" x14ac:dyDescent="0.15">
      <c r="A151" s="14">
        <v>150</v>
      </c>
      <c r="B151" s="14">
        <f>F109</f>
        <v>8108</v>
      </c>
      <c r="C151" s="14">
        <f>G109</f>
        <v>8.600000000000005</v>
      </c>
      <c r="D151" s="12">
        <v>7150</v>
      </c>
      <c r="E151" s="14">
        <f t="shared" si="14"/>
        <v>8.600000000000005</v>
      </c>
      <c r="F151" s="12">
        <v>8150</v>
      </c>
      <c r="G151" s="14">
        <f t="shared" si="15"/>
        <v>8.5000000000000053</v>
      </c>
      <c r="H151" s="12">
        <v>9150</v>
      </c>
      <c r="I151" s="14">
        <f t="shared" si="16"/>
        <v>8.4000000000000057</v>
      </c>
    </row>
    <row r="152" spans="1:9" x14ac:dyDescent="0.15">
      <c r="A152" s="14">
        <v>151</v>
      </c>
      <c r="B152" s="14">
        <f>F112</f>
        <v>8111</v>
      </c>
      <c r="C152" s="14">
        <f>G112</f>
        <v>9.0000000000000036</v>
      </c>
      <c r="D152" s="12">
        <v>7151</v>
      </c>
      <c r="E152" s="14">
        <f t="shared" si="14"/>
        <v>9.0000000000000036</v>
      </c>
      <c r="F152" s="12">
        <v>8151</v>
      </c>
      <c r="G152" s="14">
        <f t="shared" si="15"/>
        <v>8.9000000000000039</v>
      </c>
      <c r="H152" s="12">
        <v>9151</v>
      </c>
      <c r="I152" s="14">
        <f t="shared" si="16"/>
        <v>8.8000000000000043</v>
      </c>
    </row>
    <row r="153" spans="1:9" x14ac:dyDescent="0.15">
      <c r="A153" s="14">
        <v>152</v>
      </c>
      <c r="B153" s="14">
        <f>H112</f>
        <v>9111</v>
      </c>
      <c r="C153" s="14">
        <f>I112</f>
        <v>8.9000000000000039</v>
      </c>
      <c r="D153" s="12">
        <v>7152</v>
      </c>
      <c r="E153" s="14">
        <f t="shared" si="14"/>
        <v>8.9000000000000039</v>
      </c>
      <c r="F153" s="12">
        <v>8152</v>
      </c>
      <c r="G153" s="14">
        <f t="shared" si="15"/>
        <v>8.8000000000000043</v>
      </c>
      <c r="H153" s="12">
        <v>9152</v>
      </c>
      <c r="I153" s="14">
        <f t="shared" si="16"/>
        <v>8.7000000000000046</v>
      </c>
    </row>
    <row r="154" spans="1:9" x14ac:dyDescent="0.15">
      <c r="A154" s="14">
        <v>153</v>
      </c>
      <c r="B154" s="14">
        <f>H114</f>
        <v>9113</v>
      </c>
      <c r="C154" s="14">
        <f>I114</f>
        <v>8.7000000000000046</v>
      </c>
      <c r="D154" s="12">
        <v>7153</v>
      </c>
      <c r="E154" s="14">
        <f t="shared" si="14"/>
        <v>8.7000000000000046</v>
      </c>
      <c r="F154" s="12">
        <v>8153</v>
      </c>
      <c r="G154" s="14">
        <f t="shared" si="15"/>
        <v>8.600000000000005</v>
      </c>
      <c r="H154" s="12">
        <v>9153</v>
      </c>
      <c r="I154" s="14">
        <f t="shared" si="16"/>
        <v>8.5000000000000053</v>
      </c>
    </row>
    <row r="155" spans="1:9" x14ac:dyDescent="0.15">
      <c r="A155" s="14">
        <v>154</v>
      </c>
      <c r="B155" s="14">
        <f>F114</f>
        <v>8113</v>
      </c>
      <c r="C155" s="14">
        <f>G114</f>
        <v>8.8000000000000043</v>
      </c>
      <c r="D155" s="12">
        <v>7154</v>
      </c>
      <c r="E155" s="14">
        <f t="shared" si="14"/>
        <v>8.8000000000000043</v>
      </c>
      <c r="F155" s="12">
        <v>8154</v>
      </c>
      <c r="G155" s="14">
        <f t="shared" si="15"/>
        <v>8.7000000000000046</v>
      </c>
      <c r="H155" s="12">
        <v>9154</v>
      </c>
      <c r="I155" s="14">
        <f t="shared" si="16"/>
        <v>8.600000000000005</v>
      </c>
    </row>
    <row r="156" spans="1:9" x14ac:dyDescent="0.15">
      <c r="A156" s="14">
        <v>155</v>
      </c>
      <c r="B156" s="14">
        <f>F116</f>
        <v>8115</v>
      </c>
      <c r="C156" s="14">
        <f>G116</f>
        <v>8.8000000000000043</v>
      </c>
      <c r="D156" s="12">
        <v>7155</v>
      </c>
      <c r="E156" s="14">
        <f t="shared" si="14"/>
        <v>8.8000000000000043</v>
      </c>
      <c r="F156" s="12">
        <v>8155</v>
      </c>
      <c r="G156" s="14">
        <f t="shared" si="15"/>
        <v>8.7000000000000046</v>
      </c>
      <c r="H156" s="12">
        <v>9155</v>
      </c>
      <c r="I156" s="14">
        <f t="shared" si="16"/>
        <v>8.600000000000005</v>
      </c>
    </row>
    <row r="157" spans="1:9" x14ac:dyDescent="0.15">
      <c r="A157" s="14">
        <v>156</v>
      </c>
      <c r="B157" s="14">
        <f>H116</f>
        <v>9115</v>
      </c>
      <c r="C157" s="14">
        <f>I116</f>
        <v>8.7000000000000046</v>
      </c>
      <c r="D157" s="12">
        <v>7156</v>
      </c>
      <c r="E157" s="14">
        <f t="shared" si="14"/>
        <v>8.7000000000000046</v>
      </c>
      <c r="F157" s="12">
        <v>8156</v>
      </c>
      <c r="G157" s="14">
        <f t="shared" si="15"/>
        <v>8.600000000000005</v>
      </c>
      <c r="H157" s="12">
        <v>9156</v>
      </c>
      <c r="I157" s="14">
        <f t="shared" si="16"/>
        <v>8.5000000000000053</v>
      </c>
    </row>
    <row r="158" spans="1:9" x14ac:dyDescent="0.15">
      <c r="A158" s="14">
        <v>157</v>
      </c>
      <c r="B158" s="14">
        <f>F118</f>
        <v>8117</v>
      </c>
      <c r="C158" s="14">
        <f>G118</f>
        <v>9.0000000000000036</v>
      </c>
      <c r="D158" s="12">
        <v>7157</v>
      </c>
      <c r="E158" s="14">
        <f t="shared" si="14"/>
        <v>9.0000000000000036</v>
      </c>
      <c r="F158" s="12">
        <v>8157</v>
      </c>
      <c r="G158" s="14">
        <f t="shared" si="15"/>
        <v>8.9000000000000039</v>
      </c>
      <c r="H158" s="12">
        <v>9157</v>
      </c>
      <c r="I158" s="14">
        <f t="shared" si="16"/>
        <v>8.8000000000000043</v>
      </c>
    </row>
    <row r="159" spans="1:9" x14ac:dyDescent="0.15">
      <c r="A159" s="14">
        <v>158</v>
      </c>
      <c r="B159" s="14">
        <f>H118</f>
        <v>9117</v>
      </c>
      <c r="C159" s="14">
        <f>I118</f>
        <v>8.9000000000000039</v>
      </c>
      <c r="D159" s="12">
        <v>7158</v>
      </c>
      <c r="E159" s="14">
        <f t="shared" si="14"/>
        <v>8.9000000000000039</v>
      </c>
      <c r="F159" s="12">
        <v>8158</v>
      </c>
      <c r="G159" s="14">
        <f t="shared" si="15"/>
        <v>8.8000000000000043</v>
      </c>
      <c r="H159" s="12">
        <v>9158</v>
      </c>
      <c r="I159" s="14">
        <f t="shared" si="16"/>
        <v>8.7000000000000046</v>
      </c>
    </row>
    <row r="160" spans="1:9" x14ac:dyDescent="0.15">
      <c r="A160" s="14">
        <v>159</v>
      </c>
      <c r="B160" s="14">
        <f>H120</f>
        <v>9119</v>
      </c>
      <c r="C160" s="14">
        <f>I120</f>
        <v>8.600000000000005</v>
      </c>
      <c r="D160" s="12">
        <v>7159</v>
      </c>
      <c r="E160" s="14">
        <f t="shared" si="14"/>
        <v>8.600000000000005</v>
      </c>
      <c r="F160" s="12">
        <v>8159</v>
      </c>
      <c r="G160" s="14">
        <f t="shared" si="15"/>
        <v>8.5000000000000053</v>
      </c>
      <c r="H160" s="12">
        <v>9159</v>
      </c>
      <c r="I160" s="14">
        <f t="shared" si="16"/>
        <v>8.4000000000000057</v>
      </c>
    </row>
    <row r="161" spans="1:9" x14ac:dyDescent="0.15">
      <c r="A161" s="14">
        <v>160</v>
      </c>
      <c r="B161" s="14">
        <f>F120</f>
        <v>8119</v>
      </c>
      <c r="C161" s="14">
        <f>G120</f>
        <v>8.7000000000000046</v>
      </c>
      <c r="D161" s="12">
        <v>7160</v>
      </c>
      <c r="E161" s="14">
        <f t="shared" si="14"/>
        <v>8.7000000000000046</v>
      </c>
      <c r="F161" s="12">
        <v>8160</v>
      </c>
      <c r="G161" s="14">
        <f t="shared" si="15"/>
        <v>8.600000000000005</v>
      </c>
      <c r="H161" s="12">
        <v>9160</v>
      </c>
      <c r="I161" s="14">
        <f t="shared" si="16"/>
        <v>8.5000000000000053</v>
      </c>
    </row>
    <row r="162" spans="1:9" x14ac:dyDescent="0.15">
      <c r="A162" s="14">
        <v>161</v>
      </c>
      <c r="B162" s="14">
        <f>H123</f>
        <v>9122</v>
      </c>
      <c r="C162" s="14">
        <f>I123</f>
        <v>8.5000000000000053</v>
      </c>
      <c r="D162" s="12">
        <v>7161</v>
      </c>
      <c r="E162" s="14">
        <f t="shared" si="14"/>
        <v>8.5000000000000053</v>
      </c>
      <c r="F162" s="12">
        <v>8161</v>
      </c>
      <c r="G162" s="14">
        <f t="shared" si="15"/>
        <v>8.4000000000000057</v>
      </c>
      <c r="H162" s="12">
        <v>9161</v>
      </c>
      <c r="I162" s="14">
        <f t="shared" si="16"/>
        <v>8.300000000000006</v>
      </c>
    </row>
    <row r="163" spans="1:9" x14ac:dyDescent="0.15">
      <c r="A163" s="14">
        <v>162</v>
      </c>
      <c r="B163" s="14">
        <f>F123</f>
        <v>8122</v>
      </c>
      <c r="C163" s="14">
        <f>G123</f>
        <v>8.600000000000005</v>
      </c>
      <c r="D163" s="12">
        <v>7162</v>
      </c>
      <c r="E163" s="14">
        <f t="shared" si="14"/>
        <v>8.600000000000005</v>
      </c>
      <c r="F163" s="12">
        <v>8162</v>
      </c>
      <c r="G163" s="14">
        <f t="shared" si="15"/>
        <v>8.5000000000000053</v>
      </c>
      <c r="H163" s="12">
        <v>9162</v>
      </c>
      <c r="I163" s="14">
        <f t="shared" si="16"/>
        <v>8.4000000000000057</v>
      </c>
    </row>
    <row r="164" spans="1:9" x14ac:dyDescent="0.15">
      <c r="A164" s="14">
        <v>163</v>
      </c>
      <c r="B164" s="14">
        <f>D124</f>
        <v>7123</v>
      </c>
      <c r="C164" s="14">
        <f>E124</f>
        <v>8.8000000000000043</v>
      </c>
      <c r="D164" s="12">
        <v>7163</v>
      </c>
      <c r="E164" s="14">
        <f t="shared" si="14"/>
        <v>8.8000000000000043</v>
      </c>
      <c r="F164" s="12">
        <v>8163</v>
      </c>
      <c r="G164" s="14">
        <f t="shared" si="15"/>
        <v>8.7000000000000046</v>
      </c>
      <c r="H164" s="12">
        <v>9163</v>
      </c>
      <c r="I164" s="14">
        <f t="shared" si="16"/>
        <v>8.600000000000005</v>
      </c>
    </row>
    <row r="165" spans="1:9" x14ac:dyDescent="0.15">
      <c r="A165" s="14">
        <v>164</v>
      </c>
      <c r="B165" s="14">
        <f>F124</f>
        <v>8123</v>
      </c>
      <c r="C165" s="14">
        <f>G124</f>
        <v>8.7000000000000046</v>
      </c>
      <c r="D165" s="12">
        <v>7164</v>
      </c>
      <c r="E165" s="14">
        <f t="shared" si="14"/>
        <v>8.7000000000000046</v>
      </c>
      <c r="F165" s="12">
        <v>8164</v>
      </c>
      <c r="G165" s="14">
        <f t="shared" si="15"/>
        <v>8.600000000000005</v>
      </c>
      <c r="H165" s="12">
        <v>9164</v>
      </c>
      <c r="I165" s="14">
        <f t="shared" si="16"/>
        <v>8.5000000000000053</v>
      </c>
    </row>
    <row r="166" spans="1:9" x14ac:dyDescent="0.15">
      <c r="A166" s="14">
        <v>165</v>
      </c>
      <c r="B166" s="14">
        <f>H124</f>
        <v>9123</v>
      </c>
      <c r="C166" s="14">
        <f>I124</f>
        <v>8.600000000000005</v>
      </c>
      <c r="D166" s="12">
        <v>7165</v>
      </c>
      <c r="E166" s="14">
        <f t="shared" si="14"/>
        <v>8.600000000000005</v>
      </c>
      <c r="F166" s="12">
        <v>8165</v>
      </c>
      <c r="G166" s="14">
        <f t="shared" si="15"/>
        <v>8.5000000000000053</v>
      </c>
      <c r="H166" s="12">
        <v>9165</v>
      </c>
      <c r="I166" s="14">
        <f t="shared" si="16"/>
        <v>8.4000000000000057</v>
      </c>
    </row>
    <row r="167" spans="1:9" x14ac:dyDescent="0.15">
      <c r="A167" s="14">
        <v>166</v>
      </c>
      <c r="B167" s="14">
        <f>F125</f>
        <v>8124</v>
      </c>
      <c r="C167" s="14">
        <f>G125</f>
        <v>8.8000000000000043</v>
      </c>
      <c r="D167" s="12">
        <v>7166</v>
      </c>
      <c r="E167" s="14">
        <f t="shared" si="14"/>
        <v>8.8000000000000043</v>
      </c>
      <c r="F167" s="12">
        <v>8166</v>
      </c>
      <c r="G167" s="14">
        <f t="shared" si="15"/>
        <v>8.7000000000000046</v>
      </c>
      <c r="H167" s="12">
        <v>9166</v>
      </c>
      <c r="I167" s="14">
        <f t="shared" si="16"/>
        <v>8.600000000000005</v>
      </c>
    </row>
    <row r="168" spans="1:9" x14ac:dyDescent="0.15">
      <c r="A168" s="14">
        <v>167</v>
      </c>
      <c r="B168" s="14">
        <f>H125</f>
        <v>9124</v>
      </c>
      <c r="C168" s="14">
        <f>I125</f>
        <v>8.7000000000000046</v>
      </c>
      <c r="D168" s="12">
        <v>7167</v>
      </c>
      <c r="E168" s="14">
        <f t="shared" si="14"/>
        <v>8.7000000000000046</v>
      </c>
      <c r="F168" s="12">
        <v>8167</v>
      </c>
      <c r="G168" s="14">
        <f t="shared" si="15"/>
        <v>8.600000000000005</v>
      </c>
      <c r="H168" s="12">
        <v>9167</v>
      </c>
      <c r="I168" s="14">
        <f t="shared" si="16"/>
        <v>8.5000000000000053</v>
      </c>
    </row>
    <row r="169" spans="1:9" x14ac:dyDescent="0.15">
      <c r="A169" s="14">
        <v>168</v>
      </c>
      <c r="B169" s="14">
        <f>D128</f>
        <v>7127</v>
      </c>
      <c r="C169" s="14">
        <f>E128</f>
        <v>8.9000000000000039</v>
      </c>
      <c r="D169" s="12">
        <v>7168</v>
      </c>
      <c r="E169" s="14">
        <f t="shared" si="14"/>
        <v>8.9000000000000039</v>
      </c>
      <c r="F169" s="12">
        <v>8168</v>
      </c>
      <c r="G169" s="14">
        <f t="shared" si="15"/>
        <v>8.8000000000000043</v>
      </c>
      <c r="H169" s="12">
        <v>9168</v>
      </c>
      <c r="I169" s="14">
        <f t="shared" si="16"/>
        <v>8.7000000000000046</v>
      </c>
    </row>
    <row r="170" spans="1:9" x14ac:dyDescent="0.15">
      <c r="A170" s="14">
        <v>169</v>
      </c>
      <c r="B170" s="14">
        <f>F128</f>
        <v>8127</v>
      </c>
      <c r="C170" s="14">
        <f>G128</f>
        <v>8.8000000000000043</v>
      </c>
      <c r="D170" s="12">
        <v>7169</v>
      </c>
      <c r="E170" s="14">
        <f t="shared" si="14"/>
        <v>8.8000000000000043</v>
      </c>
      <c r="F170" s="12">
        <v>8169</v>
      </c>
      <c r="G170" s="14">
        <f t="shared" si="15"/>
        <v>8.7000000000000046</v>
      </c>
      <c r="H170" s="12">
        <v>9169</v>
      </c>
      <c r="I170" s="14">
        <f t="shared" si="16"/>
        <v>8.600000000000005</v>
      </c>
    </row>
    <row r="171" spans="1:9" x14ac:dyDescent="0.15">
      <c r="A171" s="14">
        <v>170</v>
      </c>
      <c r="B171" s="14">
        <f>H128</f>
        <v>9127</v>
      </c>
      <c r="C171" s="14">
        <f>I128</f>
        <v>8.7000000000000046</v>
      </c>
      <c r="D171" s="12">
        <v>7170</v>
      </c>
      <c r="E171" s="14">
        <f t="shared" si="14"/>
        <v>8.7000000000000046</v>
      </c>
      <c r="F171" s="12">
        <v>8170</v>
      </c>
      <c r="G171" s="14">
        <f t="shared" si="15"/>
        <v>8.600000000000005</v>
      </c>
      <c r="H171" s="12">
        <v>9170</v>
      </c>
      <c r="I171" s="14">
        <f t="shared" si="16"/>
        <v>8.5000000000000053</v>
      </c>
    </row>
    <row r="172" spans="1:9" x14ac:dyDescent="0.15">
      <c r="A172" s="14">
        <v>171</v>
      </c>
      <c r="B172" s="14">
        <f>H129</f>
        <v>9128</v>
      </c>
      <c r="C172" s="14">
        <f>I129</f>
        <v>8.600000000000005</v>
      </c>
      <c r="D172" s="12">
        <v>7171</v>
      </c>
      <c r="E172" s="14">
        <f t="shared" si="14"/>
        <v>8.600000000000005</v>
      </c>
      <c r="F172" s="12">
        <v>8171</v>
      </c>
      <c r="G172" s="14">
        <f t="shared" si="15"/>
        <v>8.5000000000000053</v>
      </c>
      <c r="H172" s="12">
        <v>9171</v>
      </c>
      <c r="I172" s="14">
        <f t="shared" si="16"/>
        <v>8.4000000000000057</v>
      </c>
    </row>
    <row r="173" spans="1:9" x14ac:dyDescent="0.15">
      <c r="A173" s="14">
        <v>172</v>
      </c>
      <c r="B173" s="14">
        <f>F129</f>
        <v>8128</v>
      </c>
      <c r="C173" s="14">
        <f>G129</f>
        <v>8.7000000000000046</v>
      </c>
      <c r="D173" s="12">
        <v>7172</v>
      </c>
      <c r="E173" s="14">
        <f t="shared" si="14"/>
        <v>8.7000000000000046</v>
      </c>
      <c r="F173" s="12">
        <v>8172</v>
      </c>
      <c r="G173" s="14">
        <f t="shared" si="15"/>
        <v>8.600000000000005</v>
      </c>
      <c r="H173" s="12">
        <v>9172</v>
      </c>
      <c r="I173" s="14">
        <f t="shared" si="16"/>
        <v>8.5000000000000053</v>
      </c>
    </row>
    <row r="174" spans="1:9" x14ac:dyDescent="0.15">
      <c r="A174" s="14">
        <v>173</v>
      </c>
      <c r="B174" s="14">
        <f>D130</f>
        <v>7129</v>
      </c>
      <c r="C174" s="14">
        <f>E130</f>
        <v>8.7000000000000046</v>
      </c>
      <c r="D174" s="12">
        <v>7173</v>
      </c>
      <c r="E174" s="14">
        <f t="shared" si="14"/>
        <v>8.7000000000000046</v>
      </c>
      <c r="F174" s="12">
        <v>8173</v>
      </c>
      <c r="G174" s="14">
        <f t="shared" si="15"/>
        <v>8.600000000000005</v>
      </c>
      <c r="H174" s="12">
        <v>9173</v>
      </c>
      <c r="I174" s="14">
        <f t="shared" si="16"/>
        <v>8.5000000000000053</v>
      </c>
    </row>
    <row r="175" spans="1:9" x14ac:dyDescent="0.15">
      <c r="A175" s="14">
        <v>174</v>
      </c>
      <c r="B175" s="14">
        <f>F130</f>
        <v>8129</v>
      </c>
      <c r="C175" s="14">
        <f>G130</f>
        <v>8.600000000000005</v>
      </c>
      <c r="D175" s="12">
        <v>7174</v>
      </c>
      <c r="E175" s="14">
        <f t="shared" si="14"/>
        <v>8.600000000000005</v>
      </c>
      <c r="F175" s="12">
        <v>8174</v>
      </c>
      <c r="G175" s="14">
        <f t="shared" si="15"/>
        <v>8.5000000000000053</v>
      </c>
      <c r="H175" s="12">
        <v>9174</v>
      </c>
      <c r="I175" s="14">
        <f t="shared" si="16"/>
        <v>8.4000000000000057</v>
      </c>
    </row>
    <row r="176" spans="1:9" x14ac:dyDescent="0.15">
      <c r="A176" s="14">
        <v>175</v>
      </c>
      <c r="B176" s="14">
        <f>H130</f>
        <v>9129</v>
      </c>
      <c r="C176" s="14">
        <f>I130</f>
        <v>8.5000000000000053</v>
      </c>
      <c r="D176" s="12">
        <v>7175</v>
      </c>
      <c r="E176" s="14">
        <f t="shared" si="14"/>
        <v>8.5000000000000053</v>
      </c>
      <c r="F176" s="12">
        <v>8175</v>
      </c>
      <c r="G176" s="14">
        <f t="shared" si="15"/>
        <v>8.4000000000000057</v>
      </c>
      <c r="H176" s="12">
        <v>9175</v>
      </c>
      <c r="I176" s="14">
        <f t="shared" si="16"/>
        <v>8.300000000000006</v>
      </c>
    </row>
    <row r="177" spans="1:9" x14ac:dyDescent="0.15">
      <c r="A177" s="14">
        <v>176</v>
      </c>
      <c r="B177" s="14">
        <f>H133</f>
        <v>9132</v>
      </c>
      <c r="C177" s="14">
        <f>I133</f>
        <v>8.600000000000005</v>
      </c>
      <c r="D177" s="12">
        <v>7176</v>
      </c>
      <c r="E177" s="14">
        <f t="shared" si="14"/>
        <v>8.600000000000005</v>
      </c>
      <c r="F177" s="12">
        <v>8176</v>
      </c>
      <c r="G177" s="14">
        <f t="shared" si="15"/>
        <v>8.5000000000000053</v>
      </c>
      <c r="H177" s="12">
        <v>9176</v>
      </c>
      <c r="I177" s="14">
        <f t="shared" si="16"/>
        <v>8.4000000000000057</v>
      </c>
    </row>
    <row r="178" spans="1:9" x14ac:dyDescent="0.15">
      <c r="A178" s="14">
        <v>177</v>
      </c>
      <c r="B178" s="14">
        <f>F133</f>
        <v>8132</v>
      </c>
      <c r="C178" s="14">
        <f>G133</f>
        <v>8.7000000000000046</v>
      </c>
      <c r="D178" s="12">
        <v>7177</v>
      </c>
      <c r="E178" s="14">
        <f t="shared" si="14"/>
        <v>8.7000000000000046</v>
      </c>
      <c r="F178" s="12">
        <v>8177</v>
      </c>
      <c r="G178" s="14">
        <f t="shared" si="15"/>
        <v>8.600000000000005</v>
      </c>
      <c r="H178" s="12">
        <v>9177</v>
      </c>
      <c r="I178" s="14">
        <f t="shared" si="16"/>
        <v>8.5000000000000053</v>
      </c>
    </row>
    <row r="179" spans="1:9" x14ac:dyDescent="0.15">
      <c r="A179" s="14">
        <v>178</v>
      </c>
      <c r="B179" s="14">
        <f>F135</f>
        <v>8134</v>
      </c>
      <c r="C179" s="14">
        <f>G135</f>
        <v>8.600000000000005</v>
      </c>
      <c r="D179" s="12">
        <v>7178</v>
      </c>
      <c r="E179" s="14">
        <f t="shared" si="14"/>
        <v>8.600000000000005</v>
      </c>
      <c r="F179" s="12">
        <v>8178</v>
      </c>
      <c r="G179" s="14">
        <f t="shared" si="15"/>
        <v>8.5000000000000053</v>
      </c>
      <c r="H179" s="12">
        <v>9178</v>
      </c>
      <c r="I179" s="14">
        <f t="shared" si="16"/>
        <v>8.4000000000000057</v>
      </c>
    </row>
    <row r="180" spans="1:9" x14ac:dyDescent="0.15">
      <c r="A180" s="14">
        <v>179</v>
      </c>
      <c r="B180" s="14">
        <f>H135</f>
        <v>9134</v>
      </c>
      <c r="C180" s="14">
        <f>I135</f>
        <v>8.5000000000000053</v>
      </c>
      <c r="D180" s="12">
        <v>7179</v>
      </c>
      <c r="E180" s="14">
        <f t="shared" si="14"/>
        <v>8.5000000000000053</v>
      </c>
      <c r="F180" s="12">
        <v>8179</v>
      </c>
      <c r="G180" s="14">
        <f t="shared" si="15"/>
        <v>8.4000000000000057</v>
      </c>
      <c r="H180" s="12">
        <v>9179</v>
      </c>
      <c r="I180" s="14">
        <f t="shared" si="16"/>
        <v>8.300000000000006</v>
      </c>
    </row>
    <row r="181" spans="1:9" x14ac:dyDescent="0.15">
      <c r="A181" s="14">
        <v>180</v>
      </c>
      <c r="B181" s="14">
        <f>F136</f>
        <v>8135</v>
      </c>
      <c r="C181" s="14">
        <f>G136</f>
        <v>8.5000000000000053</v>
      </c>
      <c r="D181" s="12">
        <v>7180</v>
      </c>
      <c r="E181" s="14">
        <f t="shared" si="14"/>
        <v>8.5000000000000053</v>
      </c>
      <c r="F181" s="12">
        <v>8180</v>
      </c>
      <c r="G181" s="14">
        <f t="shared" si="15"/>
        <v>8.4000000000000057</v>
      </c>
      <c r="H181" s="12">
        <v>9180</v>
      </c>
      <c r="I181" s="14">
        <f t="shared" si="16"/>
        <v>8.300000000000006</v>
      </c>
    </row>
    <row r="182" spans="1:9" x14ac:dyDescent="0.15">
      <c r="A182" s="14">
        <v>181</v>
      </c>
      <c r="B182" s="14">
        <f>H136</f>
        <v>9135</v>
      </c>
      <c r="C182" s="14">
        <f>I136</f>
        <v>8.4000000000000057</v>
      </c>
      <c r="D182" s="12">
        <v>7181</v>
      </c>
      <c r="E182" s="14">
        <f t="shared" si="14"/>
        <v>8.4000000000000057</v>
      </c>
      <c r="F182" s="12">
        <v>8181</v>
      </c>
      <c r="G182" s="14">
        <f t="shared" si="15"/>
        <v>8.300000000000006</v>
      </c>
      <c r="H182" s="12">
        <v>9181</v>
      </c>
      <c r="I182" s="14">
        <f t="shared" si="16"/>
        <v>8.2000000000000064</v>
      </c>
    </row>
    <row r="183" spans="1:9" x14ac:dyDescent="0.15">
      <c r="A183" s="14">
        <v>182</v>
      </c>
      <c r="B183" s="14">
        <f>D140</f>
        <v>7139</v>
      </c>
      <c r="C183" s="14">
        <f>E140</f>
        <v>9.0000000000000036</v>
      </c>
      <c r="D183" s="12">
        <v>7182</v>
      </c>
      <c r="E183" s="14">
        <f t="shared" si="14"/>
        <v>9.0000000000000036</v>
      </c>
      <c r="F183" s="12">
        <v>8182</v>
      </c>
      <c r="G183" s="14">
        <f t="shared" si="15"/>
        <v>8.9000000000000039</v>
      </c>
      <c r="H183" s="12">
        <v>9182</v>
      </c>
      <c r="I183" s="14">
        <f t="shared" si="16"/>
        <v>8.8000000000000043</v>
      </c>
    </row>
    <row r="184" spans="1:9" x14ac:dyDescent="0.15">
      <c r="A184" s="14">
        <v>183</v>
      </c>
      <c r="B184" s="14">
        <f>F140</f>
        <v>8139</v>
      </c>
      <c r="C184" s="14">
        <f>G140</f>
        <v>8.9000000000000039</v>
      </c>
      <c r="D184" s="12">
        <v>7183</v>
      </c>
      <c r="E184" s="14">
        <f t="shared" si="14"/>
        <v>8.9000000000000039</v>
      </c>
      <c r="F184" s="12">
        <v>8183</v>
      </c>
      <c r="G184" s="14">
        <f t="shared" si="15"/>
        <v>8.8000000000000043</v>
      </c>
      <c r="H184" s="12">
        <v>9183</v>
      </c>
      <c r="I184" s="14">
        <f t="shared" si="16"/>
        <v>8.7000000000000046</v>
      </c>
    </row>
    <row r="185" spans="1:9" x14ac:dyDescent="0.15">
      <c r="A185" s="14">
        <v>184</v>
      </c>
      <c r="B185" s="14">
        <f>H140</f>
        <v>9139</v>
      </c>
      <c r="C185" s="14">
        <f>I140</f>
        <v>8.8000000000000043</v>
      </c>
      <c r="D185" s="12">
        <v>7184</v>
      </c>
      <c r="E185" s="14">
        <f t="shared" si="14"/>
        <v>8.8000000000000043</v>
      </c>
      <c r="F185" s="12">
        <v>8184</v>
      </c>
      <c r="G185" s="14">
        <f t="shared" si="15"/>
        <v>8.7000000000000046</v>
      </c>
      <c r="H185" s="12">
        <v>9184</v>
      </c>
      <c r="I185" s="14">
        <f t="shared" si="16"/>
        <v>8.600000000000005</v>
      </c>
    </row>
    <row r="186" spans="1:9" x14ac:dyDescent="0.15">
      <c r="A186" s="14">
        <v>185</v>
      </c>
      <c r="B186" s="14">
        <f>H141</f>
        <v>9140</v>
      </c>
      <c r="C186" s="14">
        <f>I141</f>
        <v>8.7000000000000046</v>
      </c>
      <c r="D186" s="12">
        <v>7185</v>
      </c>
      <c r="E186" s="14">
        <f t="shared" si="14"/>
        <v>8.7000000000000046</v>
      </c>
      <c r="F186" s="12">
        <v>8185</v>
      </c>
      <c r="G186" s="14">
        <f t="shared" si="15"/>
        <v>8.600000000000005</v>
      </c>
      <c r="H186" s="12">
        <v>9185</v>
      </c>
      <c r="I186" s="14">
        <f t="shared" si="16"/>
        <v>8.5000000000000053</v>
      </c>
    </row>
    <row r="187" spans="1:9" x14ac:dyDescent="0.15">
      <c r="A187" s="14">
        <v>186</v>
      </c>
      <c r="B187" s="14">
        <f>F141</f>
        <v>8140</v>
      </c>
      <c r="C187" s="14">
        <f>G141</f>
        <v>8.8000000000000043</v>
      </c>
      <c r="D187" s="12">
        <v>7186</v>
      </c>
      <c r="E187" s="14">
        <f t="shared" si="14"/>
        <v>8.8000000000000043</v>
      </c>
      <c r="F187" s="12">
        <v>8186</v>
      </c>
      <c r="G187" s="14">
        <f t="shared" si="15"/>
        <v>8.7000000000000046</v>
      </c>
      <c r="H187" s="12">
        <v>9186</v>
      </c>
      <c r="I187" s="14">
        <f t="shared" si="16"/>
        <v>8.600000000000005</v>
      </c>
    </row>
    <row r="188" spans="1:9" x14ac:dyDescent="0.15">
      <c r="A188" s="14">
        <v>187</v>
      </c>
      <c r="B188" s="14">
        <f>D144</f>
        <v>7143</v>
      </c>
      <c r="C188" s="14">
        <f>E144</f>
        <v>8.7000000000000046</v>
      </c>
      <c r="D188" s="12">
        <v>7187</v>
      </c>
      <c r="E188" s="14">
        <f t="shared" si="14"/>
        <v>8.7000000000000046</v>
      </c>
      <c r="F188" s="12">
        <v>8187</v>
      </c>
      <c r="G188" s="14">
        <f t="shared" si="15"/>
        <v>8.600000000000005</v>
      </c>
      <c r="H188" s="12">
        <v>9187</v>
      </c>
      <c r="I188" s="14">
        <f t="shared" si="16"/>
        <v>8.5000000000000053</v>
      </c>
    </row>
    <row r="189" spans="1:9" x14ac:dyDescent="0.15">
      <c r="A189" s="14">
        <v>188</v>
      </c>
      <c r="B189" s="14">
        <f>F144</f>
        <v>8143</v>
      </c>
      <c r="C189" s="14">
        <f>G144</f>
        <v>8.600000000000005</v>
      </c>
      <c r="D189" s="12">
        <v>7188</v>
      </c>
      <c r="E189" s="14">
        <f t="shared" si="14"/>
        <v>8.600000000000005</v>
      </c>
      <c r="F189" s="12">
        <v>8188</v>
      </c>
      <c r="G189" s="14">
        <f t="shared" si="15"/>
        <v>8.5000000000000053</v>
      </c>
      <c r="H189" s="12">
        <v>9188</v>
      </c>
      <c r="I189" s="14">
        <f t="shared" si="16"/>
        <v>8.4000000000000057</v>
      </c>
    </row>
    <row r="190" spans="1:9" x14ac:dyDescent="0.15">
      <c r="A190" s="14">
        <v>189</v>
      </c>
      <c r="B190" s="14">
        <f>H144</f>
        <v>9143</v>
      </c>
      <c r="C190" s="14">
        <f>I144</f>
        <v>8.5000000000000053</v>
      </c>
      <c r="D190" s="12">
        <v>7189</v>
      </c>
      <c r="E190" s="14">
        <f t="shared" si="14"/>
        <v>8.5000000000000053</v>
      </c>
      <c r="F190" s="12">
        <v>8189</v>
      </c>
      <c r="G190" s="14">
        <f t="shared" si="15"/>
        <v>8.4000000000000057</v>
      </c>
      <c r="H190" s="12">
        <v>9189</v>
      </c>
      <c r="I190" s="14">
        <f t="shared" si="16"/>
        <v>8.300000000000006</v>
      </c>
    </row>
    <row r="191" spans="1:9" x14ac:dyDescent="0.15">
      <c r="A191" s="14">
        <v>190</v>
      </c>
      <c r="B191" s="12">
        <f>H145</f>
        <v>9144</v>
      </c>
      <c r="C191" s="12">
        <f>I145</f>
        <v>8.600000000000005</v>
      </c>
      <c r="D191" s="12">
        <v>7190</v>
      </c>
      <c r="E191" s="14">
        <f t="shared" si="14"/>
        <v>8.600000000000005</v>
      </c>
      <c r="F191" s="12">
        <v>8190</v>
      </c>
      <c r="G191" s="14">
        <f t="shared" si="15"/>
        <v>8.5000000000000053</v>
      </c>
      <c r="H191" s="12">
        <v>9190</v>
      </c>
      <c r="I191" s="14">
        <f t="shared" si="16"/>
        <v>8.4000000000000057</v>
      </c>
    </row>
    <row r="192" spans="1:9" x14ac:dyDescent="0.15">
      <c r="A192" s="14">
        <v>191</v>
      </c>
      <c r="B192" s="12">
        <f>F145</f>
        <v>8144</v>
      </c>
      <c r="C192" s="12">
        <f>G145</f>
        <v>8.7000000000000046</v>
      </c>
      <c r="D192" s="12">
        <v>7191</v>
      </c>
      <c r="E192" s="14">
        <f t="shared" si="14"/>
        <v>8.7000000000000046</v>
      </c>
      <c r="F192" s="12">
        <v>8191</v>
      </c>
      <c r="G192" s="14">
        <f t="shared" si="15"/>
        <v>8.600000000000005</v>
      </c>
      <c r="H192" s="12">
        <v>9191</v>
      </c>
      <c r="I192" s="14">
        <f t="shared" si="16"/>
        <v>8.5000000000000053</v>
      </c>
    </row>
    <row r="193" spans="1:9" x14ac:dyDescent="0.15">
      <c r="A193" s="14">
        <v>192</v>
      </c>
      <c r="B193" s="14">
        <f>D146</f>
        <v>7145</v>
      </c>
      <c r="C193" s="14">
        <f>E146</f>
        <v>8.8000000000000043</v>
      </c>
      <c r="D193" s="12">
        <v>7192</v>
      </c>
      <c r="E193" s="14">
        <f t="shared" si="14"/>
        <v>8.8000000000000043</v>
      </c>
      <c r="F193" s="12">
        <v>8192</v>
      </c>
      <c r="G193" s="14">
        <f t="shared" si="15"/>
        <v>8.7000000000000046</v>
      </c>
      <c r="H193" s="12">
        <v>9192</v>
      </c>
      <c r="I193" s="14">
        <f t="shared" si="16"/>
        <v>8.600000000000005</v>
      </c>
    </row>
    <row r="194" spans="1:9" x14ac:dyDescent="0.15">
      <c r="A194" s="14">
        <v>193</v>
      </c>
      <c r="B194" s="14">
        <f>F146</f>
        <v>8145</v>
      </c>
      <c r="C194" s="14">
        <f>G146</f>
        <v>8.7000000000000046</v>
      </c>
      <c r="D194" s="12">
        <v>7193</v>
      </c>
      <c r="E194" s="14">
        <f t="shared" ref="E194:E203" si="17">C194</f>
        <v>8.7000000000000046</v>
      </c>
      <c r="F194" s="12">
        <v>8193</v>
      </c>
      <c r="G194" s="14">
        <f t="shared" ref="G194:G203" si="18">$E194-0.1</f>
        <v>8.600000000000005</v>
      </c>
      <c r="H194" s="12">
        <v>9193</v>
      </c>
      <c r="I194" s="14">
        <f t="shared" ref="I194:I203" si="19">$E194-0.2</f>
        <v>8.5000000000000053</v>
      </c>
    </row>
    <row r="195" spans="1:9" x14ac:dyDescent="0.15">
      <c r="A195" s="14">
        <v>194</v>
      </c>
      <c r="B195" s="14">
        <f>H146</f>
        <v>9145</v>
      </c>
      <c r="C195" s="14">
        <f>I146</f>
        <v>8.600000000000005</v>
      </c>
      <c r="D195" s="12">
        <v>7194</v>
      </c>
      <c r="E195" s="14">
        <f t="shared" si="17"/>
        <v>8.600000000000005</v>
      </c>
      <c r="F195" s="12">
        <v>8194</v>
      </c>
      <c r="G195" s="14">
        <f t="shared" si="18"/>
        <v>8.5000000000000053</v>
      </c>
      <c r="H195" s="12">
        <v>9194</v>
      </c>
      <c r="I195" s="14">
        <f t="shared" si="19"/>
        <v>8.4000000000000057</v>
      </c>
    </row>
    <row r="196" spans="1:9" x14ac:dyDescent="0.15">
      <c r="A196" s="14">
        <v>195</v>
      </c>
      <c r="B196" s="14">
        <f>H149</f>
        <v>9148</v>
      </c>
      <c r="C196" s="14">
        <f>I149</f>
        <v>8.2000000000000064</v>
      </c>
      <c r="D196" s="12">
        <v>7195</v>
      </c>
      <c r="E196" s="14">
        <f t="shared" si="17"/>
        <v>8.2000000000000064</v>
      </c>
      <c r="F196" s="12">
        <v>8195</v>
      </c>
      <c r="G196" s="14">
        <f t="shared" si="18"/>
        <v>8.1000000000000068</v>
      </c>
      <c r="H196" s="12">
        <v>9195</v>
      </c>
      <c r="I196" s="14">
        <f t="shared" si="19"/>
        <v>8.0000000000000071</v>
      </c>
    </row>
    <row r="197" spans="1:9" x14ac:dyDescent="0.15">
      <c r="A197" s="14">
        <v>196</v>
      </c>
      <c r="B197" s="14">
        <f>F149</f>
        <v>8148</v>
      </c>
      <c r="C197" s="14">
        <f>G149</f>
        <v>8.300000000000006</v>
      </c>
      <c r="D197" s="12">
        <v>7196</v>
      </c>
      <c r="E197" s="14">
        <f t="shared" si="17"/>
        <v>8.300000000000006</v>
      </c>
      <c r="F197" s="12">
        <v>8196</v>
      </c>
      <c r="G197" s="14">
        <f t="shared" si="18"/>
        <v>8.2000000000000064</v>
      </c>
      <c r="H197" s="12">
        <v>9196</v>
      </c>
      <c r="I197" s="14">
        <f t="shared" si="19"/>
        <v>8.1000000000000068</v>
      </c>
    </row>
    <row r="198" spans="1:9" x14ac:dyDescent="0.15">
      <c r="A198" s="14">
        <v>197</v>
      </c>
      <c r="B198" s="14">
        <f>H155</f>
        <v>9154</v>
      </c>
      <c r="C198" s="14">
        <f>I155</f>
        <v>8.600000000000005</v>
      </c>
      <c r="D198" s="12">
        <v>7197</v>
      </c>
      <c r="E198" s="14">
        <f t="shared" si="17"/>
        <v>8.600000000000005</v>
      </c>
      <c r="F198" s="12">
        <v>8197</v>
      </c>
      <c r="G198" s="14">
        <f t="shared" si="18"/>
        <v>8.5000000000000053</v>
      </c>
      <c r="H198" s="12">
        <v>9197</v>
      </c>
      <c r="I198" s="14">
        <f t="shared" si="19"/>
        <v>8.4000000000000057</v>
      </c>
    </row>
    <row r="199" spans="1:9" x14ac:dyDescent="0.15">
      <c r="A199" s="14">
        <v>198</v>
      </c>
      <c r="B199" s="14">
        <f>F155</f>
        <v>8154</v>
      </c>
      <c r="C199" s="14">
        <f>G155</f>
        <v>8.7000000000000046</v>
      </c>
      <c r="D199" s="12">
        <v>7198</v>
      </c>
      <c r="E199" s="14">
        <f t="shared" si="17"/>
        <v>8.7000000000000046</v>
      </c>
      <c r="F199" s="12">
        <v>8198</v>
      </c>
      <c r="G199" s="14">
        <f t="shared" si="18"/>
        <v>8.600000000000005</v>
      </c>
      <c r="H199" s="12">
        <v>9198</v>
      </c>
      <c r="I199" s="14">
        <f t="shared" si="19"/>
        <v>8.5000000000000053</v>
      </c>
    </row>
    <row r="200" spans="1:9" x14ac:dyDescent="0.15">
      <c r="A200" s="14">
        <v>199</v>
      </c>
      <c r="B200" s="14">
        <f>H159</f>
        <v>9158</v>
      </c>
      <c r="C200" s="14">
        <f>I159</f>
        <v>8.7000000000000046</v>
      </c>
      <c r="D200" s="12">
        <v>7199</v>
      </c>
      <c r="E200" s="14">
        <f t="shared" si="17"/>
        <v>8.7000000000000046</v>
      </c>
      <c r="F200" s="12">
        <v>8199</v>
      </c>
      <c r="G200" s="14">
        <f t="shared" si="18"/>
        <v>8.600000000000005</v>
      </c>
      <c r="H200" s="12">
        <v>9199</v>
      </c>
      <c r="I200" s="14">
        <f t="shared" si="19"/>
        <v>8.5000000000000053</v>
      </c>
    </row>
    <row r="201" spans="1:9" x14ac:dyDescent="0.15">
      <c r="A201" s="14">
        <v>200</v>
      </c>
      <c r="B201" s="14">
        <f>F159</f>
        <v>8158</v>
      </c>
      <c r="C201" s="14">
        <f>G159</f>
        <v>8.8000000000000043</v>
      </c>
      <c r="D201" s="12">
        <v>7200</v>
      </c>
      <c r="E201" s="14">
        <f t="shared" si="17"/>
        <v>8.8000000000000043</v>
      </c>
      <c r="F201" s="12">
        <v>8200</v>
      </c>
      <c r="G201" s="14">
        <f t="shared" si="18"/>
        <v>8.7000000000000046</v>
      </c>
      <c r="H201" s="12">
        <v>9200</v>
      </c>
      <c r="I201" s="14">
        <f t="shared" si="19"/>
        <v>8.600000000000005</v>
      </c>
    </row>
    <row r="202" spans="1:9" x14ac:dyDescent="0.15">
      <c r="A202" s="14">
        <v>201</v>
      </c>
      <c r="B202" s="14">
        <f>F80</f>
        <v>8079</v>
      </c>
      <c r="C202" s="14">
        <f>G80</f>
        <v>8.8000000000000043</v>
      </c>
      <c r="D202" s="12">
        <v>7201</v>
      </c>
      <c r="E202" s="14">
        <f t="shared" si="17"/>
        <v>8.8000000000000043</v>
      </c>
      <c r="F202" s="12">
        <v>8201</v>
      </c>
      <c r="G202" s="14">
        <f t="shared" si="18"/>
        <v>8.7000000000000046</v>
      </c>
      <c r="H202" s="12">
        <v>9201</v>
      </c>
      <c r="I202" s="14">
        <f t="shared" si="19"/>
        <v>8.600000000000005</v>
      </c>
    </row>
    <row r="203" spans="1:9" x14ac:dyDescent="0.15">
      <c r="A203" s="14">
        <v>202</v>
      </c>
      <c r="B203" s="14">
        <f>H80</f>
        <v>9079</v>
      </c>
      <c r="C203" s="14">
        <f>I80</f>
        <v>8.7000000000000046</v>
      </c>
      <c r="D203" s="12">
        <v>7202</v>
      </c>
      <c r="E203" s="14">
        <f t="shared" si="17"/>
        <v>8.7000000000000046</v>
      </c>
      <c r="F203" s="12">
        <v>8202</v>
      </c>
      <c r="G203" s="14">
        <f t="shared" si="18"/>
        <v>8.600000000000005</v>
      </c>
      <c r="H203" s="12">
        <v>9202</v>
      </c>
      <c r="I203" s="14">
        <f t="shared" si="19"/>
        <v>8.5000000000000053</v>
      </c>
    </row>
  </sheetData>
  <mergeCells count="6">
    <mergeCell ref="D1:E1"/>
    <mergeCell ref="F1:G1"/>
    <mergeCell ref="H1:I1"/>
    <mergeCell ref="T1:U1"/>
    <mergeCell ref="Z1:AC1"/>
    <mergeCell ref="V1:Y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辅助</vt:lpstr>
      <vt:lpstr>5Of11</vt:lpstr>
      <vt:lpstr>5Of11Source</vt:lpstr>
      <vt:lpstr>ExportBetXML</vt:lpstr>
      <vt:lpstr>Sheet2</vt:lpstr>
      <vt:lpstr>agent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2018-07-03T07:10:04Z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