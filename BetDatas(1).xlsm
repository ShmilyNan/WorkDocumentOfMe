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</sheets>
  <calcPr calcId="162913" iterate="1" iterateCount="101"/>
</workbook>
</file>

<file path=xl/calcChain.xml><?xml version="1.0" encoding="utf-8"?>
<calcChain xmlns="http://schemas.openxmlformats.org/spreadsheetml/2006/main">
  <c r="Q90" i="1" l="1" a="1"/>
  <c r="Q90" i="1" s="1"/>
  <c r="P90" i="1" s="1"/>
  <c r="P89" i="1"/>
  <c r="P83" i="1"/>
  <c r="I2" i="1"/>
  <c r="Q79" i="1" a="1"/>
  <c r="Q79" i="1" s="1"/>
  <c r="Q76" i="1" a="1"/>
  <c r="Q76" i="1" s="1"/>
  <c r="P76" i="1" s="1"/>
  <c r="P35" i="1"/>
  <c r="P20" i="1"/>
  <c r="P11" i="1"/>
  <c r="P70" i="1" l="1"/>
  <c r="P79" i="1"/>
  <c r="P81" i="1"/>
  <c r="P82" i="1"/>
  <c r="P78" i="1"/>
  <c r="P75" i="1"/>
  <c r="P55" i="1"/>
  <c r="P63" i="1"/>
  <c r="P65" i="1"/>
  <c r="P62" i="1"/>
  <c r="P68" i="1"/>
  <c r="P58" i="1"/>
  <c r="P69" i="1"/>
  <c r="P54" i="1"/>
  <c r="P32" i="1"/>
  <c r="P53" i="1"/>
  <c r="P39" i="1"/>
  <c r="P38" i="1"/>
  <c r="P50" i="1"/>
  <c r="P48" i="1"/>
  <c r="P28" i="1"/>
  <c r="P47" i="1"/>
  <c r="P33" i="1"/>
  <c r="P43" i="1"/>
  <c r="P40" i="1"/>
  <c r="P25" i="1"/>
  <c r="P37" i="1"/>
  <c r="P36" i="1"/>
  <c r="K2" i="1"/>
  <c r="H12" i="1"/>
  <c r="N70" i="1" l="1"/>
  <c r="N78" i="1"/>
  <c r="P10" i="1"/>
  <c r="P34" i="1"/>
  <c r="P24" i="1"/>
  <c r="P22" i="1"/>
  <c r="P15" i="1"/>
  <c r="P18" i="1"/>
  <c r="P13" i="1"/>
  <c r="P16" i="1"/>
  <c r="P114" i="1"/>
  <c r="P100" i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2" i="1"/>
  <c r="P133" i="1"/>
  <c r="P7" i="1"/>
  <c r="N7" i="1"/>
  <c r="N104" i="1"/>
  <c r="N101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6" i="1"/>
  <c r="L5" i="1"/>
  <c r="L4" i="1"/>
  <c r="L3" i="1"/>
  <c r="L2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N28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H9" i="1"/>
  <c r="P9" i="1" l="1"/>
  <c r="N51" i="1"/>
  <c r="N33" i="1"/>
  <c r="N75" i="1"/>
  <c r="N36" i="1"/>
  <c r="N52" i="1"/>
  <c r="N67" i="1"/>
  <c r="N37" i="1"/>
  <c r="N76" i="1"/>
  <c r="N35" i="1"/>
  <c r="N34" i="1"/>
  <c r="N49" i="1"/>
  <c r="N66" i="1"/>
  <c r="N68" i="1"/>
  <c r="N69" i="1"/>
  <c r="N50" i="1"/>
  <c r="N133" i="1"/>
  <c r="N117" i="1"/>
  <c r="N123" i="1"/>
  <c r="N114" i="1"/>
  <c r="N109" i="1"/>
  <c r="N111" i="1"/>
  <c r="N107" i="1"/>
  <c r="N82" i="1"/>
  <c r="N89" i="1"/>
  <c r="N81" i="1"/>
  <c r="N83" i="1"/>
  <c r="N88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8" i="1"/>
  <c r="N16" i="1"/>
  <c r="N15" i="1"/>
  <c r="N10" i="1"/>
  <c r="L12" i="1"/>
  <c r="L11" i="1"/>
  <c r="N12" i="1"/>
  <c r="L10" i="1"/>
  <c r="L9" i="1"/>
  <c r="N9" i="1"/>
  <c r="N2" i="1" l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H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sharedStrings.xml><?xml version="1.0" encoding="utf-8"?>
<sst xmlns="http://schemas.openxmlformats.org/spreadsheetml/2006/main" count="477" uniqueCount="213">
  <si>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</si>
  <si>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</si>
  <si>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</si>
  <si>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</si>
  <si>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</si>
  <si>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</si>
  <si>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</si>
  <si>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</si>
  <si>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</si>
  <si>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</si>
  <si>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</si>
  <si>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</si>
  <si>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</si>
  <si>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</si>
  <si>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</si>
  <si>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DrawnAmount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</si>
  <si>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</si>
  <si>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</si>
  <si>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</si>
  <si>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</si>
  <si>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</si>
  <si>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</si>
  <si>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</si>
  <si>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</si>
  <si>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</si>
  <si>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</si>
  <si>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</si>
  <si>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</si>
  <si>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</si>
  <si>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</si>
  <si>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</si>
  <si>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</si>
  <si>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</si>
  <si>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</si>
  <si>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</si>
  <si>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</si>
  <si>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</si>
  <si>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</si>
  <si>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</si>
  <si>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1,2,3,4,6,7,8,9,10,11,12,13,14,15,16,17,18,19,20,21,22,23,24,25,26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</si>
  <si>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</si>
  <si>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</si>
  <si>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</si>
  <si>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</si>
  <si>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</si>
  <si>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</si>
  <si>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</si>
  <si>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</si>
  <si>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</si>
  <si>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</si>
  <si>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</si>
  <si>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</si>
  <si>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</si>
  <si>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</si>
  <si>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</si>
  <si>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</si>
  <si>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</si>
  <si>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</si>
  <si>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</si>
  <si>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</si>
  <si>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</si>
  <si>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</si>
  <si>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</si>
  <si>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</si>
  <si>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</si>
  <si>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</si>
  <si>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</si>
  <si>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</si>
  <si>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</si>
  <si>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</si>
  <si>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</si>
  <si>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</si>
  <si>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</si>
  <si>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</si>
  <si>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</si>
  <si>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</si>
  <si>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</si>
  <si>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</si>
  <si>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</si>
  <si>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</si>
  <si>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</si>
  <si>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</si>
  <si>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</si>
  <si>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</si>
  <si>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</si>
  <si>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</si>
  <si>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</si>
  <si>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</si>
  <si>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</si>
  <si>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</si>
  <si>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</si>
  <si>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</si>
  <si>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</si>
  <si>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</si>
  <si>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</si>
  <si>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</si>
  <si>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</si>
  <si>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</si>
  <si>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</si>
  <si>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</si>
  <si>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</si>
  <si>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</si>
  <si>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</si>
  <si>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</si>
  <si>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</si>
  <si>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</si>
  <si>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</si>
  <si>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</si>
  <si>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</si>
  <si>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</si>
  <si>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</si>
  <si>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</si>
  <si>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</si>
  <si>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</si>
  <si>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</si>
  <si>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</si>
  <si>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</si>
  <si>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</si>
  <si>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</si>
  <si>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</si>
  <si>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</si>
  <si>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</si>
  <si>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</si>
  <si>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</si>
  <si>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</si>
  <si>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</si>
  <si>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</si>
  <si>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</si>
  <si>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</si>
  <si>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</si>
  <si>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</si>
  <si>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</si>
  <si>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已实现</t>
  </si>
  <si>
    <t>已实现</t>
    <phoneticPr fontId="1" type="noConversion"/>
  </si>
  <si>
    <t>已实现</t>
    <phoneticPr fontId="1" type="noConversion"/>
  </si>
  <si>
    <t>,0,1,2,3,10,11,12,13,14,15,16,17,18，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</si>
  <si>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01,02,03,45,48,49,68,39</t>
    </r>
    <phoneticPr fontId="1" type="noConversion"/>
  </si>
  <si>
    <t>0,1,3,5,6,8,9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</si>
  <si>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</si>
  <si>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</si>
  <si>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</si>
  <si>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</si>
  <si>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</si>
  <si>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,1,2,3,8,9,10,11,12,13,14,15,</t>
    <phoneticPr fontId="1" type="noConversion"/>
  </si>
  <si>
    <t>0,1,4,5,6,9</t>
    <phoneticPr fontId="1" type="noConversion"/>
  </si>
  <si>
    <t>0,1,2,3,4,6,10,11,12,13,16,17,18</t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</si>
  <si>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</si>
  <si>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</si>
  <si>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</si>
  <si>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</si>
  <si>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</si>
  <si>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</si>
  <si>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</si>
  <si>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</si>
  <si>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</si>
  <si>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</si>
  <si>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</si>
  <si>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</si>
  <si>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</si>
  <si>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</si>
  <si>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</si>
  <si>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</si>
  <si>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</si>
  <si>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</si>
  <si>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</si>
  <si>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</si>
  <si>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</si>
  <si>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</si>
  <si>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</si>
  <si>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</si>
  <si>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已实现</t>
    <phoneticPr fontId="1" type="noConversion"/>
  </si>
  <si>
    <t>0,1,2,4,5,6,8,9</t>
    <phoneticPr fontId="1" type="noConversion"/>
  </si>
  <si>
    <t>已完成</t>
    <phoneticPr fontId="1" type="noConversion"/>
  </si>
  <si>
    <t>0,1,2,3,4,5,6,7,8,9</t>
    <phoneticPr fontId="1" type="noConversion"/>
  </si>
  <si>
    <t>没有判断开奖号
码为空的情况</t>
    <phoneticPr fontId="1" type="noConversion"/>
  </si>
  <si>
    <t>已实现</t>
    <phoneticPr fontId="1" type="noConversion"/>
  </si>
  <si>
    <t>还有问题</t>
    <phoneticPr fontId="1" type="noConversion"/>
  </si>
  <si>
    <t>已实现</t>
    <phoneticPr fontId="1" type="noConversion"/>
  </si>
  <si>
    <t>已实现</t>
    <phoneticPr fontId="1" type="noConversion"/>
  </si>
  <si>
    <t>已实现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</si>
  <si>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</si>
  <si>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</si>
  <si>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</si>
  <si>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</si>
  <si>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已实现</t>
    <phoneticPr fontId="1" type="noConversion"/>
  </si>
  <si>
    <t>,212,321,312,132,231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</si>
  <si>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22</t>
    </r>
    <phoneticPr fontId="1" type="noConversion"/>
  </si>
  <si>
    <t>,222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</si>
  <si>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</si>
  <si>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</si>
  <si>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</si>
  <si>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</si>
  <si>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</si>
  <si>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</si>
  <si>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0,1,2,3,4,5,6,7,8,9</t>
    <phoneticPr fontId="1" type="noConversion"/>
  </si>
  <si>
    <t>二重号位</t>
    <phoneticPr fontId="1" type="noConversion"/>
  </si>
  <si>
    <t>0,1,4,3,6,7,8,9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</si>
  <si>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</si>
  <si>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</si>
  <si>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</si>
  <si>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0,1,2,7,8,9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</si>
  <si>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</si>
  <si>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</si>
  <si>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</si>
  <si>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</si>
  <si>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</si>
  <si>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</si>
  <si>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</si>
  <si>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单式投注的情况，还未考虑无效数据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</si>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</sst>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9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10" fillId="0" borderId="0" xfId="3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3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警告文本" xfId="3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35"/>
  <sheetViews>
    <sheetView tabSelected="1" topLeftCell="D1" zoomScaleNormal="100" workbookViewId="0">
      <pane ySplit="1" topLeftCell="A85" activePane="bottomLeft" state="frozen"/>
      <selection activeCell="D1" sqref="D1"/>
      <selection pane="bottomLeft" activeCell="P92" sqref="P92:P93"/>
    </sheetView>
  </sheetViews>
  <sheetFormatPr defaultColWidth="9" defaultRowHeight="13.5" x14ac:dyDescent="0.15"/>
  <cols>
    <col min="1" max="1" width="4.5" style="1" hidden="1" customWidth="1"/>
    <col min="2" max="3" width="12.75" style="1" hidden="1" customWidth="1"/>
    <col min="4" max="6" width="9.5" style="1" bestFit="1" customWidth="1"/>
    <col min="7" max="7" width="9" style="1" bestFit="1" customWidth="1"/>
    <col min="8" max="8" width="26.125" style="4" bestFit="1" customWidth="1"/>
    <col min="9" max="9" width="9.5" style="1" bestFit="1" customWidth="1"/>
    <col min="10" max="10" width="8.5" style="1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customWidth="1"/>
    <col min="15" max="15" width="14.125" style="8" customWidth="1"/>
    <col min="16" max="16" width="19.25" style="1" bestFit="1" customWidth="1"/>
    <col min="17" max="17" width="19.25" style="33" customWidth="1"/>
    <col min="18" max="18" width="15.625" style="1" customWidth="1"/>
    <col min="19" max="19" width="12.75" style="1" bestFit="1" customWidth="1"/>
    <col min="20" max="20" width="33.875" style="1" bestFit="1" customWidth="1"/>
    <col min="21" max="16384" width="9" style="1"/>
  </cols>
  <sheetData>
    <row r="1" spans="1:19" ht="32.25" customHeight="1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4" t="s">
        <v>3</v>
      </c>
      <c r="I1" s="3" t="s">
        <v>11</v>
      </c>
      <c r="J1" s="3" t="s">
        <v>12</v>
      </c>
      <c r="K1" s="3" t="s">
        <v>13</v>
      </c>
      <c r="L1" s="3" t="s">
        <v>14</v>
      </c>
      <c r="M1" s="15" t="s">
        <v>149</v>
      </c>
      <c r="N1" t="s">
        <v>15</v>
      </c>
      <c r="O1" s="17" t="s">
        <v>174</v>
      </c>
      <c r="P1" s="29" t="s">
        <v>197</v>
      </c>
      <c r="Q1" s="34" t="s">
        <v>210</v>
      </c>
      <c r="R1" s="29" t="s">
        <v>198</v>
      </c>
      <c r="S1" s="29" t="s">
        <v>199</v>
      </c>
    </row>
    <row r="2" spans="1:19" ht="13.5" customHeight="1" x14ac:dyDescent="0.15">
      <c r="A2" s="5">
        <v>2</v>
      </c>
      <c r="B2" s="3" t="s">
        <v>16</v>
      </c>
      <c r="C2" s="1">
        <v>20180517001</v>
      </c>
      <c r="D2" s="38" t="s">
        <v>4</v>
      </c>
      <c r="E2" s="38" t="s">
        <v>17</v>
      </c>
      <c r="F2" s="38" t="s">
        <v>5</v>
      </c>
      <c r="G2" s="3" t="s">
        <v>6</v>
      </c>
      <c r="H2" s="10" t="s">
        <v>173</v>
      </c>
      <c r="I2" s="35">
        <f>1</f>
        <v>1</v>
      </c>
      <c r="J2" s="35">
        <v>19.600000000000001</v>
      </c>
      <c r="K2" s="35" t="str">
        <f ca="1">RANDBETWEEN(0,9)&amp;RANDBETWEEN(0,9)&amp;RANDBETWEEN(0,9)&amp;RANDBETWEEN(0,9)&amp;RANDBETWEEN(0,9)</f>
        <v>53172</v>
      </c>
      <c r="L2" s="1">
        <f ca="1">IF(AND(ISNUMBER(FIND(LEFT(K2,1),H2,1)),LEN(K2)&lt;&gt;0),1,0)</f>
        <v>1</v>
      </c>
      <c r="M2" s="35"/>
      <c r="N2" s="36">
        <f ca="1">SUM(L2:L6)*I2*J2</f>
        <v>98</v>
      </c>
      <c r="O2" s="37" t="s">
        <v>133</v>
      </c>
      <c r="P2" s="35">
        <f>LEN(SUBSTITUTE(H2,",",))*2*(ROW(H6)-ROW(H2)+1)*I2</f>
        <v>100</v>
      </c>
      <c r="R2" s="35"/>
      <c r="S2" s="35"/>
    </row>
    <row r="3" spans="1:19" x14ac:dyDescent="0.15">
      <c r="A3" s="1">
        <v>3</v>
      </c>
      <c r="B3" s="3"/>
      <c r="D3" s="38"/>
      <c r="E3" s="38"/>
      <c r="F3" s="38"/>
      <c r="G3" s="1" t="s">
        <v>7</v>
      </c>
      <c r="H3" s="7" t="s">
        <v>18</v>
      </c>
      <c r="I3" s="35"/>
      <c r="J3" s="35"/>
      <c r="K3" s="35"/>
      <c r="L3" s="1">
        <f ca="1">IF(AND(ISNUMBER(FIND(MID(K2,2,1),H3,1)),LEN(K2)&lt;&gt;0),1,0)</f>
        <v>1</v>
      </c>
      <c r="M3" s="35"/>
      <c r="N3" s="36"/>
      <c r="O3" s="37"/>
      <c r="P3" s="35"/>
      <c r="R3" s="35"/>
      <c r="S3" s="35"/>
    </row>
    <row r="4" spans="1:19" x14ac:dyDescent="0.15">
      <c r="A4" s="1">
        <v>4</v>
      </c>
      <c r="D4" s="38"/>
      <c r="E4" s="38"/>
      <c r="F4" s="38"/>
      <c r="G4" s="1" t="s">
        <v>8</v>
      </c>
      <c r="H4" s="7" t="s">
        <v>18</v>
      </c>
      <c r="I4" s="35"/>
      <c r="J4" s="35"/>
      <c r="K4" s="35"/>
      <c r="L4" s="1">
        <f ca="1">IF(AND(ISNUMBER(FIND(MID(K2,3,1),H4,1)),LEN(K2)&lt;&gt;0),1,0)</f>
        <v>1</v>
      </c>
      <c r="M4" s="35"/>
      <c r="N4" s="36"/>
      <c r="O4" s="37"/>
      <c r="P4" s="35"/>
      <c r="R4" s="35"/>
      <c r="S4" s="35"/>
    </row>
    <row r="5" spans="1:19" x14ac:dyDescent="0.15">
      <c r="A5" s="1">
        <v>5</v>
      </c>
      <c r="D5" s="38"/>
      <c r="E5" s="38"/>
      <c r="F5" s="38"/>
      <c r="G5" s="3" t="s">
        <v>19</v>
      </c>
      <c r="H5" s="7" t="s">
        <v>18</v>
      </c>
      <c r="I5" s="35"/>
      <c r="J5" s="35"/>
      <c r="K5" s="35"/>
      <c r="L5" s="1">
        <f ca="1">IF(AND(ISNUMBER(FIND(MID(K2,4,1),H5,1)),LEN(K2)&lt;&gt;0),1,0)</f>
        <v>1</v>
      </c>
      <c r="M5" s="35"/>
      <c r="N5" s="36"/>
      <c r="O5" s="37"/>
      <c r="P5" s="35"/>
      <c r="R5" s="35"/>
      <c r="S5" s="35"/>
    </row>
    <row r="6" spans="1:19" x14ac:dyDescent="0.15">
      <c r="A6" s="1">
        <v>6</v>
      </c>
      <c r="D6" s="38"/>
      <c r="E6" s="38"/>
      <c r="F6" s="38"/>
      <c r="G6" s="3" t="s">
        <v>20</v>
      </c>
      <c r="H6" s="7" t="s">
        <v>18</v>
      </c>
      <c r="I6" s="35"/>
      <c r="J6" s="35"/>
      <c r="K6" s="35"/>
      <c r="L6" s="1">
        <f ca="1">IF(AND(ISNUMBER(FIND(RIGHT(K2,1),H6,1)),LEN(K2)&lt;&gt;0),1,0)</f>
        <v>1</v>
      </c>
      <c r="M6" s="35"/>
      <c r="N6" s="36"/>
      <c r="O6" s="37"/>
      <c r="P6" s="35"/>
      <c r="R6" s="35"/>
      <c r="S6" s="35"/>
    </row>
    <row r="7" spans="1:19" x14ac:dyDescent="0.15">
      <c r="A7" s="1">
        <v>7</v>
      </c>
      <c r="D7" s="38" t="s">
        <v>21</v>
      </c>
      <c r="E7" s="38" t="s">
        <v>22</v>
      </c>
      <c r="F7" s="38" t="s">
        <v>23</v>
      </c>
      <c r="G7" s="3" t="s">
        <v>6</v>
      </c>
      <c r="H7" s="7" t="s">
        <v>18</v>
      </c>
      <c r="I7" s="35"/>
      <c r="J7" s="35">
        <v>196</v>
      </c>
      <c r="K7" s="35"/>
      <c r="L7" s="1">
        <f ca="1">IF(ISNUMBER(FIND(LEFT(K2,1),H7,1)),1,0)</f>
        <v>1</v>
      </c>
      <c r="M7" s="35"/>
      <c r="N7" s="36">
        <f ca="1">IF(IF(ISNUMBER(FIND(LEFT(K2,1),H7,1)),1,"0")+IF(ISNUMBER(FIND(MID(K2,2,1),H8,1)),1,"0")=2,I2*J7*1,0)</f>
        <v>196</v>
      </c>
      <c r="O7" s="37" t="s">
        <v>134</v>
      </c>
      <c r="P7" s="35">
        <f>COMBIN(LEN(SUBSTITUTE(H7,",",)),1)*COMBIN(LEN(SUBSTITUTE(H8,",",)),1)*2*I2</f>
        <v>200</v>
      </c>
    </row>
    <row r="8" spans="1:19" x14ac:dyDescent="0.15">
      <c r="A8" s="1">
        <v>8</v>
      </c>
      <c r="D8" s="38"/>
      <c r="E8" s="38"/>
      <c r="F8" s="38"/>
      <c r="G8" s="1" t="s">
        <v>7</v>
      </c>
      <c r="H8" s="7" t="s">
        <v>18</v>
      </c>
      <c r="I8" s="35"/>
      <c r="J8" s="35"/>
      <c r="K8" s="35"/>
      <c r="L8" s="1">
        <f ca="1">IF(ISNUMBER(FIND(MID(K2,2,1),H8,1)),1,0)</f>
        <v>1</v>
      </c>
      <c r="M8" s="35"/>
      <c r="N8" s="36"/>
      <c r="O8" s="37"/>
      <c r="P8" s="35"/>
    </row>
    <row r="9" spans="1:19" ht="13.5" customHeight="1" x14ac:dyDescent="0.15">
      <c r="A9" s="1">
        <v>9</v>
      </c>
      <c r="D9" s="38"/>
      <c r="E9" s="38"/>
      <c r="F9" s="3" t="s">
        <v>24</v>
      </c>
      <c r="G9" s="3" t="s">
        <v>25</v>
      </c>
      <c r="H9" s="4" t="str">
        <f ca="1">","&amp;RANDBETWEEN(0,9)&amp;RANDBETWEEN(0,9)&amp;","&amp;RANDBETWEEN(0,9)&amp;RANDBETWEEN(0,9)&amp;","&amp;RANDBETWEEN(0,9)&amp;RANDBETWEEN(0,9)&amp;","&amp;RANDBETWEEN(0,9)&amp;RANDBETWEEN(0,9)</f>
        <v>,37,65,68,60</v>
      </c>
      <c r="I9" s="35"/>
      <c r="J9" s="1">
        <v>196</v>
      </c>
      <c r="K9" s="35"/>
      <c r="L9" s="9">
        <f ca="1">IF(ISNUMBER(FIND(","&amp;LEFT(K2,2),H9,1)),1,0)</f>
        <v>0</v>
      </c>
      <c r="M9" s="16"/>
      <c r="N9" s="28">
        <f ca="1">IF(ISNUMBER(FIND(","&amp;LEFT(K2,2),H9,1)),I2*J9,0)</f>
        <v>0</v>
      </c>
      <c r="O9" s="11" t="s">
        <v>132</v>
      </c>
      <c r="P9" s="1">
        <f ca="1">(LEN(SUBSTITUTE(H9,",",))/2)*I2*2</f>
        <v>8</v>
      </c>
    </row>
    <row r="10" spans="1:19" ht="27" x14ac:dyDescent="0.15">
      <c r="A10" s="1">
        <v>10</v>
      </c>
      <c r="D10" s="38"/>
      <c r="E10" s="38"/>
      <c r="F10" s="3" t="s">
        <v>26</v>
      </c>
      <c r="G10" s="3" t="s">
        <v>27</v>
      </c>
      <c r="H10" s="10" t="s">
        <v>135</v>
      </c>
      <c r="I10" s="35"/>
      <c r="J10" s="1">
        <v>196</v>
      </c>
      <c r="K10" s="35"/>
      <c r="L10" s="8">
        <f ca="1">IF(ISNUMBER(FIND(","&amp;SUM(LEFT(K2,1),MID(K2,2,1))&amp;",",H10,1)),1,0)</f>
        <v>0</v>
      </c>
      <c r="N10" s="28">
        <f ca="1">IF(ISNUMBER(FIND(","&amp;SUM(LEFT(K2,1),MID(K2,2,1))&amp;",",H10,1)),I2*J10,0)</f>
        <v>0</v>
      </c>
      <c r="O10" s="11" t="s">
        <v>132</v>
      </c>
      <c r="P10" s="1" t="b">
        <f ca="1">LOOKUP(SUM(LEN(SUBSTITUTE(K2,MID(K2,{1,2,3,4,5},1),))),{8,12,14,16,18,20;5,10,20,30,60,120})=60</f>
        <v>0</v>
      </c>
      <c r="R10" s="29"/>
      <c r="S10" s="14"/>
    </row>
    <row r="11" spans="1:19" x14ac:dyDescent="0.15">
      <c r="A11" s="1">
        <v>11</v>
      </c>
      <c r="D11" s="38"/>
      <c r="E11" s="38"/>
      <c r="F11" s="3" t="s">
        <v>29</v>
      </c>
      <c r="G11" s="3" t="s">
        <v>29</v>
      </c>
      <c r="H11" s="10" t="s">
        <v>200</v>
      </c>
      <c r="I11" s="35"/>
      <c r="J11" s="1">
        <v>196</v>
      </c>
      <c r="K11" s="35"/>
      <c r="L11" s="1">
        <f ca="1">IF(ISNUMBER(FIND(IF(LEFT(K2,1)&gt;MID(K2,2,1),LEFT(K2,1)-MID(K2,2,1),MID(K2,2,1)-LEFT(K2,1)),H11,1)),1,0)</f>
        <v>1</v>
      </c>
      <c r="N11" s="28">
        <f ca="1">IF(ISNUMBER(FIND(MAX(LEFT(K2,1),MID(K2,2,1))-MIN(LEFT(K2,1),MID(K2,2,1)),H11,1)),I2*J11*1,0)</f>
        <v>196</v>
      </c>
      <c r="O11" s="11" t="s">
        <v>132</v>
      </c>
      <c r="P11" s="1">
        <f>LOOKUP(INT(MID(SUBSTITUTE(H11,",",),{1,2,3,4,5,6,7,8,9,10},1)),{0,1,2,3,4,5,6,7,8,9;10,18,16,14,12,10,8,6,4,2})</f>
        <v>10</v>
      </c>
      <c r="R11" s="30"/>
    </row>
    <row r="12" spans="1:19" x14ac:dyDescent="0.15">
      <c r="A12" s="1">
        <v>12</v>
      </c>
      <c r="D12" s="38"/>
      <c r="E12" s="38" t="s">
        <v>30</v>
      </c>
      <c r="F12" s="3" t="s">
        <v>31</v>
      </c>
      <c r="G12" s="3" t="s">
        <v>30</v>
      </c>
      <c r="H12" s="10" t="str">
        <f>0&amp;123456789</f>
        <v>0123456789</v>
      </c>
      <c r="I12" s="35"/>
      <c r="J12" s="1">
        <v>98</v>
      </c>
      <c r="K12" s="35"/>
      <c r="L12" s="8">
        <f ca="1">IF(LEFT(K2,1)&lt;&gt;MID(K2,2,1),IF(IF(ISNUMBER(FIND(LEFT(K2,1),H12,1)),1,0)+IF(ISNUMBER(FIND(MID(K2,2,1),H12,1)),1,0)=2,1,0),0)</f>
        <v>1</v>
      </c>
      <c r="N12" s="28">
        <f ca="1">IF(LEFT(K2,1)&lt;&gt;MID(K2,2,1),IF(IF(ISNUMBER(FIND(LEFT(K2,1),H12,1)),1,0)+IF(ISNUMBER(FIND(MID(K2,2,1),H12,1)),1,0)=2,I2*J12,0),0)</f>
        <v>98</v>
      </c>
      <c r="O12" s="11" t="s">
        <v>132</v>
      </c>
      <c r="P12" s="15"/>
      <c r="Q12" s="34"/>
    </row>
    <row r="13" spans="1:19" ht="13.5" customHeight="1" x14ac:dyDescent="0.15">
      <c r="A13" s="1">
        <v>13</v>
      </c>
      <c r="D13" s="38"/>
      <c r="E13" s="38"/>
      <c r="F13" s="3" t="s">
        <v>32</v>
      </c>
      <c r="G13" s="3" t="s">
        <v>25</v>
      </c>
      <c r="H13" s="10" t="s">
        <v>136</v>
      </c>
      <c r="I13" s="35"/>
      <c r="J13" s="1">
        <v>98</v>
      </c>
      <c r="K13" s="35"/>
      <c r="N13" s="28">
        <f ca="1">IF(EXACT(LEFT(K2,1),MID(K2,2,1)),0,IF(OR(ISNUMBER(FIND(","&amp;LEFT(K2,2)&amp;",",H13,1)),ISNUMBER(FIND(","&amp;MID(K2,2,1)&amp;LEFT(K2,1)&amp;",",H13,1))),I2*J13,0))</f>
        <v>0</v>
      </c>
      <c r="O13" s="12" t="s">
        <v>132</v>
      </c>
      <c r="P13" s="1">
        <f>LEN(SUBSTITUTE(H13,",",))/2*I2*2</f>
        <v>16</v>
      </c>
      <c r="R13" s="32"/>
    </row>
    <row r="14" spans="1:19" ht="27" x14ac:dyDescent="0.15">
      <c r="A14" s="1">
        <v>14</v>
      </c>
      <c r="D14" s="38"/>
      <c r="E14" s="38"/>
      <c r="F14" s="3" t="s">
        <v>33</v>
      </c>
      <c r="G14" s="3" t="s">
        <v>27</v>
      </c>
      <c r="H14" s="10" t="s">
        <v>143</v>
      </c>
      <c r="I14" s="35"/>
      <c r="J14" s="1">
        <v>98</v>
      </c>
      <c r="K14" s="35"/>
      <c r="M14" s="9"/>
      <c r="N14" s="28">
        <f ca="1">IF(LEFT(K2,1)&lt;&gt;MID(K2,2,1),IF(ISNUMBER(FIND(","&amp;SUM(LEFT(K2,1),MID(K2,2,1))&amp;",",H14,1)),I2*J14,0),0)</f>
        <v>98</v>
      </c>
      <c r="O14" s="11" t="s">
        <v>132</v>
      </c>
      <c r="P14" s="30"/>
      <c r="Q14" s="34"/>
      <c r="R14" s="9"/>
    </row>
    <row r="15" spans="1:19" x14ac:dyDescent="0.15">
      <c r="A15" s="1">
        <v>15</v>
      </c>
      <c r="D15" s="38"/>
      <c r="E15" s="38"/>
      <c r="F15" s="3" t="s">
        <v>34</v>
      </c>
      <c r="G15" s="3" t="s">
        <v>35</v>
      </c>
      <c r="H15" s="10" t="s">
        <v>137</v>
      </c>
      <c r="I15" s="35"/>
      <c r="J15" s="1">
        <v>98</v>
      </c>
      <c r="K15" s="35"/>
      <c r="N15" s="28">
        <f ca="1">IF(AND(OR(ISNUMBER(FIND(LEFT(K2,1),H15,1)),ISNUMBER(FIND(MID(K2,2,1),H15,1))),LEFT(K2,1)&lt;&gt;MID(K2,2,1)),I2*J15,0)</f>
        <v>98</v>
      </c>
      <c r="O15" s="11" t="s">
        <v>132</v>
      </c>
      <c r="P15" s="30">
        <f>LEN(SUBSTITUTE(H15,",",))*9*I2*2</f>
        <v>126</v>
      </c>
      <c r="Q15" s="34"/>
    </row>
    <row r="16" spans="1:19" x14ac:dyDescent="0.15">
      <c r="A16" s="1">
        <v>16</v>
      </c>
      <c r="C16" s="3"/>
      <c r="D16" s="38" t="s">
        <v>36</v>
      </c>
      <c r="E16" s="38" t="s">
        <v>22</v>
      </c>
      <c r="F16" s="38" t="s">
        <v>23</v>
      </c>
      <c r="G16" s="9" t="s">
        <v>138</v>
      </c>
      <c r="H16" s="10" t="s">
        <v>161</v>
      </c>
      <c r="I16" s="35"/>
      <c r="J16" s="35">
        <v>196</v>
      </c>
      <c r="K16" s="35"/>
      <c r="N16" s="36">
        <f ca="1">IF(IF(ISNUMBER(FIND(RIGHT(K2,1),H17,1)),1,0)+IF(ISNUMBER(FIND(MID(K2,4,1),H16,1)),1,0)=2,I2*J16*1,0)</f>
        <v>196</v>
      </c>
      <c r="O16" s="37" t="s">
        <v>134</v>
      </c>
      <c r="P16" s="35">
        <f>COMBIN(LEN(SUBSTITUTE(H16,",",)),1)*COMBIN(LEN(SUBSTITUTE(H17,",",)),1)*I2*2</f>
        <v>200</v>
      </c>
    </row>
    <row r="17" spans="1:19" x14ac:dyDescent="0.15">
      <c r="A17" s="1">
        <v>17</v>
      </c>
      <c r="D17" s="38"/>
      <c r="E17" s="38"/>
      <c r="F17" s="38"/>
      <c r="G17" s="9" t="s">
        <v>139</v>
      </c>
      <c r="H17" s="10" t="s">
        <v>161</v>
      </c>
      <c r="I17" s="35"/>
      <c r="J17" s="35"/>
      <c r="K17" s="35"/>
      <c r="N17" s="36"/>
      <c r="O17" s="37"/>
      <c r="P17" s="35"/>
    </row>
    <row r="18" spans="1:19" ht="13.5" customHeight="1" x14ac:dyDescent="0.15">
      <c r="A18" s="1">
        <v>18</v>
      </c>
      <c r="D18" s="38"/>
      <c r="E18" s="38"/>
      <c r="F18" s="3" t="s">
        <v>24</v>
      </c>
      <c r="G18" s="3" t="s">
        <v>25</v>
      </c>
      <c r="I18" s="35"/>
      <c r="J18" s="1">
        <v>196</v>
      </c>
      <c r="K18" s="35"/>
      <c r="N18" s="28">
        <f ca="1">IF(ISNUMBER(FIND(","&amp;RIGHT(K2,2),H18,1)),I2*J18,0)</f>
        <v>0</v>
      </c>
      <c r="O18" s="11" t="s">
        <v>132</v>
      </c>
      <c r="P18" s="33">
        <f>LEN(SUBSTITUTE(H18,",",))/2*I2*2</f>
        <v>0</v>
      </c>
    </row>
    <row r="19" spans="1:19" ht="34.5" customHeight="1" x14ac:dyDescent="0.15">
      <c r="A19" s="1">
        <v>19</v>
      </c>
      <c r="D19" s="38"/>
      <c r="E19" s="38"/>
      <c r="F19" s="3" t="s">
        <v>26</v>
      </c>
      <c r="G19" s="3" t="s">
        <v>27</v>
      </c>
      <c r="H19" s="10" t="s">
        <v>140</v>
      </c>
      <c r="I19" s="35"/>
      <c r="J19" s="1">
        <v>196</v>
      </c>
      <c r="K19" s="35"/>
      <c r="N19" s="28">
        <f ca="1">IF(ISNUMBER(FIND(","&amp;SUM(RIGHT(K2,1),MID(K2,4,1))&amp;",",H19,1)),I2*J19,0)</f>
        <v>196</v>
      </c>
      <c r="O19" s="11" t="s">
        <v>132</v>
      </c>
      <c r="P19" s="10"/>
      <c r="Q19" s="10"/>
    </row>
    <row r="20" spans="1:19" x14ac:dyDescent="0.15">
      <c r="A20" s="1">
        <v>20</v>
      </c>
      <c r="D20" s="38"/>
      <c r="E20" s="38"/>
      <c r="F20" s="3" t="s">
        <v>29</v>
      </c>
      <c r="G20" s="3" t="s">
        <v>29</v>
      </c>
      <c r="H20" s="10" t="s">
        <v>141</v>
      </c>
      <c r="I20" s="35"/>
      <c r="J20" s="1">
        <v>196</v>
      </c>
      <c r="K20" s="35"/>
      <c r="N20" s="28">
        <f ca="1">IF(ISNUMBER(FIND(MAX(MID(K2,4,1),RIGHT(K2,1))-MIN(MID(K2,4,1),RIGHT(K2,1)),H20,1)),I2*J20*1,0)</f>
        <v>196</v>
      </c>
      <c r="O20" s="11" t="s">
        <v>132</v>
      </c>
      <c r="P20" s="1">
        <f>LOOKUP(INT(MID(SUBSTITUTE(H11,",",),{1,2,3,4,5,6,7,8,9,10},1)),{0,1,2,3,4,5,6,7,8,9;10,18,16,14,12,10,8,6,4,2})</f>
        <v>10</v>
      </c>
    </row>
    <row r="21" spans="1:19" x14ac:dyDescent="0.15">
      <c r="A21" s="1">
        <v>21</v>
      </c>
      <c r="D21" s="38"/>
      <c r="E21" s="38" t="s">
        <v>30</v>
      </c>
      <c r="F21" s="3" t="s">
        <v>31</v>
      </c>
      <c r="G21" s="3" t="s">
        <v>30</v>
      </c>
      <c r="H21" s="7" t="s">
        <v>18</v>
      </c>
      <c r="I21" s="35"/>
      <c r="J21" s="1">
        <v>98</v>
      </c>
      <c r="K21" s="35"/>
      <c r="N21" s="28">
        <f ca="1">IF(RIGHT(K2,1)&lt;&gt;MID(K2,4,1),IF(IF(ISNUMBER(FIND(RIGHT(K2,1),H21,1)),1,0)+IF(ISNUMBER(FIND(MID(K2,4,1),H21,1)),1,0)=2,I2*J21,0),0)</f>
        <v>98</v>
      </c>
      <c r="O21" s="11" t="s">
        <v>132</v>
      </c>
    </row>
    <row r="22" spans="1:19" ht="13.5" customHeight="1" x14ac:dyDescent="0.15">
      <c r="A22" s="1">
        <v>22</v>
      </c>
      <c r="D22" s="38"/>
      <c r="E22" s="38"/>
      <c r="F22" s="3" t="s">
        <v>32</v>
      </c>
      <c r="G22" s="3" t="s">
        <v>25</v>
      </c>
      <c r="I22" s="35"/>
      <c r="J22" s="1">
        <v>98</v>
      </c>
      <c r="K22" s="35"/>
      <c r="N22" s="28">
        <f ca="1">IF(EXACT(RIGHT(K2,1),MID(K2,4,1)),0,IF(OR(ISNUMBER(FIND(","&amp;RIGHT(K2,2)&amp;",",H13,1)),ISNUMBER(FIND(","&amp;RIGHT(K2,1)&amp;MID(K2,4,1)&amp;",",H13,1))),I2*J13,0))</f>
        <v>0</v>
      </c>
      <c r="O22" s="12" t="s">
        <v>132</v>
      </c>
      <c r="P22" s="1">
        <f>LEN(SUBSTITUTE(H22,",",))/2*I2*2</f>
        <v>0</v>
      </c>
    </row>
    <row r="23" spans="1:19" x14ac:dyDescent="0.15">
      <c r="A23" s="1">
        <v>23</v>
      </c>
      <c r="D23" s="38"/>
      <c r="E23" s="38"/>
      <c r="F23" s="3" t="s">
        <v>33</v>
      </c>
      <c r="G23" s="3" t="s">
        <v>27</v>
      </c>
      <c r="H23" s="10" t="s">
        <v>142</v>
      </c>
      <c r="I23" s="35"/>
      <c r="J23" s="1">
        <v>98</v>
      </c>
      <c r="K23" s="35"/>
      <c r="N23" s="28">
        <f ca="1">IF(RIGHT(K2,1)&lt;&gt;MID(K2,4,1),IF(ISNUMBER(FIND(","&amp;SUM(MID(K2,4,1),RIGHT(K2,1))&amp;",",H23,1)),I2*J23,0),0)</f>
        <v>98</v>
      </c>
      <c r="O23" s="11" t="s">
        <v>132</v>
      </c>
    </row>
    <row r="24" spans="1:19" x14ac:dyDescent="0.15">
      <c r="A24" s="1">
        <v>24</v>
      </c>
      <c r="D24" s="38"/>
      <c r="E24" s="38"/>
      <c r="F24" s="3" t="s">
        <v>34</v>
      </c>
      <c r="G24" s="3" t="s">
        <v>35</v>
      </c>
      <c r="H24" s="10" t="s">
        <v>144</v>
      </c>
      <c r="I24" s="35"/>
      <c r="J24" s="1">
        <v>98</v>
      </c>
      <c r="K24" s="35"/>
      <c r="N24" s="28">
        <f ca="1">IF(AND(OR(ISNUMBER(FIND(RIGHT(K2,1),H24,1)),ISNUMBER(FIND(MID(K2,4,1),H24,1))),RIGHT(K2,1)&lt;&gt;MID(K2,4,1)),I2*J24,0)</f>
        <v>0</v>
      </c>
      <c r="O24" s="11" t="s">
        <v>133</v>
      </c>
      <c r="P24" s="1">
        <f>LEN(SUBSTITUTE(H24,",",))*9*I2*2</f>
        <v>108</v>
      </c>
    </row>
    <row r="25" spans="1:19" x14ac:dyDescent="0.15">
      <c r="A25" s="1">
        <v>25</v>
      </c>
      <c r="D25" s="38" t="s">
        <v>37</v>
      </c>
      <c r="E25" s="38" t="s">
        <v>22</v>
      </c>
      <c r="F25" s="38" t="s">
        <v>5</v>
      </c>
      <c r="G25" s="3" t="s">
        <v>6</v>
      </c>
      <c r="H25" s="10" t="s">
        <v>157</v>
      </c>
      <c r="I25" s="35"/>
      <c r="J25" s="35">
        <v>1960</v>
      </c>
      <c r="K25" s="35"/>
      <c r="L25" s="1" t="b">
        <f ca="1">ISNUMBER(FIND(LEFT(K2,1),H25,1))</f>
        <v>1</v>
      </c>
      <c r="N25" s="36">
        <f ca="1">IF(AND(ISNUMBER(FIND(LEFT(K2,1),H25,1)),ISNUMBER(FIND(MID(K2,2,1),H26,1)),ISNUMBER(FIND(MID(K2,3,1),H27,1))),I2*J25,0)</f>
        <v>0</v>
      </c>
      <c r="O25" s="37" t="s">
        <v>133</v>
      </c>
      <c r="P25" s="39">
        <f>LEN(SUBSTITUTE(H25,",",))*LEN(SUBSTITUTE(H26,",",))*LEN(SUBSTITUTE(H27,",",))*I$2*2</f>
        <v>1024</v>
      </c>
      <c r="Q25" s="34"/>
    </row>
    <row r="26" spans="1:19" x14ac:dyDescent="0.15">
      <c r="A26" s="1">
        <v>26</v>
      </c>
      <c r="D26" s="38"/>
      <c r="E26" s="38"/>
      <c r="F26" s="38"/>
      <c r="G26" s="3" t="s">
        <v>7</v>
      </c>
      <c r="H26" s="10" t="s">
        <v>158</v>
      </c>
      <c r="I26" s="35"/>
      <c r="J26" s="35"/>
      <c r="K26" s="35"/>
      <c r="L26" s="8" t="b">
        <f ca="1">ISNUMBER(FIND(MID(K2,2,1),H26,1))</f>
        <v>0</v>
      </c>
      <c r="N26" s="36"/>
      <c r="O26" s="37"/>
      <c r="P26" s="35"/>
    </row>
    <row r="27" spans="1:19" x14ac:dyDescent="0.15">
      <c r="A27" s="1">
        <v>27</v>
      </c>
      <c r="D27" s="38"/>
      <c r="E27" s="38"/>
      <c r="F27" s="38"/>
      <c r="G27" s="3" t="s">
        <v>8</v>
      </c>
      <c r="H27" s="10" t="s">
        <v>156</v>
      </c>
      <c r="I27" s="35"/>
      <c r="J27" s="35"/>
      <c r="K27" s="35"/>
      <c r="L27" s="8" t="b">
        <f ca="1">ISNUMBER(FIND(MID(K2,3,1),H27,1))</f>
        <v>1</v>
      </c>
      <c r="N27" s="36"/>
      <c r="O27" s="37"/>
      <c r="P27" s="35"/>
      <c r="S27" s="32"/>
    </row>
    <row r="28" spans="1:19" ht="13.5" customHeight="1" x14ac:dyDescent="0.15">
      <c r="A28" s="1">
        <v>28</v>
      </c>
      <c r="D28" s="38"/>
      <c r="E28" s="38"/>
      <c r="F28" s="3" t="s">
        <v>38</v>
      </c>
      <c r="G28" s="3" t="s">
        <v>25</v>
      </c>
      <c r="H28" s="4">
        <v>123</v>
      </c>
      <c r="I28" s="35"/>
      <c r="J28" s="1">
        <v>1960</v>
      </c>
      <c r="K28" s="35"/>
      <c r="N28" s="28">
        <f ca="1">IF(ISNUMBER(FIND(","&amp;LEFT(K2,3),H28,1)),I2*J28,0)</f>
        <v>0</v>
      </c>
      <c r="O28" s="11" t="s">
        <v>132</v>
      </c>
      <c r="P28" s="1">
        <f>LEN(SUBSTITUTE(H28,",",))/3*I$2*2</f>
        <v>2</v>
      </c>
      <c r="S28" s="32"/>
    </row>
    <row r="29" spans="1:19" ht="27" x14ac:dyDescent="0.15">
      <c r="A29" s="1">
        <v>29</v>
      </c>
      <c r="D29" s="38"/>
      <c r="E29" s="38"/>
      <c r="F29" s="3" t="s">
        <v>26</v>
      </c>
      <c r="G29" s="3" t="s">
        <v>27</v>
      </c>
      <c r="H29" s="10" t="s">
        <v>145</v>
      </c>
      <c r="I29" s="35"/>
      <c r="J29" s="1">
        <v>1960</v>
      </c>
      <c r="K29" s="35"/>
      <c r="N29" s="28">
        <f ca="1">IF(ISNUMBER(FIND(","&amp;SUM(LEFT(K2,1),MID(K2,2,1),MID(K2,3,1))&amp;",",H29,1)),I2*J29,0)</f>
        <v>0</v>
      </c>
      <c r="O29" s="11" t="s">
        <v>132</v>
      </c>
      <c r="S29" s="32"/>
    </row>
    <row r="30" spans="1:19" x14ac:dyDescent="0.15">
      <c r="A30" s="1">
        <v>30</v>
      </c>
      <c r="D30" s="38"/>
      <c r="E30" s="38"/>
      <c r="F30" s="3" t="s">
        <v>29</v>
      </c>
      <c r="G30" s="3" t="s">
        <v>29</v>
      </c>
      <c r="H30" s="10" t="s">
        <v>146</v>
      </c>
      <c r="I30" s="35"/>
      <c r="J30" s="1">
        <v>1960</v>
      </c>
      <c r="K30" s="35"/>
      <c r="N30" s="28">
        <f ca="1">IF(ISNUMBER(FIND(MAX(MID(K2,2,1),LEFT(K2,1),MID(K2,3,1))-MIN(MID(K2,2,1),LEFT(K2,1),MID(K2,3,1)),H30,1)),I2*J30*1,0)</f>
        <v>1960</v>
      </c>
      <c r="O30" s="11" t="s">
        <v>132</v>
      </c>
      <c r="S30" s="32"/>
    </row>
    <row r="31" spans="1:19" ht="40.5" x14ac:dyDescent="0.15">
      <c r="A31" s="1">
        <v>31</v>
      </c>
      <c r="D31" s="38"/>
      <c r="E31" s="38" t="s">
        <v>30</v>
      </c>
      <c r="F31" s="3" t="s">
        <v>33</v>
      </c>
      <c r="G31" s="3" t="s">
        <v>27</v>
      </c>
      <c r="H31" s="10" t="s">
        <v>147</v>
      </c>
      <c r="I31" s="35"/>
      <c r="J31" s="1">
        <v>326.66500000000002</v>
      </c>
      <c r="K31" s="35"/>
      <c r="M31" s="1" t="b">
        <f ca="1">OR(AND(LEFT(K2,1)=MID(K2,2,1),MID(K2,2,1)&lt;&gt;MID(K2,3,1)),AND(LEFT(K2,1)&lt;&gt;MID(K2,2,1),MID(K2,2,1)=MID(K2,3,1)),AND(MID(K2,3,1)=LEFT(K2,1),LEFT(K2,1)&lt;&gt;MID(K2,2,1)))</f>
        <v>0</v>
      </c>
      <c r="N31" s="28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326.66500000000002</v>
      </c>
      <c r="O31" s="11" t="s">
        <v>132</v>
      </c>
      <c r="S31" s="32"/>
    </row>
    <row r="32" spans="1:19" x14ac:dyDescent="0.15">
      <c r="A32" s="1">
        <v>32</v>
      </c>
      <c r="D32" s="38"/>
      <c r="E32" s="38"/>
      <c r="F32" s="3" t="s">
        <v>40</v>
      </c>
      <c r="G32" s="3" t="s">
        <v>40</v>
      </c>
      <c r="H32" s="10" t="s">
        <v>148</v>
      </c>
      <c r="I32" s="35"/>
      <c r="J32" s="1">
        <v>653.33000000000004</v>
      </c>
      <c r="K32" s="35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0</v>
      </c>
      <c r="N32" s="28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O32" s="11" t="s">
        <v>132</v>
      </c>
      <c r="P32" s="1">
        <f>COMBIN(LEN(SUBSTITUTE(H32,",",)),2)*2*I$2*2</f>
        <v>60</v>
      </c>
      <c r="S32" s="32"/>
    </row>
    <row r="33" spans="1:20" x14ac:dyDescent="0.15">
      <c r="A33" s="1">
        <v>33</v>
      </c>
      <c r="D33" s="38"/>
      <c r="E33" s="38"/>
      <c r="F33" s="3" t="s">
        <v>41</v>
      </c>
      <c r="G33" s="3" t="s">
        <v>41</v>
      </c>
      <c r="H33" s="10" t="s">
        <v>162</v>
      </c>
      <c r="I33" s="35"/>
      <c r="J33" s="1">
        <v>326.66000000000003</v>
      </c>
      <c r="K33" s="35"/>
      <c r="M33" s="1" t="b">
        <f ca="1">OR(AND(LEFT(K2,1)=MID(K2,2,1),MID(K2,2,1)&lt;&gt;MID(K2,3,1)),AND(LEFT(K2,1)&lt;&gt;MID(K2,2,1),MID(K2,2,1)=MID(K2,3,1)),AND(MID(K2,3,1)=LEFT(K2,1),LEFT(K2,1)&lt;&gt;MID(K2,2,1)))</f>
        <v>0</v>
      </c>
      <c r="N33" s="28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0</v>
      </c>
      <c r="O33" s="11" t="s">
        <v>132</v>
      </c>
      <c r="P33" s="1">
        <f>COMBIN(LEN(SUBSTITUTE(H33,",",)),3)*I$2*2</f>
        <v>40</v>
      </c>
      <c r="S33" s="32"/>
    </row>
    <row r="34" spans="1:20" ht="13.5" customHeight="1" x14ac:dyDescent="0.15">
      <c r="A34" s="1">
        <v>34</v>
      </c>
      <c r="D34" s="38"/>
      <c r="E34" s="38"/>
      <c r="F34" s="3" t="s">
        <v>42</v>
      </c>
      <c r="G34" s="3" t="s">
        <v>25</v>
      </c>
      <c r="H34" s="21" t="s">
        <v>185</v>
      </c>
      <c r="I34" s="35"/>
      <c r="J34" s="1">
        <v>326.66500000000002</v>
      </c>
      <c r="K34" s="35"/>
      <c r="L34" s="1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1" t="b">
        <f ca="1">OR(AND(LEFT(K2,1)=MID(K2,2,1),MID(K2,2,1)&lt;&gt;MID(K2,3,1)),AND(LEFT(K2,1)&lt;&gt;MID(K2,2,1),MID(K2,2,1)=MID(K2,3,1)),AND(MID(K2,3,1)=LEFT(K2,1),LEFT(K2,1)&lt;&gt;MID(K2,2,1)))</f>
        <v>0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0" t="s">
        <v>132</v>
      </c>
      <c r="P34" s="1">
        <f>LEN(SUBSTITUTE(H34,",",))/3*I2*2</f>
        <v>10</v>
      </c>
      <c r="T34" s="34" t="s">
        <v>208</v>
      </c>
    </row>
    <row r="35" spans="1:20" x14ac:dyDescent="0.15">
      <c r="A35" s="1">
        <v>35</v>
      </c>
      <c r="D35" s="38"/>
      <c r="E35" s="38"/>
      <c r="F35" s="3" t="s">
        <v>34</v>
      </c>
      <c r="G35" s="3" t="s">
        <v>35</v>
      </c>
      <c r="H35" s="10" t="s">
        <v>150</v>
      </c>
      <c r="I35" s="35"/>
      <c r="J35" s="1">
        <v>326.66500000000002</v>
      </c>
      <c r="K35" s="35"/>
      <c r="L35" s="14" t="b">
        <f ca="1">OR(ISNUMBER(FIND(LEFT(K2,1),H35,1)),ISNUMBER(FIND(MID(K2,2,1),H35,1)),ISNUMBER(FIND(MID(K2,3,1),H35,1)))</f>
        <v>1</v>
      </c>
      <c r="M35" s="14" t="b">
        <f ca="1">OR(AND(LEFT(K2,1)=MID(K2,2,1),MID(K2,2,1)&lt;&gt;MID(K2,3,1)),AND(LEFT(K2,1)&lt;&gt;MID(K2,2,1),MID(K2,2,1)=MID(K2,3,1)),AND(MID(K2,3,1)=LEFT(K2,1),LEFT(K2,1)&lt;&gt;MID(K2,2,1)))</f>
        <v>0</v>
      </c>
      <c r="N35" s="28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326.66500000000002</v>
      </c>
      <c r="O35" s="13" t="s">
        <v>132</v>
      </c>
      <c r="P35" s="34">
        <f>54*I$2*2</f>
        <v>108</v>
      </c>
      <c r="Q35" s="34"/>
    </row>
    <row r="36" spans="1:20" ht="13.5" customHeight="1" x14ac:dyDescent="0.15">
      <c r="A36" s="1">
        <v>36</v>
      </c>
      <c r="D36" s="38"/>
      <c r="E36" s="38"/>
      <c r="F36" s="3" t="s">
        <v>43</v>
      </c>
      <c r="G36" s="3" t="s">
        <v>25</v>
      </c>
      <c r="H36" s="10" t="s">
        <v>188</v>
      </c>
      <c r="I36" s="35"/>
      <c r="J36" s="1">
        <v>653.33000000000004</v>
      </c>
      <c r="K36" s="35"/>
      <c r="L36" s="14"/>
      <c r="M36" s="14" t="b">
        <f ca="1">OR(AND(LEFT(K2,1)=MID(K2,2,1),MID(K2,2,1)&lt;&gt;MID(K2,3,1)),AND(LEFT(K2,1)&lt;&gt;MID(K2,2,1),MID(K2,2,1)=MID(K2,3,1)),AND(MID(K2,3,1)=LEFT(K2,1),LEFT(K2,1)&lt;&gt;MID(K2,2,1)))</f>
        <v>0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0" t="s">
        <v>132</v>
      </c>
      <c r="P36" s="1">
        <f>LEN(SUBSTITUTE(H36,",",))/3*I2*2</f>
        <v>2</v>
      </c>
    </row>
    <row r="37" spans="1:20" ht="13.5" customHeight="1" x14ac:dyDescent="0.15">
      <c r="A37" s="1">
        <v>37</v>
      </c>
      <c r="D37" s="38"/>
      <c r="E37" s="38"/>
      <c r="F37" s="3" t="s">
        <v>44</v>
      </c>
      <c r="G37" s="3" t="s">
        <v>25</v>
      </c>
      <c r="H37" s="10" t="s">
        <v>191</v>
      </c>
      <c r="I37" s="35"/>
      <c r="J37" s="1">
        <v>326.66000000000003</v>
      </c>
      <c r="K37" s="35"/>
      <c r="M37" s="14" t="b">
        <f ca="1">OR(AND(LEFT(K2,1)=MID(K2,2,1),MID(K2,2,1)&lt;&gt;MID(K2,3,1)),AND(LEFT(K2,1)&lt;&gt;MID(K2,2,1),MID(K2,2,1)=MID(K2,3,1)),AND(MID(K2,3,1)=LEFT(K2,1),LEFT(K2,1)&lt;&gt;MID(K2,2,1)))</f>
        <v>0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0" t="s">
        <v>132</v>
      </c>
      <c r="P37" s="33">
        <f>LEN(SUBSTITUTE(H37,",",))/3*I2*2</f>
        <v>2</v>
      </c>
      <c r="R37" s="18"/>
    </row>
    <row r="38" spans="1:20" x14ac:dyDescent="0.15">
      <c r="A38" s="1">
        <v>38</v>
      </c>
      <c r="D38" s="38"/>
      <c r="E38" s="38" t="s">
        <v>45</v>
      </c>
      <c r="F38" s="3" t="s">
        <v>46</v>
      </c>
      <c r="G38" s="3" t="s">
        <v>45</v>
      </c>
      <c r="H38" s="7" t="s">
        <v>18</v>
      </c>
      <c r="I38" s="35"/>
      <c r="J38" s="1">
        <v>7.23</v>
      </c>
      <c r="K38" s="35"/>
      <c r="L38" s="14" t="b">
        <f ca="1">OR(ISNUMBER(FIND(LEFT(K2,1),H38,1)),ISNUMBER(FIND(MID(K2,2,1),H38,1)),ISNUMBER(FIND(MID(K2,3,1),H38,1)))</f>
        <v>1</v>
      </c>
      <c r="N38" s="28">
        <f ca="1">IF(OR(ISNUMBER(FIND(LEFT(K2,1),H38,1)),ISNUMBER(FIND(MID(K2,2,1),H38,1)),ISNUMBER(FIND(MID(K2,3,1),H38,1))),I2*J38,0)</f>
        <v>7.23</v>
      </c>
      <c r="O38" s="13" t="s">
        <v>132</v>
      </c>
      <c r="P38" s="1">
        <f>LEN(SUBSTITUTE(H38,",",))*I$2*2</f>
        <v>20</v>
      </c>
    </row>
    <row r="39" spans="1:20" x14ac:dyDescent="0.15">
      <c r="A39" s="1">
        <v>39</v>
      </c>
      <c r="D39" s="38"/>
      <c r="E39" s="38"/>
      <c r="F39" s="3" t="s">
        <v>47</v>
      </c>
      <c r="G39" s="3" t="s">
        <v>45</v>
      </c>
      <c r="H39" s="7" t="s">
        <v>18</v>
      </c>
      <c r="I39" s="35"/>
      <c r="J39" s="1">
        <v>36.29</v>
      </c>
      <c r="K39" s="35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8">
        <f ca="1">IF(OR(AND(ISNUMBER(FIND(LEFT(K2,1),H39,1)),ISNUMBER(FIND(MID(K2,2,1),H39,1))),AND(ISNUMBER(FIND(MID(K2,3,1),H39,1)),ISNUMBER(FIND(MID(K2,2,1),H39,1))),AND(ISNUMBER(FIND(LEFT(K2,1),H39,1)),ISNUMBER(FIND(MID(K2,3,1),H39,1)))),I2*J39,0)</f>
        <v>36.29</v>
      </c>
      <c r="O39" s="13" t="s">
        <v>132</v>
      </c>
      <c r="P39" s="1">
        <f>COMBIN(LEN(SUBSTITUTE(H39,",",)),2)*I$2*2</f>
        <v>90</v>
      </c>
    </row>
    <row r="40" spans="1:20" ht="13.5" customHeight="1" x14ac:dyDescent="0.15">
      <c r="A40" s="1">
        <v>40</v>
      </c>
      <c r="D40" s="39" t="s">
        <v>48</v>
      </c>
      <c r="E40" s="38" t="s">
        <v>22</v>
      </c>
      <c r="F40" s="38" t="s">
        <v>5</v>
      </c>
      <c r="G40" s="15" t="s">
        <v>151</v>
      </c>
      <c r="H40" s="10" t="s">
        <v>154</v>
      </c>
      <c r="I40" s="35"/>
      <c r="J40" s="35">
        <v>1960</v>
      </c>
      <c r="K40" s="35"/>
      <c r="L40" s="16" t="b">
        <f ca="1">ISNUMBER(FIND(MID(K2,2,1),H40,1))</f>
        <v>1</v>
      </c>
      <c r="N40" s="36">
        <f ca="1">IF(AND(ISNUMBER(FIND(MID(K2,2,1),H40,1)),ISNUMBER(FIND(MID(K2,3,1),H41,1)),ISNUMBER(FIND(MID(K2,4,1),H42,1))),I2*J40,0)</f>
        <v>1960</v>
      </c>
      <c r="O40" s="37" t="s">
        <v>133</v>
      </c>
      <c r="P40" s="35">
        <f>LEN(SUBSTITUTE(H40,",",))*LEN(SUBSTITUTE(H41,",",))*LEN(SUBSTITUTE(H42,",",))*I$2*2</f>
        <v>1024</v>
      </c>
    </row>
    <row r="41" spans="1:20" ht="13.5" customHeight="1" x14ac:dyDescent="0.15">
      <c r="A41" s="1">
        <v>41</v>
      </c>
      <c r="D41" s="38"/>
      <c r="E41" s="38"/>
      <c r="F41" s="38"/>
      <c r="G41" s="15" t="s">
        <v>152</v>
      </c>
      <c r="H41" s="10" t="s">
        <v>155</v>
      </c>
      <c r="I41" s="35"/>
      <c r="J41" s="35"/>
      <c r="K41" s="35"/>
      <c r="L41" s="16" t="b">
        <f ca="1">ISNUMBER(FIND(MID(K2,3,1),H41,1))</f>
        <v>1</v>
      </c>
      <c r="N41" s="36"/>
      <c r="O41" s="37"/>
      <c r="P41" s="35"/>
    </row>
    <row r="42" spans="1:20" ht="13.5" customHeight="1" x14ac:dyDescent="0.15">
      <c r="A42" s="1">
        <v>42</v>
      </c>
      <c r="D42" s="38"/>
      <c r="E42" s="38"/>
      <c r="F42" s="38"/>
      <c r="G42" s="15" t="s">
        <v>153</v>
      </c>
      <c r="H42" s="10" t="s">
        <v>156</v>
      </c>
      <c r="I42" s="35"/>
      <c r="J42" s="35"/>
      <c r="K42" s="35"/>
      <c r="L42" s="16" t="b">
        <f ca="1">ISNUMBER(FIND(MID(K2,4,1),H42,1))</f>
        <v>1</v>
      </c>
      <c r="N42" s="36"/>
      <c r="O42" s="37"/>
      <c r="P42" s="35"/>
    </row>
    <row r="43" spans="1:20" ht="13.5" customHeight="1" x14ac:dyDescent="0.15">
      <c r="A43" s="1">
        <v>43</v>
      </c>
      <c r="D43" s="38"/>
      <c r="E43" s="38"/>
      <c r="F43" s="6" t="s">
        <v>38</v>
      </c>
      <c r="G43" s="6" t="s">
        <v>25</v>
      </c>
      <c r="H43" s="4">
        <v>456</v>
      </c>
      <c r="I43" s="35"/>
      <c r="J43" s="2">
        <v>1960</v>
      </c>
      <c r="K43" s="35"/>
      <c r="L43" s="1" t="b">
        <f ca="1">ISNUMBER(FIND(","&amp;MID(K2,2,3)&amp;",",H43,1))</f>
        <v>0</v>
      </c>
      <c r="N43" s="28">
        <f ca="1">IF(ISNUMBER(FIND(","&amp;MID(K2,2,3)&amp;",",H43,1)),I2*J43,0)</f>
        <v>0</v>
      </c>
      <c r="O43" s="13" t="s">
        <v>132</v>
      </c>
      <c r="P43" s="1">
        <f>LEN(SUBSTITUTE(H43,",",))/3*I$2*2</f>
        <v>2</v>
      </c>
    </row>
    <row r="44" spans="1:20" ht="27" customHeight="1" x14ac:dyDescent="0.15">
      <c r="A44" s="1">
        <v>44</v>
      </c>
      <c r="D44" s="38"/>
      <c r="E44" s="38"/>
      <c r="F44" s="6" t="s">
        <v>26</v>
      </c>
      <c r="G44" s="6" t="s">
        <v>27</v>
      </c>
      <c r="H44" s="10" t="s">
        <v>159</v>
      </c>
      <c r="I44" s="35"/>
      <c r="J44" s="2">
        <v>1960</v>
      </c>
      <c r="K44" s="35"/>
      <c r="L44" s="1" t="b">
        <f ca="1">ISNUMBER(FIND(","&amp;SUM(MID(K2,2,1),MID(K2,3,1),MID(K2,4,1))&amp;",",H29,1))</f>
        <v>1</v>
      </c>
      <c r="N44" s="28">
        <f ca="1">IF(ISNUMBER(FIND(","&amp;SUM(MID(K2,2,1),MID(K2,3,1),MID(K2,4,1))&amp;",",H29,1)),I2*J29,0)</f>
        <v>1960</v>
      </c>
      <c r="O44" s="13" t="s">
        <v>132</v>
      </c>
    </row>
    <row r="45" spans="1:20" ht="13.5" customHeight="1" x14ac:dyDescent="0.15">
      <c r="A45" s="1">
        <v>45</v>
      </c>
      <c r="D45" s="38"/>
      <c r="E45" s="38"/>
      <c r="F45" s="6" t="s">
        <v>29</v>
      </c>
      <c r="G45" s="6" t="s">
        <v>29</v>
      </c>
      <c r="H45" s="10" t="s">
        <v>160</v>
      </c>
      <c r="I45" s="35"/>
      <c r="J45" s="2">
        <v>1960</v>
      </c>
      <c r="K45" s="35"/>
      <c r="L45" s="1" t="b">
        <f ca="1">ISNUMBER(FIND(MAX(MID(K2,2,1),MID(K2,3,1),MID(K2,4,1))-MIN(MID(K2,2,1),MID(K2,3,1),MID(K2,4,1)),H45,1))</f>
        <v>0</v>
      </c>
      <c r="N45" s="28">
        <f ca="1">IF(ISNUMBER(FIND(MAX(MID(K2,2,1),MID(K2,3,1),MID(K2,4,1))-MIN(MID(K2,2,1),MID(K2,3,1),MID(K2,4,1)),H45,1)),I2*J45*1,0)</f>
        <v>0</v>
      </c>
      <c r="O45" s="13" t="s">
        <v>132</v>
      </c>
    </row>
    <row r="46" spans="1:20" ht="42" customHeight="1" x14ac:dyDescent="0.15">
      <c r="A46" s="1">
        <v>46</v>
      </c>
      <c r="D46" s="38"/>
      <c r="E46" s="38" t="s">
        <v>30</v>
      </c>
      <c r="F46" s="6" t="s">
        <v>33</v>
      </c>
      <c r="G46" s="6" t="s">
        <v>27</v>
      </c>
      <c r="H46" s="7" t="s">
        <v>39</v>
      </c>
      <c r="I46" s="35"/>
      <c r="J46" s="2">
        <v>326.66500000000002</v>
      </c>
      <c r="K46" s="35"/>
      <c r="M46" s="1" t="b">
        <f ca="1">OR(AND(MID(K2,2,1)=MID(K2,3,1),MID(K2,3,1)&lt;&gt;MID(K2,4,1)),AND(MID(K2,2,1)&lt;&gt;MID(K2,3,1),MID(K2,3,1)=MID(K2,4,1)),AND(MID(K2,4,1)=MID(K2,2,1),MID(K2,2,1)&lt;&gt;MID(K2,3,1)))</f>
        <v>0</v>
      </c>
      <c r="N46" s="28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326.66500000000002</v>
      </c>
      <c r="O46" s="13" t="s">
        <v>132</v>
      </c>
    </row>
    <row r="47" spans="1:20" ht="13.5" customHeight="1" x14ac:dyDescent="0.15">
      <c r="A47" s="1">
        <v>47</v>
      </c>
      <c r="D47" s="38"/>
      <c r="E47" s="38"/>
      <c r="F47" s="6" t="s">
        <v>40</v>
      </c>
      <c r="G47" s="6" t="s">
        <v>40</v>
      </c>
      <c r="H47" s="10" t="s">
        <v>161</v>
      </c>
      <c r="I47" s="35"/>
      <c r="J47" s="2">
        <v>653.33000000000004</v>
      </c>
      <c r="K47" s="35"/>
      <c r="L47" s="1" t="b">
        <f ca="1">AND(ISNUMBER(FIND(MID(K2,2,1),H47,1)),ISNUMBER(FIND(MID(K2,3,1),H47,1)),ISNUMBER(FIND(MID(K2,4,1),H47,1)),M47)</f>
        <v>0</v>
      </c>
      <c r="M47" s="1" t="b">
        <f ca="1">OR(AND(MID(K2,2,1)=MID(K2,3,1),MID(K2,3,1)&lt;&gt;MID(K2,4,1)),AND(MID(K2,2,1)&lt;&gt;MID(K2,3,1),MID(K2,3,1)=MID(K2,4,1)),AND(MID(K2,4,1)=MID(K2,2,1),MID(K2,2,1)&lt;&gt;MID(K2,3,1)))</f>
        <v>0</v>
      </c>
      <c r="N47" s="28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0</v>
      </c>
      <c r="O47" s="13" t="s">
        <v>132</v>
      </c>
      <c r="P47" s="33">
        <f>COMBIN(LEN(SUBSTITUTE(H47,",",)),2)*2*I$2*2</f>
        <v>180</v>
      </c>
    </row>
    <row r="48" spans="1:20" ht="13.5" customHeight="1" x14ac:dyDescent="0.15">
      <c r="A48" s="1">
        <v>48</v>
      </c>
      <c r="D48" s="38"/>
      <c r="E48" s="38"/>
      <c r="F48" s="6" t="s">
        <v>41</v>
      </c>
      <c r="G48" s="6" t="s">
        <v>41</v>
      </c>
      <c r="H48" s="7" t="s">
        <v>18</v>
      </c>
      <c r="I48" s="35"/>
      <c r="J48" s="2">
        <v>326.66000000000003</v>
      </c>
      <c r="K48" s="35"/>
      <c r="M48" s="1" t="b">
        <f ca="1">OR(AND(MID(K2,2,1)=MID(K2,3,1),MID(K2,3,1)&lt;&gt;MID(K2,4,1)),AND(MID(K2,2,1)&lt;&gt;MID(K2,3,1),MID(K2,3,1)=MID(K2,4,1)),AND(MID(K2,4,1)=MID(K2,2,1),MID(K2,2,1)&lt;&gt;MID(K2,3,1)))</f>
        <v>0</v>
      </c>
      <c r="N48" s="28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326.66000000000003</v>
      </c>
      <c r="O48" s="13" t="s">
        <v>132</v>
      </c>
      <c r="P48" s="33">
        <f>COMBIN(LEN(SUBSTITUTE(H48,",",)),3)*I$2*2</f>
        <v>240</v>
      </c>
    </row>
    <row r="49" spans="1:17" ht="13.5" customHeight="1" x14ac:dyDescent="0.15">
      <c r="A49" s="1">
        <v>49</v>
      </c>
      <c r="D49" s="38"/>
      <c r="E49" s="38"/>
      <c r="F49" s="6" t="s">
        <v>42</v>
      </c>
      <c r="G49" s="6" t="s">
        <v>25</v>
      </c>
      <c r="H49" s="10" t="s">
        <v>186</v>
      </c>
      <c r="I49" s="35"/>
      <c r="J49" s="2">
        <v>326.66500000000002</v>
      </c>
      <c r="K49" s="35"/>
      <c r="M49" s="1" t="b">
        <f ca="1">OR(AND(MID(K2,2,1)=MID(K2,3,1),MID(K2,3,1)&lt;&gt;MID(K2,4,1)),AND(MID(K2,2,1)&lt;&gt;MID(K2,3,1),MID(K2,3,1)=MID(K2,4,1)),AND(MID(K2,4,1)=MID(K2,2,1),MID(K2,2,1)&lt;&gt;MID(K2,3,1)))</f>
        <v>0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0" t="s">
        <v>132</v>
      </c>
    </row>
    <row r="50" spans="1:17" ht="13.5" customHeight="1" x14ac:dyDescent="0.15">
      <c r="A50" s="1">
        <v>50</v>
      </c>
      <c r="D50" s="38"/>
      <c r="E50" s="38"/>
      <c r="F50" s="6" t="s">
        <v>34</v>
      </c>
      <c r="G50" s="6" t="s">
        <v>35</v>
      </c>
      <c r="H50" s="7" t="s">
        <v>18</v>
      </c>
      <c r="I50" s="35"/>
      <c r="J50" s="2">
        <v>326.66500000000002</v>
      </c>
      <c r="K50" s="35"/>
      <c r="M50" s="1" t="b">
        <f ca="1">OR(AND(MID(K2,2,1)=MID(K2,3,1),MID(K2,3,1)&lt;&gt;MID(K2,4,1)),AND(MID(K2,2,1)&lt;&gt;MID(K2,3,1),MID(K2,3,1)=MID(K2,4,1)),AND(MID(K2,4,1)=MID(K2,2,1),MID(K2,2,1)&lt;&gt;MID(K2,3,1)))</f>
        <v>0</v>
      </c>
      <c r="N50" s="28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326.66500000000002</v>
      </c>
      <c r="O50" s="13" t="s">
        <v>132</v>
      </c>
      <c r="P50" s="34">
        <f>54*I$2*2</f>
        <v>108</v>
      </c>
      <c r="Q50" s="34"/>
    </row>
    <row r="51" spans="1:17" ht="13.5" customHeight="1" x14ac:dyDescent="0.15">
      <c r="A51" s="1">
        <v>51</v>
      </c>
      <c r="D51" s="38"/>
      <c r="E51" s="38"/>
      <c r="F51" s="6" t="s">
        <v>43</v>
      </c>
      <c r="G51" s="6" t="s">
        <v>25</v>
      </c>
      <c r="H51" s="10" t="s">
        <v>189</v>
      </c>
      <c r="I51" s="35"/>
      <c r="J51" s="2">
        <v>653.33000000000004</v>
      </c>
      <c r="K51" s="35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0" t="s">
        <v>132</v>
      </c>
    </row>
    <row r="52" spans="1:17" ht="13.5" customHeight="1" x14ac:dyDescent="0.15">
      <c r="A52" s="1">
        <v>52</v>
      </c>
      <c r="D52" s="38"/>
      <c r="E52" s="38"/>
      <c r="F52" s="6" t="s">
        <v>44</v>
      </c>
      <c r="G52" s="6" t="s">
        <v>25</v>
      </c>
      <c r="H52" s="10" t="s">
        <v>192</v>
      </c>
      <c r="I52" s="35"/>
      <c r="J52" s="2">
        <v>326.66000000000003</v>
      </c>
      <c r="K52" s="35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0" t="s">
        <v>132</v>
      </c>
    </row>
    <row r="53" spans="1:17" x14ac:dyDescent="0.15">
      <c r="A53" s="1">
        <v>53</v>
      </c>
      <c r="D53" s="38"/>
      <c r="E53" s="38" t="s">
        <v>45</v>
      </c>
      <c r="F53" s="6" t="s">
        <v>46</v>
      </c>
      <c r="G53" s="6" t="s">
        <v>45</v>
      </c>
      <c r="H53" s="7" t="s">
        <v>18</v>
      </c>
      <c r="I53" s="35"/>
      <c r="J53" s="2">
        <v>7.23</v>
      </c>
      <c r="K53" s="35"/>
      <c r="N53" s="28">
        <f ca="1">IF(OR(ISNUMBER(FIND(MID(K2,2,1),H53,1)),ISNUMBER(FIND(MID(K2,3,1),H53,1)),ISNUMBER(FIND(MID(K2,4,1),H53,1))),I2*J53,0)</f>
        <v>7.23</v>
      </c>
      <c r="O53" s="13" t="s">
        <v>132</v>
      </c>
      <c r="P53" s="33">
        <f>LEN(SUBSTITUTE(H53,",",))*I$2*2</f>
        <v>20</v>
      </c>
    </row>
    <row r="54" spans="1:17" x14ac:dyDescent="0.15">
      <c r="A54" s="1">
        <v>54</v>
      </c>
      <c r="D54" s="38"/>
      <c r="E54" s="38"/>
      <c r="F54" s="6" t="s">
        <v>47</v>
      </c>
      <c r="G54" s="6" t="s">
        <v>45</v>
      </c>
      <c r="H54" s="7" t="s">
        <v>18</v>
      </c>
      <c r="I54" s="35"/>
      <c r="J54" s="2">
        <v>36.29</v>
      </c>
      <c r="K54" s="35"/>
      <c r="N54" s="28">
        <f ca="1">IF(OR(AND(ISNUMBER(FIND(MID(K2,2,1),H54,1)),ISNUMBER(FIND(MID(K2,3,1),H54,1))),AND(ISNUMBER(FIND(MID(K2,4,1),H54,1)),ISNUMBER(FIND(MID(K2,3,1),H54,1))),AND(ISNUMBER(FIND(MID(K2,2,1),H54,1)),ISNUMBER(FIND(MID(K2,4,1),H54,1)))),I2*J54,0)</f>
        <v>36.29</v>
      </c>
      <c r="O54" s="13" t="s">
        <v>132</v>
      </c>
      <c r="P54" s="33">
        <f>COMBIN(LEN(SUBSTITUTE(H54,",",)),2)*I$2*2</f>
        <v>90</v>
      </c>
    </row>
    <row r="55" spans="1:17" x14ac:dyDescent="0.15">
      <c r="A55" s="1">
        <v>55</v>
      </c>
      <c r="D55" s="39" t="s">
        <v>49</v>
      </c>
      <c r="E55" s="38" t="s">
        <v>22</v>
      </c>
      <c r="F55" s="38" t="s">
        <v>5</v>
      </c>
      <c r="G55" s="15" t="s">
        <v>163</v>
      </c>
      <c r="H55" s="7" t="s">
        <v>18</v>
      </c>
      <c r="I55" s="35"/>
      <c r="J55" s="35">
        <v>1960</v>
      </c>
      <c r="K55" s="35"/>
      <c r="N55" s="36">
        <f ca="1">IF(AND(ISNUMBER(FIND(MID(K2,3,1),H55,1)),ISNUMBER(FIND(MID(K2,4,1),H56,1)),ISNUMBER(FIND(MID(K2,5,1),H57,1))),I2*J55,0)</f>
        <v>1960</v>
      </c>
      <c r="O55" s="37" t="s">
        <v>133</v>
      </c>
      <c r="P55" s="35">
        <f>LEN(SUBSTITUTE(H55,",",))*LEN(SUBSTITUTE(H56,",",))*LEN(SUBSTITUTE(H57,",",))*I$2*2</f>
        <v>2000</v>
      </c>
    </row>
    <row r="56" spans="1:17" x14ac:dyDescent="0.15">
      <c r="A56" s="1">
        <v>56</v>
      </c>
      <c r="D56" s="38"/>
      <c r="E56" s="38"/>
      <c r="F56" s="38"/>
      <c r="G56" s="15" t="s">
        <v>164</v>
      </c>
      <c r="H56" s="7" t="s">
        <v>18</v>
      </c>
      <c r="I56" s="35"/>
      <c r="J56" s="35"/>
      <c r="K56" s="35"/>
      <c r="N56" s="36"/>
      <c r="O56" s="37"/>
      <c r="P56" s="35"/>
    </row>
    <row r="57" spans="1:17" x14ac:dyDescent="0.15">
      <c r="A57" s="1">
        <v>57</v>
      </c>
      <c r="D57" s="38"/>
      <c r="E57" s="38"/>
      <c r="F57" s="38"/>
      <c r="G57" s="15" t="s">
        <v>165</v>
      </c>
      <c r="H57" s="7" t="s">
        <v>18</v>
      </c>
      <c r="I57" s="35"/>
      <c r="J57" s="35"/>
      <c r="K57" s="35"/>
      <c r="N57" s="36"/>
      <c r="O57" s="37"/>
      <c r="P57" s="35"/>
    </row>
    <row r="58" spans="1:17" x14ac:dyDescent="0.15">
      <c r="A58" s="1">
        <v>58</v>
      </c>
      <c r="D58" s="38"/>
      <c r="E58" s="38"/>
      <c r="F58" s="6" t="s">
        <v>38</v>
      </c>
      <c r="G58" s="6" t="s">
        <v>25</v>
      </c>
      <c r="I58" s="35"/>
      <c r="J58" s="2">
        <v>1960</v>
      </c>
      <c r="K58" s="35"/>
      <c r="N58" s="28">
        <f ca="1">IF(ISNUMBER(FIND(","&amp;MID(K2,3,3)&amp;",",H58,1)),I2*J58,0)</f>
        <v>0</v>
      </c>
      <c r="O58" s="13" t="s">
        <v>132</v>
      </c>
      <c r="P58" s="33">
        <f>LEN(SUBSTITUTE(H58,",",))/3*I$2*2</f>
        <v>0</v>
      </c>
    </row>
    <row r="59" spans="1:17" ht="27" x14ac:dyDescent="0.15">
      <c r="A59" s="1">
        <v>59</v>
      </c>
      <c r="D59" s="38"/>
      <c r="E59" s="38"/>
      <c r="F59" s="6" t="s">
        <v>26</v>
      </c>
      <c r="G59" s="6" t="s">
        <v>27</v>
      </c>
      <c r="H59" s="7" t="s">
        <v>28</v>
      </c>
      <c r="I59" s="35"/>
      <c r="J59" s="2">
        <v>1960</v>
      </c>
      <c r="K59" s="35"/>
      <c r="N59" s="28">
        <f ca="1">IF(ISNUMBER(FIND(","&amp;SUM(MID(K2,3,1),MID(K2,4,1),MID(K2,5,1))&amp;",",H59,1)),I2*J59,0)</f>
        <v>1960</v>
      </c>
      <c r="O59" s="13" t="s">
        <v>132</v>
      </c>
      <c r="P59" s="33"/>
    </row>
    <row r="60" spans="1:17" x14ac:dyDescent="0.15">
      <c r="A60" s="1">
        <v>60</v>
      </c>
      <c r="D60" s="38"/>
      <c r="E60" s="38"/>
      <c r="F60" s="6" t="s">
        <v>29</v>
      </c>
      <c r="G60" s="6" t="s">
        <v>29</v>
      </c>
      <c r="H60" s="7" t="s">
        <v>18</v>
      </c>
      <c r="I60" s="35"/>
      <c r="J60" s="2">
        <v>1960</v>
      </c>
      <c r="K60" s="35"/>
      <c r="N60" s="28">
        <f ca="1">IF(ISNUMBER(FIND(MAX(MID(K2,3,1),MID(K2,4,1),MID(K2,5,1))-MIN(MID(K2,3,1),MID(K2,4,1),MID(K2,5,1)),H60,1)),I2*J60*1,0)</f>
        <v>1960</v>
      </c>
      <c r="O60" s="13" t="s">
        <v>132</v>
      </c>
      <c r="P60" s="33"/>
    </row>
    <row r="61" spans="1:17" ht="40.5" x14ac:dyDescent="0.15">
      <c r="A61" s="1">
        <v>61</v>
      </c>
      <c r="D61" s="38"/>
      <c r="E61" s="38" t="s">
        <v>30</v>
      </c>
      <c r="F61" s="6" t="s">
        <v>33</v>
      </c>
      <c r="G61" s="6" t="s">
        <v>27</v>
      </c>
      <c r="H61" s="7" t="s">
        <v>39</v>
      </c>
      <c r="I61" s="35"/>
      <c r="J61" s="2">
        <v>326.66500000000002</v>
      </c>
      <c r="K61" s="35"/>
      <c r="N61" s="28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326.66500000000002</v>
      </c>
      <c r="O61" s="13" t="s">
        <v>132</v>
      </c>
      <c r="P61" s="33"/>
    </row>
    <row r="62" spans="1:17" x14ac:dyDescent="0.15">
      <c r="A62" s="1">
        <v>62</v>
      </c>
      <c r="D62" s="38"/>
      <c r="E62" s="38"/>
      <c r="F62" s="6" t="s">
        <v>40</v>
      </c>
      <c r="G62" s="6" t="s">
        <v>40</v>
      </c>
      <c r="H62" s="7" t="s">
        <v>18</v>
      </c>
      <c r="I62" s="35"/>
      <c r="J62" s="2">
        <v>653.33000000000004</v>
      </c>
      <c r="K62" s="35"/>
      <c r="N62" s="28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0</v>
      </c>
      <c r="O62" s="13" t="s">
        <v>132</v>
      </c>
      <c r="P62" s="33">
        <f>COMBIN(LEN(SUBSTITUTE(H62,",",)),2)*2*I$2*2</f>
        <v>180</v>
      </c>
    </row>
    <row r="63" spans="1:17" x14ac:dyDescent="0.15">
      <c r="A63" s="1">
        <v>63</v>
      </c>
      <c r="D63" s="38"/>
      <c r="E63" s="38"/>
      <c r="F63" s="6" t="s">
        <v>41</v>
      </c>
      <c r="G63" s="6" t="s">
        <v>41</v>
      </c>
      <c r="H63" s="7" t="s">
        <v>18</v>
      </c>
      <c r="I63" s="35"/>
      <c r="J63" s="2">
        <v>326.66000000000003</v>
      </c>
      <c r="K63" s="35"/>
      <c r="N63" s="28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326.66000000000003</v>
      </c>
      <c r="O63" s="13" t="s">
        <v>132</v>
      </c>
      <c r="P63" s="33">
        <f>COMBIN(LEN(SUBSTITUTE(H63,",",)),3)*I$2*2</f>
        <v>240</v>
      </c>
    </row>
    <row r="64" spans="1:17" x14ac:dyDescent="0.15">
      <c r="A64" s="1">
        <v>64</v>
      </c>
      <c r="D64" s="38"/>
      <c r="E64" s="38"/>
      <c r="F64" s="6" t="s">
        <v>42</v>
      </c>
      <c r="G64" s="6" t="s">
        <v>25</v>
      </c>
      <c r="H64" s="10" t="s">
        <v>187</v>
      </c>
      <c r="I64" s="35"/>
      <c r="J64" s="2">
        <v>326.66500000000002</v>
      </c>
      <c r="K64" s="35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0" t="s">
        <v>132</v>
      </c>
      <c r="P64" s="33"/>
    </row>
    <row r="65" spans="1:19" x14ac:dyDescent="0.15">
      <c r="A65" s="1">
        <v>65</v>
      </c>
      <c r="D65" s="38"/>
      <c r="E65" s="38"/>
      <c r="F65" s="6" t="s">
        <v>34</v>
      </c>
      <c r="G65" s="6" t="s">
        <v>35</v>
      </c>
      <c r="H65" s="7" t="s">
        <v>18</v>
      </c>
      <c r="I65" s="35"/>
      <c r="J65" s="2">
        <v>326.66500000000002</v>
      </c>
      <c r="K65" s="35"/>
      <c r="N65" s="28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326.66500000000002</v>
      </c>
      <c r="O65" s="13" t="s">
        <v>132</v>
      </c>
      <c r="P65" s="34">
        <f>54*I$2*2</f>
        <v>108</v>
      </c>
      <c r="Q65" s="34"/>
    </row>
    <row r="66" spans="1:19" ht="15" x14ac:dyDescent="0.15">
      <c r="A66" s="1">
        <v>66</v>
      </c>
      <c r="D66" s="38"/>
      <c r="E66" s="38"/>
      <c r="F66" s="6" t="s">
        <v>43</v>
      </c>
      <c r="G66" s="6" t="s">
        <v>25</v>
      </c>
      <c r="H66" s="10" t="s">
        <v>190</v>
      </c>
      <c r="I66" s="35"/>
      <c r="J66" s="2">
        <v>653.33000000000004</v>
      </c>
      <c r="K66" s="35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0" t="s">
        <v>132</v>
      </c>
      <c r="P66" s="33"/>
      <c r="S66" s="22"/>
    </row>
    <row r="67" spans="1:19" x14ac:dyDescent="0.15">
      <c r="A67" s="1">
        <v>67</v>
      </c>
      <c r="D67" s="38"/>
      <c r="E67" s="38"/>
      <c r="F67" s="6" t="s">
        <v>44</v>
      </c>
      <c r="G67" s="6" t="s">
        <v>25</v>
      </c>
      <c r="H67" s="10" t="s">
        <v>193</v>
      </c>
      <c r="I67" s="35"/>
      <c r="J67" s="2">
        <v>326.66000000000003</v>
      </c>
      <c r="K67" s="35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0" t="s">
        <v>132</v>
      </c>
      <c r="P67" s="33"/>
    </row>
    <row r="68" spans="1:19" x14ac:dyDescent="0.15">
      <c r="A68" s="1">
        <v>68</v>
      </c>
      <c r="D68" s="38"/>
      <c r="E68" s="38" t="s">
        <v>45</v>
      </c>
      <c r="F68" s="6" t="s">
        <v>46</v>
      </c>
      <c r="G68" s="6" t="s">
        <v>45</v>
      </c>
      <c r="H68" s="7" t="s">
        <v>18</v>
      </c>
      <c r="I68" s="35"/>
      <c r="J68" s="2">
        <v>7.23</v>
      </c>
      <c r="K68" s="35"/>
      <c r="N68" s="28">
        <f ca="1">IF(OR(ISNUMBER(FIND(MID(K2,3,1),H68,1)),ISNUMBER(FIND(MID(K2,4,1),H68,1)),ISNUMBER(FIND(MID(K2,5,1),H68,1))),I2*J68,0)</f>
        <v>7.23</v>
      </c>
      <c r="O68" s="20" t="s">
        <v>132</v>
      </c>
      <c r="P68" s="33">
        <f>LEN(SUBSTITUTE(H68,",",))*I$2*2</f>
        <v>20</v>
      </c>
    </row>
    <row r="69" spans="1:19" x14ac:dyDescent="0.15">
      <c r="A69" s="1">
        <v>69</v>
      </c>
      <c r="D69" s="38"/>
      <c r="E69" s="38"/>
      <c r="F69" s="6" t="s">
        <v>47</v>
      </c>
      <c r="G69" s="6" t="s">
        <v>45</v>
      </c>
      <c r="H69" s="7" t="s">
        <v>18</v>
      </c>
      <c r="I69" s="35"/>
      <c r="J69" s="2">
        <v>36.29</v>
      </c>
      <c r="K69" s="35"/>
      <c r="N69" s="28">
        <f ca="1">IF(OR(AND(ISNUMBER(FIND(MID(K2,3,1),H69,1)),ISNUMBER(FIND(MID(K2,4,1),H69,1))),AND(ISNUMBER(FIND(MID(K2,5,1),H69,1)),ISNUMBER(FIND(MID(K2,4,1),H69,1))),AND(ISNUMBER(FIND(MID(K2,3,1),H69,1)),ISNUMBER(FIND(MID(K2,5,1),H69,1)))),I2*J69,0)</f>
        <v>36.29</v>
      </c>
      <c r="O69" s="20" t="s">
        <v>132</v>
      </c>
      <c r="P69" s="33">
        <f>COMBIN(LEN(SUBSTITUTE(H69,",",)),2)*I$2*2</f>
        <v>90</v>
      </c>
    </row>
    <row r="70" spans="1:19" x14ac:dyDescent="0.15">
      <c r="A70" s="1">
        <v>70</v>
      </c>
      <c r="D70" s="39" t="s">
        <v>50</v>
      </c>
      <c r="E70" s="39" t="s">
        <v>51</v>
      </c>
      <c r="F70" s="39" t="s">
        <v>52</v>
      </c>
      <c r="G70" s="2" t="s">
        <v>7</v>
      </c>
      <c r="H70" s="10" t="s">
        <v>169</v>
      </c>
      <c r="I70" s="35"/>
      <c r="J70" s="35">
        <v>19600</v>
      </c>
      <c r="K70" s="35"/>
      <c r="L70" s="14" t="b">
        <f ca="1">ISNUMBER(FIND(MID(K2,2,1),H70,1))</f>
        <v>1</v>
      </c>
      <c r="M70" s="16"/>
      <c r="N70" s="36">
        <f ca="1">IF(AND(ISNUMBER(FIND(MID(K2,2,1),H70,1)),ISNUMBER(FIND(MID(K2,3,1),H71,1)),ISNUMBER(FIND(MID(K2,4,1),H72,1)),ISNUMBER(FIND(RIGHT(K2,1),H73,1))),I2*J70,0)</f>
        <v>19600</v>
      </c>
      <c r="O70" s="37" t="s">
        <v>170</v>
      </c>
      <c r="P70" s="35">
        <f>LEN(SUBSTITUTE(H70,",",))*LEN(SUBSTITUTE(H71,",",))*LEN(SUBSTITUTE(H72,",",))*LEN(SUBSTITUTE(H73,",",))*I$2*2</f>
        <v>8192</v>
      </c>
    </row>
    <row r="71" spans="1:19" x14ac:dyDescent="0.15">
      <c r="A71" s="1">
        <v>71</v>
      </c>
      <c r="D71" s="39"/>
      <c r="E71" s="39"/>
      <c r="F71" s="39"/>
      <c r="G71" s="2" t="s">
        <v>8</v>
      </c>
      <c r="H71" s="10" t="s">
        <v>168</v>
      </c>
      <c r="I71" s="35"/>
      <c r="J71" s="35"/>
      <c r="K71" s="35"/>
      <c r="L71" s="14" t="b">
        <f ca="1">ISNUMBER(FIND(MID(K2,3,1),H71,1))</f>
        <v>1</v>
      </c>
      <c r="M71" s="16"/>
      <c r="N71" s="36"/>
      <c r="O71" s="37"/>
      <c r="P71" s="35"/>
    </row>
    <row r="72" spans="1:19" x14ac:dyDescent="0.15">
      <c r="A72" s="1">
        <v>72</v>
      </c>
      <c r="D72" s="39"/>
      <c r="E72" s="39"/>
      <c r="F72" s="39"/>
      <c r="G72" s="6" t="s">
        <v>19</v>
      </c>
      <c r="H72" s="10" t="s">
        <v>166</v>
      </c>
      <c r="I72" s="35"/>
      <c r="J72" s="35"/>
      <c r="K72" s="35"/>
      <c r="L72" s="14" t="b">
        <f ca="1">ISNUMBER(FIND(MID(K2,4,1),H72,1))</f>
        <v>1</v>
      </c>
      <c r="M72" s="16"/>
      <c r="N72" s="36"/>
      <c r="O72" s="37"/>
      <c r="P72" s="35"/>
    </row>
    <row r="73" spans="1:19" x14ac:dyDescent="0.15">
      <c r="A73" s="1">
        <v>73</v>
      </c>
      <c r="D73" s="39"/>
      <c r="E73" s="39"/>
      <c r="F73" s="39"/>
      <c r="G73" s="6" t="s">
        <v>20</v>
      </c>
      <c r="H73" s="10" t="s">
        <v>167</v>
      </c>
      <c r="I73" s="35"/>
      <c r="J73" s="35"/>
      <c r="K73" s="35"/>
      <c r="L73" s="14" t="b">
        <f ca="1">ISNUMBER(FIND(RIGHT(K2,1),H73,1))</f>
        <v>1</v>
      </c>
      <c r="N73" s="36"/>
      <c r="O73" s="37"/>
      <c r="P73" s="35"/>
    </row>
    <row r="74" spans="1:19" x14ac:dyDescent="0.15">
      <c r="A74" s="1">
        <v>74</v>
      </c>
      <c r="D74" s="39"/>
      <c r="E74" s="39"/>
      <c r="F74" s="9" t="s">
        <v>53</v>
      </c>
      <c r="G74" s="9" t="s">
        <v>54</v>
      </c>
      <c r="H74" s="4">
        <v>7113</v>
      </c>
      <c r="I74" s="35"/>
      <c r="J74" s="2">
        <v>19600</v>
      </c>
      <c r="K74" s="35"/>
      <c r="L74" s="1" t="b">
        <f ca="1">ISNUMBER(FIND(","&amp;RIGHT(K2,4)&amp;",",H74,1))</f>
        <v>0</v>
      </c>
      <c r="N74" s="28">
        <f ca="1">IF(ISNUMBER(FIND(","&amp;RIGHT(K2,4)&amp;",",H74,1)),I2*J74,0)</f>
        <v>0</v>
      </c>
      <c r="O74" s="20" t="s">
        <v>132</v>
      </c>
    </row>
    <row r="75" spans="1:19" x14ac:dyDescent="0.15">
      <c r="A75" s="1">
        <v>75</v>
      </c>
      <c r="D75" s="39"/>
      <c r="E75" s="39" t="s">
        <v>55</v>
      </c>
      <c r="F75" s="9" t="s">
        <v>56</v>
      </c>
      <c r="G75" s="9" t="s">
        <v>57</v>
      </c>
      <c r="H75" s="10" t="s">
        <v>171</v>
      </c>
      <c r="I75" s="35"/>
      <c r="J75" s="1">
        <v>816.66</v>
      </c>
      <c r="K75" s="35"/>
      <c r="L75" s="14" t="b">
        <f ca="1">AND(ISNUMBER(FIND(MID(K2,2,1),H75,1)),ISNUMBER(FIND(MID(K2,3,1),H75,1)),ISNUMBER(FIND(MID(K2,4,1),H75,1)),ISNUMBER(FIND(MID(K2,5,1),H75,1)))</f>
        <v>0</v>
      </c>
      <c r="N75" s="28">
        <f ca="1">IF(AND(ISNUMBER(FIND(MID(K2,2,1),H75,1)),ISNUMBER(FIND(MID(K2,3,1),H75,1)),ISNUMBER(FIND(MID(K2,4,1),H75,1)),ISNUMBER(FIND(MID(K2,5,1),H75,1))),I2*J75,0)</f>
        <v>0</v>
      </c>
      <c r="O75" s="20" t="s">
        <v>170</v>
      </c>
      <c r="P75" s="15">
        <f>COMBIN(LEN(SUBSTITUTE(H75,",",)),4)*I2*2</f>
        <v>140</v>
      </c>
      <c r="Q75" s="34"/>
    </row>
    <row r="76" spans="1:19" ht="15" x14ac:dyDescent="0.15">
      <c r="A76" s="1">
        <v>76</v>
      </c>
      <c r="D76" s="39"/>
      <c r="E76" s="39"/>
      <c r="F76" s="39" t="s">
        <v>58</v>
      </c>
      <c r="G76" s="9" t="s">
        <v>59</v>
      </c>
      <c r="H76" s="10" t="s">
        <v>209</v>
      </c>
      <c r="I76" s="35"/>
      <c r="J76" s="35">
        <v>1633.33</v>
      </c>
      <c r="K76" s="35"/>
      <c r="M76" s="35" t="b">
        <f ca="1">EXACT(SUM(DELTA(MID(K2,2,1),MID(K2,3,1)),DELTA(MID(K2,2,1),MID(K2,4,1)),DELTA(MID(K2,2,1),MID(K2,5,1)),DELTA(MID(K2,3,1),MID(K2,4,1)),DELTA(MID(K2,3,1),MID(K2,5,1)),DELTA(MID(K2,4,1),MID(K2,5,1))),1)</f>
        <v>0</v>
      </c>
      <c r="N76" s="36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0</v>
      </c>
      <c r="O76" s="37" t="s">
        <v>172</v>
      </c>
      <c r="P76" s="35">
        <f>(COMBIN(LEN(SUBSTITUTE(H76,",",)),1)*COMBIN(LEN(SUBSTITUTE(H77,",",)),2)-COMBIN(LEN(SUBSTITUTE(H77,",",))-1,1)*Q76)*I2*2</f>
        <v>720</v>
      </c>
      <c r="Q76" s="33">
        <f t="array" ref="Q76">SUM((MID(SUBSTITUTE(H76,",",),ROW($1:$99),1)&lt;&gt;"")*(MATCH(MID(SUBSTITUTE(H76,",",),ROW($1:$99),1),MID(SUBSTITUTE(H76,",",),ROW($1:$99),1),)=ROW($1:$99))*ISNUMBER(FIND(MID(SUBSTITUTE(H76,",",),ROW($1:$99),1),SUBSTITUTE(H77,",",))))</f>
        <v>10</v>
      </c>
      <c r="R76" s="22"/>
    </row>
    <row r="77" spans="1:19" x14ac:dyDescent="0.15">
      <c r="A77" s="1">
        <v>77</v>
      </c>
      <c r="D77" s="39"/>
      <c r="E77" s="39"/>
      <c r="F77" s="39"/>
      <c r="G77" s="9" t="s">
        <v>60</v>
      </c>
      <c r="H77" s="7" t="s">
        <v>18</v>
      </c>
      <c r="I77" s="35"/>
      <c r="J77" s="35"/>
      <c r="K77" s="35"/>
      <c r="M77" s="35"/>
      <c r="N77" s="36"/>
      <c r="O77" s="37"/>
      <c r="P77" s="35"/>
      <c r="Q77" s="16"/>
    </row>
    <row r="78" spans="1:19" x14ac:dyDescent="0.15">
      <c r="A78" s="1">
        <v>78</v>
      </c>
      <c r="D78" s="39"/>
      <c r="E78" s="39"/>
      <c r="F78" s="9" t="s">
        <v>61</v>
      </c>
      <c r="G78" s="9" t="s">
        <v>59</v>
      </c>
      <c r="H78" s="7" t="s">
        <v>18</v>
      </c>
      <c r="I78" s="35"/>
      <c r="J78" s="1">
        <v>3266.66</v>
      </c>
      <c r="K78" s="35"/>
      <c r="N78" s="28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O78" s="13" t="s">
        <v>170</v>
      </c>
      <c r="P78" s="14">
        <f>COMBIN(LEN(SUBSTITUTE(H78,",",)),2)*I2*2</f>
        <v>90</v>
      </c>
      <c r="S78" s="14"/>
    </row>
    <row r="79" spans="1:19" x14ac:dyDescent="0.15">
      <c r="A79" s="1">
        <v>79</v>
      </c>
      <c r="D79" s="39"/>
      <c r="E79" s="39"/>
      <c r="F79" s="39" t="s">
        <v>62</v>
      </c>
      <c r="G79" s="9" t="s">
        <v>64</v>
      </c>
      <c r="H79" s="10" t="s">
        <v>211</v>
      </c>
      <c r="I79" s="35"/>
      <c r="J79" s="35">
        <v>4900</v>
      </c>
      <c r="K79" s="35"/>
      <c r="N79" s="36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0</v>
      </c>
      <c r="O79" s="37" t="s">
        <v>172</v>
      </c>
      <c r="P79" s="35">
        <f>(LEN(SUBSTITUTE(H79,",",))*LEN(SUBSTITUTE(H80,",",))-Q79)*I$2*2</f>
        <v>162</v>
      </c>
      <c r="Q79" s="33">
        <f t="array" ref="Q79">SUM((MID(SUBSTITUTE(H79,",",),ROW($1:$99),1)&lt;&gt;"")*(MATCH(MID(SUBSTITUTE(H79,",",),ROW($1:$99),1),MID(SUBSTITUTE(H79,",",),ROW($1:$99),1),)=ROW($1:$99))*ISNUMBER(FIND(MID(SUBSTITUTE(H79,",",),ROW($1:$99),1),SUBSTITUTE(H80,",",))))</f>
        <v>9</v>
      </c>
      <c r="S79" s="14"/>
    </row>
    <row r="80" spans="1:19" x14ac:dyDescent="0.15">
      <c r="A80" s="1">
        <v>80</v>
      </c>
      <c r="D80" s="39"/>
      <c r="E80" s="39"/>
      <c r="F80" s="39"/>
      <c r="G80" s="9" t="s">
        <v>63</v>
      </c>
      <c r="H80" s="7" t="s">
        <v>18</v>
      </c>
      <c r="I80" s="35"/>
      <c r="J80" s="35"/>
      <c r="K80" s="35"/>
      <c r="N80" s="36"/>
      <c r="O80" s="37"/>
      <c r="P80" s="35"/>
    </row>
    <row r="81" spans="4:20" x14ac:dyDescent="0.15">
      <c r="D81" s="39"/>
      <c r="E81" s="39" t="s">
        <v>65</v>
      </c>
      <c r="F81" s="9" t="s">
        <v>66</v>
      </c>
      <c r="G81" s="9" t="s">
        <v>68</v>
      </c>
      <c r="H81" s="7" t="s">
        <v>18</v>
      </c>
      <c r="I81" s="35"/>
      <c r="J81" s="1">
        <v>5.69</v>
      </c>
      <c r="K81" s="35"/>
      <c r="N81" s="28">
        <f ca="1">IF(OR(ISNUMBER(FIND(MID(K2,2,1),H81,1)),ISNUMBER(FIND(MID(K2,3,1),H81,1)),ISNUMBER(FIND(MID(K2,4,1),H81,1)),ISNUMBER(FIND(MID(K2,5,1),H81,1))),I2*J81,0)</f>
        <v>5.69</v>
      </c>
      <c r="O81" s="13" t="s">
        <v>170</v>
      </c>
      <c r="P81" s="33">
        <f>LEN(SUBSTITUTE(H81,",",))*I$2*2</f>
        <v>20</v>
      </c>
    </row>
    <row r="82" spans="4:20" x14ac:dyDescent="0.15">
      <c r="D82" s="39"/>
      <c r="E82" s="39"/>
      <c r="F82" s="9" t="s">
        <v>67</v>
      </c>
      <c r="G82" s="9" t="s">
        <v>65</v>
      </c>
      <c r="H82" s="7" t="s">
        <v>18</v>
      </c>
      <c r="I82" s="35"/>
      <c r="J82" s="1">
        <v>20.12</v>
      </c>
      <c r="K82" s="35"/>
      <c r="N82" s="28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36.29</v>
      </c>
      <c r="O82" s="13" t="s">
        <v>175</v>
      </c>
      <c r="P82" s="33">
        <f>COMBIN(LEN(SUBSTITUTE(H82,",",)),2)*I$2*2</f>
        <v>90</v>
      </c>
    </row>
    <row r="83" spans="4:20" x14ac:dyDescent="0.15">
      <c r="D83" s="39" t="s">
        <v>69</v>
      </c>
      <c r="E83" s="39" t="s">
        <v>70</v>
      </c>
      <c r="F83" s="39" t="s">
        <v>71</v>
      </c>
      <c r="G83" s="6" t="s">
        <v>6</v>
      </c>
      <c r="H83" s="7" t="s">
        <v>18</v>
      </c>
      <c r="I83" s="35"/>
      <c r="J83" s="35">
        <v>196000</v>
      </c>
      <c r="K83" s="35"/>
      <c r="N83" s="36">
        <f ca="1">IF(AND(ISNUMBER(FIND(LEFT(K2,1),H83,1)),ISNUMBER(FIND(MID(K2,2,1),H84,1)),ISNUMBER(FIND(MID(K2,3,1),H85,1)),ISNUMBER(FIND(MID(K2,4,1),H86,1)),ISNUMBER(FIND(RIGHT(K2,1),H87,1))),I2*J83,0)</f>
        <v>196000</v>
      </c>
      <c r="O83" s="37" t="s">
        <v>175</v>
      </c>
      <c r="P83" s="35">
        <f>LEN(SUBSTITUTE(H83,",",))*LEN(SUBSTITUTE(H84,",",))*LEN(SUBSTITUTE(H85,",",))*LEN(SUBSTITUTE(H86,",",))*LEN(SUBSTITUTE(H87,",",))*I$2*2</f>
        <v>200000</v>
      </c>
    </row>
    <row r="84" spans="4:20" x14ac:dyDescent="0.15">
      <c r="D84" s="39"/>
      <c r="E84" s="39"/>
      <c r="F84" s="39"/>
      <c r="G84" s="2" t="s">
        <v>7</v>
      </c>
      <c r="H84" s="7" t="s">
        <v>18</v>
      </c>
      <c r="I84" s="35"/>
      <c r="J84" s="35"/>
      <c r="K84" s="35"/>
      <c r="N84" s="36"/>
      <c r="O84" s="37"/>
      <c r="P84" s="35"/>
    </row>
    <row r="85" spans="4:20" x14ac:dyDescent="0.15">
      <c r="D85" s="39"/>
      <c r="E85" s="39"/>
      <c r="F85" s="39"/>
      <c r="G85" s="2" t="s">
        <v>8</v>
      </c>
      <c r="H85" s="7" t="s">
        <v>18</v>
      </c>
      <c r="I85" s="35"/>
      <c r="J85" s="35"/>
      <c r="K85" s="35"/>
      <c r="N85" s="36"/>
      <c r="O85" s="37"/>
      <c r="P85" s="35"/>
    </row>
    <row r="86" spans="4:20" x14ac:dyDescent="0.15">
      <c r="D86" s="39"/>
      <c r="E86" s="39"/>
      <c r="F86" s="39"/>
      <c r="G86" s="6" t="s">
        <v>19</v>
      </c>
      <c r="H86" s="7" t="s">
        <v>18</v>
      </c>
      <c r="I86" s="35"/>
      <c r="J86" s="35"/>
      <c r="K86" s="35"/>
      <c r="N86" s="36"/>
      <c r="O86" s="37"/>
      <c r="P86" s="35"/>
      <c r="R86" s="23"/>
    </row>
    <row r="87" spans="4:20" x14ac:dyDescent="0.15">
      <c r="D87" s="39"/>
      <c r="E87" s="39"/>
      <c r="F87" s="39"/>
      <c r="G87" s="6" t="s">
        <v>20</v>
      </c>
      <c r="H87" s="7" t="s">
        <v>18</v>
      </c>
      <c r="I87" s="35"/>
      <c r="J87" s="35"/>
      <c r="K87" s="35"/>
      <c r="N87" s="36"/>
      <c r="O87" s="37"/>
      <c r="P87" s="35"/>
      <c r="R87" s="24"/>
      <c r="T87" s="32"/>
    </row>
    <row r="88" spans="4:20" x14ac:dyDescent="0.15">
      <c r="D88" s="39"/>
      <c r="E88" s="39"/>
      <c r="F88" s="9" t="s">
        <v>72</v>
      </c>
      <c r="G88" s="9" t="s">
        <v>73</v>
      </c>
      <c r="H88" s="10" t="s">
        <v>207</v>
      </c>
      <c r="I88" s="35"/>
      <c r="J88" s="1">
        <v>196000</v>
      </c>
      <c r="K88" s="35"/>
      <c r="N88" s="28">
        <f ca="1">IF(ISNUMBER(FIND(","&amp;K2&amp;",",H88,1)),I2*J88,0)</f>
        <v>0</v>
      </c>
      <c r="O88" s="13" t="s">
        <v>175</v>
      </c>
      <c r="P88" s="14"/>
      <c r="R88" s="24"/>
      <c r="T88" s="32"/>
    </row>
    <row r="89" spans="4:20" x14ac:dyDescent="0.15">
      <c r="D89" s="39"/>
      <c r="E89" s="39" t="s">
        <v>74</v>
      </c>
      <c r="F89" s="9" t="s">
        <v>75</v>
      </c>
      <c r="G89" s="9" t="s">
        <v>81</v>
      </c>
      <c r="H89" s="7" t="s">
        <v>18</v>
      </c>
      <c r="I89" s="35"/>
      <c r="J89" s="1">
        <v>1633.33</v>
      </c>
      <c r="K89" s="35"/>
      <c r="N89" s="28">
        <f ca="1">IF(AND(ISNUMBER(FIND(LEFT(K2,1),H89,1)),ISNUMBER(FIND(MID(K2,2,1),H89,1)),ISNUMBER(FIND(MID(K2,3,1),H89,1)),ISNUMBER(FIND(MID(K2,4,1),H89,1)),ISNUMBER(FIND(MID(K2,5,1),H89,1))),I2*J89,0)</f>
        <v>1633.33</v>
      </c>
      <c r="O89" s="13" t="s">
        <v>175</v>
      </c>
      <c r="P89" s="14">
        <f>COMBIN(LEN(SUBSTITUTE(H89,",",)),5)*I$2*2</f>
        <v>504</v>
      </c>
      <c r="R89" s="24"/>
      <c r="T89" s="32"/>
    </row>
    <row r="90" spans="4:20" x14ac:dyDescent="0.15">
      <c r="D90" s="39"/>
      <c r="E90" s="39"/>
      <c r="F90" s="39" t="s">
        <v>76</v>
      </c>
      <c r="G90" s="9" t="s">
        <v>82</v>
      </c>
      <c r="H90" s="10" t="s">
        <v>212</v>
      </c>
      <c r="I90" s="35"/>
      <c r="J90" s="35">
        <v>3266.66</v>
      </c>
      <c r="K90" s="35"/>
      <c r="L90" s="1" t="b">
        <f ca="1">AND(SUMPRODUCT(N(ISNUMBER(FIND(ROW($1:$10)-1,K2))))=4,ISNUMBER(FIND(_xlfn.MODE.SNGL(INT(LEFT(K2,1)),INT(MID(K2,2,1)),INT(MID(K2,3,1)),INT(MID(K2,4,1)),INT(MID(K2,5,1))),H90,1)))</f>
        <v>0</v>
      </c>
      <c r="N90" s="36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0</v>
      </c>
      <c r="O90" s="37" t="s">
        <v>133</v>
      </c>
      <c r="P90" s="35">
        <f>COMBIN(LEN(SUBSTITUTE(H90,",",)),1)*COMBIN(LEN(SUBSTITUTE(H91,",",)),3)-Q90*COMBIN(LEN(SUBSTITUTE(H91,",",))-1,2)</f>
        <v>840</v>
      </c>
      <c r="Q90" s="33">
        <f t="array" ref="Q90">SUM((MID(SUBSTITUTE(H90,",",),ROW($1:$99),1)&lt;&gt;"")*(MATCH(MID(SUBSTITUTE(H90,",",),ROW($1:$99),1),MID(SUBSTITUTE(H90,",",),ROW($1:$99),1),)=ROW($1:$99))*ISNUMBER(FIND(MID(SUBSTITUTE(H90,",",),ROW($1:$99),1),SUBSTITUTE(H91,",",))))</f>
        <v>10</v>
      </c>
      <c r="R90" s="24"/>
      <c r="S90" s="24"/>
      <c r="T90" s="32"/>
    </row>
    <row r="91" spans="4:20" x14ac:dyDescent="0.15">
      <c r="D91" s="39"/>
      <c r="E91" s="39"/>
      <c r="F91" s="39"/>
      <c r="G91" s="9" t="s">
        <v>60</v>
      </c>
      <c r="H91" s="10" t="s">
        <v>194</v>
      </c>
      <c r="I91" s="35"/>
      <c r="J91" s="35"/>
      <c r="K91" s="35"/>
      <c r="L91" s="1" t="e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#N/A</v>
      </c>
      <c r="N91" s="36"/>
      <c r="O91" s="37"/>
      <c r="P91" s="35"/>
      <c r="S91" s="23"/>
    </row>
    <row r="92" spans="4:20" x14ac:dyDescent="0.15">
      <c r="D92" s="39"/>
      <c r="E92" s="39"/>
      <c r="F92" s="39" t="s">
        <v>77</v>
      </c>
      <c r="G92" s="9" t="s">
        <v>82</v>
      </c>
      <c r="H92" s="7" t="s">
        <v>18</v>
      </c>
      <c r="I92" s="35"/>
      <c r="J92" s="35">
        <v>6533.33</v>
      </c>
      <c r="K92" s="35"/>
      <c r="L92" s="24" t="b">
        <f ca="1">AND(SUMPRODUCT(N(ISNUMBER(FIND(ROW($1:$10)-1,K2))))=3,AND(ISNUMBER(FIND(R90,H92,1)),ISNUMBER(FIND(R91,H92,1))),R90&lt;&gt;R91)</f>
        <v>0</v>
      </c>
      <c r="N92" s="36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O92" s="37" t="s">
        <v>133</v>
      </c>
      <c r="P92" s="35"/>
    </row>
    <row r="93" spans="4:20" x14ac:dyDescent="0.15">
      <c r="D93" s="39"/>
      <c r="E93" s="39"/>
      <c r="F93" s="39"/>
      <c r="G93" s="9" t="s">
        <v>60</v>
      </c>
      <c r="H93" s="7" t="s">
        <v>18</v>
      </c>
      <c r="I93" s="35"/>
      <c r="J93" s="35"/>
      <c r="K93" s="35"/>
      <c r="L93" s="1" t="b">
        <f>AND(ISNUMBER(FIND(SUM(P90:P94)-SUM(R90:R91)*2,H93,1)),R90&lt;&gt;R91)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36"/>
      <c r="O93" s="37"/>
      <c r="P93" s="35"/>
    </row>
    <row r="94" spans="4:20" x14ac:dyDescent="0.15">
      <c r="D94" s="39"/>
      <c r="E94" s="39"/>
      <c r="F94" s="39" t="s">
        <v>78</v>
      </c>
      <c r="G94" s="9" t="s">
        <v>83</v>
      </c>
      <c r="H94" s="10" t="s">
        <v>196</v>
      </c>
      <c r="I94" s="35"/>
      <c r="J94" s="35">
        <v>9800</v>
      </c>
      <c r="K94" s="35"/>
      <c r="L94" s="1" t="b">
        <f ca="1">AND(SUMPRODUCT(N(ISNUMBER(FIND(ROW($1:$10)-1,K2))))=3,ISNUMBER(FIND(R90,H94,1)),R90=R91)</f>
        <v>0</v>
      </c>
      <c r="N94" s="36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O94" s="37" t="s">
        <v>133</v>
      </c>
      <c r="P94" s="35"/>
    </row>
    <row r="95" spans="4:20" x14ac:dyDescent="0.15">
      <c r="D95" s="39"/>
      <c r="E95" s="39"/>
      <c r="F95" s="39"/>
      <c r="G95" s="9" t="s">
        <v>60</v>
      </c>
      <c r="H95" s="10">
        <v>71</v>
      </c>
      <c r="I95" s="35"/>
      <c r="J95" s="35"/>
      <c r="K95" s="35"/>
      <c r="L95" s="1" t="e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#N/A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36"/>
      <c r="O95" s="37"/>
      <c r="P95" s="35"/>
    </row>
    <row r="96" spans="4:20" x14ac:dyDescent="0.15">
      <c r="D96" s="39"/>
      <c r="E96" s="39"/>
      <c r="F96" s="39" t="s">
        <v>79</v>
      </c>
      <c r="G96" s="9" t="s">
        <v>84</v>
      </c>
      <c r="H96" s="7">
        <v>4</v>
      </c>
      <c r="I96" s="35"/>
      <c r="J96" s="35">
        <v>19600</v>
      </c>
      <c r="K96" s="35"/>
      <c r="N96" s="36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O96" s="37" t="s">
        <v>133</v>
      </c>
    </row>
    <row r="97" spans="4:19" x14ac:dyDescent="0.15">
      <c r="D97" s="39"/>
      <c r="E97" s="39"/>
      <c r="F97" s="39"/>
      <c r="G97" s="9" t="s">
        <v>195</v>
      </c>
      <c r="H97" s="7">
        <v>1</v>
      </c>
      <c r="I97" s="35"/>
      <c r="J97" s="35"/>
      <c r="K97" s="35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36"/>
      <c r="O97" s="37"/>
    </row>
    <row r="98" spans="4:19" x14ac:dyDescent="0.15">
      <c r="D98" s="39"/>
      <c r="E98" s="39"/>
      <c r="F98" s="39" t="s">
        <v>80</v>
      </c>
      <c r="G98" s="9" t="s">
        <v>85</v>
      </c>
      <c r="H98" s="7">
        <v>415</v>
      </c>
      <c r="I98" s="35"/>
      <c r="J98" s="35">
        <v>39200</v>
      </c>
      <c r="K98" s="35"/>
      <c r="N98" s="36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O98" s="37" t="s">
        <v>133</v>
      </c>
      <c r="P98" s="35"/>
      <c r="S98" s="23"/>
    </row>
    <row r="99" spans="4:19" x14ac:dyDescent="0.15">
      <c r="D99" s="39"/>
      <c r="E99" s="39"/>
      <c r="F99" s="39"/>
      <c r="G99" s="9" t="s">
        <v>86</v>
      </c>
      <c r="H99" s="7">
        <v>123</v>
      </c>
      <c r="I99" s="35"/>
      <c r="J99" s="35"/>
      <c r="K99" s="35"/>
      <c r="N99" s="36"/>
      <c r="O99" s="37"/>
      <c r="P99" s="35"/>
      <c r="R99" s="30"/>
      <c r="S99" s="23"/>
    </row>
    <row r="100" spans="4:19" x14ac:dyDescent="0.15">
      <c r="D100" s="39"/>
      <c r="E100" s="39" t="s">
        <v>65</v>
      </c>
      <c r="F100" s="9" t="s">
        <v>87</v>
      </c>
      <c r="G100" s="9" t="s">
        <v>90</v>
      </c>
      <c r="H100" s="7" t="s">
        <v>18</v>
      </c>
      <c r="I100" s="35"/>
      <c r="J100" s="1">
        <v>4.78</v>
      </c>
      <c r="K100" s="35"/>
      <c r="N100" s="28">
        <f ca="1">IF(OR(ISNUMBER(FIND(MID(K2,1,1),H100,1)),ISNUMBER(FIND(MID(K2,2,1),H100,1)),ISNUMBER(FIND(MID(K2,3,1),H100,1)),ISNUMBER(FIND(MID(K2,4,1),H100,1)),ISNUMBER(FIND(MID(K2,5,1),H100,1))),I2*J100,0)</f>
        <v>4.78</v>
      </c>
      <c r="O100" s="13" t="s">
        <v>177</v>
      </c>
      <c r="P100" s="31">
        <f>COMBIN(LEN(SUBSTITUTE(H100,",",)),1)*I$2*2</f>
        <v>20</v>
      </c>
    </row>
    <row r="101" spans="4:19" x14ac:dyDescent="0.15">
      <c r="D101" s="39"/>
      <c r="E101" s="39"/>
      <c r="F101" s="9" t="s">
        <v>88</v>
      </c>
      <c r="G101" s="9" t="s">
        <v>90</v>
      </c>
      <c r="H101" s="7">
        <v>123</v>
      </c>
      <c r="I101" s="35"/>
      <c r="J101" s="1">
        <v>13.36</v>
      </c>
      <c r="K101" s="35"/>
      <c r="N101" s="28">
        <f ca="1">IF(
  SUM(IF(ISNUMBER(FIND(MID(K2,1,1),H101,1)),1,0),
   IF(ISNUMBER(FIND(MID(K2,2,1),H101,1)),1,0),
   IF(ISNUMBER(FIND(MID(K2,3,1),H101,1)),1,0),
   IF(ISNUMBER(FIND(MID(K2,4,1),H101,1)),1,0),
   IF(ISNUMBER(FIND(MID(K2,5,1),H101,1)),1,0)
  )&gt;=2,I2*J101,0)</f>
        <v>13.36</v>
      </c>
      <c r="O101" s="15" t="s">
        <v>176</v>
      </c>
      <c r="P101" s="31">
        <f>COMBIN(LEN(SUBSTITUTE(H101,",",)),2)*I$2*2</f>
        <v>6</v>
      </c>
    </row>
    <row r="102" spans="4:19" x14ac:dyDescent="0.15">
      <c r="D102" s="39"/>
      <c r="E102" s="39"/>
      <c r="F102" s="9" t="s">
        <v>89</v>
      </c>
      <c r="G102" s="9" t="s">
        <v>90</v>
      </c>
      <c r="H102" s="7" t="s">
        <v>18</v>
      </c>
      <c r="I102" s="35"/>
      <c r="J102" s="1">
        <v>45.05</v>
      </c>
      <c r="K102" s="35"/>
      <c r="N102" s="28"/>
      <c r="P102" s="1">
        <f>COMBIN(LEN(SUBSTITUTE(H102,",",)),3)*I$2*2</f>
        <v>240</v>
      </c>
    </row>
    <row r="103" spans="4:19" x14ac:dyDescent="0.15">
      <c r="D103" s="39"/>
      <c r="E103" s="39" t="s">
        <v>91</v>
      </c>
      <c r="F103" s="9" t="s">
        <v>92</v>
      </c>
      <c r="G103" s="9" t="s">
        <v>92</v>
      </c>
      <c r="H103" s="7" t="s">
        <v>18</v>
      </c>
      <c r="I103" s="35"/>
      <c r="J103" s="1">
        <v>4.78</v>
      </c>
      <c r="K103" s="35"/>
      <c r="N103" s="28">
        <f ca="1">IF(OR(ISNUMBER(FIND(MID(K2,1,1),H103,1)),ISNUMBER(FIND(MID(K2,2,1),H103,1)),ISNUMBER(FIND(MID(K2,3,1),H103,1)),ISNUMBER(FIND(MID(K2,4,1),H103,1)),ISNUMBER(FIND(MID(K2,5,1),H103,1))),I2*J103,0)</f>
        <v>4.78</v>
      </c>
      <c r="O103" s="13" t="s">
        <v>175</v>
      </c>
      <c r="P103" s="31">
        <f>LEN(SUBSTITUTE(H103,",",))*$I$2*2</f>
        <v>20</v>
      </c>
    </row>
    <row r="104" spans="4:19" x14ac:dyDescent="0.15">
      <c r="D104" s="39"/>
      <c r="E104" s="39"/>
      <c r="F104" s="9" t="s">
        <v>93</v>
      </c>
      <c r="G104" s="9" t="s">
        <v>93</v>
      </c>
      <c r="H104" s="7" t="s">
        <v>18</v>
      </c>
      <c r="I104" s="35"/>
      <c r="J104" s="1">
        <v>24.06</v>
      </c>
      <c r="K104" s="35"/>
      <c r="N104" s="28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0</v>
      </c>
      <c r="O104" s="27" t="s">
        <v>133</v>
      </c>
      <c r="P104" s="31">
        <f>LEN(SUBSTITUTE(H104,",",))*$I$2*2</f>
        <v>20</v>
      </c>
      <c r="R104" s="24"/>
      <c r="S104" s="26"/>
    </row>
    <row r="105" spans="4:19" x14ac:dyDescent="0.15">
      <c r="D105" s="39"/>
      <c r="E105" s="39"/>
      <c r="F105" s="9" t="s">
        <v>94</v>
      </c>
      <c r="G105" s="9" t="s">
        <v>94</v>
      </c>
      <c r="H105" s="10" t="s">
        <v>206</v>
      </c>
      <c r="I105" s="35"/>
      <c r="J105" s="1">
        <v>228.97</v>
      </c>
      <c r="K105" s="35"/>
      <c r="N105" s="28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0</v>
      </c>
      <c r="O105" s="25" t="s">
        <v>133</v>
      </c>
      <c r="P105" s="31">
        <f>LEN(SUBSTITUTE(H105,",",))*$I$2*2</f>
        <v>18</v>
      </c>
      <c r="R105" s="24"/>
      <c r="S105" s="26"/>
    </row>
    <row r="106" spans="4:19" x14ac:dyDescent="0.15">
      <c r="D106" s="39"/>
      <c r="E106" s="39"/>
      <c r="F106" s="9" t="s">
        <v>95</v>
      </c>
      <c r="G106" s="9" t="s">
        <v>95</v>
      </c>
      <c r="H106" s="7" t="s">
        <v>18</v>
      </c>
      <c r="I106" s="35"/>
      <c r="J106" s="1">
        <v>4260.8599999999997</v>
      </c>
      <c r="K106" s="35"/>
      <c r="N106" s="28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O106" s="25" t="s">
        <v>133</v>
      </c>
      <c r="P106" s="15">
        <f>LEN(SUBSTITUTE(H106,",",))*I2*2</f>
        <v>20</v>
      </c>
      <c r="Q106" s="34"/>
      <c r="R106" s="24"/>
      <c r="S106" s="26"/>
    </row>
    <row r="107" spans="4:19" x14ac:dyDescent="0.15">
      <c r="D107" s="39" t="s">
        <v>96</v>
      </c>
      <c r="E107" s="39" t="s">
        <v>97</v>
      </c>
      <c r="F107" s="39" t="s">
        <v>98</v>
      </c>
      <c r="G107" s="9" t="s">
        <v>99</v>
      </c>
      <c r="H107" s="10" t="s">
        <v>205</v>
      </c>
      <c r="I107" s="35"/>
      <c r="J107" s="35">
        <v>7.84</v>
      </c>
      <c r="K107" s="35"/>
      <c r="L107" s="14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5"/>
      <c r="N107" s="36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7.84</v>
      </c>
      <c r="O107" s="37" t="s">
        <v>178</v>
      </c>
      <c r="P107" s="35">
        <f>COMBIN(LEN(H107),1)*COMBIN(LEN(H108),1)*I2*2</f>
        <v>32</v>
      </c>
      <c r="R107" s="24"/>
    </row>
    <row r="108" spans="4:19" x14ac:dyDescent="0.15">
      <c r="D108" s="39"/>
      <c r="E108" s="39"/>
      <c r="F108" s="39"/>
      <c r="G108" s="9" t="s">
        <v>100</v>
      </c>
      <c r="H108" s="10" t="s">
        <v>205</v>
      </c>
      <c r="I108" s="35"/>
      <c r="J108" s="35"/>
      <c r="K108" s="35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36"/>
      <c r="O108" s="37"/>
      <c r="P108" s="35"/>
      <c r="R108" s="24"/>
    </row>
    <row r="109" spans="4:19" x14ac:dyDescent="0.15">
      <c r="D109" s="39"/>
      <c r="E109" s="39"/>
      <c r="F109" s="39" t="s">
        <v>102</v>
      </c>
      <c r="G109" s="9" t="s">
        <v>103</v>
      </c>
      <c r="H109" s="10" t="s">
        <v>205</v>
      </c>
      <c r="I109" s="35"/>
      <c r="J109" s="35">
        <v>7.84</v>
      </c>
      <c r="K109" s="35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36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7.84</v>
      </c>
      <c r="O109" s="37" t="s">
        <v>179</v>
      </c>
      <c r="P109" s="35">
        <f>COMBIN(LEN(H109),1)*COMBIN(LEN(H110),1)*I2*2</f>
        <v>32</v>
      </c>
      <c r="R109" s="24"/>
    </row>
    <row r="110" spans="4:19" x14ac:dyDescent="0.15">
      <c r="D110" s="39"/>
      <c r="E110" s="39"/>
      <c r="F110" s="39"/>
      <c r="G110" s="9" t="s">
        <v>104</v>
      </c>
      <c r="H110" s="10" t="s">
        <v>205</v>
      </c>
      <c r="I110" s="35"/>
      <c r="J110" s="35"/>
      <c r="K110" s="35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36"/>
      <c r="O110" s="37"/>
      <c r="P110" s="35"/>
      <c r="R110" s="24"/>
    </row>
    <row r="111" spans="4:19" x14ac:dyDescent="0.15">
      <c r="D111" s="39"/>
      <c r="E111" s="39"/>
      <c r="F111" s="39" t="s">
        <v>105</v>
      </c>
      <c r="G111" s="9" t="s">
        <v>106</v>
      </c>
      <c r="H111" s="10" t="s">
        <v>101</v>
      </c>
      <c r="I111" s="35"/>
      <c r="J111" s="35">
        <v>15.68</v>
      </c>
      <c r="K111" s="35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36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15.68</v>
      </c>
      <c r="O111" s="37" t="s">
        <v>179</v>
      </c>
      <c r="P111" s="35">
        <f>COMBIN(LEN(H111),1)*COMBIN(LEN(H112),1)*COMBIN(LEN(H113),1)*I2*2</f>
        <v>128</v>
      </c>
      <c r="R111" s="24"/>
    </row>
    <row r="112" spans="4:19" x14ac:dyDescent="0.15">
      <c r="D112" s="39"/>
      <c r="E112" s="39"/>
      <c r="F112" s="39"/>
      <c r="G112" s="9" t="s">
        <v>107</v>
      </c>
      <c r="H112" s="10" t="s">
        <v>101</v>
      </c>
      <c r="I112" s="35"/>
      <c r="J112" s="35"/>
      <c r="K112" s="35"/>
      <c r="L112" s="19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36"/>
      <c r="O112" s="37"/>
      <c r="P112" s="35"/>
      <c r="R112" s="24"/>
    </row>
    <row r="113" spans="4:18" x14ac:dyDescent="0.15">
      <c r="D113" s="39"/>
      <c r="E113" s="39"/>
      <c r="F113" s="39"/>
      <c r="G113" s="9" t="s">
        <v>108</v>
      </c>
      <c r="H113" s="10" t="s">
        <v>101</v>
      </c>
      <c r="I113" s="35"/>
      <c r="J113" s="35"/>
      <c r="K113" s="35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36"/>
      <c r="O113" s="37"/>
      <c r="P113" s="35"/>
      <c r="R113" s="24"/>
    </row>
    <row r="114" spans="4:18" x14ac:dyDescent="0.15">
      <c r="D114" s="39"/>
      <c r="E114" s="39"/>
      <c r="F114" s="39" t="s">
        <v>49</v>
      </c>
      <c r="G114" s="9" t="s">
        <v>109</v>
      </c>
      <c r="H114" s="10" t="s">
        <v>101</v>
      </c>
      <c r="I114" s="35"/>
      <c r="J114" s="35">
        <v>15.68</v>
      </c>
      <c r="K114" s="35"/>
      <c r="L114" s="19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36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15.68</v>
      </c>
      <c r="O114" s="37" t="s">
        <v>178</v>
      </c>
      <c r="P114" s="35">
        <f>COMBIN(LEN(H114),1)*COMBIN(LEN(H115),1)*COMBIN(LEN(H116),1)*I2*2</f>
        <v>128</v>
      </c>
      <c r="R114" s="24"/>
    </row>
    <row r="115" spans="4:18" x14ac:dyDescent="0.15">
      <c r="D115" s="39"/>
      <c r="E115" s="39"/>
      <c r="F115" s="39"/>
      <c r="G115" s="9" t="s">
        <v>110</v>
      </c>
      <c r="H115" s="10" t="s">
        <v>101</v>
      </c>
      <c r="I115" s="35"/>
      <c r="J115" s="35"/>
      <c r="K115" s="35"/>
      <c r="L115" s="19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36"/>
      <c r="O115" s="37"/>
      <c r="P115" s="35"/>
    </row>
    <row r="116" spans="4:18" x14ac:dyDescent="0.15">
      <c r="D116" s="39"/>
      <c r="E116" s="39"/>
      <c r="F116" s="39"/>
      <c r="G116" s="9" t="s">
        <v>104</v>
      </c>
      <c r="H116" s="10" t="s">
        <v>101</v>
      </c>
      <c r="I116" s="35"/>
      <c r="J116" s="35"/>
      <c r="K116" s="35"/>
      <c r="L116" s="19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36"/>
      <c r="O116" s="37"/>
      <c r="P116" s="35"/>
    </row>
    <row r="117" spans="4:18" x14ac:dyDescent="0.15">
      <c r="D117" s="35" t="s">
        <v>111</v>
      </c>
      <c r="E117" s="39" t="s">
        <v>116</v>
      </c>
      <c r="F117" s="39" t="s">
        <v>111</v>
      </c>
      <c r="G117" s="1" t="s">
        <v>113</v>
      </c>
      <c r="H117" s="10" t="s">
        <v>202</v>
      </c>
      <c r="I117" s="35"/>
      <c r="J117" s="35">
        <v>1.96</v>
      </c>
      <c r="K117" s="35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5"/>
      <c r="N117" s="36">
        <f ca="1">IF(SUM(L117:L122)&gt;0,SUM(L117:L122)*I2*J117,0)</f>
        <v>11.76</v>
      </c>
      <c r="O117" s="37" t="s">
        <v>179</v>
      </c>
      <c r="P117" s="35">
        <f>SUM(LEN(H117)/2,LEN(H118),LEN(H119),LEN(H120),LEN(H121),LEN(H122))*I2*2</f>
        <v>68</v>
      </c>
    </row>
    <row r="118" spans="4:18" x14ac:dyDescent="0.15">
      <c r="D118" s="35"/>
      <c r="E118" s="39"/>
      <c r="F118" s="39"/>
      <c r="G118" s="6" t="s">
        <v>6</v>
      </c>
      <c r="H118" s="10" t="s">
        <v>203</v>
      </c>
      <c r="I118" s="35"/>
      <c r="J118" s="35"/>
      <c r="K118" s="35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5"/>
      <c r="N118" s="36"/>
      <c r="O118" s="37"/>
      <c r="P118" s="35"/>
    </row>
    <row r="119" spans="4:18" x14ac:dyDescent="0.15">
      <c r="D119" s="35"/>
      <c r="E119" s="39"/>
      <c r="F119" s="39"/>
      <c r="G119" s="2" t="s">
        <v>7</v>
      </c>
      <c r="H119" s="10" t="s">
        <v>204</v>
      </c>
      <c r="I119" s="35"/>
      <c r="J119" s="35"/>
      <c r="K119" s="35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5"/>
      <c r="N119" s="36"/>
      <c r="O119" s="37"/>
      <c r="P119" s="35"/>
    </row>
    <row r="120" spans="4:18" x14ac:dyDescent="0.15">
      <c r="D120" s="35"/>
      <c r="E120" s="39"/>
      <c r="F120" s="39"/>
      <c r="G120" s="2" t="s">
        <v>8</v>
      </c>
      <c r="H120" s="10" t="s">
        <v>114</v>
      </c>
      <c r="I120" s="35"/>
      <c r="J120" s="35"/>
      <c r="K120" s="35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5"/>
      <c r="N120" s="36"/>
      <c r="O120" s="37"/>
      <c r="P120" s="35"/>
    </row>
    <row r="121" spans="4:18" x14ac:dyDescent="0.15">
      <c r="D121" s="35"/>
      <c r="E121" s="39"/>
      <c r="F121" s="39"/>
      <c r="G121" s="6" t="s">
        <v>19</v>
      </c>
      <c r="H121" s="10" t="s">
        <v>114</v>
      </c>
      <c r="I121" s="35"/>
      <c r="J121" s="35"/>
      <c r="K121" s="35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5"/>
      <c r="N121" s="36"/>
      <c r="O121" s="37"/>
      <c r="P121" s="35"/>
    </row>
    <row r="122" spans="4:18" x14ac:dyDescent="0.15">
      <c r="D122" s="35"/>
      <c r="E122" s="39"/>
      <c r="F122" s="39"/>
      <c r="G122" s="6" t="s">
        <v>20</v>
      </c>
      <c r="H122" s="10" t="s">
        <v>114</v>
      </c>
      <c r="I122" s="35"/>
      <c r="J122" s="35"/>
      <c r="K122" s="35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5"/>
      <c r="N122" s="36"/>
      <c r="O122" s="37"/>
      <c r="P122" s="35"/>
    </row>
    <row r="123" spans="4:18" x14ac:dyDescent="0.15">
      <c r="D123" s="39" t="s">
        <v>115</v>
      </c>
      <c r="E123" s="39" t="s">
        <v>117</v>
      </c>
      <c r="F123" s="39" t="s">
        <v>118</v>
      </c>
      <c r="G123" s="9" t="s">
        <v>119</v>
      </c>
      <c r="H123" s="10" t="s">
        <v>180</v>
      </c>
      <c r="I123" s="35"/>
      <c r="J123" s="35">
        <v>2.177</v>
      </c>
      <c r="K123" s="35"/>
      <c r="L123" s="1">
        <f ca="1">IF(LEFT(K2,1)=MID(K2,2,1),IF(ISNUMBER(FIND("和",H123,1)),100,0),IF(LEFT(K2,1)&gt;MID(K2,2,1),IF(ISNUMBER(FIND("龙",H123,1)),1,0),IF(ISNUMBER(FIND("虎",H123,1)),1,0)))</f>
        <v>1</v>
      </c>
      <c r="N123" s="36">
        <f ca="1">IF(SUM(L123:L132)&gt;0,IF(SUM(L123:L132)=1000,I2*J128*10,IF(SUM(L123:L132)&gt;=100,LEFT(SUM(L123:L132),1)*I2*J128+RIGHT(SUM(L123:L132),1)*I2*J123,SUM(L123:L132)*J123*I2)),0)</f>
        <v>21.77</v>
      </c>
      <c r="O123" s="37" t="s">
        <v>184</v>
      </c>
      <c r="P123" s="35">
        <f>SUM(LEN(H123),LEN(H124),LEN(H125),LEN(H126),LEN(H127),LEN(H128),LEN(H129),LEN(H130),LEN(H131),LEN(H132))*I2*2</f>
        <v>60</v>
      </c>
    </row>
    <row r="124" spans="4:18" x14ac:dyDescent="0.15">
      <c r="D124" s="39"/>
      <c r="E124" s="39"/>
      <c r="F124" s="39"/>
      <c r="G124" s="9" t="s">
        <v>120</v>
      </c>
      <c r="H124" s="10" t="s">
        <v>181</v>
      </c>
      <c r="I124" s="35"/>
      <c r="J124" s="35"/>
      <c r="K124" s="35"/>
      <c r="L124" s="1">
        <f ca="1">IF(LEFT(K2,1)=MID(K2,3,1),IF(ISNUMBER(FIND("和",H124,1)),100,0),IF(LEFT(K2,1)&gt;MID(K2,3,1),IF(ISNUMBER(FIND("龙",H124,1)),1,0),IF(ISNUMBER(FIND("虎",H124,1)),1,0)))</f>
        <v>1</v>
      </c>
      <c r="N124" s="36"/>
      <c r="O124" s="37"/>
      <c r="P124" s="35"/>
    </row>
    <row r="125" spans="4:18" x14ac:dyDescent="0.15">
      <c r="D125" s="39"/>
      <c r="E125" s="39"/>
      <c r="F125" s="39"/>
      <c r="G125" s="9" t="s">
        <v>121</v>
      </c>
      <c r="H125" s="10" t="s">
        <v>180</v>
      </c>
      <c r="I125" s="35"/>
      <c r="J125" s="35"/>
      <c r="K125" s="35"/>
      <c r="L125" s="1">
        <f ca="1">IF(LEFT(K2,1)=MID(K2,4,1),IF(ISNUMBER(FIND("和",H125,1)),100,0),IF(LEFT(K2,1)&gt;MID(K2,4,1),IF(ISNUMBER(FIND("龙",H125,1)),1,0),IF(ISNUMBER(FIND("虎",H125,1)),1,0)))</f>
        <v>1</v>
      </c>
      <c r="N125" s="36"/>
      <c r="O125" s="37"/>
      <c r="P125" s="35"/>
    </row>
    <row r="126" spans="4:18" x14ac:dyDescent="0.15">
      <c r="D126" s="39"/>
      <c r="E126" s="39"/>
      <c r="F126" s="39"/>
      <c r="G126" s="9" t="s">
        <v>122</v>
      </c>
      <c r="H126" s="10" t="s">
        <v>180</v>
      </c>
      <c r="I126" s="35"/>
      <c r="J126" s="35"/>
      <c r="K126" s="35"/>
      <c r="L126" s="1">
        <f ca="1">IF(LEFT(K2,1)=MID(K2,5,1),IF(ISNUMBER(FIND("和",H126,1)),100,0),IF(LEFT(K2,1)&gt;MID(K2,5,1),IF(ISNUMBER(FIND("龙",H126,1)),1,0),IF(ISNUMBER(FIND("虎",H126,1)),1,0)))</f>
        <v>1</v>
      </c>
      <c r="N126" s="36"/>
      <c r="O126" s="37"/>
      <c r="P126" s="35"/>
    </row>
    <row r="127" spans="4:18" x14ac:dyDescent="0.15">
      <c r="D127" s="39"/>
      <c r="E127" s="39"/>
      <c r="F127" s="39"/>
      <c r="G127" s="9" t="s">
        <v>123</v>
      </c>
      <c r="H127" s="10" t="s">
        <v>182</v>
      </c>
      <c r="I127" s="35"/>
      <c r="J127" s="35"/>
      <c r="K127" s="35"/>
      <c r="L127" s="1">
        <f ca="1">IF(MID(K2,2,1)=MID(K2,3,1),IF(ISNUMBER(FIND("和",H127,1)),100,0),IF(MID(K2,2,1)&gt;MID(K2,3,1),IF(ISNUMBER(FIND("龙",H127,1)),1,0),IF(ISNUMBER(FIND("虎",H127,1)),1,0)))</f>
        <v>1</v>
      </c>
      <c r="N127" s="36"/>
      <c r="O127" s="37"/>
      <c r="P127" s="35"/>
    </row>
    <row r="128" spans="4:18" x14ac:dyDescent="0.15">
      <c r="D128" s="39"/>
      <c r="E128" s="39"/>
      <c r="F128" s="39"/>
      <c r="G128" s="9" t="s">
        <v>124</v>
      </c>
      <c r="H128" s="10" t="s">
        <v>182</v>
      </c>
      <c r="I128" s="35"/>
      <c r="J128" s="35">
        <v>9.8000000000000007</v>
      </c>
      <c r="K128" s="35"/>
      <c r="L128" s="1">
        <f ca="1">IF(MID(K2,3,1)=MID(K2,4,1),IF(ISNUMBER(FIND("和",H128,1)),100,0),IF(MID(K2,3,1)&gt;MID(K2,4,1),IF(ISNUMBER(FIND("龙",H128,1)),1,0),IF(ISNUMBER(FIND("虎",H128,1)),1,0)))</f>
        <v>1</v>
      </c>
      <c r="N128" s="36"/>
      <c r="O128" s="37"/>
      <c r="P128" s="35"/>
    </row>
    <row r="129" spans="4:16" x14ac:dyDescent="0.15">
      <c r="D129" s="39"/>
      <c r="E129" s="39"/>
      <c r="F129" s="39"/>
      <c r="G129" s="9" t="s">
        <v>125</v>
      </c>
      <c r="H129" s="10" t="s">
        <v>180</v>
      </c>
      <c r="I129" s="35"/>
      <c r="J129" s="35"/>
      <c r="K129" s="35"/>
      <c r="L129" s="1">
        <f ca="1">IF(MID(K2,2,1)=MID(K2,5,1),IF(ISNUMBER(FIND("和",H129,1)),100,0),IF(MID(K2,2,1)&gt;MID(K2,5,1),IF(ISNUMBER(FIND("龙",H129,1)),1,0),IF(ISNUMBER(FIND("虎",H129,1)),1,0)))</f>
        <v>1</v>
      </c>
      <c r="N129" s="36"/>
      <c r="O129" s="37"/>
      <c r="P129" s="35"/>
    </row>
    <row r="130" spans="4:16" x14ac:dyDescent="0.15">
      <c r="D130" s="39"/>
      <c r="E130" s="39"/>
      <c r="F130" s="39"/>
      <c r="G130" s="9" t="s">
        <v>126</v>
      </c>
      <c r="H130" s="10" t="s">
        <v>183</v>
      </c>
      <c r="I130" s="35"/>
      <c r="J130" s="35"/>
      <c r="K130" s="35"/>
      <c r="L130" s="19">
        <f ca="1">IF(MID(K2,3,1)=MID(K2,4,1),IF(ISNUMBER(FIND("和",H130,1)),100,0),IF(MID(K2,3,1)&gt;MID(K2,4,1),IF(ISNUMBER(FIND("龙",H130,1)),1,0),IF(ISNUMBER(FIND("虎",H130,1)),1,0)))</f>
        <v>1</v>
      </c>
      <c r="N130" s="36"/>
      <c r="O130" s="37"/>
      <c r="P130" s="35"/>
    </row>
    <row r="131" spans="4:16" x14ac:dyDescent="0.15">
      <c r="D131" s="39"/>
      <c r="E131" s="39"/>
      <c r="F131" s="39"/>
      <c r="G131" s="9" t="s">
        <v>127</v>
      </c>
      <c r="H131" s="10" t="s">
        <v>181</v>
      </c>
      <c r="I131" s="35"/>
      <c r="J131" s="35"/>
      <c r="K131" s="35"/>
      <c r="L131" s="1">
        <f ca="1">IF(MID(K2,3,1)=MID(K2,5,1),IF(ISNUMBER(FIND("和",H131,1)),100,0),IF(MID(K2,3,1)&gt;MID(K2,5,1),IF(ISNUMBER(FIND("龙",H131,1)),1,0),IF(ISNUMBER(FIND("虎",H131,1)),1,0)))</f>
        <v>1</v>
      </c>
      <c r="N131" s="36"/>
      <c r="O131" s="37"/>
      <c r="P131" s="35"/>
    </row>
    <row r="132" spans="4:16" x14ac:dyDescent="0.15">
      <c r="D132" s="39"/>
      <c r="E132" s="39"/>
      <c r="F132" s="39"/>
      <c r="G132" s="9" t="s">
        <v>128</v>
      </c>
      <c r="H132" s="10" t="s">
        <v>180</v>
      </c>
      <c r="I132" s="35"/>
      <c r="J132" s="35"/>
      <c r="K132" s="35"/>
      <c r="L132" s="1">
        <f ca="1">IF(MID(K2,4,1)=MID(K2,5,1),IF(ISNUMBER(FIND("和",H132,1)),100,0),IF(MID(K2,4,1)&gt;MID(K2,5,1),IF(ISNUMBER(FIND("龙",H132,1)),1,0),IF(ISNUMBER(FIND("虎",H132,1)),1,0)))</f>
        <v>1</v>
      </c>
      <c r="N132" s="36"/>
      <c r="O132" s="37"/>
      <c r="P132" s="35"/>
    </row>
    <row r="133" spans="4:16" x14ac:dyDescent="0.15">
      <c r="D133" s="9" t="s">
        <v>129</v>
      </c>
      <c r="E133" s="1" t="s">
        <v>112</v>
      </c>
      <c r="F133" s="9" t="s">
        <v>130</v>
      </c>
      <c r="G133" s="9" t="s">
        <v>131</v>
      </c>
      <c r="H133" s="10" t="s">
        <v>201</v>
      </c>
      <c r="I133" s="35"/>
      <c r="J133" s="1">
        <v>98000</v>
      </c>
      <c r="K133" s="35"/>
      <c r="N133" s="28">
        <f ca="1">IF(SUM(LEFT(K2,1),MID(K2,2,1),MID(K2,3,1),MID(K2,4,1),MID(K2,5,1))=LEFT(K2,1)*5,I2*J133,0)</f>
        <v>0</v>
      </c>
      <c r="O133" s="20" t="s">
        <v>179</v>
      </c>
      <c r="P133" s="1">
        <f>LEN(SUBSTITUTE(H133,",",))*I2*2</f>
        <v>20</v>
      </c>
    </row>
    <row r="134" spans="4:16" x14ac:dyDescent="0.15">
      <c r="K134" s="23"/>
    </row>
    <row r="135" spans="4:16" x14ac:dyDescent="0.15">
      <c r="K135" s="24"/>
    </row>
  </sheetData>
  <mergeCells count="148">
    <mergeCell ref="P90:P91"/>
    <mergeCell ref="P92:P93"/>
    <mergeCell ref="P94:P95"/>
    <mergeCell ref="P16:P17"/>
    <mergeCell ref="P25:P27"/>
    <mergeCell ref="P40:P42"/>
    <mergeCell ref="P55:P57"/>
    <mergeCell ref="P70:P73"/>
    <mergeCell ref="P79:P80"/>
    <mergeCell ref="P83:P87"/>
    <mergeCell ref="P76:P77"/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D25:D39"/>
    <mergeCell ref="E25:E30"/>
    <mergeCell ref="F25:F27"/>
    <mergeCell ref="J25:J27"/>
    <mergeCell ref="O25:O27"/>
    <mergeCell ref="K2:K133"/>
    <mergeCell ref="I2:I133"/>
    <mergeCell ref="O2:O6"/>
    <mergeCell ref="O7:O8"/>
    <mergeCell ref="N16:N17"/>
    <mergeCell ref="O16:O17"/>
    <mergeCell ref="N2:N6"/>
    <mergeCell ref="J40:J42"/>
    <mergeCell ref="J90:J91"/>
    <mergeCell ref="J92:J93"/>
    <mergeCell ref="J94:J95"/>
    <mergeCell ref="J96:J97"/>
    <mergeCell ref="J98:J99"/>
    <mergeCell ref="J107:J108"/>
    <mergeCell ref="N70:N73"/>
    <mergeCell ref="O70:O73"/>
    <mergeCell ref="N76:N77"/>
    <mergeCell ref="E61:E67"/>
    <mergeCell ref="J109:J110"/>
    <mergeCell ref="J111:J113"/>
    <mergeCell ref="J114:J116"/>
    <mergeCell ref="J117:J122"/>
    <mergeCell ref="M76:M77"/>
    <mergeCell ref="O76:O77"/>
    <mergeCell ref="N40:N42"/>
    <mergeCell ref="O40:O42"/>
    <mergeCell ref="N55:N57"/>
    <mergeCell ref="O55:O57"/>
    <mergeCell ref="N107:N108"/>
    <mergeCell ref="O107:O108"/>
    <mergeCell ref="O79:O80"/>
    <mergeCell ref="N79:N80"/>
    <mergeCell ref="N83:N87"/>
    <mergeCell ref="O83:O87"/>
    <mergeCell ref="O98:O99"/>
    <mergeCell ref="O96:O97"/>
    <mergeCell ref="O94:O95"/>
    <mergeCell ref="O92:O93"/>
    <mergeCell ref="O90:O91"/>
    <mergeCell ref="P2:P6"/>
    <mergeCell ref="R2:R6"/>
    <mergeCell ref="S2:S6"/>
    <mergeCell ref="P7:P8"/>
    <mergeCell ref="M2:M6"/>
    <mergeCell ref="M7:M8"/>
    <mergeCell ref="N123:N132"/>
    <mergeCell ref="O123:O132"/>
    <mergeCell ref="J123:J127"/>
    <mergeCell ref="J128:J132"/>
    <mergeCell ref="N90:N91"/>
    <mergeCell ref="N92:N93"/>
    <mergeCell ref="N94:N95"/>
    <mergeCell ref="N96:N97"/>
    <mergeCell ref="N98:N99"/>
    <mergeCell ref="N111:N113"/>
    <mergeCell ref="N109:N110"/>
    <mergeCell ref="O109:O110"/>
    <mergeCell ref="N114:N116"/>
    <mergeCell ref="O114:O116"/>
    <mergeCell ref="O111:O113"/>
    <mergeCell ref="N117:N122"/>
    <mergeCell ref="M117:M122"/>
    <mergeCell ref="O117:O122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4" sqref="A4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2018-05-28T10:03:16Z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