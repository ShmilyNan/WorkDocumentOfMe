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 activeTab="1"/>
  </bookViews>
  <sheets>
    <sheet name="K3" sheetId="1" r:id="rId1"/>
    <sheet name="K3Source" sheetId="2" r:id="rId2"/>
    <sheet name="ExportXML" sheetId="4" r:id="rId3"/>
    <sheet name="Agent" sheetId="5" r:id="rId4"/>
  </sheets>
  <definedNames>
    <definedName name="_xlnm._FilterDatabase" localSheetId="3" hidden="1">Agent!$O$1:$P$30</definedName>
    <definedName name="_xlnm._FilterDatabase" localSheetId="0" hidden="1">'K3'!$A$1:$P$26</definedName>
  </definedNames>
  <calcPr calcId="162913"/>
</workbook>
</file>

<file path=xl/calcChain.xml><?xml version="1.0" encoding="utf-8"?>
<calcChain xmlns="http://schemas.openxmlformats.org/spreadsheetml/2006/main">
  <c r="H9" i="2" l="1"/>
  <c r="AA4" i="1" l="1"/>
  <c r="AA5" i="1"/>
  <c r="AA6" i="1"/>
  <c r="AA7" i="1"/>
  <c r="AA8" i="1"/>
  <c r="AA9" i="1"/>
  <c r="AA3" i="1"/>
  <c r="N4" i="1"/>
  <c r="N5" i="1"/>
  <c r="N6" i="1"/>
  <c r="N7" i="1"/>
  <c r="N8" i="1"/>
  <c r="N9" i="1"/>
  <c r="N3" i="1"/>
  <c r="R14" i="5" l="1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E22" i="1" l="1"/>
  <c r="E21" i="1"/>
  <c r="E20" i="1"/>
  <c r="E19" i="1"/>
  <c r="E18" i="1"/>
  <c r="E17" i="1"/>
  <c r="E16" i="1"/>
  <c r="E15" i="1"/>
  <c r="E14" i="1"/>
  <c r="I10" i="2" l="1"/>
  <c r="H8" i="2"/>
  <c r="H7" i="2"/>
  <c r="H3" i="2"/>
  <c r="J9" i="2"/>
  <c r="L9" i="2"/>
  <c r="J8" i="2"/>
  <c r="L8" i="2"/>
  <c r="J7" i="2"/>
  <c r="L7" i="2"/>
  <c r="J6" i="2"/>
  <c r="L6" i="2"/>
  <c r="J5" i="2"/>
  <c r="J4" i="2"/>
  <c r="L4" i="2"/>
  <c r="J3" i="2"/>
  <c r="L3" i="2"/>
  <c r="L5" i="2"/>
  <c r="B12" i="2"/>
  <c r="E13" i="2"/>
  <c r="E14" i="2"/>
  <c r="E15" i="2"/>
  <c r="E12" i="2"/>
  <c r="B30" i="2"/>
  <c r="B23" i="2"/>
  <c r="B24" i="2" s="1"/>
  <c r="E23" i="2"/>
  <c r="E21" i="2"/>
  <c r="E20" i="2"/>
  <c r="E19" i="2"/>
  <c r="I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O18" i="5" l="1"/>
  <c r="U35" i="5"/>
  <c r="N15" i="5"/>
  <c r="L24" i="5"/>
  <c r="M24" i="5" s="1"/>
  <c r="N21" i="5"/>
  <c r="O21" i="5" s="1"/>
  <c r="Y35" i="5"/>
  <c r="S45" i="5" s="1"/>
  <c r="W35" i="5"/>
  <c r="S36" i="5" s="1"/>
  <c r="U36" i="5" l="1"/>
  <c r="N12" i="5"/>
  <c r="N24" i="5"/>
  <c r="O24" i="5" s="1"/>
  <c r="L27" i="5"/>
  <c r="M27" i="5" s="1"/>
  <c r="Y36" i="5"/>
  <c r="S46" i="5" s="1"/>
  <c r="W36" i="5"/>
  <c r="S37" i="5" s="1"/>
  <c r="O15" i="5" l="1"/>
  <c r="U37" i="5"/>
  <c r="N9" i="5"/>
  <c r="L30" i="5"/>
  <c r="M30" i="5" s="1"/>
  <c r="N27" i="5"/>
  <c r="O27" i="5" s="1"/>
  <c r="Y37" i="5"/>
  <c r="S47" i="5" s="1"/>
  <c r="W37" i="5"/>
  <c r="S38" i="5" s="1"/>
  <c r="O12" i="5" l="1"/>
  <c r="U38" i="5"/>
  <c r="N6" i="5"/>
  <c r="N30" i="5"/>
  <c r="O30" i="5" s="1"/>
  <c r="L33" i="5"/>
  <c r="M33" i="5" s="1"/>
  <c r="W38" i="5"/>
  <c r="Y38" i="5"/>
  <c r="S48" i="5" s="1"/>
  <c r="L3" i="5" s="1"/>
  <c r="C21" i="2" l="1"/>
  <c r="C20" i="2"/>
  <c r="C19" i="2"/>
  <c r="K6" i="2"/>
  <c r="Z6" i="1" s="1"/>
  <c r="C22" i="2"/>
  <c r="O6" i="5"/>
  <c r="O9" i="5"/>
  <c r="K9" i="2"/>
  <c r="C16" i="2"/>
  <c r="K4" i="2"/>
  <c r="C14" i="2"/>
  <c r="C18" i="2"/>
  <c r="K8" i="2"/>
  <c r="Z8" i="1" s="1"/>
  <c r="C13" i="2"/>
  <c r="C17" i="2"/>
  <c r="K5" i="2"/>
  <c r="I21" i="2"/>
  <c r="J21" i="2" s="1"/>
  <c r="C15" i="2"/>
  <c r="K7" i="2"/>
  <c r="Z7" i="1" s="1"/>
  <c r="C23" i="2"/>
  <c r="K3" i="2"/>
  <c r="Z3" i="1" s="1"/>
  <c r="C12" i="2"/>
  <c r="I12" i="2" s="1"/>
  <c r="L36" i="5"/>
  <c r="M36" i="5" s="1"/>
  <c r="N33" i="5"/>
  <c r="O33" i="5" s="1"/>
  <c r="H5" i="2" l="1"/>
  <c r="Z5" i="1"/>
  <c r="Z9" i="1"/>
  <c r="H4" i="2"/>
  <c r="Z4" i="1"/>
  <c r="N36" i="5"/>
  <c r="O36" i="5" s="1"/>
  <c r="L39" i="5"/>
  <c r="M39" i="5" s="1"/>
  <c r="N39" i="5" l="1"/>
  <c r="O39" i="5" s="1"/>
  <c r="L42" i="5"/>
  <c r="M42" i="5" s="1"/>
  <c r="N42" i="5" l="1"/>
  <c r="O42" i="5" s="1"/>
  <c r="L45" i="5"/>
  <c r="M45" i="5" s="1"/>
  <c r="L48" i="5" l="1"/>
  <c r="N45" i="5"/>
  <c r="O45" i="5" s="1"/>
  <c r="M48" i="5" l="1"/>
  <c r="N48" i="5" s="1"/>
  <c r="O48" i="5" s="1"/>
  <c r="G15" i="1"/>
  <c r="G16" i="1"/>
  <c r="G17" i="1"/>
  <c r="G18" i="1"/>
  <c r="G19" i="1"/>
  <c r="G20" i="1"/>
  <c r="G21" i="1"/>
  <c r="G22" i="1"/>
  <c r="G14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G5" i="2" l="1"/>
  <c r="O5" i="1" s="1"/>
  <c r="G8" i="2"/>
  <c r="O8" i="1" s="1"/>
  <c r="G7" i="2"/>
  <c r="O7" i="1" s="1"/>
  <c r="G4" i="2"/>
  <c r="O4" i="1" s="1"/>
  <c r="E3" i="2"/>
  <c r="G3" i="2" s="1"/>
  <c r="O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B4" i="1"/>
  <c r="AB9" i="1"/>
  <c r="AB7" i="1"/>
  <c r="AB5" i="1"/>
  <c r="I8" i="2"/>
  <c r="I9" i="2"/>
  <c r="I5" i="2"/>
  <c r="I6" i="2"/>
  <c r="I7" i="2"/>
  <c r="I4" i="2"/>
  <c r="I3" i="2"/>
  <c r="I2" i="2"/>
  <c r="R8" i="1" l="1"/>
  <c r="S8" i="1"/>
  <c r="T8" i="1"/>
  <c r="U8" i="1"/>
  <c r="V8" i="1"/>
  <c r="X8" i="1"/>
  <c r="Y8" i="1"/>
  <c r="W8" i="1"/>
  <c r="P8" i="1"/>
  <c r="Q8" i="1"/>
  <c r="P5" i="1"/>
  <c r="X5" i="1"/>
  <c r="Q5" i="1"/>
  <c r="Y5" i="1"/>
  <c r="R5" i="1"/>
  <c r="S5" i="1"/>
  <c r="T5" i="1"/>
  <c r="V5" i="1"/>
  <c r="U5" i="1"/>
  <c r="W5" i="1"/>
  <c r="T7" i="1"/>
  <c r="U7" i="1"/>
  <c r="V7" i="1"/>
  <c r="W7" i="1"/>
  <c r="P7" i="1"/>
  <c r="X7" i="1"/>
  <c r="R7" i="1"/>
  <c r="S7" i="1"/>
  <c r="Q7" i="1"/>
  <c r="Y7" i="1"/>
  <c r="R4" i="1"/>
  <c r="S4" i="1"/>
  <c r="T4" i="1"/>
  <c r="U4" i="1"/>
  <c r="V4" i="1"/>
  <c r="P4" i="1"/>
  <c r="Y4" i="1"/>
  <c r="W4" i="1"/>
  <c r="X4" i="1"/>
  <c r="Q4" i="1"/>
  <c r="X3" i="1"/>
  <c r="Y3" i="1"/>
  <c r="V3" i="1"/>
  <c r="W3" i="1"/>
  <c r="T3" i="1"/>
  <c r="U3" i="1"/>
  <c r="R3" i="1"/>
  <c r="S3" i="1"/>
  <c r="P3" i="1"/>
  <c r="Q3" i="1"/>
  <c r="E4" i="2"/>
  <c r="E5" i="2" s="1"/>
  <c r="E6" i="2" s="1"/>
  <c r="K3" i="1"/>
  <c r="N2" i="2"/>
  <c r="G9" i="2"/>
  <c r="O9" i="1" s="1"/>
  <c r="R9" i="1" s="1"/>
  <c r="N4" i="2"/>
  <c r="N3" i="2"/>
  <c r="I6" i="1"/>
  <c r="I5" i="1"/>
  <c r="I9" i="1"/>
  <c r="I8" i="1"/>
  <c r="I7" i="1"/>
  <c r="G2" i="2" l="1"/>
  <c r="O2" i="1" s="1"/>
  <c r="D12" i="2"/>
  <c r="D13" i="2"/>
  <c r="D15" i="2"/>
  <c r="D14" i="2"/>
  <c r="D17" i="2"/>
  <c r="D16" i="2"/>
  <c r="L5" i="1"/>
  <c r="L4" i="1"/>
  <c r="L3" i="1"/>
  <c r="L7" i="1"/>
  <c r="L8" i="1"/>
  <c r="AD8" i="1"/>
  <c r="AD7" i="1"/>
  <c r="AD3" i="1"/>
  <c r="AD4" i="1"/>
  <c r="H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V9" i="1"/>
  <c r="X9" i="1"/>
  <c r="Y9" i="1"/>
  <c r="Q9" i="1"/>
  <c r="U9" i="1"/>
  <c r="P9" i="1"/>
  <c r="T9" i="1"/>
  <c r="W9" i="1"/>
  <c r="S9" i="1"/>
  <c r="F19" i="2"/>
  <c r="F27" i="2"/>
  <c r="F20" i="2"/>
  <c r="F28" i="2"/>
  <c r="F21" i="2"/>
  <c r="F29" i="2"/>
  <c r="F22" i="2"/>
  <c r="F30" i="2"/>
  <c r="F17" i="2"/>
  <c r="F25" i="2"/>
  <c r="F18" i="2"/>
  <c r="F26" i="2"/>
  <c r="F23" i="2"/>
  <c r="F31" i="2"/>
  <c r="F24" i="2"/>
  <c r="F16" i="2"/>
  <c r="E7" i="2"/>
  <c r="E8" i="2" s="1"/>
  <c r="E9" i="2" s="1"/>
  <c r="K4" i="1"/>
  <c r="K5" i="1"/>
  <c r="K8" i="1"/>
  <c r="K9" i="1"/>
  <c r="K7" i="1"/>
  <c r="J2" i="1"/>
  <c r="J4" i="1"/>
  <c r="J5" i="1"/>
  <c r="J3" i="1"/>
  <c r="J9" i="1"/>
  <c r="J7" i="1"/>
  <c r="J8" i="1"/>
  <c r="J6" i="1"/>
  <c r="N2" i="1" l="1"/>
  <c r="U2" i="1" s="1"/>
  <c r="Y2" i="1"/>
  <c r="P17" i="1"/>
  <c r="H2" i="2"/>
  <c r="L9" i="1"/>
  <c r="G6" i="2"/>
  <c r="O6" i="1" s="1"/>
  <c r="AD9" i="1"/>
  <c r="I3" i="1"/>
  <c r="I4" i="1"/>
  <c r="I2" i="1"/>
  <c r="P2" i="1" l="1"/>
  <c r="R2" i="1"/>
  <c r="W2" i="1"/>
  <c r="X2" i="1"/>
  <c r="S2" i="1"/>
  <c r="V2" i="1"/>
  <c r="T2" i="1"/>
  <c r="Q2" i="1"/>
  <c r="P6" i="1"/>
  <c r="S6" i="1"/>
  <c r="X6" i="1"/>
  <c r="Q6" i="1"/>
  <c r="R6" i="1"/>
  <c r="T6" i="1"/>
  <c r="W6" i="1"/>
  <c r="Y6" i="1"/>
  <c r="V6" i="1"/>
  <c r="U6" i="1"/>
  <c r="U11" i="1" s="1"/>
  <c r="K2" i="1"/>
  <c r="M2" i="1" s="1"/>
  <c r="V11" i="1" l="1"/>
  <c r="X11" i="1"/>
  <c r="W11" i="1"/>
  <c r="S11" i="1"/>
  <c r="Q11" i="1"/>
  <c r="P11" i="1"/>
  <c r="L2" i="1"/>
  <c r="L6" i="1"/>
  <c r="R11" i="1"/>
  <c r="Y11" i="1"/>
  <c r="T11" i="1"/>
  <c r="AD6" i="1"/>
  <c r="AD2" i="1"/>
  <c r="M3" i="1"/>
  <c r="M4" i="1" s="1"/>
  <c r="M5" i="1" s="1"/>
  <c r="M6" i="1" s="1"/>
  <c r="M7" i="1" s="1"/>
  <c r="M8" i="1" s="1"/>
  <c r="M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<sst xmlns="http://schemas.openxmlformats.org/spreadsheetml/2006/main" count="244" uniqueCount="201">
  <si>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</si>
  <si>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</si>
  <si>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</si>
  <si>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</si>
  <si>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</si>
  <si>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</si>
  <si>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</si>
  <si>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</si>
  <si>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</si>
  <si>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</si>
  <si>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</si>
  <si>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</si>
  <si>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</si>
  <si>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</si>
  <si>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</si>
  <si>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</si>
  <si>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</si>
  <si>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</si>
  <si>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</si>
  <si>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</si>
  <si>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</si>
  <si>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</si>
  <si>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</si>
  <si>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</si>
  <si>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</si>
  <si>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</si>
  <si>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</si>
  <si>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</si>
  <si>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</si>
  <si>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</si>
  <si>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</si>
  <si>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</si>
  <si>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</si>
  <si>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</si>
  <si>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</si>
  <si>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</si>
  <si>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</si>
  <si>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</si>
  <si>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</si>
  <si>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</si>
  <si>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</si>
  <si>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</si>
  <si>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</si>
  <si>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</si>
  <si>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</si>
  <si>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</si>
  <si>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</si>
  <si>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</si>
  <si>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</si>
  <si>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</si>
  <si>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</si>
  <si>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</si>
  <si>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</si>
  <si>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</si>
  <si>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</si>
  <si>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</si>
  <si>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</si>
  <si>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</si>
  <si>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</si>
  <si>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</si>
  <si>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</si>
  <si>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</si>
  <si>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</si>
  <si>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</si>
  <si>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</si>
  <si>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</si>
  <si>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</si>
  <si>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</si>
  <si>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</si>
  <si>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</si>
  <si>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</si>
  <si>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</si>
  <si>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</si>
  <si>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</si>
  <si>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</si>
  <si>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</si>
  <si>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</si>
  <si>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</si>
  <si>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</si>
  <si>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</si>
  <si>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</si>
  <si>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</si>
  <si>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</si>
  <si>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</si>
  <si>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</si>
  <si>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</si>
  <si>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</si>
  <si>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</si>
  <si>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</si>
  <si>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</si>
  <si>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</si>
  <si>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</si>
  <si>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</si>
  <si>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</si>
  <si>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</si>
  <si>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</si>
  <si>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</si>
  <si>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</si>
  <si>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</si>
  <si>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</si>
  <si>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</si>
  <si>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</si>
  <si>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</si>
  <si>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</si>
  <si>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</si>
  <si>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</si>
  <si>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</si>
  <si>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</si>
  <si>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</si>
  <si>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</si>
  <si>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</si>
  <si>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</si>
  <si>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</si>
  <si>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</si>
  <si>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</si>
  <si>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</si>
  <si>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</si>
  <si>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</si>
  <si>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</si>
  <si>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</si>
  <si>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</si>
  <si>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</si>
  <si>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</si>
  <si>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</si>
  <si>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</si>
  <si>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</si>
  <si>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</si>
  <si>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</si>
  <si>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</si>
  <si>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</si>
  <si>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</si>
  <si>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</si>
  <si>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</si>
  <si>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</si>
  <si>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</si>
  <si>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</si>
  <si>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</si>
  <si>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</si>
  <si>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</si>
  <si>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</si>
  <si>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</si>
  <si>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</si>
  <si>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</si>
  <si>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</si>
  <si>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</si>
  <si>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</si>
  <si>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</si>
  <si>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</si>
  <si>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</si>
  <si>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</si>
  <si>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</si>
  <si>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</si>
  <si>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</si>
  <si>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</si>
  <si>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</si>
  <si>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</si>
  <si>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</si>
  <si>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</si>
  <si>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</si>
  <si>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</si>
  <si>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</si>
  <si>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</si>
  <si>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</si>
  <si>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</si>
  <si>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</si>
  <si>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</si>
  <si>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</si>
  <si>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</si>
  <si>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</si>
  <si>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</si>
  <si>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</si>
  <si>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</si>
  <si>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</si>
  <si>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</si>
  <si>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</si>
  <si>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</si>
  <si>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</si>
  <si>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</si>
  <si>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</si>
  <si>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</si>
  <si>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</si>
  <si>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</si>
  <si>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</si>
  <si>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</si>
  <si>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</si>
  <si>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</si>
  <si>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</si>
  <si>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</si>
  <si>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</si>
  <si>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</si>
  <si>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</si>
  <si>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</si>
  <si>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</si>
  <si>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</si>
  <si>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</si>
  <si>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</si>
  <si>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</si>
  <si>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</si>
  <si>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</si>
  <si>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</si>
  <si>
    <t>返利总和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</si>
</sst>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7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K9" sqref="K9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4.75" style="17" customWidth="1"/>
    <col min="11" max="11" width="10.375" style="17" customWidth="1"/>
    <col min="12" max="12" width="11.75" style="20" customWidth="1"/>
    <col min="13" max="13" width="9.75" style="17" customWidth="1"/>
    <col min="14" max="14" width="9.625" style="17" customWidth="1"/>
    <col min="15" max="15" width="11.75" style="20" customWidth="1"/>
    <col min="16" max="25" width="13.75" style="20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16384" width="9" style="17"/>
  </cols>
  <sheetData>
    <row r="1" spans="1:30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96</v>
      </c>
      <c r="G1" s="20" t="s">
        <v>5</v>
      </c>
      <c r="H1" s="20" t="s">
        <v>49</v>
      </c>
      <c r="I1" s="20" t="s">
        <v>97</v>
      </c>
      <c r="J1" s="20" t="s">
        <v>98</v>
      </c>
      <c r="K1" s="20" t="s">
        <v>99</v>
      </c>
      <c r="L1" s="15" t="s">
        <v>200</v>
      </c>
      <c r="M1" s="20" t="s">
        <v>100</v>
      </c>
      <c r="N1" s="15" t="s">
        <v>101</v>
      </c>
      <c r="O1" s="15" t="s">
        <v>85</v>
      </c>
      <c r="P1" s="15" t="s">
        <v>86</v>
      </c>
      <c r="Q1" s="15" t="s">
        <v>87</v>
      </c>
      <c r="R1" s="15" t="s">
        <v>88</v>
      </c>
      <c r="S1" s="15" t="s">
        <v>89</v>
      </c>
      <c r="T1" s="15" t="s">
        <v>90</v>
      </c>
      <c r="U1" s="15" t="s">
        <v>91</v>
      </c>
      <c r="V1" s="15" t="s">
        <v>92</v>
      </c>
      <c r="W1" s="15" t="s">
        <v>93</v>
      </c>
      <c r="X1" s="15" t="s">
        <v>94</v>
      </c>
      <c r="Y1" s="15" t="s">
        <v>95</v>
      </c>
      <c r="Z1" s="15" t="s">
        <v>102</v>
      </c>
      <c r="AA1" s="15" t="s">
        <v>113</v>
      </c>
      <c r="AB1" s="17" t="s">
        <v>20</v>
      </c>
      <c r="AC1" s="17" t="s">
        <v>7</v>
      </c>
    </row>
    <row r="2" spans="1:30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>AB2*G2*2</f>
        <v>40</v>
      </c>
      <c r="J2" s="17">
        <f>K3Source!E$2</f>
        <v>566</v>
      </c>
      <c r="K2" s="17">
        <f>K3Source!$H2</f>
        <v>132.43199999999999</v>
      </c>
      <c r="L2" s="20">
        <f>SUM(P2:Y2)</f>
        <v>5.016</v>
      </c>
      <c r="M2" s="17">
        <f>AC2-I2+K2</f>
        <v>1000092.432</v>
      </c>
      <c r="N2" s="17">
        <f>N(ISNUMBER(FIND(K3Source!N2,K3Source!D2,1)))*E14+N(ISNUMBER(FIND(K3Source!N3,K3Source!D2,1)))*E14+N(ISNUMBER(FIND(K3Source!N$4,K3Source!$D2,1)))*SUM(K3Source!F16:F31)</f>
        <v>7.5999999999999998E-2</v>
      </c>
      <c r="O2" s="20">
        <f>K3Source!$G2</f>
        <v>3</v>
      </c>
      <c r="P2" s="20">
        <f>IF(ISNUMBER(Agent!$O$6*N2*H2),TRUNC(Agent!$O$6*N2*H2,3),"没有上级")</f>
        <v>0.91200000000000003</v>
      </c>
      <c r="Q2" s="20">
        <f>IF(ISNUMBER(Agent!$O$9*H2*N2),TRUNC(Agent!$O$9*H2*N2,3),"没有上级")</f>
        <v>0.30399999999999999</v>
      </c>
      <c r="R2" s="20">
        <f>IF(ISNUMBER(Agent!$O$12*H2*N2),TRUNC(Agent!$O$12*H2*N2,3),"没有上级")</f>
        <v>0.60799999999999998</v>
      </c>
      <c r="S2" s="20">
        <f>IF(ISNUMBER(Agent!$O$15*H2*N2),TRUNC(Agent!$O$15*H2*N2,3),"没有上级")</f>
        <v>0.45600000000000002</v>
      </c>
      <c r="T2" s="20">
        <f>IF(ISNUMBER(Agent!$O$18*H2*N2),TRUNC(Agent!$O$18*H2*N2,3),"没有上级")</f>
        <v>0.152</v>
      </c>
      <c r="U2" s="20">
        <f>IF(ISNUMBER(Agent!$O$21*H2*N2),TRUNC(Agent!$O$21*H2*N2,3),"没有上级")</f>
        <v>1.0640000000000001</v>
      </c>
      <c r="V2" s="20">
        <f>IF(ISNUMBER(Agent!$O$24*H2*N2),TRUNC(Agent!$O$24*H2*N2,3),"没有上级")</f>
        <v>0.45600000000000002</v>
      </c>
      <c r="W2" s="20">
        <f>IF(ISNUMBER(Agent!$O$27*H2*N2),TRUNC(Agent!$O$27*H2*N2,3),"没有上级")</f>
        <v>0.60799999999999998</v>
      </c>
      <c r="X2" s="20">
        <f>IF(ISNUMBER(Agent!$O$30*H2*N2),TRUNC(Agent!$O$30*H2*N2,3),"没有上级")</f>
        <v>0.45600000000000002</v>
      </c>
      <c r="Y2" s="20" t="str">
        <f>IF(ISNUMBER(Agent!$O$33*H2*N2),TRUNC(Agent!$O$33*H2*N2,3),"没有上级")</f>
        <v>没有上级</v>
      </c>
      <c r="AB2" s="17">
        <v>20</v>
      </c>
      <c r="AC2" s="17">
        <v>1000000</v>
      </c>
      <c r="AD2" s="15">
        <f>SUM(P2:Y2)</f>
        <v>5.016</v>
      </c>
    </row>
    <row r="3" spans="1:30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17">
        <f>AB3*G3*2</f>
        <v>2</v>
      </c>
      <c r="J3" s="17">
        <f>K3Source!E$2</f>
        <v>566</v>
      </c>
      <c r="K3" s="20">
        <f>K3Source!$H3</f>
        <v>0</v>
      </c>
      <c r="L3" s="20">
        <f>SUM(P3:Y3)</f>
        <v>0</v>
      </c>
      <c r="M3" s="17">
        <f t="shared" ref="M3:M9" si="0">$M2-$I3+$K3</f>
        <v>1000090.432</v>
      </c>
      <c r="N3" s="20">
        <f>K3Source!J3</f>
        <v>3.5999999999999997E-2</v>
      </c>
      <c r="O3" s="20">
        <f>K3Source!$G3</f>
        <v>0</v>
      </c>
      <c r="P3" s="20">
        <f>IF(ISNUMBER(Agent!$O$6*N3*H3*O3),TRUNC(Agent!$O$6*N3*H3*O3,3),"没有上级")</f>
        <v>0</v>
      </c>
      <c r="Q3" s="20">
        <f>IF(ISNUMBER(Agent!$O$9*H3*N3*O3),TRUNC(Agent!$O$9*H3*N3*O3,3),"没有上级")</f>
        <v>0</v>
      </c>
      <c r="R3" s="20">
        <f>IF(ISNUMBER(Agent!$O$12*H3*N3*O3),TRUNC(Agent!$O$12*H3*N3*O3,3),"没有上级")</f>
        <v>0</v>
      </c>
      <c r="S3" s="20">
        <f>IF(ISNUMBER(Agent!$O$15*H3*N3*O3),TRUNC(Agent!$O$15*H3*N3*O3,3),"没有上级")</f>
        <v>0</v>
      </c>
      <c r="T3" s="20">
        <f>IF(ISNUMBER(Agent!$O$18*H3*N3*O3),TRUNC(Agent!$O$18*H3*N3*O3,3),"没有上级")</f>
        <v>0</v>
      </c>
      <c r="U3" s="20">
        <f>IF(ISNUMBER(Agent!$O$21*H3*N3*O3),TRUNC(Agent!$O$21*H3*N3*O3,3),"没有上级")</f>
        <v>0</v>
      </c>
      <c r="V3" s="20">
        <f>IF(ISNUMBER(Agent!$O$24*H3*N3*O3),TRUNC(Agent!$O$24*H3*N3*O3,3),"没有上级")</f>
        <v>0</v>
      </c>
      <c r="W3" s="20">
        <f>IF(ISNUMBER(Agent!$O$27*H3*N3*O3),TRUNC(Agent!$O$27*H3*N3*O3,3),"没有上级")</f>
        <v>0</v>
      </c>
      <c r="X3" s="20">
        <f>IF(ISNUMBER(Agent!$O$30*H3*N3*O3),TRUNC(Agent!$O$30*H3*N3*O3,3),"没有上级")</f>
        <v>0</v>
      </c>
      <c r="Y3" s="20" t="str">
        <f>IF(ISNUMBER(Agent!$O$33*H3*N3*O3),TRUNC(Agent!$O$33*H3*N3*O3,3),"没有上级")</f>
        <v>没有上级</v>
      </c>
      <c r="Z3" s="19">
        <f>K3Source!K3</f>
        <v>31.175999999999998</v>
      </c>
      <c r="AA3" s="19">
        <f>K3Source!L3</f>
        <v>32.363999999999997</v>
      </c>
      <c r="AB3" s="17">
        <v>1</v>
      </c>
      <c r="AD3" s="15">
        <f t="shared" ref="AD3:AD9" si="1">SUM(P3:Y3)</f>
        <v>0</v>
      </c>
    </row>
    <row r="4" spans="1:30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17">
        <f>AB4*G4*2</f>
        <v>12</v>
      </c>
      <c r="J4" s="17">
        <f>K3Source!E$2</f>
        <v>566</v>
      </c>
      <c r="K4" s="20">
        <f>K3Source!$H4</f>
        <v>0</v>
      </c>
      <c r="L4" s="20">
        <f>SUM(P4:Y4)</f>
        <v>0</v>
      </c>
      <c r="M4" s="20">
        <f t="shared" si="0"/>
        <v>1000078.432</v>
      </c>
      <c r="N4" s="20">
        <f>K3Source!J4</f>
        <v>0.216</v>
      </c>
      <c r="O4" s="20">
        <f>K3Source!$G4</f>
        <v>0</v>
      </c>
      <c r="P4" s="20">
        <f>IF(ISNUMBER(Agent!$O$6*N4*H4*O4),TRUNC(Agent!$O$6*N4*H4*O4,3),"没有上级")</f>
        <v>0</v>
      </c>
      <c r="Q4" s="20">
        <f>IF(ISNUMBER(Agent!$O$9*H4*N4*O4),TRUNC(Agent!$O$9*H4*N4*O4,3),"没有上级")</f>
        <v>0</v>
      </c>
      <c r="R4" s="20">
        <f>IF(ISNUMBER(Agent!$O$12*H4*N4*O4),TRUNC(Agent!$O$12*H4*N4*O4,3),"没有上级")</f>
        <v>0</v>
      </c>
      <c r="S4" s="20">
        <f>IF(ISNUMBER(Agent!$O$15*H4*N4*O4),TRUNC(Agent!$O$15*H4*N4*O4,3),"没有上级")</f>
        <v>0</v>
      </c>
      <c r="T4" s="20">
        <f>IF(ISNUMBER(Agent!$O$18*H4*N4*O4),TRUNC(Agent!$O$18*H4*N4*O4,3),"没有上级")</f>
        <v>0</v>
      </c>
      <c r="U4" s="20">
        <f>IF(ISNUMBER(Agent!$O$21*H4*N4*O4),TRUNC(Agent!$O$21*H4*N4*O4,3),"没有上级")</f>
        <v>0</v>
      </c>
      <c r="V4" s="20">
        <f>IF(ISNUMBER(Agent!$O$24*H4*N4*O4),TRUNC(Agent!$O$24*H4*N4*O4,3),"没有上级")</f>
        <v>0</v>
      </c>
      <c r="W4" s="20">
        <f>IF(ISNUMBER(Agent!$O$27*H4*N4*O4),TRUNC(Agent!$O$27*H4*N4*O4,3),"没有上级")</f>
        <v>0</v>
      </c>
      <c r="X4" s="20">
        <f>IF(ISNUMBER(Agent!$O$30*H4*N4*O4),TRUNC(Agent!$O$30*H4*N4*O4,3),"没有上级")</f>
        <v>0</v>
      </c>
      <c r="Y4" s="20" t="str">
        <f>IF(ISNUMBER(Agent!$O$33*H4*N4*O4),TRUNC(Agent!$O$33*H4*N4*O4,3),"没有上级")</f>
        <v>没有上级</v>
      </c>
      <c r="Z4" s="19">
        <f>K3Source!K4</f>
        <v>187.05600000000001</v>
      </c>
      <c r="AA4" s="19">
        <f>K3Source!L4</f>
        <v>194.184</v>
      </c>
      <c r="AB4" s="20">
        <f>LEN(SUBSTITUTE(F4," ",))/3</f>
        <v>6</v>
      </c>
      <c r="AD4" s="15">
        <f t="shared" si="1"/>
        <v>0</v>
      </c>
    </row>
    <row r="5" spans="1:30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17">
        <f>AB5*G5*2</f>
        <v>40</v>
      </c>
      <c r="J5" s="17">
        <f>K3Source!E$2</f>
        <v>566</v>
      </c>
      <c r="K5" s="20">
        <f>K3Source!$H5</f>
        <v>0</v>
      </c>
      <c r="L5" s="20">
        <f>SUM(P5:Y5)</f>
        <v>0</v>
      </c>
      <c r="M5" s="20">
        <f t="shared" si="0"/>
        <v>1000038.432</v>
      </c>
      <c r="N5" s="20">
        <f>K3Source!J5</f>
        <v>3.5999999999999997E-2</v>
      </c>
      <c r="O5" s="20">
        <f>K3Source!$G5</f>
        <v>0</v>
      </c>
      <c r="P5" s="20">
        <f>IF(ISNUMBER(Agent!$O$6*N5*H5*O5),TRUNC(Agent!$O$6*N5*H5*O5,3),"没有上级")</f>
        <v>0</v>
      </c>
      <c r="Q5" s="20">
        <f>IF(ISNUMBER(Agent!$O$9*H5*N5*O5),TRUNC(Agent!$O$9*H5*N5*O5,3),"没有上级")</f>
        <v>0</v>
      </c>
      <c r="R5" s="20">
        <f>IF(ISNUMBER(Agent!$O$12*H5*N5*O5),TRUNC(Agent!$O$12*H5*N5*O5,3),"没有上级")</f>
        <v>0</v>
      </c>
      <c r="S5" s="20">
        <f>IF(ISNUMBER(Agent!$O$15*H5*N5*O5),TRUNC(Agent!$O$15*H5*N5*O5,3),"没有上级")</f>
        <v>0</v>
      </c>
      <c r="T5" s="20">
        <f>IF(ISNUMBER(Agent!$O$18*H5*N5*O5),TRUNC(Agent!$O$18*H5*N5*O5,3),"没有上级")</f>
        <v>0</v>
      </c>
      <c r="U5" s="20">
        <f>IF(ISNUMBER(Agent!$O$21*H5*N5*O5),TRUNC(Agent!$O$21*H5*N5*O5,3),"没有上级")</f>
        <v>0</v>
      </c>
      <c r="V5" s="20">
        <f>IF(ISNUMBER(Agent!$O$24*H5*N5*O5),TRUNC(Agent!$O$24*H5*N5*O5,3),"没有上级")</f>
        <v>0</v>
      </c>
      <c r="W5" s="20">
        <f>IF(ISNUMBER(Agent!$O$27*H5*N5*O5),TRUNC(Agent!$O$27*H5*N5*O5,3),"没有上级")</f>
        <v>0</v>
      </c>
      <c r="X5" s="20">
        <f>IF(ISNUMBER(Agent!$O$30*H5*N5*O5),TRUNC(Agent!$O$30*H5*N5*O5,3),"没有上级")</f>
        <v>0</v>
      </c>
      <c r="Y5" s="20" t="str">
        <f>IF(ISNUMBER(Agent!$O$33*H5*N5*O5),TRUNC(Agent!$O$33*H5*N5*O5,3),"没有上级")</f>
        <v>没有上级</v>
      </c>
      <c r="Z5" s="19">
        <f>K3Source!K5</f>
        <v>31.175999999999998</v>
      </c>
      <c r="AA5" s="19">
        <f>K3Source!L5</f>
        <v>32.363999999999997</v>
      </c>
      <c r="AB5" s="17">
        <f>COMBIN(LEN(SUBSTITUTE(F5," ",)),3)</f>
        <v>20</v>
      </c>
      <c r="AD5" s="15">
        <f t="shared" si="1"/>
        <v>0</v>
      </c>
    </row>
    <row r="6" spans="1:30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17">
        <f>AB6*G6*2</f>
        <v>2</v>
      </c>
      <c r="J6" s="17">
        <f>K3Source!E$2</f>
        <v>566</v>
      </c>
      <c r="K6" s="20">
        <f>K3Source!$H6</f>
        <v>0</v>
      </c>
      <c r="L6" s="20">
        <f>SUM(P6:Y6)</f>
        <v>0</v>
      </c>
      <c r="M6" s="20">
        <f t="shared" si="0"/>
        <v>1000036.432</v>
      </c>
      <c r="N6" s="20">
        <f>K3Source!J6</f>
        <v>8.0000000000000002E-3</v>
      </c>
      <c r="O6" s="20">
        <f>K3Source!$G6</f>
        <v>0</v>
      </c>
      <c r="P6" s="20">
        <f>IF(ISNUMBER(Agent!$O$6*N6*H6*O6),TRUNC(Agent!$O$6*N6*H6*O6,3),"没有上级")</f>
        <v>0</v>
      </c>
      <c r="Q6" s="20">
        <f>IF(ISNUMBER(Agent!$O$9*H6*N6*O6),TRUNC(Agent!$O$9*H6*N6*O6,3),"没有上级")</f>
        <v>0</v>
      </c>
      <c r="R6" s="20">
        <f>IF(ISNUMBER(Agent!$O$12*H6*N6*O6),TRUNC(Agent!$O$12*H6*N6*O6,3),"没有上级")</f>
        <v>0</v>
      </c>
      <c r="S6" s="20">
        <f>IF(ISNUMBER(Agent!$O$15*H6*N6*O6),TRUNC(Agent!$O$15*H6*N6*O6,3),"没有上级")</f>
        <v>0</v>
      </c>
      <c r="T6" s="20">
        <f>IF(ISNUMBER(Agent!$O$18*H6*N6*O6),TRUNC(Agent!$O$18*H6*N6*O6,3),"没有上级")</f>
        <v>0</v>
      </c>
      <c r="U6" s="20">
        <f>IF(ISNUMBER(Agent!$O$21*H6*N6*O6),TRUNC(Agent!$O$21*H6*N6*O6,3),"没有上级")</f>
        <v>0</v>
      </c>
      <c r="V6" s="20">
        <f>IF(ISNUMBER(Agent!$O$24*H6*N6*O6),TRUNC(Agent!$O$24*H6*N6*O6,3),"没有上级")</f>
        <v>0</v>
      </c>
      <c r="W6" s="20">
        <f>IF(ISNUMBER(Agent!$O$27*H6*N6*O6),TRUNC(Agent!$O$27*H6*N6*O6,3),"没有上级")</f>
        <v>0</v>
      </c>
      <c r="X6" s="20">
        <f>IF(ISNUMBER(Agent!$O$30*H6*N6*O6),TRUNC(Agent!$O$30*H6*N6*O6,3),"没有上级")</f>
        <v>0</v>
      </c>
      <c r="Y6" s="20" t="str">
        <f>IF(ISNUMBER(Agent!$O$33*H6*N6*O6),TRUNC(Agent!$O$33*H6*N6*O6,3),"没有上级")</f>
        <v>没有上级</v>
      </c>
      <c r="Z6" s="19">
        <f>K3Source!K6</f>
        <v>7.8140000000000001</v>
      </c>
      <c r="AA6" s="19">
        <f>K3Source!L6</f>
        <v>8.0779999999999994</v>
      </c>
      <c r="AB6" s="17">
        <v>1</v>
      </c>
      <c r="AD6" s="15">
        <f t="shared" si="1"/>
        <v>0</v>
      </c>
    </row>
    <row r="7" spans="1:30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17">
        <f>AB7*G7*2</f>
        <v>12</v>
      </c>
      <c r="J7" s="17">
        <f>K3Source!E$2</f>
        <v>566</v>
      </c>
      <c r="K7" s="20">
        <f>K3Source!$H7</f>
        <v>12.468</v>
      </c>
      <c r="L7" s="20">
        <f>SUM(P7:Y7)</f>
        <v>0.46200000000000002</v>
      </c>
      <c r="M7" s="20">
        <f t="shared" si="0"/>
        <v>1000036.9</v>
      </c>
      <c r="N7" s="20">
        <f>K3Source!J7</f>
        <v>1.4E-2</v>
      </c>
      <c r="O7" s="20">
        <f>K3Source!$G7</f>
        <v>1</v>
      </c>
      <c r="P7" s="20">
        <f>IF(ISNUMBER(Agent!$O$6*N7*H7*O7),TRUNC(Agent!$O$6*N7*H7*O7,3),"没有上级")</f>
        <v>8.4000000000000005E-2</v>
      </c>
      <c r="Q7" s="20">
        <f>IF(ISNUMBER(Agent!$O$9*H7*N7*O7),TRUNC(Agent!$O$9*H7*N7*O7,3),"没有上级")</f>
        <v>2.8000000000000001E-2</v>
      </c>
      <c r="R7" s="20">
        <f>IF(ISNUMBER(Agent!$O$12*H7*N7*O7),TRUNC(Agent!$O$12*H7*N7*O7,3),"没有上级")</f>
        <v>5.6000000000000001E-2</v>
      </c>
      <c r="S7" s="20">
        <f>IF(ISNUMBER(Agent!$O$15*H7*N7*O7),TRUNC(Agent!$O$15*H7*N7*O7,3),"没有上级")</f>
        <v>4.2000000000000003E-2</v>
      </c>
      <c r="T7" s="20">
        <f>IF(ISNUMBER(Agent!$O$18*H7*N7*O7),TRUNC(Agent!$O$18*H7*N7*O7,3),"没有上级")</f>
        <v>1.4E-2</v>
      </c>
      <c r="U7" s="20">
        <f>IF(ISNUMBER(Agent!$O$21*H7*N7*O7),TRUNC(Agent!$O$21*H7*N7*O7,3),"没有上级")</f>
        <v>9.8000000000000004E-2</v>
      </c>
      <c r="V7" s="20">
        <f>IF(ISNUMBER(Agent!$O$24*H7*N7*O7),TRUNC(Agent!$O$24*H7*N7*O7,3),"没有上级")</f>
        <v>4.2000000000000003E-2</v>
      </c>
      <c r="W7" s="20">
        <f>IF(ISNUMBER(Agent!$O$27*H7*N7*O7),TRUNC(Agent!$O$27*H7*N7*O7,3),"没有上级")</f>
        <v>5.6000000000000001E-2</v>
      </c>
      <c r="X7" s="20">
        <f>IF(ISNUMBER(Agent!$O$30*H7*N7*O7),TRUNC(Agent!$O$30*H7*N7*O7,3),"没有上级")</f>
        <v>4.2000000000000003E-2</v>
      </c>
      <c r="Y7" s="20" t="str">
        <f>IF(ISNUMBER(Agent!$O$33*H7*N7*O7),TRUNC(Agent!$O$33*H7*N7*O7,3),"没有上级")</f>
        <v>没有上级</v>
      </c>
      <c r="Z7" s="19">
        <f>K3Source!K7</f>
        <v>12.468</v>
      </c>
      <c r="AA7" s="19">
        <f>K3Source!L7</f>
        <v>12.93</v>
      </c>
      <c r="AB7" s="17">
        <f>LEN(SUBSTITUTE(F7," ",))/2</f>
        <v>6</v>
      </c>
      <c r="AD7" s="15">
        <f t="shared" si="1"/>
        <v>0.46200000000000002</v>
      </c>
    </row>
    <row r="8" spans="1:30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17">
        <f>AB8*G8*2</f>
        <v>18</v>
      </c>
      <c r="J8" s="17">
        <f>K3Source!E$2</f>
        <v>566</v>
      </c>
      <c r="K8" s="20">
        <f>K3Source!$H8</f>
        <v>0</v>
      </c>
      <c r="L8" s="20">
        <f>SUM(P8:Y8)</f>
        <v>0</v>
      </c>
      <c r="M8" s="20">
        <f t="shared" si="0"/>
        <v>1000018.9</v>
      </c>
      <c r="N8" s="20">
        <f>K3Source!J8</f>
        <v>7.1999999999999995E-2</v>
      </c>
      <c r="O8" s="20">
        <f>K3Source!$G8</f>
        <v>0</v>
      </c>
      <c r="P8" s="20">
        <f>IF(ISNUMBER(Agent!$O$6*N8*H8*O8),TRUNC(Agent!$O$6*N8*H8*O8,3),"没有上级")</f>
        <v>0</v>
      </c>
      <c r="Q8" s="20">
        <f>IF(ISNUMBER(Agent!$O$9*H8*N8*O8),TRUNC(Agent!$O$9*H8*N8*O8,3),"没有上级")</f>
        <v>0</v>
      </c>
      <c r="R8" s="20">
        <f>IF(ISNUMBER(Agent!$O$12*H8*N8*O8),TRUNC(Agent!$O$12*H8*N8*O8,3),"没有上级")</f>
        <v>0</v>
      </c>
      <c r="S8" s="20">
        <f>IF(ISNUMBER(Agent!$O$15*H8*N8*O8),TRUNC(Agent!$O$15*H8*N8*O8,3),"没有上级")</f>
        <v>0</v>
      </c>
      <c r="T8" s="20">
        <f>IF(ISNUMBER(Agent!$O$18*H8*N8*O8),TRUNC(Agent!$O$18*H8*N8*O8,3),"没有上级")</f>
        <v>0</v>
      </c>
      <c r="U8" s="20">
        <f>IF(ISNUMBER(Agent!$O$21*H8*N8*O8),TRUNC(Agent!$O$21*H8*N8*O8,3),"没有上级")</f>
        <v>0</v>
      </c>
      <c r="V8" s="20">
        <f>IF(ISNUMBER(Agent!$O$24*H8*N8*O8),TRUNC(Agent!$O$24*H8*N8*O8,3),"没有上级")</f>
        <v>0</v>
      </c>
      <c r="W8" s="20">
        <f>IF(ISNUMBER(Agent!$O$27*H8*N8*O8),TRUNC(Agent!$O$27*H8*N8*O8,3),"没有上级")</f>
        <v>0</v>
      </c>
      <c r="X8" s="20">
        <f>IF(ISNUMBER(Agent!$O$30*H8*N8*O8),TRUNC(Agent!$O$30*H8*N8*O8,3),"没有上级")</f>
        <v>0</v>
      </c>
      <c r="Y8" s="20" t="str">
        <f>IF(ISNUMBER(Agent!$O$33*H8*N8*O8),TRUNC(Agent!$O$33*H8*N8*O8,3),"没有上级")</f>
        <v>没有上级</v>
      </c>
      <c r="Z8" s="19">
        <f>K3Source!K8</f>
        <v>62.351999999999997</v>
      </c>
      <c r="AA8" s="19">
        <f>K3Source!L8</f>
        <v>64.727999999999994</v>
      </c>
      <c r="AB8" s="15">
        <v>9</v>
      </c>
      <c r="AD8" s="15">
        <f t="shared" si="1"/>
        <v>0</v>
      </c>
    </row>
    <row r="9" spans="1:30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17">
        <f>AB9*G9*2</f>
        <v>12</v>
      </c>
      <c r="J9" s="17">
        <f>K3Source!E$2</f>
        <v>566</v>
      </c>
      <c r="K9" s="20">
        <f>K3Source!$H9</f>
        <v>37.403999999999996</v>
      </c>
      <c r="L9" s="20">
        <f>SUM(P9:Y9)</f>
        <v>1.3860000000000001</v>
      </c>
      <c r="M9" s="20">
        <f t="shared" si="0"/>
        <v>1000044.304</v>
      </c>
      <c r="N9" s="20">
        <f>K3Source!J9</f>
        <v>7.0000000000000001E-3</v>
      </c>
      <c r="O9" s="20">
        <f>K3Source!$G9</f>
        <v>0.99999999999999989</v>
      </c>
      <c r="P9" s="20">
        <f>IF(ISNUMBER(Agent!$O$6*N9*H9*O9),TRUNC(Agent!$O$6*N9*H9*O9,3),"没有上级")</f>
        <v>0.252</v>
      </c>
      <c r="Q9" s="20">
        <f>IF(ISNUMBER(Agent!$O$9*H9*N9*O9),TRUNC(Agent!$O$9*H9*N9*O9,3),"没有上级")</f>
        <v>8.4000000000000005E-2</v>
      </c>
      <c r="R9" s="20">
        <f>IF(ISNUMBER(Agent!$O$12*H9*N9*O9),TRUNC(Agent!$O$12*H9*N9*O9,3),"没有上级")</f>
        <v>0.16800000000000001</v>
      </c>
      <c r="S9" s="20">
        <f>IF(ISNUMBER(Agent!$O$15*H9*N9*O9),TRUNC(Agent!$O$15*H9*N9*O9,3),"没有上级")</f>
        <v>0.126</v>
      </c>
      <c r="T9" s="20">
        <f>IF(ISNUMBER(Agent!$O$18*H9*N9*O9),TRUNC(Agent!$O$18*H9*N9*O9,3),"没有上级")</f>
        <v>4.2000000000000003E-2</v>
      </c>
      <c r="U9" s="20">
        <f>IF(ISNUMBER(Agent!$O$21*H9*N9*O9),TRUNC(Agent!$O$21*H9*N9*O9,3),"没有上级")</f>
        <v>0.29399999999999998</v>
      </c>
      <c r="V9" s="20">
        <f>IF(ISNUMBER(Agent!$O$24*H9*N9*O9),TRUNC(Agent!$O$24*H9*N9*O9,3),"没有上级")</f>
        <v>0.126</v>
      </c>
      <c r="W9" s="20">
        <f>IF(ISNUMBER(Agent!$O$27*H9*N9*O9),TRUNC(Agent!$O$27*H9*N9*O9,3),"没有上级")</f>
        <v>0.16800000000000001</v>
      </c>
      <c r="X9" s="20">
        <f>IF(ISNUMBER(Agent!$O$30*H9*N9*O9),TRUNC(Agent!$O$30*H9*N9*O9,3),"没有上级")</f>
        <v>0.126</v>
      </c>
      <c r="Y9" s="20" t="str">
        <f>IF(ISNUMBER(Agent!$O$33*H9*N9*O9),TRUNC(Agent!$O$33*H9*N9*O9,3),"没有上级")</f>
        <v>没有上级</v>
      </c>
      <c r="Z9" s="19">
        <f>K3Source!K9</f>
        <v>6.234</v>
      </c>
      <c r="AA9" s="19">
        <f>K3Source!L9</f>
        <v>6.4649999999999999</v>
      </c>
      <c r="AB9" s="20">
        <f>LEN(SUBSTITUTE(F9," ",))</f>
        <v>6</v>
      </c>
      <c r="AD9" s="15">
        <f t="shared" si="1"/>
        <v>1.3860000000000001</v>
      </c>
    </row>
    <row r="11" spans="1:30" x14ac:dyDescent="0.15">
      <c r="K11" s="20"/>
      <c r="P11" s="20">
        <f>SUM(P2:P9)</f>
        <v>1.248</v>
      </c>
      <c r="Q11" s="20">
        <f>SUM(Q2:Q9)</f>
        <v>0.41600000000000004</v>
      </c>
      <c r="R11" s="20">
        <f t="shared" ref="R11:Y11" si="2">SUM(R2:R9)</f>
        <v>0.83200000000000007</v>
      </c>
      <c r="S11" s="20">
        <f t="shared" si="2"/>
        <v>0.624</v>
      </c>
      <c r="T11" s="20">
        <f t="shared" si="2"/>
        <v>0.20800000000000002</v>
      </c>
      <c r="U11" s="20">
        <f t="shared" si="2"/>
        <v>1.4560000000000002</v>
      </c>
      <c r="V11" s="20">
        <f t="shared" si="2"/>
        <v>0.624</v>
      </c>
      <c r="W11" s="20">
        <f t="shared" si="2"/>
        <v>0.83200000000000007</v>
      </c>
      <c r="X11" s="20">
        <f t="shared" si="2"/>
        <v>0.624</v>
      </c>
      <c r="Y11" s="20">
        <f t="shared" si="2"/>
        <v>0</v>
      </c>
    </row>
    <row r="13" spans="1:30" ht="27" x14ac:dyDescent="0.15">
      <c r="D13" s="16" t="s">
        <v>103</v>
      </c>
      <c r="F13" s="16" t="s">
        <v>116</v>
      </c>
      <c r="G13" s="16" t="s">
        <v>115</v>
      </c>
    </row>
    <row r="14" spans="1:30" x14ac:dyDescent="0.15">
      <c r="D14" s="15" t="s">
        <v>104</v>
      </c>
      <c r="E14" s="17">
        <f>TRUNC(0.002,3)</f>
        <v>2E-3</v>
      </c>
      <c r="F14" s="18">
        <v>1.96</v>
      </c>
      <c r="G14" s="17">
        <f>TRUNC(F14+E14*19,3)</f>
        <v>1.998</v>
      </c>
    </row>
    <row r="15" spans="1:30" x14ac:dyDescent="0.15">
      <c r="D15" s="27" t="s">
        <v>105</v>
      </c>
      <c r="E15" s="17">
        <f>TRUNC(0.216,3)</f>
        <v>0.216</v>
      </c>
      <c r="F15" s="20">
        <v>190.08</v>
      </c>
      <c r="G15" s="20">
        <f t="shared" ref="G15:G22" si="3">TRUNC(F15+E15*19,3)</f>
        <v>194.184</v>
      </c>
    </row>
    <row r="16" spans="1:30" x14ac:dyDescent="0.15">
      <c r="D16" s="15" t="s">
        <v>106</v>
      </c>
      <c r="E16" s="17">
        <f>TRUNC(0.072,3)</f>
        <v>7.1999999999999995E-2</v>
      </c>
      <c r="F16" s="20">
        <v>63.36</v>
      </c>
      <c r="G16" s="20">
        <f t="shared" si="3"/>
        <v>64.727999999999994</v>
      </c>
    </row>
    <row r="17" spans="4:26" x14ac:dyDescent="0.15">
      <c r="D17" s="15" t="s">
        <v>107</v>
      </c>
      <c r="E17" s="15">
        <f>TRUNC(0.036,3)</f>
        <v>3.5999999999999997E-2</v>
      </c>
      <c r="F17" s="20">
        <v>31.68</v>
      </c>
      <c r="G17" s="20">
        <f t="shared" si="3"/>
        <v>32.363999999999997</v>
      </c>
      <c r="P17" s="20">
        <f>N(ISNUMBER(FIND(K3Source!N2,K3Source!D2,1)))*E14+N(ISNUMBER(FIND(K3Source!N3,K3Source!D2,1)))*E14+N(ISNUMBER(FIND(K3Source!N$4,K3Source!$D2,1)))*SUM(K3Source!F16:F31)</f>
        <v>7.5999999999999998E-2</v>
      </c>
    </row>
    <row r="18" spans="4:26" x14ac:dyDescent="0.15">
      <c r="D18" s="15" t="s">
        <v>108</v>
      </c>
      <c r="E18" s="17">
        <f>TRUNC(0.0215,3)</f>
        <v>2.1000000000000001E-2</v>
      </c>
      <c r="F18" s="20">
        <v>19</v>
      </c>
      <c r="G18" s="20">
        <f t="shared" si="3"/>
        <v>19.399000000000001</v>
      </c>
    </row>
    <row r="19" spans="4:26" x14ac:dyDescent="0.15">
      <c r="D19" s="15" t="s">
        <v>109</v>
      </c>
      <c r="E19" s="17">
        <f>TRUNC(0.01425,3)</f>
        <v>1.4E-2</v>
      </c>
      <c r="F19" s="20">
        <v>12.67</v>
      </c>
      <c r="G19" s="20">
        <f t="shared" si="3"/>
        <v>12.936</v>
      </c>
    </row>
    <row r="20" spans="4:26" x14ac:dyDescent="0.15">
      <c r="D20" s="15" t="s">
        <v>110</v>
      </c>
      <c r="E20" s="17">
        <f>TRUNC(0.01025,3)</f>
        <v>0.01</v>
      </c>
      <c r="F20" s="20">
        <v>9.0500000000000007</v>
      </c>
      <c r="G20" s="20">
        <f t="shared" si="3"/>
        <v>9.24</v>
      </c>
    </row>
    <row r="21" spans="4:26" x14ac:dyDescent="0.15">
      <c r="D21" s="15" t="s">
        <v>111</v>
      </c>
      <c r="E21" s="17">
        <f>TRUNC(0.0085,3)</f>
        <v>8.0000000000000002E-3</v>
      </c>
      <c r="F21" s="20">
        <v>7.6</v>
      </c>
      <c r="G21" s="20">
        <f t="shared" si="3"/>
        <v>7.7519999999999998</v>
      </c>
    </row>
    <row r="22" spans="4:26" x14ac:dyDescent="0.15">
      <c r="D22" s="15" t="s">
        <v>112</v>
      </c>
      <c r="E22" s="17">
        <f>TRUNC(0.008,3)</f>
        <v>8.0000000000000002E-3</v>
      </c>
      <c r="F22" s="20">
        <v>7.04</v>
      </c>
      <c r="G22" s="20">
        <f t="shared" si="3"/>
        <v>7.1920000000000002</v>
      </c>
    </row>
    <row r="25" spans="4:26" x14ac:dyDescent="0.15"/>
    <row r="27" spans="4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1"/>
  <sheetViews>
    <sheetView tabSelected="1" workbookViewId="0">
      <pane ySplit="1" topLeftCell="A2" activePane="bottomLeft" state="frozen"/>
      <selection pane="bottomLeft" activeCell="G10" sqref="G10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1" width="9.125" style="19" customWidth="1"/>
    <col min="12" max="16384" width="9" style="2"/>
  </cols>
  <sheetData>
    <row r="1" spans="1:14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49</v>
      </c>
      <c r="G1" s="15" t="s">
        <v>83</v>
      </c>
      <c r="H1" s="15" t="s">
        <v>48</v>
      </c>
      <c r="J1" s="15" t="s">
        <v>159</v>
      </c>
      <c r="K1" s="16" t="s">
        <v>157</v>
      </c>
      <c r="L1" s="16" t="s">
        <v>158</v>
      </c>
      <c r="M1" s="2" t="s">
        <v>17</v>
      </c>
    </row>
    <row r="2" spans="1:14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566</v>
      </c>
      <c r="F2" s="6">
        <v>2</v>
      </c>
      <c r="G2" s="15">
        <f>N(ISNUMBER(FIND(N2,D2,1)))+N(ISNUMBER(FIND(N3,D2,1)))+N(ISNUMBER(FIND(N$4,$D2,1)))</f>
        <v>3</v>
      </c>
      <c r="H2" s="20">
        <f>SUM(D12:D31)</f>
        <v>132.43199999999999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/>
      <c r="K2" s="21"/>
      <c r="L2" s="21"/>
      <c r="N2" s="2" t="str">
        <f>IF(MOD(SUM(LEFT(E$2,1),MID(E$2,2,1),MID(E$2,3,1)),2)=1,",单,",",双,")</f>
        <v>,单,</v>
      </c>
    </row>
    <row r="3" spans="1:14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566</v>
      </c>
      <c r="F3" s="15">
        <v>4</v>
      </c>
      <c r="G3" s="15">
        <f>N(AND(LEFT(E3,1)=MID(E3,2,1),LEFT(E3,1)=RIGHT(E3,1)))</f>
        <v>0</v>
      </c>
      <c r="H3" s="20">
        <f>IF(AND(LEFT(E2,1)=MID(E2,2,1),LEFT(E2,1)=RIGHT(E2,1)),K3*F3,0)</f>
        <v>0</v>
      </c>
      <c r="I3" s="14" t="str">
        <f>TRIM(IF(LEN(D5)=0,"-",SUBSTITUTE(D3," "," ")))</f>
        <v>三同号通选</v>
      </c>
      <c r="J3" s="2">
        <f>TRUNC(((31.68-28.8)/80),3)</f>
        <v>3.5999999999999997E-2</v>
      </c>
      <c r="K3" s="19">
        <f>TRUNC(L3-(9.9-Agent!L$3)*10*J3,3)</f>
        <v>31.175999999999998</v>
      </c>
      <c r="L3" s="20">
        <f>TRUNC(28.8+99*((31.68-28.8)/80),3)</f>
        <v>32.363999999999997</v>
      </c>
      <c r="N3" s="2" t="str">
        <f>IF(SUM(LEFT(E$2,1),MID(E$2,2,1),MID(E$2,3,1))&lt;11,",小,",",大,")</f>
        <v>,大,</v>
      </c>
    </row>
    <row r="4" spans="1:14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566</v>
      </c>
      <c r="F4" s="15">
        <v>7</v>
      </c>
      <c r="G4" s="15">
        <f t="shared" ref="G4:G9" si="1">H4/F4/K4</f>
        <v>0</v>
      </c>
      <c r="H4" s="20">
        <f>N(ISNUMBER(FIND(E2,D4,1)))*F4*K4</f>
        <v>0</v>
      </c>
      <c r="I4" s="14" t="str">
        <f>TRIM(IF(LEN(K3Source!D4)=0,"-",SUBSTITUTE(K3Source!D4,","," ")))</f>
        <v>111 222 333 444 555 666</v>
      </c>
      <c r="J4" s="20">
        <f>TRUNC(((190.08-172.8)/80),3)</f>
        <v>0.216</v>
      </c>
      <c r="K4" s="19">
        <f>TRUNC(L4-(9.9-Agent!L$3)*10*J4,3)</f>
        <v>187.05600000000001</v>
      </c>
      <c r="L4" s="20">
        <f>TRUNC(172.8+99*((190.08-172.8)/80),3)</f>
        <v>194.184</v>
      </c>
      <c r="N4" s="2" t="str">
        <f>","&amp;SUM(LEFT(E$2,1),MID(E$2,2,1),MID(E$2,3,1))&amp;","</f>
        <v>,17,</v>
      </c>
    </row>
    <row r="5" spans="1:14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566</v>
      </c>
      <c r="F5" s="15">
        <v>3</v>
      </c>
      <c r="G5" s="15">
        <f t="shared" si="1"/>
        <v>0</v>
      </c>
      <c r="H5" s="20">
        <f>IF(AND(LEFT(E2,1)&lt;&gt;MID(E2,2,1),LEFT(E2,1)&lt;&gt;RIGHT(E2,1),MID(E2,2,1)&lt;&gt;RIGHT(E2,1),ISNUMBER(FIND(LEFT(E2,1),D5,1)),ISNUMBER(FIND(MID(E2,2,1),D5,1)),ISNUMBER(FIND(RIGHT(E2,1),D5,1))),F5*K5,0)</f>
        <v>0</v>
      </c>
      <c r="I5" s="19" t="str">
        <f>TRIM(IF(LEN(K3Source!D5)=0,"-",SUBSTITUTE(K3Source!D5,","," ")))</f>
        <v>1 2 3 4 5 6</v>
      </c>
      <c r="J5" s="20">
        <f>TRUNC(((31.68-28.8)/80),3)</f>
        <v>3.5999999999999997E-2</v>
      </c>
      <c r="K5" s="19">
        <f>TRUNC(L5-(9.9-Agent!L$3)*10*J5,3)</f>
        <v>31.175999999999998</v>
      </c>
      <c r="L5" s="20">
        <f>TRUNC(28.8+99*((31.68-28.8)/80),3)</f>
        <v>32.363999999999997</v>
      </c>
    </row>
    <row r="6" spans="1:14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566</v>
      </c>
      <c r="F6" s="15">
        <v>6</v>
      </c>
      <c r="G6" s="15">
        <f t="shared" si="1"/>
        <v>0</v>
      </c>
      <c r="H6" s="20">
        <f>IF(AND(INT(RIGHT(E6,1))=MID(E6,2,1)+1,INT(RIGHT(E6,1))=LEFT(E6,1)+2),F6*K6,0)</f>
        <v>0</v>
      </c>
      <c r="I6" s="19" t="str">
        <f>TRIM(IF(LEN(K3Source!D6)=0,"-",SUBSTITUTE(K3Source!D6,","," ")))</f>
        <v>三连号通选</v>
      </c>
      <c r="J6" s="20">
        <f>TRUNC(((7.91-7.2)/80),3)</f>
        <v>8.0000000000000002E-3</v>
      </c>
      <c r="K6" s="19">
        <f>TRUNC(L6-(9.9-Agent!L$3)*10*J6,3)</f>
        <v>7.8140000000000001</v>
      </c>
      <c r="L6" s="20">
        <f>TRUNC(7.2+99*((7.91-7.2)/80),3)</f>
        <v>8.0779999999999994</v>
      </c>
    </row>
    <row r="7" spans="1:14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566</v>
      </c>
      <c r="F7" s="15">
        <v>1</v>
      </c>
      <c r="G7" s="15">
        <f t="shared" si="1"/>
        <v>1</v>
      </c>
      <c r="H7" s="20">
        <f>IF(AND(MID(E2,2,1)=LEFT(E2,1),LEFT(E2,1)=RIGHT(E2,1)),0,IF(ISNUMBER(FIND(_xlfn.MODE.SNGL(INT(MID(E2,2,1)),INT(LEFT(E2,1)),INT(RIGHT(E2,1))),D7,1)),F7*K7,0))</f>
        <v>12.468</v>
      </c>
      <c r="I7" s="19" t="str">
        <f>TRIM(IF(LEN(K3Source!D7)=0,"-",SUBSTITUTE(K3Source!D7,","," ")))</f>
        <v>11 22 33 44 55 66</v>
      </c>
      <c r="J7" s="20">
        <f>TRUNC(((12.66-11.52)/80),3)</f>
        <v>1.4E-2</v>
      </c>
      <c r="K7" s="19">
        <f>TRUNC(L7-(9.9-Agent!L$3)*10*J7,3)</f>
        <v>12.468</v>
      </c>
      <c r="L7" s="20">
        <f>TRUNC(11.52+99*((12.66-11.52)/80),3)</f>
        <v>12.93</v>
      </c>
    </row>
    <row r="8" spans="1:14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566</v>
      </c>
      <c r="F8" s="15">
        <v>5</v>
      </c>
      <c r="G8" s="15">
        <f t="shared" si="1"/>
        <v>0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ISNUMBER(FIND(","&amp;_xlfn.MODE.SNGL(INT(MID(E2,2,1)),INT(LEFT(E2,1)),INT(RIGHT(E2,1)))&amp;_xlfn.MODE.SNGL(INT(MID(E2,2,1)),INT(LEFT(E2,1)),INT(RIGHT(E2,1)))&amp;",",D8,1))),F8*K8,0))</f>
        <v>0</v>
      </c>
      <c r="I8" s="19" t="str">
        <f>TRIM(IF(LEN(D8)=0,"-",SUBSTITUTE(D8,","," ")))</f>
        <v>11 22 33 4 5 6</v>
      </c>
      <c r="J8" s="20">
        <f>TRUNC(((63.36-57.6)/80),3)</f>
        <v>7.1999999999999995E-2</v>
      </c>
      <c r="K8" s="19">
        <f>TRUNC(L8-(9.9-Agent!L$3)*10*J8,3)</f>
        <v>62.351999999999997</v>
      </c>
      <c r="L8" s="20">
        <f>TRUNC(57.6+99*((63.36-57.6)/80),3)</f>
        <v>64.727999999999994</v>
      </c>
    </row>
    <row r="9" spans="1:14" s="13" customFormat="1" ht="20.100000000000001" customHeight="1" x14ac:dyDescent="0.15">
      <c r="A9" s="20" t="s">
        <v>19</v>
      </c>
      <c r="B9" s="15" t="s">
        <v>36</v>
      </c>
      <c r="C9" s="15"/>
      <c r="D9" s="16" t="s">
        <v>160</v>
      </c>
      <c r="E9" s="20">
        <f t="shared" si="0"/>
        <v>566</v>
      </c>
      <c r="F9" s="15">
        <v>6</v>
      </c>
      <c r="G9" s="15">
        <f t="shared" si="1"/>
        <v>0.99999999999999989</v>
      </c>
      <c r="H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IF(AND(ISNUMBER(FIND(_xlfn.MODE.SNGL(INT(MID(E2,2,1)),INT(LEFT(E2,1)),INT(RIGHT(E2,1))),D9,1)),ISNUMBER(FIND(SUBSTITUTE(E2,_xlfn.MODE.SNGL(INT(MID(E2,2,1)),INT(LEFT(E2,1)),INT(RIGHT(E2,1))),),D9,1))),F9*K9,0),
  IF(SUM(ISNUMBER(FIND(LEFT(E2,1),D9,1)),ISNUMBER(FIND(MID(E2,2,1),D9,1)),ISNUMBER(FIND(RIGHT(E2,1),D9,1)))=2,F9*K9,IF(SUM(ISNUMBER(FIND(LEFT(E2,1),D9,1)),ISNUMBER(FIND(MID(E2,2,1),D9,1)),ISNUMBER(FIND(RIGHT(E2,1),D9,1)))=3,F9*K9*3,0))))</f>
        <v>37.403999999999996</v>
      </c>
      <c r="I9" s="19" t="str">
        <f>TRIM(IF(LEN(K3Source!D9)=0,"-",SUBSTITUTE(K3Source!D9,","," ")))</f>
        <v>1 2 3 4 5 6</v>
      </c>
      <c r="J9" s="20">
        <f>TRUNC(((6.33-5.76)/80),3)</f>
        <v>7.0000000000000001E-3</v>
      </c>
      <c r="K9" s="19">
        <f>TRUNC(L9-(9.9-Agent!L$3)*10*J9,3)</f>
        <v>6.234</v>
      </c>
      <c r="L9" s="20">
        <f>TRUNC(5.76+99*((6.33-5.76)/80),3)</f>
        <v>6.4649999999999999</v>
      </c>
    </row>
    <row r="10" spans="1:14" s="20" customFormat="1" ht="20.100000000000001" customHeight="1" x14ac:dyDescent="0.15">
      <c r="B10" s="15"/>
      <c r="C10" s="15"/>
      <c r="D10" s="16"/>
      <c r="F10" s="15"/>
      <c r="G10" s="15"/>
      <c r="H10" s="15"/>
      <c r="I10" s="19">
        <f>LEN(SUBSTITUTE(D9," ",))</f>
        <v>6</v>
      </c>
      <c r="J10" s="19"/>
      <c r="K10" s="19"/>
    </row>
    <row r="11" spans="1:14" s="20" customFormat="1" ht="20.100000000000001" customHeight="1" x14ac:dyDescent="0.15">
      <c r="A11" s="15" t="s">
        <v>84</v>
      </c>
      <c r="B11" s="15" t="s">
        <v>155</v>
      </c>
      <c r="C11" s="15" t="s">
        <v>156</v>
      </c>
      <c r="D11" s="16"/>
      <c r="E11" s="15" t="s">
        <v>114</v>
      </c>
      <c r="F11" s="15"/>
      <c r="G11" s="15"/>
      <c r="H11" s="15"/>
      <c r="I11" s="19"/>
      <c r="J11" s="19"/>
      <c r="K11" s="19"/>
    </row>
    <row r="12" spans="1:14" ht="20.100000000000001" customHeight="1" x14ac:dyDescent="0.15">
      <c r="A12" s="15" t="s">
        <v>164</v>
      </c>
      <c r="B12" s="13">
        <f>TRUNC(1.8+99*((1.96-1.8)/80),3)</f>
        <v>1.998</v>
      </c>
      <c r="C12" s="13">
        <f>TRUNC(B12-(9.9-Agent!$L$3)*E12*10,3)</f>
        <v>1.9319999999999999</v>
      </c>
      <c r="D12" s="20">
        <f>IF(ISNUMBER(FIND(N$3,$A12,1)),$C12*F$2,0)</f>
        <v>3.8639999999999999</v>
      </c>
      <c r="E12" s="20">
        <f>TRUNC((1.96-1.8)/80,3)</f>
        <v>2E-3</v>
      </c>
      <c r="H12" s="15"/>
      <c r="I12" s="14">
        <f>C12*2</f>
        <v>3.8639999999999999</v>
      </c>
    </row>
    <row r="13" spans="1:14" ht="20.100000000000001" customHeight="1" x14ac:dyDescent="0.15">
      <c r="A13" s="15" t="s">
        <v>163</v>
      </c>
      <c r="B13" s="20">
        <f>TRUNC(1.8+99*((1.96-1.8)/80),3)</f>
        <v>1.998</v>
      </c>
      <c r="C13" s="20">
        <f>TRUNC(B13-(9.9-Agent!$L$3)*E13*10,3)</f>
        <v>1.9319999999999999</v>
      </c>
      <c r="D13" s="20">
        <f>IF(ISNUMBER(FIND(N$3,$A13,1)),$C13*F$2,0)</f>
        <v>0</v>
      </c>
      <c r="E13" s="20">
        <f>TRUNC((1.96-1.8)/80,3)</f>
        <v>2E-3</v>
      </c>
    </row>
    <row r="14" spans="1:14" ht="20.100000000000001" customHeight="1" x14ac:dyDescent="0.15">
      <c r="A14" s="15" t="s">
        <v>162</v>
      </c>
      <c r="B14" s="20">
        <f>TRUNC(1.8+99*((1.96-1.8)/80),3)</f>
        <v>1.998</v>
      </c>
      <c r="C14" s="20">
        <f>TRUNC(B14-(9.9-Agent!$L$3)*E14*10,3)</f>
        <v>1.9319999999999999</v>
      </c>
      <c r="D14" s="20">
        <f>IF(ISNUMBER(FIND(N$2,$A14,1)),$C14*F$2,0)</f>
        <v>3.8639999999999999</v>
      </c>
      <c r="E14" s="20">
        <f>TRUNC((1.96-1.8)/80,3)</f>
        <v>2E-3</v>
      </c>
      <c r="H14" s="15"/>
    </row>
    <row r="15" spans="1:14" ht="20.100000000000001" customHeight="1" x14ac:dyDescent="0.15">
      <c r="A15" s="15" t="s">
        <v>161</v>
      </c>
      <c r="B15" s="20">
        <f>TRUNC(1.8+99*((1.96-1.8)/80),3)</f>
        <v>1.998</v>
      </c>
      <c r="C15" s="20">
        <f>TRUNC(B15-(9.9-Agent!$L$3)*E15*10,3)</f>
        <v>1.9319999999999999</v>
      </c>
      <c r="D15" s="20">
        <f>IF(ISNUMBER(FIND(N$2,$A15,1)),$C15*F$2,0)</f>
        <v>0</v>
      </c>
      <c r="E15" s="20">
        <f>TRUNC((1.96-1.8)/80,3)</f>
        <v>2E-3</v>
      </c>
      <c r="F15" s="20"/>
    </row>
    <row r="16" spans="1:14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187.05600000000001</v>
      </c>
      <c r="D16" s="13">
        <f>IF(ISNUMBER(FIND(N$4,$A16,1)),$C16*F$2,0)</f>
        <v>0</v>
      </c>
      <c r="E16" s="20">
        <f>TRUNC(0.216,3)</f>
        <v>0.216</v>
      </c>
      <c r="F16" s="20">
        <f t="shared" ref="F16:F31" si="2">IF(ISNUMBER(FIND(N$4,$A16,1)),$E16,0)</f>
        <v>0</v>
      </c>
    </row>
    <row r="17" spans="1:10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62.351999999999997</v>
      </c>
      <c r="D17" s="20">
        <f>IF(ISNUMBER(FIND(N$4,$A17,1)),$C17*F$2,0)</f>
        <v>0</v>
      </c>
      <c r="E17" s="20">
        <f>TRUNC(0.072,3)</f>
        <v>7.1999999999999995E-2</v>
      </c>
      <c r="F17" s="20">
        <f t="shared" si="2"/>
        <v>0</v>
      </c>
      <c r="I17" s="16">
        <f>42*(E19+E15*2)*2</f>
        <v>2.1</v>
      </c>
    </row>
    <row r="18" spans="1:10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31.175999999999998</v>
      </c>
      <c r="D18" s="20">
        <f t="shared" ref="D18:D31" si="3">IF(ISNUMBER(FIND(N$4,$A18,1)),$C18*F$2,0)</f>
        <v>0</v>
      </c>
      <c r="E18" s="15">
        <f>TRUNC(0.036,3)</f>
        <v>3.5999999999999997E-2</v>
      </c>
      <c r="F18" s="20">
        <f t="shared" si="2"/>
        <v>0</v>
      </c>
    </row>
    <row r="19" spans="1:10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18.715</v>
      </c>
      <c r="D19" s="20">
        <f t="shared" si="3"/>
        <v>0</v>
      </c>
      <c r="E19" s="20">
        <f>TRUNC(0.0215,3)</f>
        <v>2.1000000000000001E-2</v>
      </c>
      <c r="F19" s="20">
        <f t="shared" si="2"/>
        <v>0</v>
      </c>
    </row>
    <row r="20" spans="1:10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12.468</v>
      </c>
      <c r="D20" s="20">
        <f t="shared" si="3"/>
        <v>0</v>
      </c>
      <c r="E20" s="20">
        <f>TRUNC(0.01425,3)</f>
        <v>1.4E-2</v>
      </c>
      <c r="F20" s="20">
        <f t="shared" si="2"/>
        <v>0</v>
      </c>
    </row>
    <row r="21" spans="1:10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8.9039999999999999</v>
      </c>
      <c r="D21" s="20">
        <f t="shared" si="3"/>
        <v>0</v>
      </c>
      <c r="E21" s="20">
        <f>TRUNC(0.01025,3)</f>
        <v>0.01</v>
      </c>
      <c r="F21" s="20">
        <f t="shared" si="2"/>
        <v>0</v>
      </c>
      <c r="I21" s="14">
        <f>C21*2</f>
        <v>17.808</v>
      </c>
      <c r="J21" s="19">
        <f>2*TRUNC(I21-(9.9-Agent!$L$3)*E21*10,3)</f>
        <v>34.956000000000003</v>
      </c>
    </row>
    <row r="22" spans="1:10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7.4870000000000001</v>
      </c>
      <c r="D22" s="20">
        <f t="shared" si="3"/>
        <v>0</v>
      </c>
      <c r="E22" s="20">
        <f>TRUNC(0.0085,3)</f>
        <v>8.0000000000000002E-3</v>
      </c>
      <c r="F22" s="20">
        <f t="shared" si="2"/>
        <v>0</v>
      </c>
    </row>
    <row r="23" spans="1:10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6.9279999999999999</v>
      </c>
      <c r="D23" s="20">
        <f t="shared" si="3"/>
        <v>0</v>
      </c>
      <c r="E23" s="20">
        <f>TRUNC(0.008,3)</f>
        <v>8.0000000000000002E-3</v>
      </c>
      <c r="F23" s="20">
        <f t="shared" si="2"/>
        <v>0</v>
      </c>
    </row>
    <row r="24" spans="1:10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6.9279999999999999</v>
      </c>
      <c r="D24" s="20">
        <f t="shared" si="3"/>
        <v>0</v>
      </c>
      <c r="E24" s="20">
        <f>E23</f>
        <v>8.0000000000000002E-3</v>
      </c>
      <c r="F24" s="20">
        <f t="shared" si="2"/>
        <v>0</v>
      </c>
    </row>
    <row r="25" spans="1:10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7.4870000000000001</v>
      </c>
      <c r="D25" s="20">
        <f t="shared" si="3"/>
        <v>0</v>
      </c>
      <c r="E25" s="20">
        <f>E22</f>
        <v>8.0000000000000002E-3</v>
      </c>
      <c r="F25" s="20">
        <f t="shared" si="2"/>
        <v>0</v>
      </c>
    </row>
    <row r="26" spans="1:10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8.9039999999999999</v>
      </c>
      <c r="D26" s="20">
        <f t="shared" si="3"/>
        <v>0</v>
      </c>
      <c r="E26" s="20">
        <f>E21</f>
        <v>0.01</v>
      </c>
      <c r="F26" s="20">
        <f t="shared" si="2"/>
        <v>0</v>
      </c>
    </row>
    <row r="27" spans="1:10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12.468</v>
      </c>
      <c r="D27" s="20">
        <f t="shared" si="3"/>
        <v>0</v>
      </c>
      <c r="E27" s="20">
        <f>E20</f>
        <v>1.4E-2</v>
      </c>
      <c r="F27" s="20">
        <f t="shared" si="2"/>
        <v>0</v>
      </c>
    </row>
    <row r="28" spans="1:10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18.715</v>
      </c>
      <c r="D28" s="20">
        <f t="shared" si="3"/>
        <v>0</v>
      </c>
      <c r="E28" s="20">
        <f>E19</f>
        <v>2.1000000000000001E-2</v>
      </c>
      <c r="F28" s="20">
        <f t="shared" si="2"/>
        <v>0</v>
      </c>
    </row>
    <row r="29" spans="1:10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31.175999999999998</v>
      </c>
      <c r="D29" s="20">
        <f t="shared" si="3"/>
        <v>0</v>
      </c>
      <c r="E29" s="20">
        <f>E18</f>
        <v>3.5999999999999997E-2</v>
      </c>
      <c r="F29" s="20">
        <f t="shared" si="2"/>
        <v>0</v>
      </c>
    </row>
    <row r="30" spans="1:10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62.351999999999997</v>
      </c>
      <c r="D30" s="20">
        <f t="shared" si="3"/>
        <v>124.70399999999999</v>
      </c>
      <c r="E30" s="20">
        <f>E17</f>
        <v>7.1999999999999995E-2</v>
      </c>
      <c r="F30" s="20">
        <f t="shared" si="2"/>
        <v>7.1999999999999995E-2</v>
      </c>
    </row>
    <row r="31" spans="1:10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187.05600000000001</v>
      </c>
      <c r="D31" s="20">
        <f t="shared" si="3"/>
        <v>0</v>
      </c>
      <c r="E31" s="20">
        <f>E16</f>
        <v>0.216</v>
      </c>
      <c r="F31" s="20">
        <f t="shared" si="2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D17" sqref="D17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>
        <v>234</v>
      </c>
      <c r="H2" s="9">
        <v>22.678000000000001</v>
      </c>
      <c r="I2" s="9">
        <v>999982.67799999996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>
        <v>234</v>
      </c>
      <c r="H3" s="9">
        <v>0</v>
      </c>
      <c r="I3" s="9">
        <v>999980.67799999996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>
        <v>234</v>
      </c>
      <c r="H4" s="9">
        <v>0</v>
      </c>
      <c r="I4" s="9">
        <v>999968.67799999996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>
        <v>234</v>
      </c>
      <c r="H5" s="9">
        <v>93.42</v>
      </c>
      <c r="I5" s="9">
        <v>1000022.098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>
        <v>234</v>
      </c>
      <c r="H6" s="9">
        <v>46.835999999999999</v>
      </c>
      <c r="I6" s="9">
        <v>1000066.934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>
        <v>234</v>
      </c>
      <c r="H7" s="9">
        <v>0</v>
      </c>
      <c r="I7" s="10">
        <v>1000054.934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>
        <v>234</v>
      </c>
      <c r="H8" s="11">
        <v>0</v>
      </c>
      <c r="I8" s="10">
        <v>1000036.934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>
        <v>234</v>
      </c>
      <c r="H9" s="11">
        <v>112.08600000000001</v>
      </c>
      <c r="I9" s="10">
        <v>1000137.02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J3" sqref="J3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71</v>
      </c>
      <c r="B1" s="23" t="s">
        <v>72</v>
      </c>
      <c r="C1" s="23" t="s">
        <v>73</v>
      </c>
      <c r="D1" s="28" t="s">
        <v>74</v>
      </c>
      <c r="E1" s="28"/>
      <c r="F1" s="28" t="s">
        <v>75</v>
      </c>
      <c r="G1" s="28"/>
      <c r="H1" s="28" t="s">
        <v>76</v>
      </c>
      <c r="I1" s="28"/>
      <c r="J1" s="22" t="s">
        <v>77</v>
      </c>
      <c r="K1" s="22"/>
      <c r="Q1" s="22" t="s">
        <v>71</v>
      </c>
      <c r="R1" s="23" t="s">
        <v>117</v>
      </c>
      <c r="S1" s="23" t="s">
        <v>118</v>
      </c>
      <c r="T1" s="28" t="s">
        <v>119</v>
      </c>
      <c r="U1" s="28"/>
      <c r="V1" s="28" t="s">
        <v>120</v>
      </c>
      <c r="W1" s="28"/>
      <c r="X1" s="28" t="s">
        <v>121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150</v>
      </c>
      <c r="L2" s="22" t="s">
        <v>123</v>
      </c>
      <c r="P2" s="24">
        <v>15196685175</v>
      </c>
      <c r="Q2" s="24">
        <v>82</v>
      </c>
      <c r="R2" s="24" t="s">
        <v>165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6.6</v>
      </c>
      <c r="P3" s="24" t="s">
        <v>166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167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78</v>
      </c>
      <c r="M5" s="22" t="s">
        <v>176</v>
      </c>
      <c r="N5" s="22" t="s">
        <v>124</v>
      </c>
      <c r="O5" s="22" t="s">
        <v>187</v>
      </c>
      <c r="P5" s="24" t="s">
        <v>168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1214993</v>
      </c>
      <c r="M6" s="26">
        <f>IF(ISNUMBER(INT(L6)),IF(OR(AND(J2&lt;=151,J2&gt;82),AND(J2&lt;375,J2&gt;361)),INDEX(Q$2:Y$48,MATCH(L6,V:V,0)-1,1),IF(OR(J2=82,J2=361),"没有上级",INDEX(Q$2:Y$48,MATCH(L6,X:X,0)-1,1))),"没有上级")</f>
        <v>149</v>
      </c>
      <c r="N6" s="24">
        <f>IF(ISNUMBER(INDEX(Q$2:Y$48,MATCH(M6,$Q:$Q)-1,3)),INDEX(Q$2:Y$48,MATCH(M6,$Q:$Q)-1,3),"没有上级")</f>
        <v>7.1999999999999993</v>
      </c>
      <c r="O6" s="24">
        <f>IF(ISNUMBER(N6-L3),ROUND((N6-L3)*10,0),"没有上级")</f>
        <v>6</v>
      </c>
      <c r="P6" s="24" t="s">
        <v>169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170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79</v>
      </c>
      <c r="M8" s="22" t="s">
        <v>177</v>
      </c>
      <c r="N8" s="22" t="s">
        <v>125</v>
      </c>
      <c r="O8" s="24" t="s">
        <v>188</v>
      </c>
      <c r="P8" s="24" t="s">
        <v>171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1212942</v>
      </c>
      <c r="M9" s="26">
        <f>IF(ISNUMBER(INT(L9)),IF(OR(AND(M6&lt;=151,M6&gt;82),AND(M6&lt;375,M6&gt;361)),INDEX(Q$2:Y$48,MATCH(L9,V:V,0)-1,1),IF(OR(M6=82,M6=361),"没有上级",INDEX(Q$2:Y$48,MATCH(L9,X:X,0)-1,1))),"没有上级")</f>
        <v>148</v>
      </c>
      <c r="N9" s="24">
        <f>IF(ISNUMBER(INDEX(Q$2:Y$48,MATCH(M9,$Q:$Q)-1,3)),INDEX(Q$2:Y$48,MATCH(M9,$Q:$Q)-1,3),"没有上级")</f>
        <v>7.3999999999999995</v>
      </c>
      <c r="O9" s="24">
        <f>IF(ISNUMBER(N9-N6),ROUND((N9-N6)*10,0),"没有上级")</f>
        <v>2</v>
      </c>
      <c r="P9" s="24" t="s">
        <v>172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173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126</v>
      </c>
      <c r="M11" s="22" t="s">
        <v>178</v>
      </c>
      <c r="N11" s="22" t="s">
        <v>127</v>
      </c>
      <c r="O11" s="24" t="s">
        <v>189</v>
      </c>
      <c r="P11" s="24" t="s">
        <v>174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1210988</v>
      </c>
      <c r="M12" s="26">
        <f>IF(ISNUMBER(INT(L12)),IF(OR(AND(M9&lt;=151,M9&gt;82),AND(M9&lt;375,M9&gt;361)),INDEX(Q$2:Y$48,MATCH(L12,V:V,0)-1,1),IF(OR(M9=82,M9=361),"没有上级",INDEX(Q$2:Y$48,MATCH(L12,X:X,0)-1,1))),"没有上级")</f>
        <v>147</v>
      </c>
      <c r="N12" s="24">
        <f>IF(ISNUMBER(INDEX(Q$2:Y$48,MATCH(M12,$Q:$Q)-1,3)),INDEX(Q$2:Y$48,MATCH(M12,$Q:$Q)-1,3),"没有上级")</f>
        <v>7.8</v>
      </c>
      <c r="O12" s="24">
        <f>IF(ISNUMBER(N12-N9),ROUND((N12-N9)*10,0),"没有上级")</f>
        <v>4</v>
      </c>
      <c r="P12" s="24" t="s">
        <v>175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128</v>
      </c>
      <c r="M14" s="22" t="s">
        <v>80</v>
      </c>
      <c r="N14" s="22" t="s">
        <v>129</v>
      </c>
      <c r="O14" s="24" t="s">
        <v>190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1206981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146</v>
      </c>
      <c r="N15" s="24">
        <f>IF(ISNUMBER(INDEX(Q$2:Y$48,MATCH(M15,$Q:$Q)-1,3)),INDEX(Q$2:Y$48,MATCH(M15,$Q:$Q)-1,3),"没有上级")</f>
        <v>8.1</v>
      </c>
      <c r="O15" s="24">
        <f>IF(ISNUMBER(N15-N12),ROUND((N15-N12)*10,0),"没有上级")</f>
        <v>3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130</v>
      </c>
      <c r="M17" s="22" t="s">
        <v>179</v>
      </c>
      <c r="N17" s="22" t="s">
        <v>81</v>
      </c>
      <c r="O17" s="24" t="s">
        <v>191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1204995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145</v>
      </c>
      <c r="N18" s="24">
        <f>IF(ISNUMBER(INDEX(Q$2:Y$48,MATCH(M18,$Q:$Q)-1,3)),INDEX(Q$2:Y$48,MATCH(M18,$Q:$Q)-1,3),"没有上级")</f>
        <v>8.1999999999999993</v>
      </c>
      <c r="O18" s="24">
        <f>IF(ISNUMBER(N18-N15),ROUND((N18-N15)*10,0),"没有上级")</f>
        <v>1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131</v>
      </c>
      <c r="M20" s="22" t="s">
        <v>180</v>
      </c>
      <c r="N20" s="22" t="s">
        <v>132</v>
      </c>
      <c r="O20" s="24" t="s">
        <v>192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1202928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144</v>
      </c>
      <c r="N21" s="24">
        <f>IF(ISNUMBER(INDEX(Q$2:Y$48,MATCH(M21,$Q:$Q)-1,3)),INDEX(Q$2:Y$48,MATCH(M21,$Q:$Q)-1,3),"没有上级")</f>
        <v>8.8999999999999986</v>
      </c>
      <c r="O21" s="24">
        <f>IF(ISNUMBER(N21-N18),ROUND((N21-N18)*10,0),"没有上级")</f>
        <v>7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133</v>
      </c>
      <c r="M23" s="22" t="s">
        <v>181</v>
      </c>
      <c r="N23" s="22" t="s">
        <v>82</v>
      </c>
      <c r="O23" s="24" t="s">
        <v>193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1200960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143</v>
      </c>
      <c r="N24" s="24">
        <f>IF(ISNUMBER(INDEX(Q$2:Y$48,MATCH(M24,$Q:$Q)-1,3)),INDEX(Q$2:Y$48,MATCH(M24,$Q:$Q)-1,3),"没有上级")</f>
        <v>9.1999999999999993</v>
      </c>
      <c r="O24" s="24">
        <f>IF(ISNUMBER(N24-N21),ROUND((N24-N21)*10,0),"没有上级")</f>
        <v>3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134</v>
      </c>
      <c r="M26" s="22" t="s">
        <v>182</v>
      </c>
      <c r="N26" s="22" t="s">
        <v>135</v>
      </c>
      <c r="O26" s="24" t="s">
        <v>194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1176952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140</v>
      </c>
      <c r="N27" s="24">
        <f>IF(ISNUMBER(INDEX(Q$2:Y$48,MATCH(M27,$Q:$Q)-1,3)),INDEX(Q$2:Y$48,MATCH(M27,$Q:$Q)-1,3),"没有上级")</f>
        <v>9.6</v>
      </c>
      <c r="O27" s="24">
        <f>IF(ISNUMBER(N27-N24),ROUND((N27-N24)*10,0),"没有上级")</f>
        <v>4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122</v>
      </c>
      <c r="Q28" s="24" t="s">
        <v>122</v>
      </c>
      <c r="R28" s="24" t="s">
        <v>122</v>
      </c>
      <c r="S28" s="24" t="s">
        <v>122</v>
      </c>
      <c r="T28" s="24" t="s">
        <v>122</v>
      </c>
      <c r="U28" s="24" t="s">
        <v>122</v>
      </c>
      <c r="V28" s="24" t="s">
        <v>122</v>
      </c>
      <c r="W28" s="24" t="s">
        <v>122</v>
      </c>
      <c r="X28" s="24" t="s">
        <v>122</v>
      </c>
      <c r="Y28" s="24" t="s">
        <v>122</v>
      </c>
      <c r="Z28" s="24" t="s">
        <v>122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136</v>
      </c>
      <c r="M29" s="22" t="s">
        <v>137</v>
      </c>
      <c r="N29" s="22" t="s">
        <v>138</v>
      </c>
      <c r="O29" s="24" t="s">
        <v>195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1170912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82</v>
      </c>
      <c r="N30" s="24">
        <f>IF(ISNUMBER(INDEX(Q$2:Y$48,MATCH(M30,$Q:$Q)-1,3)),INDEX(Q$2:Y$48,MATCH(M30,$Q:$Q)-1,3),"没有上级")</f>
        <v>9.9</v>
      </c>
      <c r="O30" s="24">
        <f>IF(ISNUMBER(N30-N27),ROUND((N30-N27)*10,0),"没有上级")</f>
        <v>3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139</v>
      </c>
      <c r="M32" s="22" t="s">
        <v>183</v>
      </c>
      <c r="N32" s="22" t="s">
        <v>140</v>
      </c>
      <c r="O32" s="24" t="s">
        <v>196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 t="str">
        <f>IF(ISNUMBER(INDEX(Q$2:Y$48,MATCH(M30,Q:Q)-1,2)),INDEX(Q$2:Y$48,MATCH(M30,Q:Q)-1,2),"没有上级")</f>
        <v>没有上级</v>
      </c>
      <c r="M33" s="26" t="str">
        <f>IF(ISNUMBER(INT(L33)),IF(OR(AND(M30&lt;=151,M30&gt;82),AND(M30&lt;375,M30&gt;361)),INDEX(Q$2:Y$48,MATCH(L33,V:V,0)-1,1),IF(OR(M30=82,M30=361),"没有上级",INDEX(Q$2:Y$48,MATCH(L33,X:X,0)-1,1))),"没有上级")</f>
        <v>没有上级</v>
      </c>
      <c r="N33" s="24" t="str">
        <f>IF(ISNUMBER(INDEX(Q$2:Y$48,MATCH(M33,$Q:$Q)-1,3)),INDEX(Q$2:Y$48,MATCH(M33,$Q:$Q)-1,3),"没有上级")</f>
        <v>没有上级</v>
      </c>
      <c r="O33" s="24" t="str">
        <f>IF(ISNUMBER(N33-N30),ROUND((N33-N30)*10,0),"没有上级")</f>
        <v>没有上级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141</v>
      </c>
      <c r="M35" s="22" t="s">
        <v>142</v>
      </c>
      <c r="N35" s="22" t="s">
        <v>143</v>
      </c>
      <c r="O35" s="24" t="s">
        <v>197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144</v>
      </c>
      <c r="M38" s="22" t="s">
        <v>184</v>
      </c>
      <c r="N38" s="22" t="s">
        <v>145</v>
      </c>
      <c r="O38" s="24" t="s">
        <v>146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147</v>
      </c>
      <c r="M41" s="22" t="s">
        <v>185</v>
      </c>
      <c r="N41" s="22" t="s">
        <v>148</v>
      </c>
      <c r="O41" s="24" t="s">
        <v>149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150</v>
      </c>
      <c r="M44" s="22" t="s">
        <v>151</v>
      </c>
      <c r="N44" s="22" t="s">
        <v>152</v>
      </c>
      <c r="O44" s="24" t="s">
        <v>198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153</v>
      </c>
      <c r="M47" s="22" t="s">
        <v>186</v>
      </c>
      <c r="N47" s="22" t="s">
        <v>154</v>
      </c>
      <c r="O47" s="24" t="s">
        <v>199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2018-06-27T09:59:42Z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