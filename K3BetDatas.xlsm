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2"/>
  </bookViews>
  <sheets>
    <sheet name="K3" sheetId="1" r:id="rId1"/>
    <sheet name="orderBetDatas" sheetId="7" r:id="rId2"/>
    <sheet name="K3Source" sheetId="2" r:id="rId3"/>
    <sheet name="数据对比计算" sheetId="6" r:id="rId4"/>
    <sheet name="ExportXML" sheetId="4" r:id="rId5"/>
    <sheet name="Agent" sheetId="5" r:id="rId6"/>
  </sheets>
  <definedNames>
    <definedName name="_xlnm._FilterDatabase" localSheetId="5" hidden="1">Agent!$E$1:$F$30</definedName>
    <definedName name="_xlnm._FilterDatabase" localSheetId="0" hidden="1">'K3'!$A$1:$M$26</definedName>
    <definedName name="_xlnm._FilterDatabase" localSheetId="2" hidden="1">K3Source!$A$1:$P$37</definedName>
  </definedNames>
  <calcPr calcId="162913"/>
</workbook>
</file>

<file path=xl/calcChain.xml><?xml version="1.0" encoding="utf-8"?>
<calcChain xmlns="http://schemas.openxmlformats.org/spreadsheetml/2006/main">
  <c r="Q7" i="2" l="1"/>
  <c r="P6" i="2"/>
  <c r="Q6" i="2" s="1"/>
  <c r="P7" i="2" s="1"/>
  <c r="G2" i="1"/>
  <c r="P8" i="2" l="1"/>
  <c r="J6" i="2" s="1"/>
  <c r="I6" i="2" l="1"/>
  <c r="D15" i="6" l="1"/>
  <c r="D16" i="6"/>
  <c r="D17" i="6"/>
  <c r="D18" i="6"/>
  <c r="D19" i="6"/>
  <c r="H4" i="5"/>
  <c r="H3" i="5"/>
  <c r="B6" i="5" s="1"/>
  <c r="C6" i="5" s="1"/>
  <c r="K2" i="5"/>
  <c r="O2" i="5" s="1"/>
  <c r="D5" i="6"/>
  <c r="D6" i="6"/>
  <c r="D7" i="6"/>
  <c r="D8" i="6"/>
  <c r="D9" i="6"/>
  <c r="D10" i="6"/>
  <c r="D11" i="6"/>
  <c r="D12" i="6"/>
  <c r="D13" i="6"/>
  <c r="D14" i="6"/>
  <c r="D4" i="6"/>
  <c r="A2" i="6"/>
  <c r="A3" i="6"/>
  <c r="A4" i="6"/>
  <c r="A5" i="6"/>
  <c r="A6" i="6"/>
  <c r="A7" i="6"/>
  <c r="A8" i="6"/>
  <c r="A9" i="6"/>
  <c r="A10" i="6"/>
  <c r="A11" i="6"/>
  <c r="B1" i="6"/>
  <c r="C1" i="6"/>
  <c r="A1" i="6"/>
  <c r="F21" i="1"/>
  <c r="F22" i="1"/>
  <c r="F23" i="1"/>
  <c r="F24" i="1"/>
  <c r="F25" i="1"/>
  <c r="F26" i="1"/>
  <c r="F27" i="1"/>
  <c r="F28" i="1"/>
  <c r="F29" i="1"/>
  <c r="F30" i="1"/>
  <c r="F14" i="1"/>
  <c r="F15" i="1"/>
  <c r="F16" i="1"/>
  <c r="F17" i="1"/>
  <c r="F13" i="1" s="1"/>
  <c r="F18" i="1"/>
  <c r="F19" i="1"/>
  <c r="F20" i="1"/>
  <c r="B9" i="5" l="1"/>
  <c r="C9" i="5" s="1"/>
  <c r="D6" i="5"/>
  <c r="M2" i="5"/>
  <c r="I3" i="5" s="1"/>
  <c r="G3" i="1" l="1"/>
  <c r="G11" i="1"/>
  <c r="K3" i="5"/>
  <c r="B3" i="5"/>
  <c r="M3" i="2" s="1"/>
  <c r="B12" i="5"/>
  <c r="C12" i="5" s="1"/>
  <c r="D9" i="5"/>
  <c r="E9" i="5" s="1"/>
  <c r="G7" i="1" l="1"/>
  <c r="G4" i="1"/>
  <c r="G5" i="1"/>
  <c r="G6" i="1"/>
  <c r="G9" i="1"/>
  <c r="G10" i="1"/>
  <c r="G8" i="1"/>
  <c r="D12" i="5"/>
  <c r="E12" i="5" s="1"/>
  <c r="B15" i="5"/>
  <c r="C15" i="5" s="1"/>
  <c r="E6" i="5"/>
  <c r="M3" i="5"/>
  <c r="I4" i="5" s="1"/>
  <c r="K4" i="5" s="1"/>
  <c r="O3" i="5"/>
  <c r="B18" i="5" l="1"/>
  <c r="C18" i="5" s="1"/>
  <c r="D15" i="5"/>
  <c r="E15" i="5" s="1"/>
  <c r="D18" i="5" l="1"/>
  <c r="E18" i="5" s="1"/>
  <c r="B21" i="5"/>
  <c r="C21" i="5" s="1"/>
  <c r="B24" i="5" l="1"/>
  <c r="C24" i="5" s="1"/>
  <c r="D21" i="5"/>
  <c r="E21" i="5" s="1"/>
  <c r="D24" i="5" l="1"/>
  <c r="E24" i="5" s="1"/>
  <c r="B27" i="5"/>
  <c r="C27" i="5" s="1"/>
  <c r="B30" i="5" l="1"/>
  <c r="C30" i="5" s="1"/>
  <c r="D27" i="5"/>
  <c r="E27" i="5" s="1"/>
  <c r="D30" i="5" l="1"/>
  <c r="E30" i="5" s="1"/>
  <c r="B33" i="5"/>
  <c r="C33" i="5" s="1"/>
  <c r="B36" i="5" l="1"/>
  <c r="C36" i="5" s="1"/>
  <c r="D33" i="5"/>
  <c r="E33" i="5" s="1"/>
  <c r="D36" i="5" l="1"/>
  <c r="E36" i="5" s="1"/>
  <c r="B39" i="5"/>
  <c r="C39" i="5" s="1"/>
  <c r="B42" i="5" l="1"/>
  <c r="C42" i="5" s="1"/>
  <c r="D39" i="5"/>
  <c r="E39" i="5" s="1"/>
  <c r="D42" i="5" l="1"/>
  <c r="E42" i="5" s="1"/>
  <c r="B45" i="5"/>
  <c r="C45" i="5" s="1"/>
  <c r="B48" i="5" l="1"/>
  <c r="C48" i="5" s="1"/>
  <c r="D48" i="5" s="1"/>
  <c r="E48" i="5" s="1"/>
  <c r="D45" i="5"/>
  <c r="E45" i="5" s="1"/>
  <c r="J2" i="1" l="1"/>
  <c r="B3" i="7"/>
  <c r="D3" i="7"/>
  <c r="B4" i="7"/>
  <c r="D4" i="7"/>
  <c r="B5" i="7"/>
  <c r="D5" i="7"/>
  <c r="B6" i="7"/>
  <c r="D6" i="7"/>
  <c r="B7" i="7"/>
  <c r="D7" i="7"/>
  <c r="B8" i="7"/>
  <c r="D8" i="7"/>
  <c r="B9" i="7"/>
  <c r="D9" i="7"/>
  <c r="B10" i="7"/>
  <c r="D10" i="7"/>
  <c r="B11" i="7"/>
  <c r="D11" i="7"/>
  <c r="D2" i="7"/>
  <c r="B2" i="7"/>
  <c r="P4" i="2" l="1"/>
  <c r="D22" i="2" s="1"/>
  <c r="E3" i="1"/>
  <c r="E4" i="1"/>
  <c r="E4" i="7" s="1"/>
  <c r="E5" i="1"/>
  <c r="E5" i="7" s="1"/>
  <c r="E6" i="1"/>
  <c r="E7" i="1"/>
  <c r="E7" i="7" s="1"/>
  <c r="E8" i="1"/>
  <c r="E9" i="1"/>
  <c r="E9" i="7" s="1"/>
  <c r="E10" i="1"/>
  <c r="E10" i="7" s="1"/>
  <c r="E11" i="1"/>
  <c r="E11" i="7" s="1"/>
  <c r="E2" i="1"/>
  <c r="K11" i="2"/>
  <c r="C11" i="1" s="1"/>
  <c r="C11" i="7" s="1"/>
  <c r="L8" i="2"/>
  <c r="L11" i="2" s="1"/>
  <c r="K11" i="1" s="1"/>
  <c r="L9" i="2"/>
  <c r="K10" i="2"/>
  <c r="C10" i="1" s="1"/>
  <c r="C10" i="7" s="1"/>
  <c r="M10" i="2"/>
  <c r="N10" i="2"/>
  <c r="L10" i="2"/>
  <c r="K2" i="2"/>
  <c r="C2" i="1" s="1"/>
  <c r="C2" i="7" s="1"/>
  <c r="F8" i="1" l="1"/>
  <c r="B8" i="6" s="1"/>
  <c r="E8" i="7"/>
  <c r="F6" i="1"/>
  <c r="B6" i="6" s="1"/>
  <c r="E6" i="7"/>
  <c r="F2" i="1"/>
  <c r="B2" i="6" s="1"/>
  <c r="E2" i="7"/>
  <c r="F3" i="1"/>
  <c r="B3" i="6" s="1"/>
  <c r="E3" i="7"/>
  <c r="F10" i="1"/>
  <c r="B10" i="6" s="1"/>
  <c r="F11" i="1"/>
  <c r="B11" i="6" s="1"/>
  <c r="D31" i="2"/>
  <c r="D27" i="2"/>
  <c r="D26" i="2"/>
  <c r="D29" i="2"/>
  <c r="D25" i="2"/>
  <c r="D28" i="2"/>
  <c r="D24" i="2"/>
  <c r="D34" i="2"/>
  <c r="D21" i="2"/>
  <c r="D23" i="2"/>
  <c r="D33" i="2"/>
  <c r="J10" i="1"/>
  <c r="J11" i="1"/>
  <c r="P2" i="2"/>
  <c r="P3" i="2"/>
  <c r="J8" i="2"/>
  <c r="I10" i="2" l="1"/>
  <c r="L10" i="1" s="1"/>
  <c r="I2" i="2"/>
  <c r="B26" i="2" l="1"/>
  <c r="E26" i="2"/>
  <c r="AC10" i="1" l="1"/>
  <c r="AC9" i="1"/>
  <c r="AC8" i="1"/>
  <c r="AC7" i="1"/>
  <c r="AC6" i="1"/>
  <c r="AC5" i="1"/>
  <c r="AC4" i="1"/>
  <c r="AC3" i="1"/>
  <c r="AC2" i="1"/>
  <c r="K9" i="1" l="1"/>
  <c r="N9" i="2"/>
  <c r="K8" i="1"/>
  <c r="N8" i="2"/>
  <c r="L7" i="2"/>
  <c r="K7" i="1" s="1"/>
  <c r="N7" i="2"/>
  <c r="X7" i="1" s="1"/>
  <c r="L6" i="2"/>
  <c r="K6" i="1" s="1"/>
  <c r="N6" i="2"/>
  <c r="L5" i="2"/>
  <c r="K5" i="1" s="1"/>
  <c r="L4" i="2"/>
  <c r="K4" i="1" s="1"/>
  <c r="N4" i="2"/>
  <c r="X4" i="1" s="1"/>
  <c r="L3" i="2"/>
  <c r="K3" i="1" s="1"/>
  <c r="N3" i="2"/>
  <c r="X3" i="1" s="1"/>
  <c r="N5" i="2"/>
  <c r="X5" i="1" s="1"/>
  <c r="B16" i="2"/>
  <c r="E17" i="2"/>
  <c r="E18" i="2"/>
  <c r="E19" i="2"/>
  <c r="E16" i="2"/>
  <c r="B27" i="2"/>
  <c r="B28" i="2" s="1"/>
  <c r="E27" i="2"/>
  <c r="E25" i="2"/>
  <c r="E24" i="2"/>
  <c r="E23" i="2"/>
  <c r="E22" i="2"/>
  <c r="E21" i="2"/>
  <c r="E20" i="2"/>
  <c r="B29" i="2"/>
  <c r="B25" i="2"/>
  <c r="B24" i="2"/>
  <c r="B23" i="2"/>
  <c r="B22" i="2"/>
  <c r="B33" i="2" s="1"/>
  <c r="B21" i="2"/>
  <c r="B34" i="2" s="1"/>
  <c r="B20" i="2"/>
  <c r="B35" i="2" s="1"/>
  <c r="B17" i="2"/>
  <c r="B18" i="2"/>
  <c r="B19" i="2"/>
  <c r="X8" i="1" l="1"/>
  <c r="N11" i="2"/>
  <c r="X11" i="1" s="1"/>
  <c r="X9" i="1"/>
  <c r="K21" i="2"/>
  <c r="B32" i="2"/>
  <c r="X6" i="1"/>
  <c r="B31" i="2"/>
  <c r="B30" i="2"/>
  <c r="C26" i="2" l="1"/>
  <c r="M6" i="2"/>
  <c r="W6" i="1" s="1"/>
  <c r="M8" i="2"/>
  <c r="M11" i="2" s="1"/>
  <c r="W11" i="1" s="1"/>
  <c r="C24" i="2"/>
  <c r="C25" i="2"/>
  <c r="K25" i="2" s="1"/>
  <c r="L25" i="2" s="1"/>
  <c r="C23" i="2"/>
  <c r="M9" i="2"/>
  <c r="J9" i="2" s="1"/>
  <c r="H9" i="1" s="1"/>
  <c r="C9" i="6" s="1"/>
  <c r="C20" i="2"/>
  <c r="D20" i="2" s="1"/>
  <c r="M4" i="2"/>
  <c r="J4" i="2" s="1"/>
  <c r="C18" i="2"/>
  <c r="D18" i="2" s="1"/>
  <c r="C22" i="2"/>
  <c r="C17" i="2"/>
  <c r="D17" i="2" s="1"/>
  <c r="C21" i="2"/>
  <c r="M5" i="2"/>
  <c r="C19" i="2"/>
  <c r="D19" i="2" s="1"/>
  <c r="M7" i="2"/>
  <c r="C27" i="2"/>
  <c r="C16" i="2"/>
  <c r="W8" i="1" l="1"/>
  <c r="W3" i="1"/>
  <c r="J3" i="2"/>
  <c r="H3" i="1" s="1"/>
  <c r="C3" i="6" s="1"/>
  <c r="K16" i="2"/>
  <c r="D16" i="2"/>
  <c r="J2" i="2" s="1"/>
  <c r="W7" i="1"/>
  <c r="J7" i="2"/>
  <c r="H7" i="1" s="1"/>
  <c r="C7" i="6" s="1"/>
  <c r="H4" i="1"/>
  <c r="C4" i="6" s="1"/>
  <c r="W4" i="1"/>
  <c r="J5" i="2"/>
  <c r="H5" i="1" s="1"/>
  <c r="C5" i="6" s="1"/>
  <c r="W5" i="1"/>
  <c r="W9" i="1"/>
  <c r="AE3" i="1" l="1"/>
  <c r="AE4" i="1"/>
  <c r="AE5" i="1"/>
  <c r="AE6" i="1"/>
  <c r="AE7" i="1"/>
  <c r="AE8" i="1"/>
  <c r="AE9" i="1"/>
  <c r="AE10" i="1"/>
  <c r="AE2" i="1"/>
  <c r="E35" i="2"/>
  <c r="C35" i="2" s="1"/>
  <c r="D35" i="2" s="1"/>
  <c r="E34" i="2"/>
  <c r="C34" i="2" s="1"/>
  <c r="E33" i="2"/>
  <c r="C33" i="2" s="1"/>
  <c r="E32" i="2"/>
  <c r="C32" i="2" s="1"/>
  <c r="D32" i="2" s="1"/>
  <c r="E31" i="2"/>
  <c r="C31" i="2" s="1"/>
  <c r="E30" i="2"/>
  <c r="C30" i="2" s="1"/>
  <c r="D30" i="2" s="1"/>
  <c r="E29" i="2"/>
  <c r="C29" i="2" s="1"/>
  <c r="E28" i="2"/>
  <c r="C28" i="2" s="1"/>
  <c r="J10" i="2" l="1"/>
  <c r="H10" i="1" s="1"/>
  <c r="C10" i="6" s="1"/>
  <c r="I5" i="2"/>
  <c r="L5" i="1" s="1"/>
  <c r="I8" i="2"/>
  <c r="L8" i="1" s="1"/>
  <c r="I7" i="2"/>
  <c r="L7" i="1" s="1"/>
  <c r="I4" i="2"/>
  <c r="L4" i="1" s="1"/>
  <c r="E3" i="2"/>
  <c r="I3" i="2" s="1"/>
  <c r="L3" i="1" s="1"/>
  <c r="K8" i="2" l="1"/>
  <c r="C8" i="1" s="1"/>
  <c r="C8" i="7" s="1"/>
  <c r="K9" i="2"/>
  <c r="C9" i="1" s="1"/>
  <c r="K5" i="2"/>
  <c r="C5" i="1" s="1"/>
  <c r="K6" i="2"/>
  <c r="C6" i="1" s="1"/>
  <c r="C6" i="7" s="1"/>
  <c r="K7" i="2"/>
  <c r="C7" i="1" s="1"/>
  <c r="K4" i="2"/>
  <c r="C4" i="1" s="1"/>
  <c r="K3" i="2"/>
  <c r="C3" i="1" s="1"/>
  <c r="C3" i="7" s="1"/>
  <c r="Y4" i="1" l="1"/>
  <c r="F4" i="1" s="1"/>
  <c r="B4" i="6" s="1"/>
  <c r="C4" i="7"/>
  <c r="Y7" i="1"/>
  <c r="F7" i="1" s="1"/>
  <c r="B7" i="6" s="1"/>
  <c r="C7" i="7"/>
  <c r="Y9" i="1"/>
  <c r="F9" i="1" s="1"/>
  <c r="B9" i="6" s="1"/>
  <c r="C9" i="7"/>
  <c r="Y5" i="1"/>
  <c r="F5" i="1" s="1"/>
  <c r="B5" i="6" s="1"/>
  <c r="C5" i="7"/>
  <c r="O8" i="1"/>
  <c r="P8" i="1"/>
  <c r="Q8" i="1"/>
  <c r="R8" i="1"/>
  <c r="S8" i="1"/>
  <c r="U8" i="1"/>
  <c r="V8" i="1"/>
  <c r="T8" i="1"/>
  <c r="M8" i="1"/>
  <c r="N8" i="1"/>
  <c r="M5" i="1"/>
  <c r="U5" i="1"/>
  <c r="N5" i="1"/>
  <c r="V5" i="1"/>
  <c r="O5" i="1"/>
  <c r="P5" i="1"/>
  <c r="Q5" i="1"/>
  <c r="S5" i="1"/>
  <c r="R5" i="1"/>
  <c r="T5" i="1"/>
  <c r="Q7" i="1"/>
  <c r="R7" i="1"/>
  <c r="S7" i="1"/>
  <c r="T7" i="1"/>
  <c r="M7" i="1"/>
  <c r="U7" i="1"/>
  <c r="O7" i="1"/>
  <c r="P7" i="1"/>
  <c r="N7" i="1"/>
  <c r="V7" i="1"/>
  <c r="O4" i="1"/>
  <c r="P4" i="1"/>
  <c r="Q4" i="1"/>
  <c r="R4" i="1"/>
  <c r="S4" i="1"/>
  <c r="M4" i="1"/>
  <c r="V4" i="1"/>
  <c r="T4" i="1"/>
  <c r="U4" i="1"/>
  <c r="N4" i="1"/>
  <c r="U3" i="1"/>
  <c r="V3" i="1"/>
  <c r="S3" i="1"/>
  <c r="T3" i="1"/>
  <c r="Q3" i="1"/>
  <c r="R3" i="1"/>
  <c r="O3" i="1"/>
  <c r="P3" i="1"/>
  <c r="M3" i="1"/>
  <c r="N3" i="1"/>
  <c r="E4" i="2"/>
  <c r="E5" i="2" s="1"/>
  <c r="J11" i="2" s="1"/>
  <c r="I9" i="2"/>
  <c r="L9" i="1" l="1"/>
  <c r="Q9" i="1" s="1"/>
  <c r="H11" i="1"/>
  <c r="C11" i="6" s="1"/>
  <c r="I11" i="2"/>
  <c r="L11" i="1" s="1"/>
  <c r="E6" i="2"/>
  <c r="E7" i="2" s="1"/>
  <c r="E8" i="2" s="1"/>
  <c r="E9" i="2" s="1"/>
  <c r="E10" i="2" s="1"/>
  <c r="E11" i="2" s="1"/>
  <c r="L2" i="1"/>
  <c r="AA8" i="1"/>
  <c r="AA7" i="1"/>
  <c r="AA3" i="1"/>
  <c r="AA4" i="1"/>
  <c r="AA5" i="1"/>
  <c r="H23" i="2"/>
  <c r="H31" i="2"/>
  <c r="H24" i="2"/>
  <c r="H32" i="2"/>
  <c r="H25" i="2"/>
  <c r="H33" i="2"/>
  <c r="H26" i="2"/>
  <c r="H34" i="2"/>
  <c r="H21" i="2"/>
  <c r="H29" i="2"/>
  <c r="H22" i="2"/>
  <c r="H30" i="2"/>
  <c r="H27" i="2"/>
  <c r="H35" i="2"/>
  <c r="H28" i="2"/>
  <c r="H20" i="2"/>
  <c r="H8" i="1"/>
  <c r="C8" i="6" s="1"/>
  <c r="J4" i="1"/>
  <c r="J5" i="1"/>
  <c r="J3" i="1"/>
  <c r="J9" i="1"/>
  <c r="J7" i="1"/>
  <c r="J8" i="1"/>
  <c r="J6" i="1"/>
  <c r="S9" i="1" l="1"/>
  <c r="H6" i="1"/>
  <c r="C6" i="6" s="1"/>
  <c r="K2" i="1"/>
  <c r="M2" i="1" s="1"/>
  <c r="M9" i="1"/>
  <c r="R9" i="1"/>
  <c r="N9" i="1"/>
  <c r="P9" i="1"/>
  <c r="V9" i="1"/>
  <c r="T9" i="1"/>
  <c r="U9" i="1"/>
  <c r="R11" i="1"/>
  <c r="Q11" i="1"/>
  <c r="S11" i="1"/>
  <c r="V11" i="1"/>
  <c r="T11" i="1"/>
  <c r="M11" i="1"/>
  <c r="U11" i="1"/>
  <c r="O11" i="1"/>
  <c r="N11" i="1"/>
  <c r="P11" i="1"/>
  <c r="K10" i="1"/>
  <c r="O9" i="1"/>
  <c r="J14" i="2" l="1"/>
  <c r="L6" i="1"/>
  <c r="P6" i="1" s="1"/>
  <c r="AA9" i="1"/>
  <c r="S10" i="1"/>
  <c r="Q10" i="1"/>
  <c r="T10" i="1"/>
  <c r="V10" i="1"/>
  <c r="P10" i="1"/>
  <c r="R10" i="1"/>
  <c r="M10" i="1"/>
  <c r="O10" i="1"/>
  <c r="N10" i="1"/>
  <c r="U10" i="1"/>
  <c r="H2" i="1"/>
  <c r="R2" i="1"/>
  <c r="P2" i="1"/>
  <c r="Q2" i="1"/>
  <c r="U2" i="1"/>
  <c r="T2" i="1"/>
  <c r="S2" i="1"/>
  <c r="O2" i="1"/>
  <c r="V2" i="1"/>
  <c r="N2" i="1"/>
  <c r="I2" i="1" l="1"/>
  <c r="I3" i="1" s="1"/>
  <c r="I4" i="1" s="1"/>
  <c r="I5" i="1" s="1"/>
  <c r="I6" i="1" s="1"/>
  <c r="I7" i="1" s="1"/>
  <c r="I8" i="1" s="1"/>
  <c r="I9" i="1" s="1"/>
  <c r="I10" i="1" s="1"/>
  <c r="I11" i="1" s="1"/>
  <c r="C2" i="6"/>
  <c r="S6" i="1"/>
  <c r="S14" i="1" s="1"/>
  <c r="T6" i="1"/>
  <c r="T14" i="1" s="1"/>
  <c r="Q6" i="1"/>
  <c r="Q14" i="1" s="1"/>
  <c r="O6" i="1"/>
  <c r="O14" i="1" s="1"/>
  <c r="M6" i="1"/>
  <c r="M14" i="1" s="1"/>
  <c r="V6" i="1"/>
  <c r="V14" i="1" s="1"/>
  <c r="N6" i="1"/>
  <c r="N14" i="1" s="1"/>
  <c r="U6" i="1"/>
  <c r="U14" i="1" s="1"/>
  <c r="R6" i="1"/>
  <c r="R14" i="1" s="1"/>
  <c r="P14" i="1"/>
  <c r="AA2" i="1"/>
  <c r="AA6" i="1" l="1"/>
</calcChain>
</file>

<file path=xl/comments1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Y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W2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</commentList>
</comments>
</file>

<file path=xl/comments3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</commentList>
</comments>
</file>

<file path=xl/connections.xml><?xml version="1.0" encoding="utf-8"?>
<connections xmlns="http://schemas.openxmlformats.org/spreadsheetml/2006/main">
  <connection id="1" name="allResult" type="4" refreshedVersion="0" background="1">
    <webPr xml="1" sourceData="1" url="E:\Git Repository\WorkDocumentOfMe\allResult.xml" htmlTables="1" htmlFormat="all"/>
  </connection>
  <connection id="2" name="betorder" type="4" refreshedVersion="0" background="1">
    <webPr xml="1" sourceData="1" url="C:\Users\Lance\Desktop\betorder.xml" htmlTables="1" htmlFormat="all"/>
  </connection>
  <connection id="3" name="betorder1" type="4" refreshedVersion="0" background="1">
    <webPr xml="1" sourceData="1" url="C:\Users\Lance\Desktop\betorder.xml" htmlTables="1" htmlFormat="all"/>
  </connection>
  <connection id="4" name="betorder2" type="4" refreshedVersion="0" background="1">
    <webPr xml="1" sourceData="1" url="C:\Users\Lance\Desktop\betorder.xml" htmlTables="1" htmlFormat="all"/>
  </connection>
  <connection id="5" name="betorder3" type="4" refreshedVersion="0" background="1">
    <webPr xml="1" sourceData="1" url="C:\Users\Lance\Desktop\betorder.xml" htmlTables="1" htmlFormat="all"/>
  </connection>
  <connection id="6" name="betorder4" type="4" refreshedVersion="0" background="1">
    <webPr xml="1" sourceData="1" url="C:\Users\Lance\Desktop\BetDatas.xml" htmlTables="1" htmlFormat="all"/>
  </connection>
  <connection id="7" name="betorder5" type="4" refreshedVersion="0" background="1">
    <webPr xml="1" sourceData="1" url="C:\Users\Lance\Desktop\betorder.xml" htmlTables="1" htmlFormat="all"/>
  </connection>
  <connection id="8" name="betorder6" type="4" refreshedVersion="0" background="1">
    <webPr xml="1" sourceData="1" url="E:\Git Repository\WorkDocumentOfMe\betorder.xml" htmlTables="1" htmlFormat="all"/>
  </connection>
  <connection id="9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<sst xmlns="http://schemas.openxmlformats.org/spreadsheetml/2006/main" count="266" uniqueCount="217">
  <si>
    <t>BetRange</t>
  </si>
  <si>
    <t>PlayType</t>
  </si>
  <si>
    <t>Clomun</t>
  </si>
  <si>
    <t>Option</t>
  </si>
  <si>
    <t>Multiple</t>
  </si>
  <si>
    <t>Principal</t>
    <phoneticPr fontId="1" type="noConversion"/>
  </si>
  <si>
    <t>spend</t>
    <phoneticPr fontId="1" type="noConversion"/>
  </si>
  <si>
    <t>三码</t>
    <phoneticPr fontId="1" type="noConversion"/>
  </si>
  <si>
    <t>二码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</si>
  <si>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</si>
  <si>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和值</t>
  </si>
  <si>
    <t>和值</t>
    <phoneticPr fontId="1" type="noConversion"/>
  </si>
  <si>
    <t>三同号通选</t>
  </si>
  <si>
    <t>三同号通选</t>
    <phoneticPr fontId="1" type="noConversion"/>
  </si>
  <si>
    <t>三同号单选</t>
  </si>
  <si>
    <t>三同号单选</t>
    <phoneticPr fontId="1" type="noConversion"/>
  </si>
  <si>
    <t>三不同号</t>
  </si>
  <si>
    <t>三不同号</t>
    <phoneticPr fontId="1" type="noConversion"/>
  </si>
  <si>
    <t>三连号通选</t>
  </si>
  <si>
    <t>三连号通选</t>
    <phoneticPr fontId="1" type="noConversion"/>
  </si>
  <si>
    <t>二同号复选</t>
  </si>
  <si>
    <t>二同号复选</t>
    <phoneticPr fontId="1" type="noConversion"/>
  </si>
  <si>
    <t>二同号单选</t>
  </si>
  <si>
    <t>二同号单选</t>
    <phoneticPr fontId="1" type="noConversion"/>
  </si>
  <si>
    <t>二不同号</t>
  </si>
  <si>
    <t>二不同号</t>
    <phoneticPr fontId="1" type="noConversion"/>
  </si>
  <si>
    <t>三同号通选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</si>
  <si>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11 222 333 444 555 666</t>
    </r>
    <phoneticPr fontId="1" type="noConversion"/>
  </si>
  <si>
    <t>三连号通选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</si>
  <si>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1 22 33 44 55 66</t>
    </r>
    <phoneticPr fontId="1" type="noConversion"/>
  </si>
  <si>
    <t>resultNumber</t>
    <phoneticPr fontId="1" type="noConversion"/>
  </si>
  <si>
    <t>11 22 33 4 5 6</t>
  </si>
  <si>
    <t>中奖金额</t>
    <phoneticPr fontId="1" type="noConversion"/>
  </si>
  <si>
    <t>amount</t>
    <phoneticPr fontId="1" type="noConversion"/>
  </si>
  <si>
    <r>
      <t>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</si>
  <si>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</si>
  <si>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</si>
  <si>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</si>
  <si>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</si>
  <si>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</si>
  <si>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</si>
  <si>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</si>
  <si>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</si>
  <si>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</si>
  <si>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</si>
  <si>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</si>
  <si>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</si>
  <si>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</si>
  <si>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</si>
  <si>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</si>
  <si>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1 2 3 4 5 6</t>
  </si>
  <si>
    <t>1 2 3 4 5 6</t>
    <phoneticPr fontId="1" type="noConversion"/>
  </si>
  <si>
    <t>,11,22,33,4,5,6,</t>
    <phoneticPr fontId="1" type="noConversion"/>
  </si>
  <si>
    <t>111 222 333 444 555 666</t>
  </si>
  <si>
    <t>11 22 33 44 55 66</t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</si>
  <si>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</si>
  <si>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</si>
  <si>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</si>
  <si>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betUserId</t>
    <phoneticPr fontId="1" type="noConversion"/>
  </si>
  <si>
    <t>上级1Code</t>
    <phoneticPr fontId="1" type="noConversion"/>
  </si>
  <si>
    <t>上级2Code</t>
    <phoneticPr fontId="1" type="noConversion"/>
  </si>
  <si>
    <t>中奖注数</t>
    <phoneticPr fontId="1" type="noConversion"/>
  </si>
  <si>
    <t>辅助计算</t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</si>
  <si>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inNumber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</si>
  <si>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</si>
  <si>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</si>
  <si>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</si>
  <si>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</si>
  <si>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</si>
  <si>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</si>
  <si>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</si>
  <si>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</si>
  <si>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</si>
  <si>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</si>
  <si>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betContent</t>
    <phoneticPr fontId="1" type="noConversion"/>
  </si>
  <si>
    <t>spend</t>
    <phoneticPr fontId="1" type="noConversion"/>
  </si>
  <si>
    <t>resultNumber</t>
    <phoneticPr fontId="1" type="noConversion"/>
  </si>
  <si>
    <t>DrawnAmount</t>
    <phoneticPr fontId="1" type="noConversion"/>
  </si>
  <si>
    <t>balance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</si>
  <si>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</si>
  <si>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reward</t>
    <phoneticPr fontId="1" type="noConversion"/>
  </si>
  <si>
    <t>和值dataValue</t>
    <phoneticPr fontId="1" type="noConversion"/>
  </si>
  <si>
    <t>大小单双</t>
    <phoneticPr fontId="1" type="noConversion"/>
  </si>
  <si>
    <r>
      <t>和值3</t>
    </r>
    <r>
      <rPr>
        <sz val="11"/>
        <color theme="1"/>
        <rFont val="宋体"/>
        <family val="3"/>
        <charset val="134"/>
        <scheme val="minor"/>
      </rPr>
      <t>/18</t>
    </r>
    <phoneticPr fontId="1" type="noConversion"/>
  </si>
  <si>
    <r>
      <t>和值4</t>
    </r>
    <r>
      <rPr>
        <sz val="11"/>
        <color theme="1"/>
        <rFont val="宋体"/>
        <family val="3"/>
        <charset val="134"/>
        <scheme val="minor"/>
      </rPr>
      <t>/17</t>
    </r>
    <phoneticPr fontId="1" type="noConversion"/>
  </si>
  <si>
    <r>
      <t>和值5</t>
    </r>
    <r>
      <rPr>
        <sz val="11"/>
        <color theme="1"/>
        <rFont val="宋体"/>
        <family val="3"/>
        <charset val="134"/>
        <scheme val="minor"/>
      </rPr>
      <t>/16</t>
    </r>
    <phoneticPr fontId="1" type="noConversion"/>
  </si>
  <si>
    <r>
      <t>和值6</t>
    </r>
    <r>
      <rPr>
        <sz val="11"/>
        <color theme="1"/>
        <rFont val="宋体"/>
        <family val="3"/>
        <charset val="134"/>
        <scheme val="minor"/>
      </rPr>
      <t>/15</t>
    </r>
    <phoneticPr fontId="1" type="noConversion"/>
  </si>
  <si>
    <r>
      <t>和值7</t>
    </r>
    <r>
      <rPr>
        <sz val="11"/>
        <color theme="1"/>
        <rFont val="宋体"/>
        <family val="3"/>
        <charset val="134"/>
        <scheme val="minor"/>
      </rPr>
      <t>/14</t>
    </r>
    <phoneticPr fontId="1" type="noConversion"/>
  </si>
  <si>
    <r>
      <t>和值8</t>
    </r>
    <r>
      <rPr>
        <sz val="11"/>
        <color theme="1"/>
        <rFont val="宋体"/>
        <family val="3"/>
        <charset val="134"/>
        <scheme val="minor"/>
      </rPr>
      <t>/13</t>
    </r>
    <phoneticPr fontId="1" type="noConversion"/>
  </si>
  <si>
    <r>
      <t>和值9</t>
    </r>
    <r>
      <rPr>
        <sz val="11"/>
        <color theme="1"/>
        <rFont val="宋体"/>
        <family val="3"/>
        <charset val="134"/>
        <scheme val="minor"/>
      </rPr>
      <t>/12</t>
    </r>
    <phoneticPr fontId="1" type="noConversion"/>
  </si>
  <si>
    <r>
      <t>和值1</t>
    </r>
    <r>
      <rPr>
        <sz val="11"/>
        <color theme="1"/>
        <rFont val="宋体"/>
        <family val="3"/>
        <charset val="134"/>
        <scheme val="minor"/>
      </rPr>
      <t>0/11</t>
    </r>
    <phoneticPr fontId="1" type="noConversion"/>
  </si>
  <si>
    <t>9.9reward</t>
    <phoneticPr fontId="1" type="noConversion"/>
  </si>
  <si>
    <t>dataValue</t>
    <phoneticPr fontId="1" type="noConversion"/>
  </si>
  <si>
    <t>9.9reward</t>
    <phoneticPr fontId="1" type="noConversion"/>
  </si>
  <si>
    <t>reward</t>
    <phoneticPr fontId="1" type="noConversion"/>
  </si>
  <si>
    <t>InviCode2</t>
    <phoneticPr fontId="1" type="noConversion"/>
  </si>
  <si>
    <t>上级3Code</t>
    <phoneticPr fontId="1" type="noConversion"/>
  </si>
  <si>
    <t>上级3level</t>
    <phoneticPr fontId="1" type="noConversion"/>
  </si>
  <si>
    <r>
      <t>9.9</t>
    </r>
    <r>
      <rPr>
        <sz val="11"/>
        <color theme="1"/>
        <rFont val="宋体"/>
        <family val="3"/>
        <charset val="134"/>
        <scheme val="minor"/>
      </rPr>
      <t>odds</t>
    </r>
    <phoneticPr fontId="1" type="noConversion"/>
  </si>
  <si>
    <t>自身</t>
    <phoneticPr fontId="1" type="noConversion"/>
  </si>
  <si>
    <t>自身odds</t>
    <phoneticPr fontId="1" type="noConversion"/>
  </si>
  <si>
    <t>9.9odds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</si>
  <si>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</si>
  <si>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1 2 3 4 5 6</t>
    <phoneticPr fontId="1" type="noConversion"/>
  </si>
  <si>
    <t>,双,</t>
    <phoneticPr fontId="1" type="noConversion"/>
  </si>
  <si>
    <t>,单,</t>
    <phoneticPr fontId="1" type="noConversion"/>
  </si>
  <si>
    <t>,小,</t>
    <phoneticPr fontId="1" type="noConversion"/>
  </si>
  <si>
    <t>,大,</t>
    <phoneticPr fontId="1" type="noConversion"/>
  </si>
  <si>
    <t>test003</t>
  </si>
  <si>
    <t>上级1userId</t>
    <phoneticPr fontId="1" type="noConversion"/>
  </si>
  <si>
    <t>上级2UserId</t>
    <phoneticPr fontId="1" type="noConversion"/>
  </si>
  <si>
    <t>reBateAll</t>
    <phoneticPr fontId="1" type="noConversion"/>
  </si>
  <si>
    <t>AllResult</t>
    <phoneticPr fontId="1" type="noConversion"/>
  </si>
  <si>
    <t>SumOfWinNum</t>
    <phoneticPr fontId="1" type="noConversion"/>
  </si>
  <si>
    <t>betContent</t>
  </si>
  <si>
    <t>amount</t>
  </si>
  <si>
    <t>,大,双,3,4,5,6,7,8,9,10,</t>
    <phoneticPr fontId="1" type="noConversion"/>
  </si>
  <si>
    <t>,小,单,11,12,13,14,15,16,17,18,</t>
    <phoneticPr fontId="1" type="noConversion"/>
  </si>
  <si>
    <t>,1,2,3,44,55,66,</t>
    <phoneticPr fontId="1" type="noConversion"/>
  </si>
  <si>
    <t>大 双 3 4 5 6 7 8 9 10</t>
  </si>
  <si>
    <t>小 单 11 12 13 14 15 16 17 18</t>
  </si>
  <si>
    <t>1 2 3 44 55 66</t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</si>
  <si>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</si>
  <si>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</si>
  <si>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</si>
  <si>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</si>
  <si>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</si>
  <si>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</si>
  <si>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RebateAll</t>
    <phoneticPr fontId="1" type="noConversion"/>
  </si>
  <si>
    <t>drawnAmount</t>
    <phoneticPr fontId="1" type="noConversion"/>
  </si>
  <si>
    <t>balance</t>
    <phoneticPr fontId="1" type="noConversion"/>
  </si>
  <si>
    <t>resultNum</t>
    <phoneticPr fontId="1" type="noConversion"/>
  </si>
  <si>
    <t>1,2,6</t>
  </si>
  <si>
    <t>4,4,5</t>
  </si>
  <si>
    <t>4,5,6</t>
  </si>
  <si>
    <t>1,2,3</t>
  </si>
  <si>
    <t>2,3,3</t>
  </si>
  <si>
    <t>1,4,5</t>
  </si>
  <si>
    <t>4,4,6</t>
  </si>
  <si>
    <t>1,3,4</t>
  </si>
  <si>
    <t>2,2,4</t>
  </si>
  <si>
    <t>2,5,6</t>
  </si>
  <si>
    <t>2,3,4</t>
  </si>
  <si>
    <t>3,4,5</t>
  </si>
  <si>
    <t>1,3,6</t>
  </si>
  <si>
    <t>2,4,4</t>
  </si>
  <si>
    <t>4,5,5</t>
  </si>
  <si>
    <t>6,6,6</t>
  </si>
  <si>
    <t>2,2,5</t>
  </si>
  <si>
    <t>result</t>
    <phoneticPr fontId="1" type="noConversion"/>
  </si>
  <si>
    <t>spend</t>
  </si>
  <si>
    <t>reBateAll</t>
  </si>
  <si>
    <t>DrawnAmount</t>
  </si>
  <si>
    <t>test002</t>
    <phoneticPr fontId="1" type="noConversion"/>
  </si>
  <si>
    <t>user_Id</t>
    <phoneticPr fontId="1" type="noConversion"/>
  </si>
  <si>
    <t>InviCode1</t>
    <phoneticPr fontId="1" type="noConversion"/>
  </si>
  <si>
    <t>自身level</t>
    <phoneticPr fontId="1" type="noConversion"/>
  </si>
  <si>
    <t>test001</t>
    <phoneticPr fontId="1" type="noConversion"/>
  </si>
  <si>
    <t>null</t>
    <phoneticPr fontId="1" type="noConversion"/>
  </si>
  <si>
    <t>上级1level</t>
    <phoneticPr fontId="1" type="noConversion"/>
  </si>
  <si>
    <t>上级2level</t>
    <phoneticPr fontId="1" type="noConversion"/>
  </si>
  <si>
    <t>上级2返利</t>
    <phoneticPr fontId="1" type="noConversion"/>
  </si>
  <si>
    <t>上级3userId</t>
    <phoneticPr fontId="1" type="noConversion"/>
  </si>
  <si>
    <t>上级3返利</t>
    <phoneticPr fontId="1" type="noConversion"/>
  </si>
  <si>
    <t>上级4Code</t>
    <phoneticPr fontId="1" type="noConversion"/>
  </si>
  <si>
    <t>上级4UserId</t>
    <phoneticPr fontId="1" type="noConversion"/>
  </si>
  <si>
    <t>上级4level</t>
    <phoneticPr fontId="1" type="noConversion"/>
  </si>
  <si>
    <t>上级4返利</t>
    <phoneticPr fontId="1" type="noConversion"/>
  </si>
  <si>
    <t>上级5Code</t>
    <phoneticPr fontId="1" type="noConversion"/>
  </si>
  <si>
    <t>上级5userId</t>
    <phoneticPr fontId="1" type="noConversion"/>
  </si>
  <si>
    <t>上级5level</t>
    <phoneticPr fontId="1" type="noConversion"/>
  </si>
  <si>
    <t>上级5返利</t>
    <phoneticPr fontId="1" type="noConversion"/>
  </si>
  <si>
    <t>上级6Code</t>
    <phoneticPr fontId="1" type="noConversion"/>
  </si>
  <si>
    <t>上级6UserId</t>
    <phoneticPr fontId="1" type="noConversion"/>
  </si>
  <si>
    <t>上级6level</t>
    <phoneticPr fontId="1" type="noConversion"/>
  </si>
  <si>
    <t>上级6返利</t>
    <phoneticPr fontId="1" type="noConversion"/>
  </si>
  <si>
    <t>上级7Code</t>
    <phoneticPr fontId="1" type="noConversion"/>
  </si>
  <si>
    <t>上级7userId</t>
    <phoneticPr fontId="1" type="noConversion"/>
  </si>
  <si>
    <t>上级7level</t>
    <phoneticPr fontId="1" type="noConversion"/>
  </si>
  <si>
    <t>上级7返利</t>
    <phoneticPr fontId="1" type="noConversion"/>
  </si>
  <si>
    <t>上级8Code</t>
    <phoneticPr fontId="1" type="noConversion"/>
  </si>
  <si>
    <t>上级8UserId</t>
    <phoneticPr fontId="1" type="noConversion"/>
  </si>
  <si>
    <t>上级8level</t>
    <phoneticPr fontId="1" type="noConversion"/>
  </si>
  <si>
    <t>上级8返利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</si>
  <si>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</si>
  <si>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</si>
  <si>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</si>
  <si>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上级9返利</t>
    <phoneticPr fontId="1" type="noConversion"/>
  </si>
  <si>
    <t>上级10Code</t>
    <phoneticPr fontId="1" type="noConversion"/>
  </si>
  <si>
    <t>上级10userId</t>
    <phoneticPr fontId="1" type="noConversion"/>
  </si>
  <si>
    <t>上级10level</t>
    <phoneticPr fontId="1" type="noConversion"/>
  </si>
  <si>
    <t>上级10返利</t>
    <phoneticPr fontId="1" type="noConversion"/>
  </si>
  <si>
    <t>上级11Code</t>
    <phoneticPr fontId="1" type="noConversion"/>
  </si>
  <si>
    <t>上级11userId</t>
    <phoneticPr fontId="1" type="noConversion"/>
  </si>
  <si>
    <t>上级11level</t>
    <phoneticPr fontId="1" type="noConversion"/>
  </si>
  <si>
    <t>上级11返利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</si>
  <si>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</si>
  <si>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</si>
  <si>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</si>
  <si>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上级12返利</t>
    <phoneticPr fontId="1" type="noConversion"/>
  </si>
  <si>
    <t>上级13Code</t>
    <phoneticPr fontId="1" type="noConversion"/>
  </si>
  <si>
    <t>上级13userId</t>
    <phoneticPr fontId="1" type="noConversion"/>
  </si>
  <si>
    <t>上级13level</t>
    <phoneticPr fontId="1" type="noConversion"/>
  </si>
  <si>
    <t>上级13返利</t>
    <phoneticPr fontId="1" type="noConversion"/>
  </si>
  <si>
    <t>上级14Code</t>
    <phoneticPr fontId="1" type="noConversion"/>
  </si>
  <si>
    <t>上级14userId</t>
    <phoneticPr fontId="1" type="noConversion"/>
  </si>
  <si>
    <t>上级14level</t>
    <phoneticPr fontId="1" type="noConversion"/>
  </si>
  <si>
    <t>上级14返利</t>
    <phoneticPr fontId="1" type="noConversion"/>
  </si>
  <si>
    <t>上级15Code</t>
    <phoneticPr fontId="1" type="noConversion"/>
  </si>
  <si>
    <t>上级15userId</t>
    <phoneticPr fontId="1" type="noConversion"/>
  </si>
  <si>
    <t>上级15level</t>
    <phoneticPr fontId="1" type="noConversion"/>
  </si>
  <si>
    <t>上级15返利</t>
    <phoneticPr fontId="1" type="noConversion"/>
  </si>
  <si>
    <t>1,1,2</t>
  </si>
  <si>
    <t>3,5,5</t>
  </si>
  <si>
    <t>1,5,5</t>
  </si>
  <si>
    <t>1,1,4</t>
  </si>
  <si>
    <t>345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</si>
</sst>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quotePrefix="1" applyAlignment="1">
      <alignment horizontal="center" vertical="center"/>
    </xf>
    <xf numFmtId="58" fontId="4" fillId="0" borderId="0" xfId="0" applyNumberFormat="1" applyFont="1" applyAlignment="1">
      <alignment horizontal="center" vertical="center"/>
    </xf>
    <xf numFmtId="0" fontId="0" fillId="0" borderId="0" xfId="0" applyAlignment="1"/>
    <xf numFmtId="0" fontId="4" fillId="0" borderId="0" xfId="0" applyFont="1">
      <alignment vertical="center"/>
    </xf>
    <xf numFmtId="0" fontId="4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/>
  </cellStyles>
  <dxfs count="1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orderrebate">
        <xsd:complexType>
          <xsd:sequence minOccurs="0">
            <xsd:element minOccurs="0" maxOccurs="unbounded" nillable="true" name="lottery" form="unqualified">
              <xsd:complexType>
                <xsd:sequence minOccurs="0">
                  <xsd:element minOccurs="0" nillable="true" type="xsd:string" name="Result" form="unqualified"/>
                  <xsd:element minOccurs="0" nillable="true" type="xsd:string" name="SumOfWinNum" form="unqualified"/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bateAll" form="unqualified"/>
                  <xsd:element minOccurs="0" nillable="true" type="xsd:string" name="drawnAmount" form="unqualified"/>
                  <xsd:element minOccurs="0" nillable="true" type="xsd:string" name="balance" form="unqualified"/>
                  <xsd:element minOccurs="0" nillable="true" type="xsd:string" name="resultNum" form="unqualified"/>
                </xsd:sequence>
              </xsd:complexType>
            </xsd:element>
          </xsd:sequence>
        </xsd:complexType>
      </xsd:element>
    </xsd:schema>
  </Schema>
  <Map ID="10" Name="betorder_映射" RootElement="betorder" SchemaID="Schema4" ShowImportExportValidationErrors="false" AutoFit="true" Append="false" PreserveSortAFLayout="true" PreserveFormat="true">
    <DataBinding FileBinding="true" ConnectionID="8" DataBindingLoadMode="1"/>
  </Map>
  <Map ID="9" Name="orderrebate_映射" RootElement="orderrebate" SchemaID="Schema3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表1" displayName="表1" ref="A1:J11" tableType="xml" totalsRowShown="0" headerRowDxfId="11" dataDxfId="10" connectionId="8">
  <autoFilter ref="A1:J11"/>
  <tableColumns count="10">
    <tableColumn id="1" uniqueName="betRange" name="betRange" dataDxfId="9">
      <xmlColumnPr mapId="10" xpath="/betorder/order/betRange" xmlDataType="string"/>
    </tableColumn>
    <tableColumn id="2" uniqueName="playType" name="playType" dataDxfId="8">
      <xmlColumnPr mapId="10" xpath="/betorder/order/playType" xmlDataType="string"/>
    </tableColumn>
    <tableColumn id="3" uniqueName="betContent" name="betContent" dataDxfId="7">
      <xmlColumnPr mapId="10" xpath="/betorder/order/betContent" xmlDataType="string"/>
    </tableColumn>
    <tableColumn id="4" uniqueName="mutiple" name="mutiple" dataDxfId="6">
      <xmlColumnPr mapId="10" xpath="/betorder/order/mutiple" xmlDataType="string"/>
    </tableColumn>
    <tableColumn id="5" uniqueName="amount" name="amount" dataDxfId="5">
      <xmlColumnPr mapId="10" xpath="/betorder/order/amount" xmlDataType="string"/>
    </tableColumn>
    <tableColumn id="6" uniqueName="spend" name="spend" dataDxfId="4">
      <xmlColumnPr mapId="10" xpath="/betorder/order/spend" xmlDataType="string"/>
    </tableColumn>
    <tableColumn id="7" uniqueName="RebateAll" name="RebateAll" dataDxfId="3">
      <xmlColumnPr mapId="10" xpath="/betorder/order/RebateAll" xmlDataType="string"/>
    </tableColumn>
    <tableColumn id="8" uniqueName="drawnAmount" name="drawnAmount" dataDxfId="2">
      <xmlColumnPr mapId="10" xpath="/betorder/order/drawnAmount" xmlDataType="string"/>
    </tableColumn>
    <tableColumn id="9" uniqueName="balance" name="balance" dataDxfId="1">
      <xmlColumnPr mapId="10" xpath="/betorder/order/balance" xmlDataType="string"/>
    </tableColumn>
    <tableColumn id="10" uniqueName="resultNum" name="resultNum" dataDxfId="0">
      <xmlColumnPr mapId="10" xpath="/betorder/order/resultNum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38"/>
  <sheetViews>
    <sheetView zoomScaleNormal="100" workbookViewId="0">
      <pane xSplit="2" ySplit="1" topLeftCell="C2" activePane="bottomRight" state="frozen"/>
      <selection activeCell="D1" sqref="D1"/>
      <selection pane="topRight" activeCell="F1" sqref="F1"/>
      <selection pane="bottomLeft" activeCell="D2" sqref="D2"/>
      <selection pane="bottomRight" activeCell="G13" sqref="G13"/>
    </sheetView>
  </sheetViews>
  <sheetFormatPr defaultColWidth="9" defaultRowHeight="13.5" x14ac:dyDescent="0.15"/>
  <cols>
    <col min="1" max="1" width="12.75" style="12" customWidth="1"/>
    <col min="2" max="2" width="12.125" style="12" customWidth="1"/>
    <col min="3" max="3" width="31" style="13" customWidth="1"/>
    <col min="4" max="4" width="7.75" style="12" customWidth="1"/>
    <col min="5" max="5" width="9" style="12" customWidth="1"/>
    <col min="6" max="6" width="6.25" style="12" customWidth="1"/>
    <col min="7" max="7" width="11.75" style="15" customWidth="1"/>
    <col min="8" max="8" width="12.75" style="12" bestFit="1" customWidth="1"/>
    <col min="9" max="9" width="14.75" style="12" customWidth="1"/>
    <col min="10" max="10" width="13.875" style="12" bestFit="1" customWidth="1"/>
    <col min="11" max="11" width="9.625" style="12" customWidth="1"/>
    <col min="12" max="12" width="11.75" style="15" customWidth="1"/>
    <col min="13" max="22" width="13.75" style="15" customWidth="1"/>
    <col min="23" max="23" width="8.5" style="12" bestFit="1" customWidth="1"/>
    <col min="24" max="24" width="10.125" style="15" customWidth="1"/>
    <col min="25" max="25" width="10.75" style="12" customWidth="1"/>
    <col min="26" max="26" width="12.75" style="12" bestFit="1" customWidth="1"/>
    <col min="27" max="27" width="9" style="12"/>
    <col min="28" max="28" width="13.875" style="12" customWidth="1"/>
    <col min="29" max="16384" width="9" style="12"/>
  </cols>
  <sheetData>
    <row r="1" spans="1:31" ht="16.5" customHeight="1" x14ac:dyDescent="0.15">
      <c r="A1" s="15" t="s">
        <v>0</v>
      </c>
      <c r="B1" s="15" t="s">
        <v>1</v>
      </c>
      <c r="C1" s="15" t="s">
        <v>74</v>
      </c>
      <c r="D1" s="15" t="s">
        <v>4</v>
      </c>
      <c r="E1" s="15" t="s">
        <v>33</v>
      </c>
      <c r="F1" s="15" t="s">
        <v>75</v>
      </c>
      <c r="G1" s="10" t="s">
        <v>111</v>
      </c>
      <c r="H1" s="15" t="s">
        <v>77</v>
      </c>
      <c r="I1" s="15" t="s">
        <v>78</v>
      </c>
      <c r="J1" s="15" t="s">
        <v>76</v>
      </c>
      <c r="K1" s="10" t="s">
        <v>79</v>
      </c>
      <c r="L1" s="10" t="s">
        <v>63</v>
      </c>
      <c r="M1" s="10" t="s">
        <v>64</v>
      </c>
      <c r="N1" s="10" t="s">
        <v>65</v>
      </c>
      <c r="O1" s="10" t="s">
        <v>66</v>
      </c>
      <c r="P1" s="10" t="s">
        <v>67</v>
      </c>
      <c r="Q1" s="10" t="s">
        <v>68</v>
      </c>
      <c r="R1" s="10" t="s">
        <v>69</v>
      </c>
      <c r="S1" s="10" t="s">
        <v>70</v>
      </c>
      <c r="T1" s="10" t="s">
        <v>71</v>
      </c>
      <c r="U1" s="10" t="s">
        <v>72</v>
      </c>
      <c r="V1" s="10" t="s">
        <v>73</v>
      </c>
      <c r="W1" s="10" t="s">
        <v>80</v>
      </c>
      <c r="X1" s="10" t="s">
        <v>91</v>
      </c>
      <c r="Y1" s="12" t="s">
        <v>9</v>
      </c>
      <c r="Z1" s="12" t="s">
        <v>5</v>
      </c>
      <c r="AB1" s="11" t="s">
        <v>81</v>
      </c>
      <c r="AD1" s="11" t="s">
        <v>94</v>
      </c>
      <c r="AE1" s="11" t="s">
        <v>93</v>
      </c>
    </row>
    <row r="2" spans="1:31" x14ac:dyDescent="0.15">
      <c r="A2" s="12" t="s">
        <v>7</v>
      </c>
      <c r="B2" s="10" t="s">
        <v>11</v>
      </c>
      <c r="C2" s="14" t="str">
        <f>K3Source!K2</f>
        <v>大 双 3 4 5 6 7 8 9 10</v>
      </c>
      <c r="D2" s="12">
        <v>2</v>
      </c>
      <c r="E2" s="12">
        <f>K3Source!H2</f>
        <v>2</v>
      </c>
      <c r="F2" s="12">
        <f t="shared" ref="F2:F11" si="0">Y2*E2</f>
        <v>20</v>
      </c>
      <c r="G2" s="15" t="e">
        <f>IF(Z$3=1,F2*(Agent!D$6-Agent!B$3)/100,SUM(M2:V2))</f>
        <v>#VALUE!</v>
      </c>
      <c r="H2" s="12">
        <f>K3Source!$J2</f>
        <v>3.996</v>
      </c>
      <c r="I2" s="12">
        <f>Z2-F2+H2</f>
        <v>9999999983.9960003</v>
      </c>
      <c r="J2" s="12">
        <f>K3Source!E$2</f>
        <v>465</v>
      </c>
      <c r="K2" s="12">
        <f>N(ISNUMBER(FIND(K3Source!P2,K3Source!D2,1)))*AC2+N(ISNUMBER(FIND(K3Source!P3,K3Source!D2,1)))*AC2+N(ISNUMBER(FIND(K3Source!P$4,K3Source!$D2,1)))*SUM(K3Source!H20:H27)</f>
        <v>2E-3</v>
      </c>
      <c r="L2" s="15">
        <f>K3Source!$I2</f>
        <v>1</v>
      </c>
      <c r="M2" s="15" t="str">
        <f>IF(ISNUMBER(Agent!$E$6*K2*E2),TRUNC(Agent!$E$6*K2*E2,3),"没有上级")</f>
        <v>没有上级</v>
      </c>
      <c r="N2" s="15" t="str">
        <f>IF(ISNUMBER(Agent!$E$9*E2*K2),TRUNC(Agent!$E$9*E2*K2,3),"没有上级")</f>
        <v>没有上级</v>
      </c>
      <c r="O2" s="15" t="str">
        <f>IF(ISNUMBER(Agent!$E$12*E2*K2),TRUNC(Agent!$E$12*E2*K2,3),"没有上级")</f>
        <v>没有上级</v>
      </c>
      <c r="P2" s="15" t="str">
        <f>IF(ISNUMBER(Agent!$E$15*E2*K2),TRUNC(Agent!$E$15*E2*K2,3),"没有上级")</f>
        <v>没有上级</v>
      </c>
      <c r="Q2" s="15" t="str">
        <f>IF(ISNUMBER(Agent!$E$18*E2*K2),TRUNC(Agent!$E$18*E2*K2,3),"没有上级")</f>
        <v>没有上级</v>
      </c>
      <c r="R2" s="15" t="str">
        <f>IF(ISNUMBER(Agent!$E$21*E2*K2),TRUNC(Agent!$E$21*E2*K2,3),"没有上级")</f>
        <v>没有上级</v>
      </c>
      <c r="S2" s="15" t="str">
        <f>IF(ISNUMBER(Agent!$E$24*E2*K2),TRUNC(Agent!$E$24*E2*K2,3),"没有上级")</f>
        <v>没有上级</v>
      </c>
      <c r="T2" s="15" t="str">
        <f>IF(ISNUMBER(Agent!$E$27*E2*K2),TRUNC(Agent!$E$27*E2*K2,3),"没有上级")</f>
        <v>没有上级</v>
      </c>
      <c r="U2" s="15" t="str">
        <f>IF(ISNUMBER(Agent!$E$30*E2*K2),TRUNC(Agent!$E$30*E2*K2,3),"没有上级")</f>
        <v>没有上级</v>
      </c>
      <c r="V2" s="15" t="str">
        <f>IF(ISNUMBER(Agent!$E$33*E2*K2),TRUNC(Agent!$E$33*E2*K2,3),"没有上级")</f>
        <v>没有上级</v>
      </c>
      <c r="Y2" s="12">
        <v>10</v>
      </c>
      <c r="Z2" s="12">
        <v>10000000000</v>
      </c>
      <c r="AA2" s="10">
        <f>SUM(M2:V2)</f>
        <v>0</v>
      </c>
      <c r="AB2" s="10" t="s">
        <v>82</v>
      </c>
      <c r="AC2" s="12">
        <f>TRUNC(0.002,3)</f>
        <v>2E-3</v>
      </c>
      <c r="AD2" s="13">
        <v>1.96</v>
      </c>
      <c r="AE2" s="12">
        <f>TRUNC(AD2+AC2*19,3)</f>
        <v>1.998</v>
      </c>
    </row>
    <row r="3" spans="1:31" x14ac:dyDescent="0.15">
      <c r="A3" s="12" t="s">
        <v>7</v>
      </c>
      <c r="B3" s="10" t="s">
        <v>13</v>
      </c>
      <c r="C3" s="14" t="str">
        <f>K3Source!K3</f>
        <v>三同号通选</v>
      </c>
      <c r="D3" s="15">
        <v>4</v>
      </c>
      <c r="E3" s="15">
        <f>K3Source!H3</f>
        <v>4</v>
      </c>
      <c r="F3" s="15">
        <f t="shared" si="0"/>
        <v>4</v>
      </c>
      <c r="G3" s="15" t="e">
        <f>IF(Z$3=1,F3*(Agent!D$6-Agent!B$3)/100,SUM(M3:V3))</f>
        <v>#VALUE!</v>
      </c>
      <c r="H3" s="15">
        <f>K3Source!$J3</f>
        <v>0</v>
      </c>
      <c r="I3" s="12">
        <f t="shared" ref="I3:I11" si="1">$I2-$F3+$H3</f>
        <v>9999999979.9960003</v>
      </c>
      <c r="J3" s="12">
        <f>K3Source!E$2</f>
        <v>465</v>
      </c>
      <c r="K3" s="15">
        <f>K3Source!L3</f>
        <v>3.5999999999999997E-2</v>
      </c>
      <c r="L3" s="15">
        <f>K3Source!$I3</f>
        <v>0</v>
      </c>
      <c r="M3" s="15" t="str">
        <f>IF(ISNUMBER(Agent!$E$6*K3*E3*L3),TRUNC(Agent!$E$6*K3*E3*L3,3),"没有上级")</f>
        <v>没有上级</v>
      </c>
      <c r="N3" s="15" t="str">
        <f>IF(ISNUMBER(Agent!$E$9*E3*K3*L3),TRUNC(Agent!$E$9*E3*K3*L3,3),"没有上级")</f>
        <v>没有上级</v>
      </c>
      <c r="O3" s="15" t="str">
        <f>IF(ISNUMBER(Agent!$E$12*E3*K3*L3),TRUNC(Agent!$E$12*E3*K3*L3,3),"没有上级")</f>
        <v>没有上级</v>
      </c>
      <c r="P3" s="15" t="str">
        <f>IF(ISNUMBER(Agent!$E$15*E3*K3*L3),TRUNC(Agent!$E$15*E3*K3*L3,3),"没有上级")</f>
        <v>没有上级</v>
      </c>
      <c r="Q3" s="15" t="str">
        <f>IF(ISNUMBER(Agent!$E$18*E3*K3*L3),TRUNC(Agent!$E$18*E3*K3*L3,3),"没有上级")</f>
        <v>没有上级</v>
      </c>
      <c r="R3" s="15" t="str">
        <f>IF(ISNUMBER(Agent!$E$21*E3*K3*L3),TRUNC(Agent!$E$21*E3*K3*L3,3),"没有上级")</f>
        <v>没有上级</v>
      </c>
      <c r="S3" s="15" t="str">
        <f>IF(ISNUMBER(Agent!$E$24*E3*K3*L3),TRUNC(Agent!$E$24*E3*K3*L3,3),"没有上级")</f>
        <v>没有上级</v>
      </c>
      <c r="T3" s="15" t="str">
        <f>IF(ISNUMBER(Agent!$E$27*E3*K3*L3),TRUNC(Agent!$E$27*E3*K3*L3,3),"没有上级")</f>
        <v>没有上级</v>
      </c>
      <c r="U3" s="15" t="str">
        <f>IF(ISNUMBER(Agent!$E$30*E3*K3*L3),TRUNC(Agent!$E$30*E3*K3*L3,3),"没有上级")</f>
        <v>没有上级</v>
      </c>
      <c r="V3" s="15" t="str">
        <f>IF(ISNUMBER(Agent!$E$33*E3*K3*L3),TRUNC(Agent!$E$33*E3*K3*L3,3),"没有上级")</f>
        <v>没有上级</v>
      </c>
      <c r="W3" s="14">
        <f>K3Source!M3</f>
        <v>32.363999999999997</v>
      </c>
      <c r="X3" s="14">
        <f>K3Source!N3</f>
        <v>32.363999999999997</v>
      </c>
      <c r="Y3" s="12">
        <v>1</v>
      </c>
      <c r="Z3" s="12">
        <v>1</v>
      </c>
      <c r="AA3" s="10">
        <f t="shared" ref="AA3:AA9" si="2">SUM(M3:V3)</f>
        <v>0</v>
      </c>
      <c r="AB3" s="21" t="s">
        <v>83</v>
      </c>
      <c r="AC3" s="12">
        <f>TRUNC(0.216,3)</f>
        <v>0.216</v>
      </c>
      <c r="AD3" s="15">
        <v>190.08</v>
      </c>
      <c r="AE3" s="15">
        <f t="shared" ref="AE3:AE10" si="3">TRUNC(AD3+AC3*19,3)</f>
        <v>194.184</v>
      </c>
    </row>
    <row r="4" spans="1:31" x14ac:dyDescent="0.15">
      <c r="A4" s="12" t="s">
        <v>7</v>
      </c>
      <c r="B4" s="10" t="s">
        <v>15</v>
      </c>
      <c r="C4" s="14" t="str">
        <f>K3Source!K4</f>
        <v>111 222 333 444 555 666</v>
      </c>
      <c r="D4" s="15">
        <v>7</v>
      </c>
      <c r="E4" s="15">
        <f>K3Source!H4</f>
        <v>7</v>
      </c>
      <c r="F4" s="15">
        <f t="shared" si="0"/>
        <v>42</v>
      </c>
      <c r="G4" s="15" t="e">
        <f>IF(Z$3=1,F4*(Agent!D$6-Agent!B$3)/100,SUM(M4:V4))</f>
        <v>#VALUE!</v>
      </c>
      <c r="H4" s="15">
        <f>K3Source!$J4</f>
        <v>0</v>
      </c>
      <c r="I4" s="15">
        <f t="shared" si="1"/>
        <v>9999999937.9960003</v>
      </c>
      <c r="J4" s="12">
        <f>K3Source!E$2</f>
        <v>465</v>
      </c>
      <c r="K4" s="15">
        <f>K3Source!L4</f>
        <v>0.216</v>
      </c>
      <c r="L4" s="15">
        <f>K3Source!$I4</f>
        <v>0</v>
      </c>
      <c r="M4" s="15" t="str">
        <f>IF(ISNUMBER(Agent!$E$6*K4*E4*L4),TRUNC(Agent!$E$6*K4*E4*L4,3),"没有上级")</f>
        <v>没有上级</v>
      </c>
      <c r="N4" s="15" t="str">
        <f>IF(ISNUMBER(Agent!$E$9*E4*K4*L4),TRUNC(Agent!$E$9*E4*K4*L4,3),"没有上级")</f>
        <v>没有上级</v>
      </c>
      <c r="O4" s="15" t="str">
        <f>IF(ISNUMBER(Agent!$E$12*E4*K4*L4),TRUNC(Agent!$E$12*E4*K4*L4,3),"没有上级")</f>
        <v>没有上级</v>
      </c>
      <c r="P4" s="15" t="str">
        <f>IF(ISNUMBER(Agent!$E$15*E4*K4*L4),TRUNC(Agent!$E$15*E4*K4*L4,3),"没有上级")</f>
        <v>没有上级</v>
      </c>
      <c r="Q4" s="15" t="str">
        <f>IF(ISNUMBER(Agent!$E$18*E4*K4*L4),TRUNC(Agent!$E$18*E4*K4*L4,3),"没有上级")</f>
        <v>没有上级</v>
      </c>
      <c r="R4" s="15" t="str">
        <f>IF(ISNUMBER(Agent!$E$21*E4*K4*L4),TRUNC(Agent!$E$21*E4*K4*L4,3),"没有上级")</f>
        <v>没有上级</v>
      </c>
      <c r="S4" s="15" t="str">
        <f>IF(ISNUMBER(Agent!$E$24*E4*K4*L4),TRUNC(Agent!$E$24*E4*K4*L4,3),"没有上级")</f>
        <v>没有上级</v>
      </c>
      <c r="T4" s="15" t="str">
        <f>IF(ISNUMBER(Agent!$E$27*E4*K4*L4),TRUNC(Agent!$E$27*E4*K4*L4,3),"没有上级")</f>
        <v>没有上级</v>
      </c>
      <c r="U4" s="15" t="str">
        <f>IF(ISNUMBER(Agent!$E$30*E4*K4*L4),TRUNC(Agent!$E$30*E4*K4*L4,3),"没有上级")</f>
        <v>没有上级</v>
      </c>
      <c r="V4" s="15" t="str">
        <f>IF(ISNUMBER(Agent!$E$33*E4*K4*L4),TRUNC(Agent!$E$33*E4*K4*L4,3),"没有上级")</f>
        <v>没有上级</v>
      </c>
      <c r="W4" s="14">
        <f>K3Source!M4</f>
        <v>194.184</v>
      </c>
      <c r="X4" s="14">
        <f>K3Source!N4</f>
        <v>194.184</v>
      </c>
      <c r="Y4" s="15">
        <f>LEN(SUBSTITUTE(C4," ",))/3</f>
        <v>6</v>
      </c>
      <c r="AA4" s="10">
        <f t="shared" si="2"/>
        <v>0</v>
      </c>
      <c r="AB4" s="10" t="s">
        <v>84</v>
      </c>
      <c r="AC4" s="12">
        <f>TRUNC(0.072,3)</f>
        <v>7.1999999999999995E-2</v>
      </c>
      <c r="AD4" s="15">
        <v>63.36</v>
      </c>
      <c r="AE4" s="15">
        <f t="shared" si="3"/>
        <v>64.727999999999994</v>
      </c>
    </row>
    <row r="5" spans="1:31" x14ac:dyDescent="0.15">
      <c r="A5" s="12" t="s">
        <v>7</v>
      </c>
      <c r="B5" s="10" t="s">
        <v>17</v>
      </c>
      <c r="C5" s="14" t="str">
        <f>K3Source!K5</f>
        <v>1 2 3 4 5 6</v>
      </c>
      <c r="D5" s="15">
        <v>3</v>
      </c>
      <c r="E5" s="15">
        <f>K3Source!H5</f>
        <v>3</v>
      </c>
      <c r="F5" s="15">
        <f t="shared" si="0"/>
        <v>60</v>
      </c>
      <c r="G5" s="15" t="e">
        <f>IF(Z$3=1,F5*(Agent!D$6-Agent!B$3)/100,SUM(M5:V5))</f>
        <v>#VALUE!</v>
      </c>
      <c r="H5" s="15">
        <f>K3Source!$J5</f>
        <v>97.091999999999985</v>
      </c>
      <c r="I5" s="15">
        <f t="shared" si="1"/>
        <v>9999999975.0879993</v>
      </c>
      <c r="J5" s="12">
        <f>K3Source!E$2</f>
        <v>465</v>
      </c>
      <c r="K5" s="15">
        <f>K3Source!L5</f>
        <v>3.5999999999999997E-2</v>
      </c>
      <c r="L5" s="15">
        <f>K3Source!$I5</f>
        <v>1</v>
      </c>
      <c r="M5" s="15" t="str">
        <f>IF(ISNUMBER(Agent!$E$6*K5*E5*L5),TRUNC(Agent!$E$6*K5*E5*L5,3),"没有上级")</f>
        <v>没有上级</v>
      </c>
      <c r="N5" s="15" t="str">
        <f>IF(ISNUMBER(Agent!$E$9*E5*K5*L5),TRUNC(Agent!$E$9*E5*K5*L5,3),"没有上级")</f>
        <v>没有上级</v>
      </c>
      <c r="O5" s="15" t="str">
        <f>IF(ISNUMBER(Agent!$E$12*E5*K5*L5),TRUNC(Agent!$E$12*E5*K5*L5,3),"没有上级")</f>
        <v>没有上级</v>
      </c>
      <c r="P5" s="15" t="str">
        <f>IF(ISNUMBER(Agent!$E$15*E5*K5*L5),TRUNC(Agent!$E$15*E5*K5*L5,3),"没有上级")</f>
        <v>没有上级</v>
      </c>
      <c r="Q5" s="15" t="str">
        <f>IF(ISNUMBER(Agent!$E$18*E5*K5*L5),TRUNC(Agent!$E$18*E5*K5*L5,3),"没有上级")</f>
        <v>没有上级</v>
      </c>
      <c r="R5" s="15" t="str">
        <f>IF(ISNUMBER(Agent!$E$21*E5*K5*L5),TRUNC(Agent!$E$21*E5*K5*L5,3),"没有上级")</f>
        <v>没有上级</v>
      </c>
      <c r="S5" s="15" t="str">
        <f>IF(ISNUMBER(Agent!$E$24*E5*K5*L5),TRUNC(Agent!$E$24*E5*K5*L5,3),"没有上级")</f>
        <v>没有上级</v>
      </c>
      <c r="T5" s="15" t="str">
        <f>IF(ISNUMBER(Agent!$E$27*E5*K5*L5),TRUNC(Agent!$E$27*E5*K5*L5,3),"没有上级")</f>
        <v>没有上级</v>
      </c>
      <c r="U5" s="15" t="str">
        <f>IF(ISNUMBER(Agent!$E$30*E5*K5*L5),TRUNC(Agent!$E$30*E5*K5*L5,3),"没有上级")</f>
        <v>没有上级</v>
      </c>
      <c r="V5" s="15" t="str">
        <f>IF(ISNUMBER(Agent!$E$33*E5*K5*L5),TRUNC(Agent!$E$33*E5*K5*L5,3),"没有上级")</f>
        <v>没有上级</v>
      </c>
      <c r="W5" s="14">
        <f>K3Source!M5</f>
        <v>32.363999999999997</v>
      </c>
      <c r="X5" s="14">
        <f>K3Source!N5</f>
        <v>32.363999999999997</v>
      </c>
      <c r="Y5" s="12">
        <f>COMBIN(LEN(SUBSTITUTE(C5," ",)),3)</f>
        <v>20</v>
      </c>
      <c r="AA5" s="10">
        <f t="shared" si="2"/>
        <v>0</v>
      </c>
      <c r="AB5" s="10" t="s">
        <v>85</v>
      </c>
      <c r="AC5" s="10">
        <f>TRUNC(0.036,3)</f>
        <v>3.5999999999999997E-2</v>
      </c>
      <c r="AD5" s="15">
        <v>31.68</v>
      </c>
      <c r="AE5" s="15">
        <f t="shared" si="3"/>
        <v>32.363999999999997</v>
      </c>
    </row>
    <row r="6" spans="1:31" x14ac:dyDescent="0.15">
      <c r="A6" s="12" t="s">
        <v>7</v>
      </c>
      <c r="B6" s="10" t="s">
        <v>19</v>
      </c>
      <c r="C6" s="14" t="str">
        <f>K3Source!K6</f>
        <v>三连号通选</v>
      </c>
      <c r="D6" s="15">
        <v>6</v>
      </c>
      <c r="E6" s="15">
        <f>K3Source!H6</f>
        <v>6</v>
      </c>
      <c r="F6" s="15">
        <f t="shared" si="0"/>
        <v>6</v>
      </c>
      <c r="G6" s="15" t="e">
        <f>IF(Z$3=1,F6*(Agent!D$6-Agent!B$3)/100,SUM(M6:V6))</f>
        <v>#VALUE!</v>
      </c>
      <c r="H6" s="15">
        <f>K3Source!$J6</f>
        <v>48.467999999999996</v>
      </c>
      <c r="I6" s="15">
        <f t="shared" si="1"/>
        <v>10000000017.556</v>
      </c>
      <c r="J6" s="12">
        <f>K3Source!E$2</f>
        <v>465</v>
      </c>
      <c r="K6" s="15">
        <f>K3Source!L6</f>
        <v>8.0000000000000002E-3</v>
      </c>
      <c r="L6" s="15">
        <f>K3Source!$I6</f>
        <v>1</v>
      </c>
      <c r="M6" s="15" t="str">
        <f>IF(ISNUMBER(Agent!$E$6*K6*E6*L6),TRUNC(Agent!$E$6*K6*E6*L6,3),"没有上级")</f>
        <v>没有上级</v>
      </c>
      <c r="N6" s="15" t="str">
        <f>IF(ISNUMBER(Agent!$E$9*E6*K6*L6),TRUNC(Agent!$E$9*E6*K6*L6,3),"没有上级")</f>
        <v>没有上级</v>
      </c>
      <c r="O6" s="15" t="str">
        <f>IF(ISNUMBER(Agent!$E$12*E6*K6*L6),TRUNC(Agent!$E$12*E6*K6*L6,3),"没有上级")</f>
        <v>没有上级</v>
      </c>
      <c r="P6" s="15" t="str">
        <f>IF(ISNUMBER(Agent!$E$15*E6*K6*L6),TRUNC(Agent!$E$15*E6*K6*L6,3),"没有上级")</f>
        <v>没有上级</v>
      </c>
      <c r="Q6" s="15" t="str">
        <f>IF(ISNUMBER(Agent!$E$18*E6*K6*L6),TRUNC(Agent!$E$18*E6*K6*L6,3),"没有上级")</f>
        <v>没有上级</v>
      </c>
      <c r="R6" s="15" t="str">
        <f>IF(ISNUMBER(Agent!$E$21*E6*K6*L6),TRUNC(Agent!$E$21*E6*K6*L6,3),"没有上级")</f>
        <v>没有上级</v>
      </c>
      <c r="S6" s="15" t="str">
        <f>IF(ISNUMBER(Agent!$E$24*E6*K6*L6),TRUNC(Agent!$E$24*E6*K6*L6,3),"没有上级")</f>
        <v>没有上级</v>
      </c>
      <c r="T6" s="15" t="str">
        <f>IF(ISNUMBER(Agent!$E$27*E6*K6*L6),TRUNC(Agent!$E$27*E6*K6*L6,3),"没有上级")</f>
        <v>没有上级</v>
      </c>
      <c r="U6" s="15" t="str">
        <f>IF(ISNUMBER(Agent!$E$30*E6*K6*L6),TRUNC(Agent!$E$30*E6*K6*L6,3),"没有上级")</f>
        <v>没有上级</v>
      </c>
      <c r="V6" s="15" t="str">
        <f>IF(ISNUMBER(Agent!$E$33*E6*K6*L6),TRUNC(Agent!$E$33*E6*K6*L6,3),"没有上级")</f>
        <v>没有上级</v>
      </c>
      <c r="W6" s="14">
        <f>K3Source!M6</f>
        <v>8.0779999999999994</v>
      </c>
      <c r="X6" s="14">
        <f>K3Source!N6</f>
        <v>8.0779999999999994</v>
      </c>
      <c r="Y6" s="12">
        <v>1</v>
      </c>
      <c r="AA6" s="10">
        <f t="shared" si="2"/>
        <v>0</v>
      </c>
      <c r="AB6" s="10" t="s">
        <v>86</v>
      </c>
      <c r="AC6" s="12">
        <f>TRUNC(0.0215,3)</f>
        <v>2.1000000000000001E-2</v>
      </c>
      <c r="AD6" s="15">
        <v>19</v>
      </c>
      <c r="AE6" s="15">
        <f t="shared" si="3"/>
        <v>19.399000000000001</v>
      </c>
    </row>
    <row r="7" spans="1:31" x14ac:dyDescent="0.15">
      <c r="A7" s="12" t="s">
        <v>8</v>
      </c>
      <c r="B7" s="10" t="s">
        <v>21</v>
      </c>
      <c r="C7" s="14" t="str">
        <f>K3Source!K7</f>
        <v>11 22 33 44 55 66</v>
      </c>
      <c r="D7" s="15">
        <v>1</v>
      </c>
      <c r="E7" s="15">
        <f>K3Source!H7</f>
        <v>1</v>
      </c>
      <c r="F7" s="15">
        <f t="shared" si="0"/>
        <v>6</v>
      </c>
      <c r="G7" s="15" t="e">
        <f>IF(Z$3=1,F7*(Agent!D$6-Agent!B$3)/100,SUM(M7:V7))</f>
        <v>#VALUE!</v>
      </c>
      <c r="H7" s="15">
        <f>K3Source!$J7</f>
        <v>0</v>
      </c>
      <c r="I7" s="15">
        <f t="shared" si="1"/>
        <v>10000000011.556</v>
      </c>
      <c r="J7" s="12">
        <f>K3Source!E$2</f>
        <v>465</v>
      </c>
      <c r="K7" s="15">
        <f>K3Source!L7</f>
        <v>1.4E-2</v>
      </c>
      <c r="L7" s="15">
        <f>K3Source!$I7</f>
        <v>0</v>
      </c>
      <c r="M7" s="15" t="str">
        <f>IF(ISNUMBER(Agent!$E$6*K7*E7*L7),TRUNC(Agent!$E$6*K7*E7*L7,3),"没有上级")</f>
        <v>没有上级</v>
      </c>
      <c r="N7" s="15" t="str">
        <f>IF(ISNUMBER(Agent!$E$9*E7*K7*L7),TRUNC(Agent!$E$9*E7*K7*L7,3),"没有上级")</f>
        <v>没有上级</v>
      </c>
      <c r="O7" s="15" t="str">
        <f>IF(ISNUMBER(Agent!$E$12*E7*K7*L7),TRUNC(Agent!$E$12*E7*K7*L7,3),"没有上级")</f>
        <v>没有上级</v>
      </c>
      <c r="P7" s="15" t="str">
        <f>IF(ISNUMBER(Agent!$E$15*E7*K7*L7),TRUNC(Agent!$E$15*E7*K7*L7,3),"没有上级")</f>
        <v>没有上级</v>
      </c>
      <c r="Q7" s="15" t="str">
        <f>IF(ISNUMBER(Agent!$E$18*E7*K7*L7),TRUNC(Agent!$E$18*E7*K7*L7,3),"没有上级")</f>
        <v>没有上级</v>
      </c>
      <c r="R7" s="15" t="str">
        <f>IF(ISNUMBER(Agent!$E$21*E7*K7*L7),TRUNC(Agent!$E$21*E7*K7*L7,3),"没有上级")</f>
        <v>没有上级</v>
      </c>
      <c r="S7" s="15" t="str">
        <f>IF(ISNUMBER(Agent!$E$24*E7*K7*L7),TRUNC(Agent!$E$24*E7*K7*L7,3),"没有上级")</f>
        <v>没有上级</v>
      </c>
      <c r="T7" s="15" t="str">
        <f>IF(ISNUMBER(Agent!$E$27*E7*K7*L7),TRUNC(Agent!$E$27*E7*K7*L7,3),"没有上级")</f>
        <v>没有上级</v>
      </c>
      <c r="U7" s="15" t="str">
        <f>IF(ISNUMBER(Agent!$E$30*E7*K7*L7),TRUNC(Agent!$E$30*E7*K7*L7,3),"没有上级")</f>
        <v>没有上级</v>
      </c>
      <c r="V7" s="15" t="str">
        <f>IF(ISNUMBER(Agent!$E$33*E7*K7*L7),TRUNC(Agent!$E$33*E7*K7*L7,3),"没有上级")</f>
        <v>没有上级</v>
      </c>
      <c r="W7" s="14">
        <f>K3Source!M7</f>
        <v>12.93</v>
      </c>
      <c r="X7" s="14">
        <f>K3Source!N7</f>
        <v>12.93</v>
      </c>
      <c r="Y7" s="12">
        <f>LEN(SUBSTITUTE(C7," ",))/2</f>
        <v>6</v>
      </c>
      <c r="AA7" s="10">
        <f t="shared" si="2"/>
        <v>0</v>
      </c>
      <c r="AB7" s="10" t="s">
        <v>87</v>
      </c>
      <c r="AC7" s="12">
        <f>TRUNC(0.01425,3)</f>
        <v>1.4E-2</v>
      </c>
      <c r="AD7" s="15">
        <v>12.67</v>
      </c>
      <c r="AE7" s="15">
        <f t="shared" si="3"/>
        <v>12.936</v>
      </c>
    </row>
    <row r="8" spans="1:31" x14ac:dyDescent="0.15">
      <c r="A8" s="12" t="s">
        <v>8</v>
      </c>
      <c r="B8" s="10" t="s">
        <v>23</v>
      </c>
      <c r="C8" s="14" t="str">
        <f>K3Source!K8</f>
        <v>11 22 33 4 5 6</v>
      </c>
      <c r="D8" s="15">
        <v>5</v>
      </c>
      <c r="E8" s="15">
        <f>K3Source!H8</f>
        <v>5</v>
      </c>
      <c r="F8" s="15">
        <f t="shared" si="0"/>
        <v>45</v>
      </c>
      <c r="G8" s="15" t="e">
        <f>IF(Z$3=1,F8*(Agent!D$6-Agent!B$3)/100,SUM(M8:V8))</f>
        <v>#VALUE!</v>
      </c>
      <c r="H8" s="15">
        <f>K3Source!$J8</f>
        <v>0</v>
      </c>
      <c r="I8" s="15">
        <f t="shared" si="1"/>
        <v>9999999966.5559998</v>
      </c>
      <c r="J8" s="12">
        <f>K3Source!E$2</f>
        <v>465</v>
      </c>
      <c r="K8" s="15">
        <f>K3Source!L8</f>
        <v>7.1999999999999995E-2</v>
      </c>
      <c r="L8" s="15">
        <f>K3Source!$I8</f>
        <v>0</v>
      </c>
      <c r="M8" s="15" t="str">
        <f>IF(ISNUMBER(Agent!$E$6*K8*E8*L8),TRUNC(Agent!$E$6*K8*E8*L8,3),"没有上级")</f>
        <v>没有上级</v>
      </c>
      <c r="N8" s="15" t="str">
        <f>IF(ISNUMBER(Agent!$E$9*E8*K8*L8),TRUNC(Agent!$E$9*E8*K8*L8,3),"没有上级")</f>
        <v>没有上级</v>
      </c>
      <c r="O8" s="15" t="str">
        <f>IF(ISNUMBER(Agent!$E$12*E8*K8*L8),TRUNC(Agent!$E$12*E8*K8*L8,3),"没有上级")</f>
        <v>没有上级</v>
      </c>
      <c r="P8" s="15" t="str">
        <f>IF(ISNUMBER(Agent!$E$15*E8*K8*L8),TRUNC(Agent!$E$15*E8*K8*L8,3),"没有上级")</f>
        <v>没有上级</v>
      </c>
      <c r="Q8" s="15" t="str">
        <f>IF(ISNUMBER(Agent!$E$18*E8*K8*L8),TRUNC(Agent!$E$18*E8*K8*L8,3),"没有上级")</f>
        <v>没有上级</v>
      </c>
      <c r="R8" s="15" t="str">
        <f>IF(ISNUMBER(Agent!$E$21*E8*K8*L8),TRUNC(Agent!$E$21*E8*K8*L8,3),"没有上级")</f>
        <v>没有上级</v>
      </c>
      <c r="S8" s="15" t="str">
        <f>IF(ISNUMBER(Agent!$E$24*E8*K8*L8),TRUNC(Agent!$E$24*E8*K8*L8,3),"没有上级")</f>
        <v>没有上级</v>
      </c>
      <c r="T8" s="15" t="str">
        <f>IF(ISNUMBER(Agent!$E$27*E8*K8*L8),TRUNC(Agent!$E$27*E8*K8*L8,3),"没有上级")</f>
        <v>没有上级</v>
      </c>
      <c r="U8" s="15" t="str">
        <f>IF(ISNUMBER(Agent!$E$30*E8*K8*L8),TRUNC(Agent!$E$30*E8*K8*L8,3),"没有上级")</f>
        <v>没有上级</v>
      </c>
      <c r="V8" s="15" t="str">
        <f>IF(ISNUMBER(Agent!$E$33*E8*K8*L8),TRUNC(Agent!$E$33*E8*K8*L8,3),"没有上级")</f>
        <v>没有上级</v>
      </c>
      <c r="W8" s="14">
        <f>K3Source!M8</f>
        <v>64.727999999999994</v>
      </c>
      <c r="X8" s="14">
        <f>K3Source!N8</f>
        <v>64.727999999999994</v>
      </c>
      <c r="Y8" s="10">
        <v>9</v>
      </c>
      <c r="AA8" s="10">
        <f t="shared" si="2"/>
        <v>0</v>
      </c>
      <c r="AB8" s="10" t="s">
        <v>88</v>
      </c>
      <c r="AC8" s="12">
        <f>TRUNC(0.01025,3)</f>
        <v>0.01</v>
      </c>
      <c r="AD8" s="15">
        <v>9.0500000000000007</v>
      </c>
      <c r="AE8" s="15">
        <f t="shared" si="3"/>
        <v>9.24</v>
      </c>
    </row>
    <row r="9" spans="1:31" x14ac:dyDescent="0.15">
      <c r="A9" s="12" t="s">
        <v>8</v>
      </c>
      <c r="B9" s="10" t="s">
        <v>25</v>
      </c>
      <c r="C9" s="14" t="str">
        <f>K3Source!K9</f>
        <v>1 2 3 4 5 6</v>
      </c>
      <c r="D9" s="15">
        <v>6</v>
      </c>
      <c r="E9" s="15">
        <f>K3Source!H9</f>
        <v>6</v>
      </c>
      <c r="F9" s="15">
        <f t="shared" si="0"/>
        <v>90</v>
      </c>
      <c r="G9" s="15" t="e">
        <f>IF(Z$3=1,F9*(Agent!D$6-Agent!B$3)/100,SUM(M9:V9))</f>
        <v>#VALUE!</v>
      </c>
      <c r="H9" s="15">
        <f>K3Source!$J9</f>
        <v>116.37</v>
      </c>
      <c r="I9" s="15">
        <f t="shared" si="1"/>
        <v>9999999992.9260006</v>
      </c>
      <c r="J9" s="12">
        <f>K3Source!E$2</f>
        <v>465</v>
      </c>
      <c r="K9" s="15">
        <f>K3Source!L9</f>
        <v>7.0000000000000001E-3</v>
      </c>
      <c r="L9" s="15">
        <f>K3Source!$I9</f>
        <v>3</v>
      </c>
      <c r="M9" s="15" t="str">
        <f>IF(ISNUMBER(Agent!$E$6*K9*E9*L9),TRUNC(Agent!$E$6*K9*E9*L9,3),"没有上级")</f>
        <v>没有上级</v>
      </c>
      <c r="N9" s="15" t="str">
        <f>IF(ISNUMBER(Agent!$E$9*E9*K9*L9),TRUNC(Agent!$E$9*E9*K9*L9,3),"没有上级")</f>
        <v>没有上级</v>
      </c>
      <c r="O9" s="15" t="str">
        <f>IF(ISNUMBER(Agent!$E$12*E9*K9*L9),TRUNC(Agent!$E$12*E9*K9*L9,3),"没有上级")</f>
        <v>没有上级</v>
      </c>
      <c r="P9" s="15" t="str">
        <f>IF(ISNUMBER(Agent!$E$15*E9*K9*L9),TRUNC(Agent!$E$15*E9*K9*L9,3),"没有上级")</f>
        <v>没有上级</v>
      </c>
      <c r="Q9" s="15" t="str">
        <f>IF(ISNUMBER(Agent!$E$18*E9*K9*L9),TRUNC(Agent!$E$18*E9*K9*L9,3),"没有上级")</f>
        <v>没有上级</v>
      </c>
      <c r="R9" s="15" t="str">
        <f>IF(ISNUMBER(Agent!$E$21*E9*K9*L9),TRUNC(Agent!$E$21*E9*K9*L9,3),"没有上级")</f>
        <v>没有上级</v>
      </c>
      <c r="S9" s="15" t="str">
        <f>IF(ISNUMBER(Agent!$E$24*E9*K9*L9),TRUNC(Agent!$E$24*E9*K9*L9,3),"没有上级")</f>
        <v>没有上级</v>
      </c>
      <c r="T9" s="15" t="str">
        <f>IF(ISNUMBER(Agent!$E$27*E9*K9*L9),TRUNC(Agent!$E$27*E9*K9*L9,3),"没有上级")</f>
        <v>没有上级</v>
      </c>
      <c r="U9" s="15" t="str">
        <f>IF(ISNUMBER(Agent!$E$30*E9*K9*L9),TRUNC(Agent!$E$30*E9*K9*L9,3),"没有上级")</f>
        <v>没有上级</v>
      </c>
      <c r="V9" s="15" t="str">
        <f>IF(ISNUMBER(Agent!$E$33*E9*K9*L9),TRUNC(Agent!$E$33*E9*K9*L9,3),"没有上级")</f>
        <v>没有上级</v>
      </c>
      <c r="W9" s="14">
        <f>K3Source!M9</f>
        <v>6.4649999999999999</v>
      </c>
      <c r="X9" s="14">
        <f>K3Source!N9</f>
        <v>6.4649999999999999</v>
      </c>
      <c r="Y9" s="15">
        <f>COMBIN(LEN(SUBSTITUTE(C9," ",)),2)</f>
        <v>15</v>
      </c>
      <c r="AA9" s="10">
        <f t="shared" si="2"/>
        <v>0</v>
      </c>
      <c r="AB9" s="10" t="s">
        <v>89</v>
      </c>
      <c r="AC9" s="12">
        <f>TRUNC(0.0085,3)</f>
        <v>8.0000000000000002E-3</v>
      </c>
      <c r="AD9" s="15">
        <v>7.6</v>
      </c>
      <c r="AE9" s="15">
        <f t="shared" si="3"/>
        <v>7.7519999999999998</v>
      </c>
    </row>
    <row r="10" spans="1:31" x14ac:dyDescent="0.15">
      <c r="A10" s="15" t="s">
        <v>7</v>
      </c>
      <c r="B10" s="10" t="s">
        <v>11</v>
      </c>
      <c r="C10" s="13" t="str">
        <f>K3Source!K10</f>
        <v>小 单 11 12 13 14 15 16 17 18</v>
      </c>
      <c r="D10" s="15">
        <v>3</v>
      </c>
      <c r="E10" s="15">
        <f>K3Source!H10</f>
        <v>3</v>
      </c>
      <c r="F10" s="15">
        <f t="shared" si="0"/>
        <v>30</v>
      </c>
      <c r="G10" s="15" t="e">
        <f>IF(Z$3=1,F10*(Agent!D$6-Agent!B$3)/100,SUM(M10:V10))</f>
        <v>#VALUE!</v>
      </c>
      <c r="H10" s="15">
        <f>K3Source!$J10</f>
        <v>64.218000000000004</v>
      </c>
      <c r="I10" s="15">
        <f t="shared" si="1"/>
        <v>10000000027.144001</v>
      </c>
      <c r="J10" s="15">
        <f>K3Source!E$2</f>
        <v>465</v>
      </c>
      <c r="K10" s="15">
        <f>N(ISNUMBER(FIND(K3Source!P2,K3Source!D10,1)))*AC2+N(ISNUMBER(FIND(K3Source!P3,K3Source!D10,1)))*AC2+N(ISNUMBER(FIND(K3Source!P$4,K3Source!$D10,1)))*SUM(K3Source!H28:H35)</f>
        <v>2.3E-2</v>
      </c>
      <c r="L10" s="15">
        <f>K3Source!$I10</f>
        <v>2</v>
      </c>
      <c r="M10" s="15" t="str">
        <f>IF(ISNUMBER(Agent!$E$6*K10*E10),TRUNC(Agent!$E$6*K10*E10,3),"没有上级")</f>
        <v>没有上级</v>
      </c>
      <c r="N10" s="15" t="str">
        <f>IF(ISNUMBER(Agent!$E$9*E10*K10),TRUNC(Agent!$E$9*E10*K10,3),"没有上级")</f>
        <v>没有上级</v>
      </c>
      <c r="O10" s="15" t="str">
        <f>IF(ISNUMBER(Agent!$E$12*E10*K10),TRUNC(Agent!$E$12*E10*K10,3),"没有上级")</f>
        <v>没有上级</v>
      </c>
      <c r="P10" s="15" t="str">
        <f>IF(ISNUMBER(Agent!$E$15*E10*K10),TRUNC(Agent!$E$15*E10*K10,3),"没有上级")</f>
        <v>没有上级</v>
      </c>
      <c r="Q10" s="15" t="str">
        <f>IF(ISNUMBER(Agent!$E$18*E10*K10),TRUNC(Agent!$E$18*E10*K10,3),"没有上级")</f>
        <v>没有上级</v>
      </c>
      <c r="R10" s="15" t="str">
        <f>IF(ISNUMBER(Agent!$E$21*E10*K10),TRUNC(Agent!$E$21*E10*K10,3),"没有上级")</f>
        <v>没有上级</v>
      </c>
      <c r="S10" s="15" t="str">
        <f>IF(ISNUMBER(Agent!$E$24*E10*K10),TRUNC(Agent!$E$24*E10*K10,3),"没有上级")</f>
        <v>没有上级</v>
      </c>
      <c r="T10" s="15" t="str">
        <f>IF(ISNUMBER(Agent!$E$27*E10*K10),TRUNC(Agent!$E$27*E10*K10,3),"没有上级")</f>
        <v>没有上级</v>
      </c>
      <c r="U10" s="15" t="str">
        <f>IF(ISNUMBER(Agent!$E$30*E10*K10),TRUNC(Agent!$E$30*E10*K10,3),"没有上级")</f>
        <v>没有上级</v>
      </c>
      <c r="V10" s="15" t="str">
        <f>IF(ISNUMBER(Agent!$E$33*E10*K10),TRUNC(Agent!$E$33*E10*K10,3),"没有上级")</f>
        <v>没有上级</v>
      </c>
      <c r="W10" s="14"/>
      <c r="X10" s="14"/>
      <c r="Y10" s="12">
        <v>10</v>
      </c>
      <c r="AB10" s="10" t="s">
        <v>90</v>
      </c>
      <c r="AC10" s="12">
        <f>TRUNC(0.008,3)</f>
        <v>8.0000000000000002E-3</v>
      </c>
      <c r="AD10" s="15">
        <v>7.04</v>
      </c>
      <c r="AE10" s="15">
        <f t="shared" si="3"/>
        <v>7.1920000000000002</v>
      </c>
    </row>
    <row r="11" spans="1:31" x14ac:dyDescent="0.15">
      <c r="A11" s="15" t="s">
        <v>8</v>
      </c>
      <c r="B11" s="10" t="s">
        <v>23</v>
      </c>
      <c r="C11" s="14" t="str">
        <f>K3Source!K11</f>
        <v>1 2 3 44 55 66</v>
      </c>
      <c r="D11" s="15">
        <v>3</v>
      </c>
      <c r="E11" s="15">
        <f>K3Source!H11</f>
        <v>3</v>
      </c>
      <c r="F11" s="15">
        <f t="shared" si="0"/>
        <v>27</v>
      </c>
      <c r="G11" s="15" t="e">
        <f>IF(Z$3=1,F11*(Agent!D$6-Agent!B$3)/100,SUM(M11:V11))</f>
        <v>#VALUE!</v>
      </c>
      <c r="H11" s="15">
        <f>K3Source!$J11</f>
        <v>0</v>
      </c>
      <c r="I11" s="15">
        <f t="shared" si="1"/>
        <v>10000000000.144001</v>
      </c>
      <c r="J11" s="15">
        <f>K3Source!E$2</f>
        <v>465</v>
      </c>
      <c r="K11" s="15">
        <f>K3Source!L11</f>
        <v>7.1999999999999995E-2</v>
      </c>
      <c r="L11" s="15">
        <f>K3Source!$I11</f>
        <v>0</v>
      </c>
      <c r="M11" s="15" t="str">
        <f>IF(ISNUMBER(Agent!$E$6*K11*E11*L11),TRUNC(Agent!$E$6*K11*E11*L11,3),"没有上级")</f>
        <v>没有上级</v>
      </c>
      <c r="N11" s="15" t="str">
        <f>IF(ISNUMBER(Agent!$E$9*E11*K11*L11),TRUNC(Agent!$E$9*E11*K11*L11,3),"没有上级")</f>
        <v>没有上级</v>
      </c>
      <c r="O11" s="15" t="str">
        <f>IF(ISNUMBER(Agent!$E$12*E11*K11*L11),TRUNC(Agent!$E$12*E11*K11*L11,3),"没有上级")</f>
        <v>没有上级</v>
      </c>
      <c r="P11" s="15" t="str">
        <f>IF(ISNUMBER(Agent!$E$15*E11*K11*L11),TRUNC(Agent!$E$15*E11*K11*L11,3),"没有上级")</f>
        <v>没有上级</v>
      </c>
      <c r="Q11" s="15" t="str">
        <f>IF(ISNUMBER(Agent!$E$18*E11*K11*L11),TRUNC(Agent!$E$18*E11*K11*L11,3),"没有上级")</f>
        <v>没有上级</v>
      </c>
      <c r="R11" s="15" t="str">
        <f>IF(ISNUMBER(Agent!$E$21*E11*K11*L11),TRUNC(Agent!$E$21*E11*K11*L11,3),"没有上级")</f>
        <v>没有上级</v>
      </c>
      <c r="S11" s="15" t="str">
        <f>IF(ISNUMBER(Agent!$E$24*E11*K11*L11),TRUNC(Agent!$E$24*E11*K11*L11,3),"没有上级")</f>
        <v>没有上级</v>
      </c>
      <c r="T11" s="15" t="str">
        <f>IF(ISNUMBER(Agent!$E$27*E11*K11*L11),TRUNC(Agent!$E$27*E11*K11*L11,3),"没有上级")</f>
        <v>没有上级</v>
      </c>
      <c r="U11" s="15" t="str">
        <f>IF(ISNUMBER(Agent!$E$30*E11*K11*L11),TRUNC(Agent!$E$30*E11*K11*L11,3),"没有上级")</f>
        <v>没有上级</v>
      </c>
      <c r="V11" s="15" t="str">
        <f>IF(ISNUMBER(Agent!$E$33*E11*K11*L11),TRUNC(Agent!$E$33*E11*K11*L11,3),"没有上级")</f>
        <v>没有上级</v>
      </c>
      <c r="W11" s="14">
        <f>K3Source!M11</f>
        <v>64.727999999999994</v>
      </c>
      <c r="X11" s="14">
        <f>K3Source!N11</f>
        <v>64.727999999999994</v>
      </c>
      <c r="Y11" s="12">
        <v>9</v>
      </c>
      <c r="AD11" s="13"/>
    </row>
    <row r="13" spans="1:31" x14ac:dyDescent="0.15">
      <c r="E13" s="15" t="s">
        <v>133</v>
      </c>
      <c r="F13" s="12" t="str">
        <f>F17</f>
        <v>455</v>
      </c>
    </row>
    <row r="14" spans="1:31" x14ac:dyDescent="0.15">
      <c r="E14" s="22" t="s">
        <v>138</v>
      </c>
      <c r="F14" s="15" t="str">
        <f>SUBSTITUTE(E14,",",)</f>
        <v>446</v>
      </c>
      <c r="M14" s="15">
        <f>SUM(M2:M11)</f>
        <v>0</v>
      </c>
      <c r="N14" s="15">
        <f t="shared" ref="N14:V14" si="4">SUM(N2:N11)</f>
        <v>0</v>
      </c>
      <c r="O14" s="15">
        <f t="shared" si="4"/>
        <v>0</v>
      </c>
      <c r="P14" s="15">
        <f t="shared" si="4"/>
        <v>0</v>
      </c>
      <c r="Q14" s="15">
        <f t="shared" si="4"/>
        <v>0</v>
      </c>
      <c r="R14" s="15">
        <f t="shared" si="4"/>
        <v>0</v>
      </c>
      <c r="S14" s="15">
        <f t="shared" si="4"/>
        <v>0</v>
      </c>
      <c r="T14" s="15">
        <f t="shared" si="4"/>
        <v>0</v>
      </c>
      <c r="U14" s="15">
        <f t="shared" si="4"/>
        <v>0</v>
      </c>
      <c r="V14" s="15">
        <f t="shared" si="4"/>
        <v>0</v>
      </c>
    </row>
    <row r="15" spans="1:31" x14ac:dyDescent="0.15">
      <c r="E15" s="22" t="s">
        <v>137</v>
      </c>
      <c r="F15" s="15" t="str">
        <f t="shared" ref="F15:F30" si="5">SUBSTITUTE(E15,",",)</f>
        <v>145</v>
      </c>
    </row>
    <row r="16" spans="1:31" x14ac:dyDescent="0.15">
      <c r="E16" s="22" t="s">
        <v>145</v>
      </c>
      <c r="F16" s="15" t="str">
        <f t="shared" si="5"/>
        <v>244</v>
      </c>
    </row>
    <row r="17" spans="3:23" x14ac:dyDescent="0.15">
      <c r="E17" s="22" t="s">
        <v>146</v>
      </c>
      <c r="F17" s="15" t="str">
        <f t="shared" si="5"/>
        <v>455</v>
      </c>
    </row>
    <row r="18" spans="3:23" x14ac:dyDescent="0.15">
      <c r="E18" s="22" t="s">
        <v>135</v>
      </c>
      <c r="F18" s="15" t="str">
        <f t="shared" si="5"/>
        <v>123</v>
      </c>
    </row>
    <row r="19" spans="3:23" x14ac:dyDescent="0.15">
      <c r="E19" s="22" t="s">
        <v>147</v>
      </c>
      <c r="F19" s="15" t="str">
        <f t="shared" si="5"/>
        <v>666</v>
      </c>
    </row>
    <row r="20" spans="3:23" x14ac:dyDescent="0.15">
      <c r="E20" s="15" t="s">
        <v>134</v>
      </c>
      <c r="F20" s="15" t="str">
        <f t="shared" si="5"/>
        <v>456</v>
      </c>
    </row>
    <row r="21" spans="3:23" x14ac:dyDescent="0.15">
      <c r="E21" s="15" t="s">
        <v>139</v>
      </c>
      <c r="F21" s="15" t="str">
        <f t="shared" si="5"/>
        <v>134</v>
      </c>
    </row>
    <row r="22" spans="3:23" x14ac:dyDescent="0.15">
      <c r="E22" s="15" t="s">
        <v>146</v>
      </c>
      <c r="F22" s="15" t="str">
        <f t="shared" si="5"/>
        <v>455</v>
      </c>
    </row>
    <row r="23" spans="3:23" x14ac:dyDescent="0.15">
      <c r="E23" s="15" t="s">
        <v>148</v>
      </c>
      <c r="F23" s="15" t="str">
        <f t="shared" si="5"/>
        <v>225</v>
      </c>
    </row>
    <row r="24" spans="3:23" x14ac:dyDescent="0.15">
      <c r="E24" s="15" t="s">
        <v>132</v>
      </c>
      <c r="F24" s="15" t="str">
        <f t="shared" si="5"/>
        <v>126</v>
      </c>
    </row>
    <row r="25" spans="3:23" x14ac:dyDescent="0.15">
      <c r="E25" s="15"/>
      <c r="F25" s="15" t="str">
        <f t="shared" si="5"/>
        <v/>
      </c>
    </row>
    <row r="26" spans="3:23" x14ac:dyDescent="0.15">
      <c r="E26" s="15"/>
      <c r="F26" s="15" t="str">
        <f t="shared" si="5"/>
        <v/>
      </c>
    </row>
    <row r="27" spans="3:23" x14ac:dyDescent="0.15">
      <c r="C27" s="11"/>
      <c r="E27" s="15"/>
      <c r="F27" s="15" t="str">
        <f t="shared" si="5"/>
        <v/>
      </c>
    </row>
    <row r="28" spans="3:23" x14ac:dyDescent="0.15">
      <c r="E28" s="15"/>
      <c r="F28" s="15" t="str">
        <f t="shared" si="5"/>
        <v/>
      </c>
    </row>
    <row r="29" spans="3:23" x14ac:dyDescent="0.15">
      <c r="E29" s="15"/>
      <c r="F29" s="15" t="str">
        <f t="shared" si="5"/>
        <v/>
      </c>
    </row>
    <row r="30" spans="3:23" x14ac:dyDescent="0.15">
      <c r="E30" s="15"/>
      <c r="F30" s="15" t="str">
        <f t="shared" si="5"/>
        <v/>
      </c>
    </row>
    <row r="31" spans="3:23" x14ac:dyDescent="0.15">
      <c r="E31" s="15"/>
    </row>
    <row r="32" spans="3:23" x14ac:dyDescent="0.15">
      <c r="E32" s="15"/>
    </row>
    <row r="33" spans="5:5" x14ac:dyDescent="0.15">
      <c r="E33" s="15"/>
    </row>
    <row r="34" spans="5:5" x14ac:dyDescent="0.15">
      <c r="E34" s="15"/>
    </row>
    <row r="35" spans="5:5" x14ac:dyDescent="0.15">
      <c r="E35" s="15"/>
    </row>
    <row r="36" spans="5:5" x14ac:dyDescent="0.15">
      <c r="E36" s="15"/>
    </row>
    <row r="37" spans="5:5" x14ac:dyDescent="0.15">
      <c r="E37" s="15"/>
    </row>
    <row r="38" spans="5:5" x14ac:dyDescent="0.15">
      <c r="E38" s="15"/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1"/>
  <sheetViews>
    <sheetView workbookViewId="0">
      <selection activeCell="B11" sqref="B11"/>
    </sheetView>
  </sheetViews>
  <sheetFormatPr defaultRowHeight="13.5" x14ac:dyDescent="0.15"/>
  <cols>
    <col min="2" max="2" width="11" bestFit="1" customWidth="1"/>
    <col min="3" max="3" width="24.25" customWidth="1"/>
  </cols>
  <sheetData>
    <row r="1" spans="1:5" x14ac:dyDescent="0.15">
      <c r="A1" t="s">
        <v>0</v>
      </c>
      <c r="B1" t="s">
        <v>1</v>
      </c>
      <c r="C1" t="s">
        <v>114</v>
      </c>
      <c r="D1" t="s">
        <v>4</v>
      </c>
      <c r="E1" t="s">
        <v>115</v>
      </c>
    </row>
    <row r="2" spans="1:5" x14ac:dyDescent="0.15">
      <c r="B2" t="str">
        <f>'K3'!B2</f>
        <v>和值</v>
      </c>
      <c r="C2" t="str">
        <f>'K3'!C2</f>
        <v>大 双 3 4 5 6 7 8 9 10</v>
      </c>
      <c r="D2">
        <f>'K3'!D2</f>
        <v>2</v>
      </c>
      <c r="E2">
        <f>'K3'!E2</f>
        <v>2</v>
      </c>
    </row>
    <row r="3" spans="1:5" x14ac:dyDescent="0.15">
      <c r="B3" t="str">
        <f>'K3'!B3</f>
        <v>三同号通选</v>
      </c>
      <c r="C3" t="str">
        <f>'K3'!C3</f>
        <v>三同号通选</v>
      </c>
      <c r="D3">
        <f>'K3'!D3</f>
        <v>4</v>
      </c>
      <c r="E3">
        <f>'K3'!E3</f>
        <v>4</v>
      </c>
    </row>
    <row r="4" spans="1:5" x14ac:dyDescent="0.15">
      <c r="B4" t="str">
        <f>'K3'!B4</f>
        <v>三同号单选</v>
      </c>
      <c r="C4" t="str">
        <f>'K3'!C4</f>
        <v>111 222 333 444 555 666</v>
      </c>
      <c r="D4">
        <f>'K3'!D4</f>
        <v>7</v>
      </c>
      <c r="E4">
        <f>'K3'!E4</f>
        <v>7</v>
      </c>
    </row>
    <row r="5" spans="1:5" x14ac:dyDescent="0.15">
      <c r="B5" t="str">
        <f>'K3'!B5</f>
        <v>三不同号</v>
      </c>
      <c r="C5" t="str">
        <f>'K3'!C5</f>
        <v>1 2 3 4 5 6</v>
      </c>
      <c r="D5">
        <f>'K3'!D5</f>
        <v>3</v>
      </c>
      <c r="E5">
        <f>'K3'!E5</f>
        <v>3</v>
      </c>
    </row>
    <row r="6" spans="1:5" x14ac:dyDescent="0.15">
      <c r="B6" t="str">
        <f>'K3'!B6</f>
        <v>三连号通选</v>
      </c>
      <c r="C6" t="str">
        <f>'K3'!C6</f>
        <v>三连号通选</v>
      </c>
      <c r="D6">
        <f>'K3'!D6</f>
        <v>6</v>
      </c>
      <c r="E6">
        <f>'K3'!E6</f>
        <v>6</v>
      </c>
    </row>
    <row r="7" spans="1:5" x14ac:dyDescent="0.15">
      <c r="B7" t="str">
        <f>'K3'!B7</f>
        <v>二同号复选</v>
      </c>
      <c r="C7" t="str">
        <f>'K3'!C7</f>
        <v>11 22 33 44 55 66</v>
      </c>
      <c r="D7">
        <f>'K3'!D7</f>
        <v>1</v>
      </c>
      <c r="E7">
        <f>'K3'!E7</f>
        <v>1</v>
      </c>
    </row>
    <row r="8" spans="1:5" x14ac:dyDescent="0.15">
      <c r="B8" t="str">
        <f>'K3'!B8</f>
        <v>二同号单选</v>
      </c>
      <c r="C8" t="str">
        <f>'K3'!C8</f>
        <v>11 22 33 4 5 6</v>
      </c>
      <c r="D8">
        <f>'K3'!D8</f>
        <v>5</v>
      </c>
      <c r="E8">
        <f>'K3'!E8</f>
        <v>5</v>
      </c>
    </row>
    <row r="9" spans="1:5" x14ac:dyDescent="0.15">
      <c r="B9" t="str">
        <f>'K3'!B9</f>
        <v>二不同号</v>
      </c>
      <c r="C9" t="str">
        <f>'K3'!C9</f>
        <v>1 2 3 4 5 6</v>
      </c>
      <c r="D9">
        <f>'K3'!D9</f>
        <v>6</v>
      </c>
      <c r="E9">
        <f>'K3'!E9</f>
        <v>6</v>
      </c>
    </row>
    <row r="10" spans="1:5" x14ac:dyDescent="0.15">
      <c r="B10" t="str">
        <f>'K3'!B10</f>
        <v>和值</v>
      </c>
      <c r="C10" t="str">
        <f>'K3'!C10</f>
        <v>小 单 11 12 13 14 15 16 17 18</v>
      </c>
      <c r="D10">
        <f>'K3'!D10</f>
        <v>3</v>
      </c>
      <c r="E10">
        <f>'K3'!E10</f>
        <v>3</v>
      </c>
    </row>
    <row r="11" spans="1:5" x14ac:dyDescent="0.15">
      <c r="B11" t="str">
        <f>'K3'!B11</f>
        <v>二同号单选</v>
      </c>
      <c r="C11" t="str">
        <f>'K3'!C11</f>
        <v>1 2 3 44 55 66</v>
      </c>
      <c r="D11">
        <f>'K3'!D11</f>
        <v>3</v>
      </c>
      <c r="E11">
        <f>'K3'!E11</f>
        <v>3</v>
      </c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229"/>
  <sheetViews>
    <sheetView tabSelected="1" workbookViewId="0">
      <pane ySplit="1" topLeftCell="A2" activePane="bottomLeft" state="frozen"/>
      <selection pane="bottomLeft" activeCell="E3" sqref="E3"/>
    </sheetView>
  </sheetViews>
  <sheetFormatPr defaultRowHeight="20.100000000000001" customHeight="1" x14ac:dyDescent="0.15"/>
  <cols>
    <col min="1" max="1" width="9.5" style="8" bestFit="1" customWidth="1"/>
    <col min="2" max="2" width="12" style="8" customWidth="1"/>
    <col min="3" max="3" width="9.25" style="8" customWidth="1"/>
    <col min="4" max="4" width="32.875" style="2" customWidth="1"/>
    <col min="5" max="5" width="14.375" style="8" customWidth="1"/>
    <col min="6" max="7" width="14.375" style="15" customWidth="1"/>
    <col min="8" max="8" width="11.5" style="4" bestFit="1" customWidth="1"/>
    <col min="9" max="9" width="8" style="15" customWidth="1"/>
    <col min="10" max="10" width="10" style="15" customWidth="1"/>
    <col min="11" max="11" width="39.125" style="9" customWidth="1"/>
    <col min="12" max="13" width="9.125" style="14" customWidth="1"/>
    <col min="14" max="16384" width="9" style="1"/>
  </cols>
  <sheetData>
    <row r="1" spans="1:17" ht="20.100000000000001" customHeight="1" x14ac:dyDescent="0.15">
      <c r="A1" s="8" t="s">
        <v>0</v>
      </c>
      <c r="B1" s="8" t="s">
        <v>1</v>
      </c>
      <c r="C1" s="8" t="s">
        <v>2</v>
      </c>
      <c r="D1" s="6" t="s">
        <v>3</v>
      </c>
      <c r="E1" s="10" t="s">
        <v>30</v>
      </c>
      <c r="F1" s="10" t="s">
        <v>112</v>
      </c>
      <c r="G1" s="10" t="s">
        <v>113</v>
      </c>
      <c r="H1" s="10" t="s">
        <v>33</v>
      </c>
      <c r="I1" s="10" t="s">
        <v>61</v>
      </c>
      <c r="J1" s="10" t="s">
        <v>32</v>
      </c>
      <c r="L1" s="10" t="s">
        <v>102</v>
      </c>
      <c r="M1" s="11" t="s">
        <v>100</v>
      </c>
      <c r="N1" s="11" t="s">
        <v>101</v>
      </c>
      <c r="O1" s="1" t="s">
        <v>6</v>
      </c>
    </row>
    <row r="2" spans="1:17" ht="13.5" x14ac:dyDescent="0.15">
      <c r="A2" s="15" t="s">
        <v>7</v>
      </c>
      <c r="B2" s="10" t="s">
        <v>11</v>
      </c>
      <c r="C2" s="10"/>
      <c r="D2" s="11" t="s">
        <v>116</v>
      </c>
      <c r="E2" s="8">
        <v>465</v>
      </c>
      <c r="F2" s="15">
        <v>111</v>
      </c>
      <c r="G2" s="15">
        <v>1889.1000000000001</v>
      </c>
      <c r="H2" s="5">
        <v>2</v>
      </c>
      <c r="I2" s="10">
        <f>N(ISNUMBER(FIND(P2,D2,1)))+N(ISNUMBER(FIND(P3,D2,1)))+N(ISNUMBER(FIND(P$4,$D2,1)))</f>
        <v>1</v>
      </c>
      <c r="J2" s="15">
        <f>SUM(D16,D19:D27)</f>
        <v>3.996</v>
      </c>
      <c r="K2" s="14" t="str">
        <f>TRIM(IF(LEN(D2)=0,"-",SUBSTITUTE(D2,","," ")))</f>
        <v>大 双 3 4 5 6 7 8 9 10</v>
      </c>
      <c r="L2" s="1"/>
      <c r="M2" s="16"/>
      <c r="N2" s="16"/>
      <c r="P2" s="1" t="str">
        <f>IF(MOD(SUM(LEFT(E$2,1),MID(E$2,2,1),MID(E$2,3,1)),2)=1,",单,",",双,")</f>
        <v>,单,</v>
      </c>
    </row>
    <row r="3" spans="1:17" ht="20.100000000000001" customHeight="1" x14ac:dyDescent="0.15">
      <c r="A3" s="15" t="s">
        <v>7</v>
      </c>
      <c r="B3" s="10" t="s">
        <v>13</v>
      </c>
      <c r="C3" s="10"/>
      <c r="D3" s="11" t="s">
        <v>26</v>
      </c>
      <c r="E3" s="15">
        <f>E2</f>
        <v>465</v>
      </c>
      <c r="F3" s="15">
        <v>112</v>
      </c>
      <c r="G3" s="15">
        <v>191.166</v>
      </c>
      <c r="H3" s="10">
        <v>4</v>
      </c>
      <c r="I3" s="10">
        <f>N(AND(LEFT(E3,1)=MID(E3,2,1),LEFT(E3,1)=RIGHT(E3,1)))</f>
        <v>0</v>
      </c>
      <c r="J3" s="15">
        <f>IF(AND(LEFT(E2,1)=MID(E2,2,1),LEFT(E2,1)=RIGHT(E2,1)),M3*H3,0)</f>
        <v>0</v>
      </c>
      <c r="K3" s="9" t="str">
        <f>TRIM(IF(LEN(D5)=0,"-",SUBSTITUTE(D3," "," ")))</f>
        <v>三同号通选</v>
      </c>
      <c r="L3" s="1">
        <f>TRUNC(((31.68-28.8)/80),3)</f>
        <v>3.5999999999999997E-2</v>
      </c>
      <c r="M3" s="14">
        <f>TRUNC(N3-(9.9-Agent!B$3)*10*L3,3)</f>
        <v>32.363999999999997</v>
      </c>
      <c r="N3" s="15">
        <f>TRUNC(28.8+99*((31.68-28.8)/80),3)</f>
        <v>32.363999999999997</v>
      </c>
      <c r="P3" s="1" t="str">
        <f>IF(SUM(LEFT(E$2,1),MID(E$2,2,1),MID(E$2,3,1))&lt;11,",小,",",大,")</f>
        <v>,大,</v>
      </c>
    </row>
    <row r="4" spans="1:17" ht="20.100000000000001" customHeight="1" x14ac:dyDescent="0.15">
      <c r="A4" s="15" t="s">
        <v>7</v>
      </c>
      <c r="B4" s="10" t="s">
        <v>15</v>
      </c>
      <c r="C4" s="10"/>
      <c r="D4" s="11" t="s">
        <v>27</v>
      </c>
      <c r="E4" s="15">
        <f t="shared" ref="E4:E9" si="0">E3</f>
        <v>465</v>
      </c>
      <c r="F4" s="15">
        <v>113</v>
      </c>
      <c r="G4" s="15">
        <v>128.43599999999998</v>
      </c>
      <c r="H4" s="10">
        <v>7</v>
      </c>
      <c r="I4" s="10">
        <f t="shared" ref="I4:I9" si="1">J4/H4/M4</f>
        <v>0</v>
      </c>
      <c r="J4" s="15">
        <f>N(ISNUMBER(FIND(E2,D4,1)))*H4*M4</f>
        <v>0</v>
      </c>
      <c r="K4" s="9" t="str">
        <f>TRIM(IF(LEN(K3Source!D4)=0,"-",SUBSTITUTE(K3Source!D4,","," ")))</f>
        <v>111 222 333 444 555 666</v>
      </c>
      <c r="L4" s="15">
        <f>TRUNC(((190.08-172.8)/80),3)</f>
        <v>0.216</v>
      </c>
      <c r="M4" s="14">
        <f>TRUNC(N4-(9.9-Agent!B$3)*10*L4,3)</f>
        <v>194.184</v>
      </c>
      <c r="N4" s="15">
        <f>TRUNC(172.8+99*((190.08-172.8)/80),3)</f>
        <v>194.184</v>
      </c>
      <c r="P4" s="1" t="str">
        <f>","&amp;SUM(LEFT(E$2,1),MID(E$2,2,1),MID(E$2,3,1))&amp;","</f>
        <v>,15,</v>
      </c>
    </row>
    <row r="5" spans="1:17" ht="20.100000000000001" customHeight="1" x14ac:dyDescent="0.15">
      <c r="A5" s="15" t="s">
        <v>7</v>
      </c>
      <c r="B5" s="10" t="s">
        <v>17</v>
      </c>
      <c r="D5" s="11" t="s">
        <v>51</v>
      </c>
      <c r="E5" s="15">
        <f t="shared" si="0"/>
        <v>465</v>
      </c>
      <c r="F5" s="15">
        <v>114</v>
      </c>
      <c r="G5" s="15">
        <v>424.16600000000005</v>
      </c>
      <c r="H5" s="10">
        <v>3</v>
      </c>
      <c r="I5" s="10">
        <f t="shared" si="1"/>
        <v>1</v>
      </c>
      <c r="J5" s="15">
        <f>IF(AND(LEFT(E2,1)&lt;&gt;MID(E2,2,1),LEFT(E2,1)&lt;&gt;RIGHT(E2,1),MID(E2,2,1)&lt;&gt;RIGHT(E2,1),ISNUMBER(FIND(LEFT(E2,1),D5,1)),ISNUMBER(FIND(MID(E2,2,1),D5,1)),ISNUMBER(FIND(RIGHT(E2,1),D5,1))),H5*M5,0)</f>
        <v>97.091999999999985</v>
      </c>
      <c r="K5" s="14" t="str">
        <f>TRIM(IF(LEN(K3Source!D5)=0,"-",SUBSTITUTE(K3Source!D5,","," ")))</f>
        <v>1 2 3 4 5 6</v>
      </c>
      <c r="L5" s="15">
        <f>TRUNC(((31.68-28.8)/80),3)</f>
        <v>3.5999999999999997E-2</v>
      </c>
      <c r="M5" s="14">
        <f>TRUNC(N5-(9.9-Agent!B$3)*10*L5,3)</f>
        <v>32.363999999999997</v>
      </c>
      <c r="N5" s="15">
        <f>TRUNC(28.8+99*((31.68-28.8)/80),3)</f>
        <v>32.363999999999997</v>
      </c>
    </row>
    <row r="6" spans="1:17" s="8" customFormat="1" ht="20.100000000000001" customHeight="1" x14ac:dyDescent="0.15">
      <c r="A6" s="15" t="s">
        <v>7</v>
      </c>
      <c r="B6" s="10" t="s">
        <v>19</v>
      </c>
      <c r="C6" s="10"/>
      <c r="D6" s="11" t="s">
        <v>28</v>
      </c>
      <c r="E6" s="15">
        <f t="shared" si="0"/>
        <v>465</v>
      </c>
      <c r="F6" s="15">
        <v>115</v>
      </c>
      <c r="G6" s="15">
        <v>413.20800000000003</v>
      </c>
      <c r="H6" s="10">
        <v>6</v>
      </c>
      <c r="I6" s="10">
        <f>J6/H6/M6</f>
        <v>1</v>
      </c>
      <c r="J6" s="15">
        <f>IF(ISNUMBER(Q7),0,IF(AND(INT(P7)=INT(P8)+1,INT(P6)=INT(P8)+2),H6*M6,0))</f>
        <v>48.467999999999996</v>
      </c>
      <c r="K6" s="14" t="str">
        <f>TRIM(IF(LEN(K3Source!D6)=0,"-",SUBSTITUTE(K3Source!D6,","," ")))</f>
        <v>三连号通选</v>
      </c>
      <c r="L6" s="15">
        <f>TRUNC(((7.91-7.2)/80),3)</f>
        <v>8.0000000000000002E-3</v>
      </c>
      <c r="M6" s="14">
        <f>TRUNC(N6-(9.9-Agent!B$3)*10*L6,3)</f>
        <v>8.0779999999999994</v>
      </c>
      <c r="N6" s="15">
        <f>TRUNC(7.2+99*((7.91-7.2)/80),3)</f>
        <v>8.0779999999999994</v>
      </c>
      <c r="P6" s="8">
        <f>MAX(LEFT(E2,1),MID(E2,2,1),RIGHT(E2,1))</f>
        <v>6</v>
      </c>
      <c r="Q6" s="8" t="str">
        <f>SUBSTITUTE(E2,P6,)</f>
        <v>45</v>
      </c>
    </row>
    <row r="7" spans="1:17" s="8" customFormat="1" ht="20.100000000000001" customHeight="1" x14ac:dyDescent="0.15">
      <c r="A7" s="15" t="s">
        <v>8</v>
      </c>
      <c r="B7" s="10" t="s">
        <v>21</v>
      </c>
      <c r="D7" s="11" t="s">
        <v>29</v>
      </c>
      <c r="E7" s="15">
        <f t="shared" si="0"/>
        <v>465</v>
      </c>
      <c r="F7" s="15">
        <v>116</v>
      </c>
      <c r="G7" s="15">
        <v>403.81799999999998</v>
      </c>
      <c r="H7" s="10">
        <v>1</v>
      </c>
      <c r="I7" s="10">
        <f t="shared" si="1"/>
        <v>0</v>
      </c>
      <c r="J7" s="15">
        <f>IF(AND(MID(E2,2,1)=LEFT(E2,1),LEFT(E2,1)=RIGHT(E2,1)),0,IF(ISNUMBER(FIND(_xlfn.MODE.SNGL(INT(MID(E2,2,1)),INT(LEFT(E2,1)),INT(RIGHT(E2,1))),D7,1)),H7*M7,0))</f>
        <v>0</v>
      </c>
      <c r="K7" s="14" t="str">
        <f>TRIM(IF(LEN(K3Source!D7)=0,"-",SUBSTITUTE(K3Source!D7,","," ")))</f>
        <v>11 22 33 44 55 66</v>
      </c>
      <c r="L7" s="15">
        <f>TRUNC(((12.66-11.52)/80),3)</f>
        <v>1.4E-2</v>
      </c>
      <c r="M7" s="14">
        <f>TRUNC(N7-(9.9-Agent!B$3)*10*L7,3)</f>
        <v>12.93</v>
      </c>
      <c r="N7" s="15">
        <f>TRUNC(11.52+99*((12.66-11.52)/80),3)</f>
        <v>12.93</v>
      </c>
      <c r="P7" s="8">
        <f>MAX(LEFT(Q6,1),RIGHT(Q6,1))</f>
        <v>5</v>
      </c>
      <c r="Q7" s="8" t="b">
        <f>IF(ISNUMBER(_xlfn.MODE.SNGL(INT(LEFT(E2,1)),INT(MID(E2,2,1)),INT(RIGHT(E2,1)))),_xlfn.MODE.SNGL(INT(LEFT(E2,1)),INT(MID(E2,2,1)),INT(RIGHT(E2,1))),FALSE)</f>
        <v>0</v>
      </c>
    </row>
    <row r="8" spans="1:17" s="8" customFormat="1" ht="20.100000000000001" customHeight="1" x14ac:dyDescent="0.15">
      <c r="A8" s="15" t="s">
        <v>8</v>
      </c>
      <c r="B8" s="10" t="s">
        <v>23</v>
      </c>
      <c r="C8" s="10"/>
      <c r="D8" s="11" t="s">
        <v>52</v>
      </c>
      <c r="E8" s="15">
        <f t="shared" si="0"/>
        <v>465</v>
      </c>
      <c r="F8" s="15">
        <v>121</v>
      </c>
      <c r="G8" s="15">
        <v>191.166</v>
      </c>
      <c r="H8" s="10">
        <v>5</v>
      </c>
      <c r="I8" s="10">
        <f t="shared" si="1"/>
        <v>0</v>
      </c>
      <c r="J8" s="15">
        <f>IF(AND(MID(E2,2,1)=LEFT(E2,1),LEFT(E2,1)=RIGHT(E2,1)),0,
 IF(AND(ISNUMBER(FIND(","&amp;SUBSTITUTE(E2,_xlfn.MODE.SNGL(INT(MID(E2,2,1)),INT(LEFT(E2,1)),INT(RIGHT(E2,1))),)&amp;",",D8,1)),
   ISNUMBER(FIND(","&amp;_xlfn.MODE.SNGL(INT(MID(E2,2,1)),INT(LEFT(E2,1)),INT(RIGHT(E2,1)))&amp;_xlfn.MODE.SNGL(INT(MID(E2,2,1)),INT(LEFT(E2,1)),INT(RIGHT(E2,1)))&amp;",",D8,1))),H8*M8,0))</f>
        <v>0</v>
      </c>
      <c r="K8" s="14" t="str">
        <f>TRIM(IF(LEN(D8)=0,"-",SUBSTITUTE(D8,","," ")))</f>
        <v>11 22 33 4 5 6</v>
      </c>
      <c r="L8" s="15">
        <f>TRUNC(((63.36-57.6)/80),3)</f>
        <v>7.1999999999999995E-2</v>
      </c>
      <c r="M8" s="14">
        <f>TRUNC(N8-(9.9-Agent!B$3)*10*L8,3)</f>
        <v>64.727999999999994</v>
      </c>
      <c r="N8" s="15">
        <f>TRUNC(57.6+99*((63.36-57.6)/80),3)</f>
        <v>64.727999999999994</v>
      </c>
      <c r="P8" s="8" t="str">
        <f>SUBSTITUTE(Q6,P7,)</f>
        <v>4</v>
      </c>
    </row>
    <row r="9" spans="1:17" s="8" customFormat="1" ht="20.100000000000001" customHeight="1" x14ac:dyDescent="0.15">
      <c r="A9" s="15" t="s">
        <v>8</v>
      </c>
      <c r="B9" s="10" t="s">
        <v>25</v>
      </c>
      <c r="C9" s="10"/>
      <c r="D9" s="11" t="s">
        <v>103</v>
      </c>
      <c r="E9" s="15">
        <f t="shared" si="0"/>
        <v>465</v>
      </c>
      <c r="F9" s="15">
        <v>122</v>
      </c>
      <c r="G9" s="15">
        <v>128.43599999999998</v>
      </c>
      <c r="H9" s="10">
        <v>6</v>
      </c>
      <c r="I9" s="10">
        <f t="shared" si="1"/>
        <v>3</v>
      </c>
      <c r="J9" s="10">
        <f>IF(AND(LEFT(E2,1)=MID(E2,2,1),LEFT(E2,1)=RIGHT(E2,1)),0,
 IF(ISNUMBER(_xlfn.MODE.SNGL(INT(MID(E2,2,1)),INT(LEFT(E2,1)),INT(RIGHT(E2,1)))),
  IF(AND(ISNUMBER(FIND(_xlfn.MODE.SNGL(INT(MID(E2,2,1)),INT(LEFT(E2,1)),INT(RIGHT(E2,1))),D9,1)),ISNUMBER(FIND(SUBSTITUTE(E2,_xlfn.MODE.SNGL(INT(MID(E2,2,1)),INT(LEFT(E2,1)),INT(RIGHT(E2,1))),),D9,1))),H9*M9,0),
  IF(SUM(ISNUMBER(FIND(LEFT(E2,1),D9,1)),ISNUMBER(FIND(MID(E2,2,1),D9,1)),ISNUMBER(FIND(RIGHT(E2,1),D9,1)))=2,H9*M9,IF(SUM(ISNUMBER(FIND(LEFT(E2,1),D9,1)),ISNUMBER(FIND(MID(E2,2,1),D9,1)),ISNUMBER(FIND(RIGHT(E2,1),D9,1)))=3,H9*M9*3,0))))</f>
        <v>116.37</v>
      </c>
      <c r="K9" s="14" t="str">
        <f>TRIM(IF(LEN(K3Source!D9)=0,"-",SUBSTITUTE(K3Source!D9,","," ")))</f>
        <v>1 2 3 4 5 6</v>
      </c>
      <c r="L9" s="15">
        <f>TRUNC(((6.33-5.76)/80),3)</f>
        <v>7.0000000000000001E-3</v>
      </c>
      <c r="M9" s="14">
        <f>TRUNC(N9-(9.9-Agent!B$3)*10*L9,3)</f>
        <v>6.4649999999999999</v>
      </c>
      <c r="N9" s="15">
        <f>TRUNC(5.76+99*((6.33-5.76)/80),3)</f>
        <v>6.4649999999999999</v>
      </c>
    </row>
    <row r="10" spans="1:17" s="15" customFormat="1" ht="13.5" x14ac:dyDescent="0.15">
      <c r="A10" s="15" t="s">
        <v>7</v>
      </c>
      <c r="B10" s="10" t="s">
        <v>11</v>
      </c>
      <c r="C10" s="10"/>
      <c r="D10" s="11" t="s">
        <v>117</v>
      </c>
      <c r="E10" s="15">
        <f>E9</f>
        <v>465</v>
      </c>
      <c r="F10" s="15">
        <v>123</v>
      </c>
      <c r="G10" s="15">
        <v>310.73599999999999</v>
      </c>
      <c r="H10" s="10">
        <v>3</v>
      </c>
      <c r="I10" s="10">
        <f>N(ISNUMBER(FIND(P2,D10,1)))+N(ISNUMBER(FIND(P3,D10,1)))+N(ISNUMBER(FIND(P$4,$D10,1)))</f>
        <v>2</v>
      </c>
      <c r="J10" s="15">
        <f>SUM(D17:D18,D28:D35)</f>
        <v>64.218000000000004</v>
      </c>
      <c r="K10" s="14" t="str">
        <f>TRIM(IF(LEN(D10)=0,"-",SUBSTITUTE(D10,","," ")))</f>
        <v>小 单 11 12 13 14 15 16 17 18</v>
      </c>
      <c r="L10" s="15">
        <f>L2</f>
        <v>0</v>
      </c>
      <c r="M10" s="15">
        <f t="shared" ref="M10:N10" si="2">M2</f>
        <v>0</v>
      </c>
      <c r="N10" s="15">
        <f t="shared" si="2"/>
        <v>0</v>
      </c>
    </row>
    <row r="11" spans="1:17" s="15" customFormat="1" ht="20.100000000000001" customHeight="1" x14ac:dyDescent="0.15">
      <c r="A11" s="15" t="s">
        <v>8</v>
      </c>
      <c r="B11" s="10" t="s">
        <v>23</v>
      </c>
      <c r="C11" s="10"/>
      <c r="D11" s="11" t="s">
        <v>118</v>
      </c>
      <c r="E11" s="15">
        <f>E10</f>
        <v>465</v>
      </c>
      <c r="F11" s="15">
        <v>124</v>
      </c>
      <c r="G11" s="15">
        <v>251.31</v>
      </c>
      <c r="H11" s="10">
        <v>3</v>
      </c>
      <c r="I11" s="10">
        <f>J11/H11/M11</f>
        <v>0</v>
      </c>
      <c r="J11" s="15">
        <f>IF(AND(MID(E5,2,1)=LEFT(E5,1),LEFT(E5,1)=RIGHT(E5,1)),0,
 IF(AND(ISNUMBER(FIND(","&amp;SUBSTITUTE(E5,_xlfn.MODE.SNGL(INT(MID(E5,2,1)),INT(LEFT(E5,1)),INT(RIGHT(E5,1))),)&amp;",",D11,1)),
   ISNUMBER(FIND(","&amp;_xlfn.MODE.SNGL(INT(MID(E5,2,1)),INT(LEFT(E5,1)),INT(RIGHT(E5,1)))&amp;_xlfn.MODE.SNGL(INT(MID(E5,2,1)),INT(LEFT(E5,1)),INT(RIGHT(E5,1)))&amp;",",D11,1))),H11*M11,0))</f>
        <v>0</v>
      </c>
      <c r="K11" s="14" t="str">
        <f>TRIM(IF(LEN(D11)=0,"-",SUBSTITUTE(D11,","," ")))</f>
        <v>1 2 3 44 55 66</v>
      </c>
      <c r="L11" s="15">
        <f>L8</f>
        <v>7.1999999999999995E-2</v>
      </c>
      <c r="M11" s="15">
        <f t="shared" ref="M11" si="3">M8</f>
        <v>64.727999999999994</v>
      </c>
      <c r="N11" s="15">
        <f>N8</f>
        <v>64.727999999999994</v>
      </c>
    </row>
    <row r="12" spans="1:17" ht="20.100000000000001" customHeight="1" x14ac:dyDescent="0.15">
      <c r="F12" s="15">
        <v>125</v>
      </c>
      <c r="G12" s="15">
        <v>241.92</v>
      </c>
    </row>
    <row r="13" spans="1:17" ht="20.100000000000001" customHeight="1" x14ac:dyDescent="0.15">
      <c r="F13" s="15">
        <v>126</v>
      </c>
      <c r="G13" s="15">
        <v>240.952</v>
      </c>
    </row>
    <row r="14" spans="1:17" ht="20.100000000000001" customHeight="1" x14ac:dyDescent="0.15">
      <c r="F14" s="15">
        <v>131</v>
      </c>
      <c r="G14" s="15" t="e">
        <v>#VALUE!</v>
      </c>
      <c r="J14" s="10">
        <f>SUM(J2:J11)</f>
        <v>330.14400000000001</v>
      </c>
    </row>
    <row r="15" spans="1:17" ht="20.100000000000001" customHeight="1" x14ac:dyDescent="0.15">
      <c r="A15" s="10" t="s">
        <v>62</v>
      </c>
      <c r="B15" s="10" t="s">
        <v>98</v>
      </c>
      <c r="C15" s="10" t="s">
        <v>99</v>
      </c>
      <c r="D15" s="11"/>
      <c r="E15" s="10" t="s">
        <v>92</v>
      </c>
      <c r="F15" s="15">
        <v>132</v>
      </c>
      <c r="G15" s="15">
        <v>310.73599999999999</v>
      </c>
    </row>
    <row r="16" spans="1:17" ht="20.100000000000001" customHeight="1" x14ac:dyDescent="0.15">
      <c r="A16" s="10" t="s">
        <v>107</v>
      </c>
      <c r="B16" s="8">
        <f>TRUNC(1.8+99*((1.96-1.8)/80),3)</f>
        <v>1.998</v>
      </c>
      <c r="C16" s="8">
        <f>TRUNC(B16-(9.9-Agent!$B$3)*E16*10,3)</f>
        <v>1.998</v>
      </c>
      <c r="D16" s="15">
        <f>IF(ISNUMBER(FIND(P$3,$A16,1)),$C16*H$2,0)</f>
        <v>3.996</v>
      </c>
      <c r="E16" s="15">
        <f>TRUNC((1.96-1.8)/80,3)</f>
        <v>2E-3</v>
      </c>
      <c r="F16" s="15">
        <v>133</v>
      </c>
      <c r="G16" s="15" t="e">
        <v>#VALUE!</v>
      </c>
      <c r="J16" s="10"/>
      <c r="K16" s="9">
        <f>C16*2</f>
        <v>3.996</v>
      </c>
    </row>
    <row r="17" spans="1:12" ht="20.100000000000001" customHeight="1" x14ac:dyDescent="0.15">
      <c r="A17" s="10" t="s">
        <v>106</v>
      </c>
      <c r="B17" s="15">
        <f>TRUNC(1.8+99*((1.96-1.8)/80),3)</f>
        <v>1.998</v>
      </c>
      <c r="C17" s="15">
        <f>TRUNC(B17-(9.9-Agent!$B$3)*E17*10,3)</f>
        <v>1.998</v>
      </c>
      <c r="D17" s="15">
        <f>IF(ISNUMBER(FIND(P$3,$A17,1)),$C17*H$10,0)</f>
        <v>0</v>
      </c>
      <c r="E17" s="15">
        <f>TRUNC((1.96-1.8)/80,3)</f>
        <v>2E-3</v>
      </c>
      <c r="F17" s="15">
        <v>134</v>
      </c>
      <c r="G17" s="15">
        <v>241.92</v>
      </c>
    </row>
    <row r="18" spans="1:12" ht="20.100000000000001" customHeight="1" x14ac:dyDescent="0.15">
      <c r="A18" s="10" t="s">
        <v>105</v>
      </c>
      <c r="B18" s="15">
        <f>TRUNC(1.8+99*((1.96-1.8)/80),3)</f>
        <v>1.998</v>
      </c>
      <c r="C18" s="15">
        <f>TRUNC(B18-(9.9-Agent!$B$3)*E18*10,3)</f>
        <v>1.998</v>
      </c>
      <c r="D18" s="15">
        <f>IF(ISNUMBER(FIND(P$2,$A18,1)),$C18*H$10,0)</f>
        <v>5.9939999999999998</v>
      </c>
      <c r="E18" s="15">
        <f>TRUNC((1.96-1.8)/80,3)</f>
        <v>2E-3</v>
      </c>
      <c r="F18" s="15">
        <v>135</v>
      </c>
      <c r="G18" s="15">
        <v>240.952</v>
      </c>
      <c r="J18" s="10"/>
    </row>
    <row r="19" spans="1:12" ht="20.100000000000001" customHeight="1" x14ac:dyDescent="0.15">
      <c r="A19" s="10" t="s">
        <v>104</v>
      </c>
      <c r="B19" s="15">
        <f>TRUNC(1.8+99*((1.96-1.8)/80),3)</f>
        <v>1.998</v>
      </c>
      <c r="C19" s="15">
        <f>TRUNC(B19-(9.9-Agent!$B$3)*E19*10,3)</f>
        <v>1.998</v>
      </c>
      <c r="D19" s="15">
        <f>IF(ISNUMBER(FIND(P$2,$A19,1)),$C19*H$2,0)</f>
        <v>0</v>
      </c>
      <c r="E19" s="15">
        <f>TRUNC((1.96-1.8)/80,3)</f>
        <v>2E-3</v>
      </c>
      <c r="F19" s="15">
        <v>136</v>
      </c>
      <c r="G19" s="15">
        <v>237.83599999999998</v>
      </c>
      <c r="H19" s="15"/>
    </row>
    <row r="20" spans="1:12" ht="20.100000000000001" customHeight="1" x14ac:dyDescent="0.15">
      <c r="A20" s="10" t="s">
        <v>34</v>
      </c>
      <c r="B20" s="15">
        <f>TRUNC(172.8+99*((190.08-172.8)/80),3)</f>
        <v>194.184</v>
      </c>
      <c r="C20" s="15">
        <f>TRUNC(B20-(9.9-Agent!$B$3)*E20*10,3)</f>
        <v>194.184</v>
      </c>
      <c r="D20" s="8">
        <f t="shared" ref="D20:D27" si="4">IF(ISNUMBER(FIND(P$4,$A20,1)),$C20*H$2,0)</f>
        <v>0</v>
      </c>
      <c r="E20" s="15">
        <f>TRUNC(0.216,3)</f>
        <v>0.216</v>
      </c>
      <c r="F20" s="15">
        <v>141</v>
      </c>
      <c r="G20" s="15" t="e">
        <v>#VALUE!</v>
      </c>
      <c r="H20" s="15">
        <f t="shared" ref="H20:H35" si="5">IF(ISNUMBER(FIND(P$4,$A20,1)),$E20,0)</f>
        <v>0</v>
      </c>
    </row>
    <row r="21" spans="1:12" ht="20.100000000000001" customHeight="1" x14ac:dyDescent="0.15">
      <c r="A21" s="10" t="s">
        <v>35</v>
      </c>
      <c r="B21" s="15">
        <f>TRUNC(57.6+99*((63.36-57.6)/80),3)</f>
        <v>64.727999999999994</v>
      </c>
      <c r="C21" s="15">
        <f>TRUNC(B21-(9.9-Agent!$B$3)*E21*10,3)</f>
        <v>64.727999999999994</v>
      </c>
      <c r="D21" s="15">
        <f t="shared" si="4"/>
        <v>0</v>
      </c>
      <c r="E21" s="15">
        <f>TRUNC(0.072,3)</f>
        <v>7.1999999999999995E-2</v>
      </c>
      <c r="F21" s="15">
        <v>142</v>
      </c>
      <c r="G21" s="15">
        <v>251.31</v>
      </c>
      <c r="H21" s="15">
        <f t="shared" si="5"/>
        <v>0</v>
      </c>
      <c r="K21" s="11">
        <f>42*(E23+E19*2)*2</f>
        <v>2.1</v>
      </c>
    </row>
    <row r="22" spans="1:12" ht="20.100000000000001" customHeight="1" x14ac:dyDescent="0.15">
      <c r="A22" s="10" t="s">
        <v>36</v>
      </c>
      <c r="B22" s="15">
        <f>TRUNC(28.8+99*((31.68-28.8)/80),3)</f>
        <v>32.363999999999997</v>
      </c>
      <c r="C22" s="15">
        <f>TRUNC(B22-(9.9-Agent!$B$3)*E22*10,3)</f>
        <v>32.363999999999997</v>
      </c>
      <c r="D22" s="15">
        <f>IF(ISNUMBER(FIND(P$4,$A22,1)),$C22*H$2,0)</f>
        <v>0</v>
      </c>
      <c r="E22" s="10">
        <f>TRUNC(0.036,3)</f>
        <v>3.5999999999999997E-2</v>
      </c>
      <c r="F22" s="15">
        <v>143</v>
      </c>
      <c r="G22" s="15">
        <v>241.92</v>
      </c>
      <c r="H22" s="15">
        <f t="shared" si="5"/>
        <v>0</v>
      </c>
    </row>
    <row r="23" spans="1:12" ht="20.100000000000001" customHeight="1" x14ac:dyDescent="0.15">
      <c r="A23" s="10" t="s">
        <v>37</v>
      </c>
      <c r="B23" s="15">
        <f>TRUNC(17.28+99*((19-17.28)/80),3)</f>
        <v>19.408000000000001</v>
      </c>
      <c r="C23" s="15">
        <f>TRUNC(B23-(9.9-Agent!$B$3)*E23*10,3)</f>
        <v>19.408000000000001</v>
      </c>
      <c r="D23" s="15">
        <f t="shared" si="4"/>
        <v>0</v>
      </c>
      <c r="E23" s="15">
        <f>TRUNC(0.0215,3)</f>
        <v>2.1000000000000001E-2</v>
      </c>
      <c r="F23" s="15">
        <v>144</v>
      </c>
      <c r="G23" s="15" t="e">
        <v>#VALUE!</v>
      </c>
      <c r="H23" s="15">
        <f t="shared" si="5"/>
        <v>0</v>
      </c>
    </row>
    <row r="24" spans="1:12" ht="20.100000000000001" customHeight="1" x14ac:dyDescent="0.15">
      <c r="A24" s="10" t="s">
        <v>38</v>
      </c>
      <c r="B24" s="15">
        <f>TRUNC(11.52+99*((12.66-11.52)/80),3)</f>
        <v>12.93</v>
      </c>
      <c r="C24" s="15">
        <f>TRUNC(B24-(9.9-Agent!$B$3)*E24*10,3)</f>
        <v>12.93</v>
      </c>
      <c r="D24" s="15">
        <f t="shared" si="4"/>
        <v>0</v>
      </c>
      <c r="E24" s="15">
        <f>TRUNC(0.01425,3)</f>
        <v>1.4E-2</v>
      </c>
      <c r="F24" s="15">
        <v>145</v>
      </c>
      <c r="G24" s="15">
        <v>237.83599999999998</v>
      </c>
      <c r="H24" s="15">
        <f t="shared" si="5"/>
        <v>0</v>
      </c>
    </row>
    <row r="25" spans="1:12" ht="20.100000000000001" customHeight="1" x14ac:dyDescent="0.15">
      <c r="A25" s="10" t="s">
        <v>39</v>
      </c>
      <c r="B25" s="15">
        <f>TRUNC(8.22+99*((9.04-8.22)/80),3)</f>
        <v>9.234</v>
      </c>
      <c r="C25" s="15">
        <f>TRUNC(B25-(9.9-Agent!$B$3)*E25*10,3)</f>
        <v>9.234</v>
      </c>
      <c r="D25" s="15">
        <f t="shared" si="4"/>
        <v>0</v>
      </c>
      <c r="E25" s="15">
        <f>TRUNC(0.01025,3)</f>
        <v>0.01</v>
      </c>
      <c r="F25" s="15">
        <v>146</v>
      </c>
      <c r="G25" s="15">
        <v>245.02799999999996</v>
      </c>
      <c r="H25" s="15">
        <f t="shared" si="5"/>
        <v>0</v>
      </c>
      <c r="K25" s="9">
        <f>C25*2</f>
        <v>18.468</v>
      </c>
      <c r="L25" s="14">
        <f>2*TRUNC(K25-(9.9-Agent!$B$3)*E25*10,3)</f>
        <v>36.936</v>
      </c>
    </row>
    <row r="26" spans="1:12" ht="20.100000000000001" customHeight="1" x14ac:dyDescent="0.15">
      <c r="A26" s="10" t="s">
        <v>40</v>
      </c>
      <c r="B26" s="15">
        <f>TRUNC(6.91+99*((7.59-6.91)/80),3)</f>
        <v>7.7510000000000003</v>
      </c>
      <c r="C26" s="15">
        <f>TRUNC(B26-(9.9-Agent!$B$3)*E26*10,3)</f>
        <v>7.7510000000000003</v>
      </c>
      <c r="D26" s="15">
        <f t="shared" si="4"/>
        <v>0</v>
      </c>
      <c r="E26" s="15">
        <f>TRUNC(0.0085,3)</f>
        <v>8.0000000000000002E-3</v>
      </c>
      <c r="F26" s="15">
        <v>151</v>
      </c>
      <c r="G26" s="15" t="e">
        <v>#VALUE!</v>
      </c>
      <c r="H26" s="15">
        <f t="shared" si="5"/>
        <v>0</v>
      </c>
    </row>
    <row r="27" spans="1:12" ht="20.100000000000001" customHeight="1" x14ac:dyDescent="0.15">
      <c r="A27" s="10" t="s">
        <v>41</v>
      </c>
      <c r="B27" s="15">
        <f>TRUNC(6.4+99*((7.04-6.4)/80),3)</f>
        <v>7.1920000000000002</v>
      </c>
      <c r="C27" s="15">
        <f>TRUNC(B27-(9.9-Agent!$B$3)*E27*10,3)</f>
        <v>7.1920000000000002</v>
      </c>
      <c r="D27" s="15">
        <f t="shared" si="4"/>
        <v>0</v>
      </c>
      <c r="E27" s="15">
        <f>TRUNC(0.008,3)</f>
        <v>8.0000000000000002E-3</v>
      </c>
      <c r="F27" s="15">
        <v>152</v>
      </c>
      <c r="G27" s="15">
        <v>241.92</v>
      </c>
      <c r="H27" s="15">
        <f t="shared" si="5"/>
        <v>0</v>
      </c>
    </row>
    <row r="28" spans="1:12" ht="20.100000000000001" customHeight="1" x14ac:dyDescent="0.15">
      <c r="A28" s="10" t="s">
        <v>42</v>
      </c>
      <c r="B28" s="15">
        <f>B27</f>
        <v>7.1920000000000002</v>
      </c>
      <c r="C28" s="15">
        <f>TRUNC(B28-(9.9-Agent!$B$3)*E28*10,3)</f>
        <v>7.1920000000000002</v>
      </c>
      <c r="D28" s="15">
        <f t="shared" ref="D28:D35" si="6">IF(ISNUMBER(FIND(P$4,$A28,1)),$C28*H$10,0)</f>
        <v>0</v>
      </c>
      <c r="E28" s="15">
        <f>E27</f>
        <v>8.0000000000000002E-3</v>
      </c>
      <c r="F28" s="15">
        <v>153</v>
      </c>
      <c r="G28" s="15">
        <v>240.952</v>
      </c>
      <c r="H28" s="15">
        <f t="shared" si="5"/>
        <v>0</v>
      </c>
    </row>
    <row r="29" spans="1:12" ht="20.100000000000001" customHeight="1" x14ac:dyDescent="0.15">
      <c r="A29" s="10" t="s">
        <v>43</v>
      </c>
      <c r="B29" s="15">
        <f>B26</f>
        <v>7.7510000000000003</v>
      </c>
      <c r="C29" s="15">
        <f>TRUNC(B29-(9.9-Agent!$B$3)*E29*10,3)</f>
        <v>7.7510000000000003</v>
      </c>
      <c r="D29" s="15">
        <f t="shared" si="6"/>
        <v>0</v>
      </c>
      <c r="E29" s="15">
        <f>E26</f>
        <v>8.0000000000000002E-3</v>
      </c>
      <c r="F29" s="15">
        <v>154</v>
      </c>
      <c r="G29" s="15">
        <v>237.83599999999998</v>
      </c>
      <c r="H29" s="15">
        <f t="shared" si="5"/>
        <v>0</v>
      </c>
    </row>
    <row r="30" spans="1:12" ht="20.100000000000001" customHeight="1" x14ac:dyDescent="0.15">
      <c r="A30" s="10" t="s">
        <v>44</v>
      </c>
      <c r="B30" s="15">
        <f>B25</f>
        <v>9.234</v>
      </c>
      <c r="C30" s="15">
        <f>TRUNC(B30-(9.9-Agent!$B$3)*E30*10,3)</f>
        <v>9.234</v>
      </c>
      <c r="D30" s="15">
        <f t="shared" si="6"/>
        <v>0</v>
      </c>
      <c r="E30" s="15">
        <f>E25</f>
        <v>0.01</v>
      </c>
      <c r="F30" s="15">
        <v>155</v>
      </c>
      <c r="G30" s="15" t="e">
        <v>#VALUE!</v>
      </c>
      <c r="H30" s="15">
        <f t="shared" si="5"/>
        <v>0</v>
      </c>
    </row>
    <row r="31" spans="1:12" ht="20.100000000000001" customHeight="1" x14ac:dyDescent="0.15">
      <c r="A31" s="10" t="s">
        <v>45</v>
      </c>
      <c r="B31" s="15">
        <f>B24</f>
        <v>12.93</v>
      </c>
      <c r="C31" s="15">
        <f>TRUNC(B31-(9.9-Agent!$B$3)*E31*10,3)</f>
        <v>12.93</v>
      </c>
      <c r="D31" s="15">
        <f t="shared" si="6"/>
        <v>0</v>
      </c>
      <c r="E31" s="15">
        <f>E24</f>
        <v>1.4E-2</v>
      </c>
      <c r="F31" s="15">
        <v>156</v>
      </c>
      <c r="G31" s="15">
        <v>244.70699999999999</v>
      </c>
      <c r="H31" s="15">
        <f t="shared" si="5"/>
        <v>0</v>
      </c>
    </row>
    <row r="32" spans="1:12" ht="20.100000000000001" customHeight="1" x14ac:dyDescent="0.15">
      <c r="A32" s="10" t="s">
        <v>46</v>
      </c>
      <c r="B32" s="15">
        <f>B23</f>
        <v>19.408000000000001</v>
      </c>
      <c r="C32" s="15">
        <f>TRUNC(B32-(9.9-Agent!$B$3)*E32*10,3)</f>
        <v>19.408000000000001</v>
      </c>
      <c r="D32" s="15">
        <f t="shared" si="6"/>
        <v>58.224000000000004</v>
      </c>
      <c r="E32" s="15">
        <f>E23</f>
        <v>2.1000000000000001E-2</v>
      </c>
      <c r="F32" s="15">
        <v>161</v>
      </c>
      <c r="G32" s="15" t="e">
        <v>#VALUE!</v>
      </c>
      <c r="H32" s="15">
        <f t="shared" si="5"/>
        <v>2.1000000000000001E-2</v>
      </c>
    </row>
    <row r="33" spans="1:8" ht="20.100000000000001" customHeight="1" x14ac:dyDescent="0.15">
      <c r="A33" s="10" t="s">
        <v>47</v>
      </c>
      <c r="B33" s="15">
        <f>B22</f>
        <v>32.363999999999997</v>
      </c>
      <c r="C33" s="15">
        <f>TRUNC(B33-(9.9-Agent!$B$3)*E33*10,3)</f>
        <v>32.363999999999997</v>
      </c>
      <c r="D33" s="15">
        <f t="shared" si="6"/>
        <v>0</v>
      </c>
      <c r="E33" s="15">
        <f>E22</f>
        <v>3.5999999999999997E-2</v>
      </c>
      <c r="F33" s="15">
        <v>162</v>
      </c>
      <c r="G33" s="15">
        <v>240.952</v>
      </c>
      <c r="H33" s="15">
        <f t="shared" si="5"/>
        <v>0</v>
      </c>
    </row>
    <row r="34" spans="1:8" ht="20.100000000000001" customHeight="1" x14ac:dyDescent="0.15">
      <c r="A34" s="10" t="s">
        <v>48</v>
      </c>
      <c r="B34" s="15">
        <f>B21</f>
        <v>64.727999999999994</v>
      </c>
      <c r="C34" s="15">
        <f>TRUNC(B34-(9.9-Agent!$B$3)*E34*10,3)</f>
        <v>64.727999999999994</v>
      </c>
      <c r="D34" s="15">
        <f t="shared" si="6"/>
        <v>0</v>
      </c>
      <c r="E34" s="15">
        <f>E21</f>
        <v>7.1999999999999995E-2</v>
      </c>
      <c r="F34" s="15">
        <v>163</v>
      </c>
      <c r="G34" s="15">
        <v>237.83599999999998</v>
      </c>
      <c r="H34" s="15">
        <f t="shared" si="5"/>
        <v>0</v>
      </c>
    </row>
    <row r="35" spans="1:8" ht="20.100000000000001" customHeight="1" x14ac:dyDescent="0.15">
      <c r="A35" s="10" t="s">
        <v>49</v>
      </c>
      <c r="B35" s="15">
        <f>B20</f>
        <v>194.184</v>
      </c>
      <c r="C35" s="15">
        <f>TRUNC(B35-(9.9-Agent!$B$3)*E35*10,3)</f>
        <v>194.184</v>
      </c>
      <c r="D35" s="15">
        <f t="shared" si="6"/>
        <v>0</v>
      </c>
      <c r="E35" s="15">
        <f>E20</f>
        <v>0.216</v>
      </c>
      <c r="F35" s="15">
        <v>164</v>
      </c>
      <c r="G35" s="15">
        <v>245.02799999999996</v>
      </c>
      <c r="H35" s="15">
        <f t="shared" si="5"/>
        <v>0</v>
      </c>
    </row>
    <row r="36" spans="1:8" ht="20.100000000000001" customHeight="1" x14ac:dyDescent="0.15">
      <c r="F36" s="15">
        <v>165</v>
      </c>
      <c r="G36" s="15">
        <v>244.70699999999999</v>
      </c>
    </row>
    <row r="37" spans="1:8" ht="20.100000000000001" customHeight="1" x14ac:dyDescent="0.15">
      <c r="F37" s="15">
        <v>166</v>
      </c>
      <c r="G37" s="15" t="e">
        <v>#VALUE!</v>
      </c>
    </row>
    <row r="38" spans="1:8" ht="20.100000000000001" customHeight="1" x14ac:dyDescent="0.15">
      <c r="F38" s="15">
        <v>211</v>
      </c>
      <c r="G38" s="15" t="e">
        <v>#VALUE!</v>
      </c>
    </row>
    <row r="39" spans="1:8" ht="20.100000000000001" customHeight="1" x14ac:dyDescent="0.15">
      <c r="F39" s="15">
        <v>212</v>
      </c>
      <c r="G39" s="15" t="e">
        <v>#VALUE!</v>
      </c>
    </row>
    <row r="40" spans="1:8" ht="20.100000000000001" customHeight="1" x14ac:dyDescent="0.15">
      <c r="F40" s="15">
        <v>213</v>
      </c>
      <c r="G40" s="15">
        <v>310.73599999999999</v>
      </c>
    </row>
    <row r="41" spans="1:8" ht="20.100000000000001" customHeight="1" x14ac:dyDescent="0.15">
      <c r="F41" s="15">
        <v>214</v>
      </c>
      <c r="G41" s="15">
        <v>251.31</v>
      </c>
    </row>
    <row r="42" spans="1:8" ht="20.100000000000001" customHeight="1" x14ac:dyDescent="0.15">
      <c r="F42" s="15">
        <v>215</v>
      </c>
      <c r="G42" s="15">
        <v>241.92</v>
      </c>
    </row>
    <row r="43" spans="1:8" ht="20.100000000000001" customHeight="1" x14ac:dyDescent="0.15">
      <c r="F43" s="15">
        <v>216</v>
      </c>
      <c r="G43" s="15">
        <v>240.952</v>
      </c>
    </row>
    <row r="44" spans="1:8" ht="20.100000000000001" customHeight="1" x14ac:dyDescent="0.15">
      <c r="F44" s="15">
        <v>221</v>
      </c>
      <c r="G44" s="15" t="e">
        <v>#VALUE!</v>
      </c>
    </row>
    <row r="45" spans="1:8" ht="20.100000000000001" customHeight="1" x14ac:dyDescent="0.15">
      <c r="F45" s="15">
        <v>222</v>
      </c>
      <c r="G45" s="15" t="e">
        <v>#VALUE!</v>
      </c>
    </row>
    <row r="46" spans="1:8" ht="20.100000000000001" customHeight="1" x14ac:dyDescent="0.15">
      <c r="F46" s="15">
        <v>223</v>
      </c>
      <c r="G46" s="15" t="e">
        <v>#VALUE!</v>
      </c>
    </row>
    <row r="47" spans="1:8" ht="20.100000000000001" customHeight="1" x14ac:dyDescent="0.15">
      <c r="F47" s="15">
        <v>224</v>
      </c>
      <c r="G47" s="15" t="e">
        <v>#VALUE!</v>
      </c>
    </row>
    <row r="48" spans="1:8" ht="20.100000000000001" customHeight="1" x14ac:dyDescent="0.15">
      <c r="F48" s="15">
        <v>225</v>
      </c>
      <c r="G48" s="15" t="e">
        <v>#VALUE!</v>
      </c>
    </row>
    <row r="49" spans="6:7" ht="20.100000000000001" customHeight="1" x14ac:dyDescent="0.15">
      <c r="F49" s="15">
        <v>226</v>
      </c>
      <c r="G49" s="15" t="e">
        <v>#VALUE!</v>
      </c>
    </row>
    <row r="50" spans="6:7" ht="20.100000000000001" customHeight="1" x14ac:dyDescent="0.15">
      <c r="F50" s="15">
        <v>231</v>
      </c>
      <c r="G50" s="15">
        <v>310.73599999999999</v>
      </c>
    </row>
    <row r="51" spans="6:7" ht="20.100000000000001" customHeight="1" x14ac:dyDescent="0.15">
      <c r="F51" s="15">
        <v>232</v>
      </c>
      <c r="G51" s="15" t="e">
        <v>#VALUE!</v>
      </c>
    </row>
    <row r="52" spans="6:7" ht="20.100000000000001" customHeight="1" x14ac:dyDescent="0.15">
      <c r="F52" s="15">
        <v>233</v>
      </c>
      <c r="G52" s="15" t="e">
        <v>#VALUE!</v>
      </c>
    </row>
    <row r="53" spans="6:7" ht="20.100000000000001" customHeight="1" x14ac:dyDescent="0.15">
      <c r="F53" s="15">
        <v>234</v>
      </c>
      <c r="G53" s="15">
        <v>289.42</v>
      </c>
    </row>
    <row r="54" spans="6:7" ht="20.100000000000001" customHeight="1" x14ac:dyDescent="0.15">
      <c r="F54" s="15">
        <v>235</v>
      </c>
      <c r="G54" s="15">
        <v>237.83599999999998</v>
      </c>
    </row>
    <row r="55" spans="6:7" ht="20.100000000000001" customHeight="1" x14ac:dyDescent="0.15">
      <c r="F55" s="15">
        <v>236</v>
      </c>
      <c r="G55" s="15">
        <v>245.02799999999996</v>
      </c>
    </row>
    <row r="56" spans="6:7" ht="20.100000000000001" customHeight="1" x14ac:dyDescent="0.15">
      <c r="F56" s="15">
        <v>241</v>
      </c>
      <c r="G56" s="15">
        <v>251.31</v>
      </c>
    </row>
    <row r="57" spans="6:7" ht="20.100000000000001" customHeight="1" x14ac:dyDescent="0.15">
      <c r="F57" s="15">
        <v>242</v>
      </c>
      <c r="G57" s="15" t="e">
        <v>#VALUE!</v>
      </c>
    </row>
    <row r="58" spans="6:7" ht="20.100000000000001" customHeight="1" x14ac:dyDescent="0.15">
      <c r="F58" s="15">
        <v>243</v>
      </c>
      <c r="G58" s="15">
        <v>289.42</v>
      </c>
    </row>
    <row r="59" spans="6:7" ht="20.100000000000001" customHeight="1" x14ac:dyDescent="0.15">
      <c r="F59" s="15">
        <v>244</v>
      </c>
      <c r="G59" s="15" t="e">
        <v>#VALUE!</v>
      </c>
    </row>
    <row r="60" spans="6:7" ht="20.100000000000001" customHeight="1" x14ac:dyDescent="0.15">
      <c r="F60" s="15">
        <v>245</v>
      </c>
      <c r="G60" s="15">
        <v>245.02799999999996</v>
      </c>
    </row>
    <row r="61" spans="6:7" ht="20.100000000000001" customHeight="1" x14ac:dyDescent="0.15">
      <c r="F61" s="15">
        <v>246</v>
      </c>
      <c r="G61" s="15">
        <v>244.70699999999999</v>
      </c>
    </row>
    <row r="62" spans="6:7" ht="20.100000000000001" customHeight="1" x14ac:dyDescent="0.15">
      <c r="F62" s="15">
        <v>251</v>
      </c>
      <c r="G62" s="15">
        <v>241.92</v>
      </c>
    </row>
    <row r="63" spans="6:7" ht="20.100000000000001" customHeight="1" x14ac:dyDescent="0.15">
      <c r="F63" s="15">
        <v>252</v>
      </c>
      <c r="G63" s="15" t="e">
        <v>#VALUE!</v>
      </c>
    </row>
    <row r="64" spans="6:7" ht="20.100000000000001" customHeight="1" x14ac:dyDescent="0.15">
      <c r="F64" s="15">
        <v>253</v>
      </c>
      <c r="G64" s="15">
        <v>237.83599999999998</v>
      </c>
    </row>
    <row r="65" spans="6:7" ht="20.100000000000001" customHeight="1" x14ac:dyDescent="0.15">
      <c r="F65" s="15">
        <v>254</v>
      </c>
      <c r="G65" s="15">
        <v>245.02799999999996</v>
      </c>
    </row>
    <row r="66" spans="6:7" ht="20.100000000000001" customHeight="1" x14ac:dyDescent="0.15">
      <c r="F66" s="15">
        <v>255</v>
      </c>
      <c r="G66" s="15" t="e">
        <v>#VALUE!</v>
      </c>
    </row>
    <row r="67" spans="6:7" ht="20.100000000000001" customHeight="1" x14ac:dyDescent="0.15">
      <c r="F67" s="15">
        <v>256</v>
      </c>
      <c r="G67" s="15">
        <v>251.15399999999997</v>
      </c>
    </row>
    <row r="68" spans="6:7" ht="20.100000000000001" customHeight="1" x14ac:dyDescent="0.15">
      <c r="F68" s="15">
        <v>261</v>
      </c>
      <c r="G68" s="15">
        <v>240.952</v>
      </c>
    </row>
    <row r="69" spans="6:7" ht="20.100000000000001" customHeight="1" x14ac:dyDescent="0.15">
      <c r="F69" s="15">
        <v>262</v>
      </c>
      <c r="G69" s="15" t="e">
        <v>#VALUE!</v>
      </c>
    </row>
    <row r="70" spans="6:7" ht="20.100000000000001" customHeight="1" x14ac:dyDescent="0.15">
      <c r="F70" s="15">
        <v>263</v>
      </c>
      <c r="G70" s="15">
        <v>245.02799999999996</v>
      </c>
    </row>
    <row r="71" spans="6:7" ht="20.100000000000001" customHeight="1" x14ac:dyDescent="0.15">
      <c r="F71" s="15">
        <v>264</v>
      </c>
      <c r="G71" s="15">
        <v>244.70699999999999</v>
      </c>
    </row>
    <row r="72" spans="6:7" ht="20.100000000000001" customHeight="1" x14ac:dyDescent="0.15">
      <c r="F72" s="15">
        <v>265</v>
      </c>
      <c r="G72" s="15">
        <v>251.15399999999997</v>
      </c>
    </row>
    <row r="73" spans="6:7" ht="20.100000000000001" customHeight="1" x14ac:dyDescent="0.15">
      <c r="F73" s="15">
        <v>266</v>
      </c>
      <c r="G73" s="15" t="e">
        <v>#VALUE!</v>
      </c>
    </row>
    <row r="74" spans="6:7" ht="20.100000000000001" customHeight="1" x14ac:dyDescent="0.15">
      <c r="F74" s="15">
        <v>311</v>
      </c>
      <c r="G74" s="15" t="e">
        <v>#VALUE!</v>
      </c>
    </row>
    <row r="75" spans="6:7" ht="20.100000000000001" customHeight="1" x14ac:dyDescent="0.15">
      <c r="F75" s="15">
        <v>312</v>
      </c>
      <c r="G75" s="15">
        <v>310.73599999999999</v>
      </c>
    </row>
    <row r="76" spans="6:7" ht="20.100000000000001" customHeight="1" x14ac:dyDescent="0.15">
      <c r="F76" s="15">
        <v>313</v>
      </c>
      <c r="G76" s="15" t="e">
        <v>#VALUE!</v>
      </c>
    </row>
    <row r="77" spans="6:7" ht="20.100000000000001" customHeight="1" x14ac:dyDescent="0.15">
      <c r="F77" s="15">
        <v>314</v>
      </c>
      <c r="G77" s="15">
        <v>241.92</v>
      </c>
    </row>
    <row r="78" spans="6:7" ht="20.100000000000001" customHeight="1" x14ac:dyDescent="0.15">
      <c r="F78" s="15">
        <v>315</v>
      </c>
      <c r="G78" s="15">
        <v>240.952</v>
      </c>
    </row>
    <row r="79" spans="6:7" ht="20.100000000000001" customHeight="1" x14ac:dyDescent="0.15">
      <c r="F79" s="15">
        <v>316</v>
      </c>
      <c r="G79" s="15">
        <v>237.83599999999998</v>
      </c>
    </row>
    <row r="80" spans="6:7" ht="20.100000000000001" customHeight="1" x14ac:dyDescent="0.15">
      <c r="F80" s="15">
        <v>321</v>
      </c>
      <c r="G80" s="15">
        <v>310.73599999999999</v>
      </c>
    </row>
    <row r="81" spans="6:7" ht="20.100000000000001" customHeight="1" x14ac:dyDescent="0.15">
      <c r="F81" s="15">
        <v>322</v>
      </c>
      <c r="G81" s="15" t="e">
        <v>#VALUE!</v>
      </c>
    </row>
    <row r="82" spans="6:7" ht="20.100000000000001" customHeight="1" x14ac:dyDescent="0.15">
      <c r="F82" s="15">
        <v>323</v>
      </c>
      <c r="G82" s="15" t="e">
        <v>#VALUE!</v>
      </c>
    </row>
    <row r="83" spans="6:7" ht="20.100000000000001" customHeight="1" x14ac:dyDescent="0.15">
      <c r="F83" s="15">
        <v>324</v>
      </c>
      <c r="G83" s="15">
        <v>289.42</v>
      </c>
    </row>
    <row r="84" spans="6:7" ht="20.100000000000001" customHeight="1" x14ac:dyDescent="0.15">
      <c r="F84" s="15">
        <v>325</v>
      </c>
      <c r="G84" s="15">
        <v>237.83599999999998</v>
      </c>
    </row>
    <row r="85" spans="6:7" ht="20.100000000000001" customHeight="1" x14ac:dyDescent="0.15">
      <c r="F85" s="15">
        <v>326</v>
      </c>
      <c r="G85" s="15">
        <v>237.83599999999998</v>
      </c>
    </row>
    <row r="86" spans="6:7" ht="20.100000000000001" customHeight="1" x14ac:dyDescent="0.15">
      <c r="F86" s="15">
        <v>331</v>
      </c>
      <c r="G86" s="15" t="e">
        <v>#VALUE!</v>
      </c>
    </row>
    <row r="87" spans="6:7" ht="20.100000000000001" customHeight="1" x14ac:dyDescent="0.15">
      <c r="F87" s="15">
        <v>332</v>
      </c>
      <c r="G87" s="15" t="e">
        <v>#VALUE!</v>
      </c>
    </row>
    <row r="88" spans="6:7" ht="20.100000000000001" customHeight="1" x14ac:dyDescent="0.15">
      <c r="F88" s="15">
        <v>333</v>
      </c>
      <c r="G88" s="15" t="e">
        <v>#VALUE!</v>
      </c>
    </row>
    <row r="89" spans="6:7" ht="20.100000000000001" customHeight="1" x14ac:dyDescent="0.15">
      <c r="F89" s="15">
        <v>334</v>
      </c>
      <c r="G89" s="15" t="e">
        <v>#VALUE!</v>
      </c>
    </row>
    <row r="90" spans="6:7" ht="20.100000000000001" customHeight="1" x14ac:dyDescent="0.15">
      <c r="F90" s="15">
        <v>335</v>
      </c>
      <c r="G90" s="15" t="e">
        <v>#VALUE!</v>
      </c>
    </row>
    <row r="91" spans="6:7" ht="20.100000000000001" customHeight="1" x14ac:dyDescent="0.15">
      <c r="F91" s="15">
        <v>336</v>
      </c>
      <c r="G91" s="15" t="e">
        <v>#VALUE!</v>
      </c>
    </row>
    <row r="92" spans="6:7" ht="20.100000000000001" customHeight="1" x14ac:dyDescent="0.15">
      <c r="F92" s="15">
        <v>341</v>
      </c>
      <c r="G92" s="15">
        <v>241.92</v>
      </c>
    </row>
    <row r="93" spans="6:7" ht="20.100000000000001" customHeight="1" x14ac:dyDescent="0.15">
      <c r="F93" s="15">
        <v>342</v>
      </c>
      <c r="G93" s="15">
        <v>289.42</v>
      </c>
    </row>
    <row r="94" spans="6:7" ht="20.100000000000001" customHeight="1" x14ac:dyDescent="0.15">
      <c r="F94" s="15">
        <v>343</v>
      </c>
      <c r="G94" s="15" t="e">
        <v>#VALUE!</v>
      </c>
    </row>
    <row r="95" spans="6:7" ht="20.100000000000001" customHeight="1" x14ac:dyDescent="0.15">
      <c r="F95" s="15">
        <v>344</v>
      </c>
      <c r="G95" s="15" t="e">
        <v>#VALUE!</v>
      </c>
    </row>
    <row r="96" spans="6:7" ht="20.100000000000001" customHeight="1" x14ac:dyDescent="0.15">
      <c r="F96" s="15">
        <v>345</v>
      </c>
      <c r="G96" s="15">
        <v>293.17500000000001</v>
      </c>
    </row>
    <row r="97" spans="6:7" ht="20.100000000000001" customHeight="1" x14ac:dyDescent="0.15">
      <c r="F97" s="15">
        <v>346</v>
      </c>
      <c r="G97" s="15">
        <v>251.15399999999997</v>
      </c>
    </row>
    <row r="98" spans="6:7" ht="20.100000000000001" customHeight="1" x14ac:dyDescent="0.15">
      <c r="F98" s="15">
        <v>351</v>
      </c>
      <c r="G98" s="15">
        <v>240.952</v>
      </c>
    </row>
    <row r="99" spans="6:7" ht="20.100000000000001" customHeight="1" x14ac:dyDescent="0.15">
      <c r="F99" s="15">
        <v>352</v>
      </c>
      <c r="G99" s="15">
        <v>237.83599999999998</v>
      </c>
    </row>
    <row r="100" spans="6:7" ht="20.100000000000001" customHeight="1" x14ac:dyDescent="0.15">
      <c r="F100" s="15">
        <v>353</v>
      </c>
      <c r="G100" s="15" t="e">
        <v>#VALUE!</v>
      </c>
    </row>
    <row r="101" spans="6:7" ht="20.100000000000001" customHeight="1" x14ac:dyDescent="0.15">
      <c r="F101" s="15">
        <v>354</v>
      </c>
      <c r="G101" s="15">
        <v>293.17500000000001</v>
      </c>
    </row>
    <row r="102" spans="6:7" ht="20.100000000000001" customHeight="1" x14ac:dyDescent="0.15">
      <c r="F102" s="15">
        <v>355</v>
      </c>
      <c r="G102" s="15" t="e">
        <v>#VALUE!</v>
      </c>
    </row>
    <row r="103" spans="6:7" ht="20.100000000000001" customHeight="1" x14ac:dyDescent="0.15">
      <c r="F103" s="15">
        <v>356</v>
      </c>
      <c r="G103" s="15">
        <v>260.24400000000003</v>
      </c>
    </row>
    <row r="104" spans="6:7" ht="20.100000000000001" customHeight="1" x14ac:dyDescent="0.15">
      <c r="F104" s="15">
        <v>361</v>
      </c>
      <c r="G104" s="15">
        <v>237.83599999999998</v>
      </c>
    </row>
    <row r="105" spans="6:7" ht="20.100000000000001" customHeight="1" x14ac:dyDescent="0.15">
      <c r="F105" s="15">
        <v>362</v>
      </c>
      <c r="G105" s="15">
        <v>245.02799999999996</v>
      </c>
    </row>
    <row r="106" spans="6:7" ht="20.100000000000001" customHeight="1" x14ac:dyDescent="0.15">
      <c r="F106" s="15">
        <v>363</v>
      </c>
      <c r="G106" s="15" t="e">
        <v>#VALUE!</v>
      </c>
    </row>
    <row r="107" spans="6:7" ht="20.100000000000001" customHeight="1" x14ac:dyDescent="0.15">
      <c r="F107" s="15">
        <v>364</v>
      </c>
      <c r="G107" s="15">
        <v>251.15399999999997</v>
      </c>
    </row>
    <row r="108" spans="6:7" ht="20.100000000000001" customHeight="1" x14ac:dyDescent="0.15">
      <c r="F108" s="15">
        <v>365</v>
      </c>
      <c r="G108" s="15">
        <v>260.24400000000003</v>
      </c>
    </row>
    <row r="109" spans="6:7" ht="20.100000000000001" customHeight="1" x14ac:dyDescent="0.15">
      <c r="F109" s="15">
        <v>366</v>
      </c>
      <c r="G109" s="15" t="e">
        <v>#VALUE!</v>
      </c>
    </row>
    <row r="110" spans="6:7" ht="20.100000000000001" customHeight="1" x14ac:dyDescent="0.15">
      <c r="F110" s="15">
        <v>411</v>
      </c>
      <c r="G110" s="15" t="e">
        <v>#VALUE!</v>
      </c>
    </row>
    <row r="111" spans="6:7" ht="20.100000000000001" customHeight="1" x14ac:dyDescent="0.15">
      <c r="F111" s="15">
        <v>412</v>
      </c>
      <c r="G111" s="15">
        <v>251.31</v>
      </c>
    </row>
    <row r="112" spans="6:7" ht="20.100000000000001" customHeight="1" x14ac:dyDescent="0.15">
      <c r="F112" s="15">
        <v>413</v>
      </c>
      <c r="G112" s="15">
        <v>241.92</v>
      </c>
    </row>
    <row r="113" spans="6:7" ht="20.100000000000001" customHeight="1" x14ac:dyDescent="0.15">
      <c r="F113" s="15">
        <v>414</v>
      </c>
      <c r="G113" s="15" t="e">
        <v>#VALUE!</v>
      </c>
    </row>
    <row r="114" spans="6:7" ht="20.100000000000001" customHeight="1" x14ac:dyDescent="0.15">
      <c r="F114" s="15">
        <v>415</v>
      </c>
      <c r="G114" s="15">
        <v>237.83599999999998</v>
      </c>
    </row>
    <row r="115" spans="6:7" ht="20.100000000000001" customHeight="1" x14ac:dyDescent="0.15">
      <c r="F115" s="15">
        <v>416</v>
      </c>
      <c r="G115" s="15">
        <v>245.02799999999996</v>
      </c>
    </row>
    <row r="116" spans="6:7" ht="20.100000000000001" customHeight="1" x14ac:dyDescent="0.15">
      <c r="F116" s="15">
        <v>421</v>
      </c>
      <c r="G116" s="15">
        <v>251.31</v>
      </c>
    </row>
    <row r="117" spans="6:7" ht="20.100000000000001" customHeight="1" x14ac:dyDescent="0.15">
      <c r="F117" s="15">
        <v>422</v>
      </c>
      <c r="G117" s="15" t="e">
        <v>#VALUE!</v>
      </c>
    </row>
    <row r="118" spans="6:7" ht="20.100000000000001" customHeight="1" x14ac:dyDescent="0.15">
      <c r="F118" s="15">
        <v>423</v>
      </c>
      <c r="G118" s="15">
        <v>289.42</v>
      </c>
    </row>
    <row r="119" spans="6:7" ht="20.100000000000001" customHeight="1" x14ac:dyDescent="0.15">
      <c r="F119" s="15">
        <v>424</v>
      </c>
      <c r="G119" s="15" t="e">
        <v>#VALUE!</v>
      </c>
    </row>
    <row r="120" spans="6:7" ht="20.100000000000001" customHeight="1" x14ac:dyDescent="0.15">
      <c r="F120" s="15">
        <v>425</v>
      </c>
      <c r="G120" s="15">
        <v>245.02799999999996</v>
      </c>
    </row>
    <row r="121" spans="6:7" ht="20.100000000000001" customHeight="1" x14ac:dyDescent="0.15">
      <c r="F121" s="15">
        <v>426</v>
      </c>
      <c r="G121" s="15">
        <v>244.70699999999999</v>
      </c>
    </row>
    <row r="122" spans="6:7" ht="20.100000000000001" customHeight="1" x14ac:dyDescent="0.15">
      <c r="F122" s="15">
        <v>431</v>
      </c>
      <c r="G122" s="15">
        <v>241.92</v>
      </c>
    </row>
    <row r="123" spans="6:7" ht="20.100000000000001" customHeight="1" x14ac:dyDescent="0.15">
      <c r="F123" s="15">
        <v>432</v>
      </c>
      <c r="G123" s="15">
        <v>289.42</v>
      </c>
    </row>
    <row r="124" spans="6:7" ht="20.100000000000001" customHeight="1" x14ac:dyDescent="0.15">
      <c r="F124" s="15">
        <v>433</v>
      </c>
      <c r="G124" s="15" t="e">
        <v>#VALUE!</v>
      </c>
    </row>
    <row r="125" spans="6:7" ht="20.100000000000001" customHeight="1" x14ac:dyDescent="0.15">
      <c r="F125" s="15">
        <v>434</v>
      </c>
      <c r="G125" s="15" t="e">
        <v>#VALUE!</v>
      </c>
    </row>
    <row r="126" spans="6:7" ht="20.100000000000001" customHeight="1" x14ac:dyDescent="0.15">
      <c r="F126" s="15">
        <v>435</v>
      </c>
      <c r="G126" s="15">
        <v>293.17500000000001</v>
      </c>
    </row>
    <row r="127" spans="6:7" ht="20.100000000000001" customHeight="1" x14ac:dyDescent="0.15">
      <c r="F127" s="15">
        <v>436</v>
      </c>
      <c r="G127" s="15">
        <v>251.15399999999997</v>
      </c>
    </row>
    <row r="128" spans="6:7" ht="20.100000000000001" customHeight="1" x14ac:dyDescent="0.15">
      <c r="F128" s="15">
        <v>441</v>
      </c>
      <c r="G128" s="15" t="e">
        <v>#VALUE!</v>
      </c>
    </row>
    <row r="129" spans="6:7" ht="20.100000000000001" customHeight="1" x14ac:dyDescent="0.15">
      <c r="F129" s="15">
        <v>442</v>
      </c>
      <c r="G129" s="15" t="e">
        <v>#VALUE!</v>
      </c>
    </row>
    <row r="130" spans="6:7" ht="20.100000000000001" customHeight="1" x14ac:dyDescent="0.15">
      <c r="F130" s="15">
        <v>443</v>
      </c>
      <c r="G130" s="15" t="e">
        <v>#VALUE!</v>
      </c>
    </row>
    <row r="131" spans="6:7" ht="20.100000000000001" customHeight="1" x14ac:dyDescent="0.15">
      <c r="F131" s="15">
        <v>444</v>
      </c>
      <c r="G131" s="15" t="e">
        <v>#VALUE!</v>
      </c>
    </row>
    <row r="132" spans="6:7" ht="20.100000000000001" customHeight="1" x14ac:dyDescent="0.15">
      <c r="F132" s="15">
        <v>445</v>
      </c>
      <c r="G132" s="15" t="e">
        <v>#VALUE!</v>
      </c>
    </row>
    <row r="133" spans="6:7" ht="20.100000000000001" customHeight="1" x14ac:dyDescent="0.15">
      <c r="F133" s="15">
        <v>446</v>
      </c>
      <c r="G133" s="15" t="e">
        <v>#VALUE!</v>
      </c>
    </row>
    <row r="134" spans="6:7" ht="20.100000000000001" customHeight="1" x14ac:dyDescent="0.15">
      <c r="F134" s="15">
        <v>451</v>
      </c>
      <c r="G134" s="15">
        <v>237.83599999999998</v>
      </c>
    </row>
    <row r="135" spans="6:7" ht="20.100000000000001" customHeight="1" x14ac:dyDescent="0.15">
      <c r="F135" s="15">
        <v>452</v>
      </c>
      <c r="G135" s="15">
        <v>245.02799999999996</v>
      </c>
    </row>
    <row r="136" spans="6:7" ht="20.100000000000001" customHeight="1" x14ac:dyDescent="0.15">
      <c r="F136" s="15">
        <v>453</v>
      </c>
      <c r="G136" s="15">
        <v>293.17500000000001</v>
      </c>
    </row>
    <row r="137" spans="6:7" ht="20.100000000000001" customHeight="1" x14ac:dyDescent="0.15">
      <c r="F137" s="15">
        <v>454</v>
      </c>
      <c r="G137" s="15" t="e">
        <v>#VALUE!</v>
      </c>
    </row>
    <row r="138" spans="6:7" ht="20.100000000000001" customHeight="1" x14ac:dyDescent="0.15">
      <c r="F138" s="15">
        <v>455</v>
      </c>
      <c r="G138" s="15" t="e">
        <v>#VALUE!</v>
      </c>
    </row>
    <row r="139" spans="6:7" ht="20.100000000000001" customHeight="1" x14ac:dyDescent="0.15">
      <c r="F139" s="15">
        <v>456</v>
      </c>
      <c r="G139" s="15">
        <v>330.14400000000001</v>
      </c>
    </row>
    <row r="140" spans="6:7" ht="20.100000000000001" customHeight="1" x14ac:dyDescent="0.15">
      <c r="F140" s="15">
        <v>461</v>
      </c>
      <c r="G140" s="15">
        <v>245.02799999999996</v>
      </c>
    </row>
    <row r="141" spans="6:7" ht="20.100000000000001" customHeight="1" x14ac:dyDescent="0.15">
      <c r="F141" s="15">
        <v>462</v>
      </c>
      <c r="G141" s="15">
        <v>244.70699999999999</v>
      </c>
    </row>
    <row r="142" spans="6:7" ht="20.100000000000001" customHeight="1" x14ac:dyDescent="0.15">
      <c r="F142" s="15">
        <v>463</v>
      </c>
      <c r="G142" s="15">
        <v>251.15399999999997</v>
      </c>
    </row>
    <row r="143" spans="6:7" ht="20.100000000000001" customHeight="1" x14ac:dyDescent="0.15">
      <c r="F143" s="15">
        <v>464</v>
      </c>
      <c r="G143" s="15" t="e">
        <v>#VALUE!</v>
      </c>
    </row>
    <row r="144" spans="6:7" ht="20.100000000000001" customHeight="1" x14ac:dyDescent="0.15">
      <c r="F144" s="15">
        <v>465</v>
      </c>
      <c r="G144" s="15">
        <v>330.14400000000001</v>
      </c>
    </row>
    <row r="145" spans="6:7" ht="20.100000000000001" customHeight="1" x14ac:dyDescent="0.15">
      <c r="F145" s="15">
        <v>466</v>
      </c>
      <c r="G145" s="15" t="e">
        <v>#VALUE!</v>
      </c>
    </row>
    <row r="146" spans="6:7" ht="20.100000000000001" customHeight="1" x14ac:dyDescent="0.15">
      <c r="F146" s="15">
        <v>511</v>
      </c>
      <c r="G146" s="15" t="e">
        <v>#VALUE!</v>
      </c>
    </row>
    <row r="147" spans="6:7" ht="20.100000000000001" customHeight="1" x14ac:dyDescent="0.15">
      <c r="F147" s="15">
        <v>512</v>
      </c>
      <c r="G147" s="15">
        <v>241.92</v>
      </c>
    </row>
    <row r="148" spans="6:7" ht="20.100000000000001" customHeight="1" x14ac:dyDescent="0.15">
      <c r="F148" s="15">
        <v>513</v>
      </c>
      <c r="G148" s="15">
        <v>240.952</v>
      </c>
    </row>
    <row r="149" spans="6:7" ht="20.100000000000001" customHeight="1" x14ac:dyDescent="0.15">
      <c r="F149" s="15">
        <v>514</v>
      </c>
      <c r="G149" s="15">
        <v>237.83599999999998</v>
      </c>
    </row>
    <row r="150" spans="6:7" ht="20.100000000000001" customHeight="1" x14ac:dyDescent="0.15">
      <c r="F150" s="15">
        <v>515</v>
      </c>
      <c r="G150" s="15" t="e">
        <v>#VALUE!</v>
      </c>
    </row>
    <row r="151" spans="6:7" ht="20.100000000000001" customHeight="1" x14ac:dyDescent="0.15">
      <c r="F151" s="15">
        <v>516</v>
      </c>
      <c r="G151" s="15">
        <v>244.70699999999999</v>
      </c>
    </row>
    <row r="152" spans="6:7" ht="20.100000000000001" customHeight="1" x14ac:dyDescent="0.15">
      <c r="F152" s="15">
        <v>521</v>
      </c>
      <c r="G152" s="15">
        <v>241.92</v>
      </c>
    </row>
    <row r="153" spans="6:7" ht="20.100000000000001" customHeight="1" x14ac:dyDescent="0.15">
      <c r="F153" s="15">
        <v>522</v>
      </c>
      <c r="G153" s="15" t="e">
        <v>#VALUE!</v>
      </c>
    </row>
    <row r="154" spans="6:7" ht="20.100000000000001" customHeight="1" x14ac:dyDescent="0.15">
      <c r="F154" s="15">
        <v>523</v>
      </c>
      <c r="G154" s="15">
        <v>237.83599999999998</v>
      </c>
    </row>
    <row r="155" spans="6:7" ht="20.100000000000001" customHeight="1" x14ac:dyDescent="0.15">
      <c r="F155" s="15">
        <v>524</v>
      </c>
      <c r="G155" s="15">
        <v>245.02799999999996</v>
      </c>
    </row>
    <row r="156" spans="6:7" ht="20.100000000000001" customHeight="1" x14ac:dyDescent="0.15">
      <c r="F156" s="15">
        <v>525</v>
      </c>
      <c r="G156" s="15" t="e">
        <v>#VALUE!</v>
      </c>
    </row>
    <row r="157" spans="6:7" ht="20.100000000000001" customHeight="1" x14ac:dyDescent="0.15">
      <c r="F157" s="15">
        <v>526</v>
      </c>
      <c r="G157" s="15">
        <v>251.15399999999997</v>
      </c>
    </row>
    <row r="158" spans="6:7" ht="20.100000000000001" customHeight="1" x14ac:dyDescent="0.15">
      <c r="F158" s="15">
        <v>531</v>
      </c>
      <c r="G158" s="15">
        <v>240.952</v>
      </c>
    </row>
    <row r="159" spans="6:7" ht="20.100000000000001" customHeight="1" x14ac:dyDescent="0.15">
      <c r="F159" s="15">
        <v>532</v>
      </c>
      <c r="G159" s="15">
        <v>237.83599999999998</v>
      </c>
    </row>
    <row r="160" spans="6:7" ht="20.100000000000001" customHeight="1" x14ac:dyDescent="0.15">
      <c r="F160" s="15">
        <v>533</v>
      </c>
      <c r="G160" s="15" t="e">
        <v>#VALUE!</v>
      </c>
    </row>
    <row r="161" spans="6:7" ht="20.100000000000001" customHeight="1" x14ac:dyDescent="0.15">
      <c r="F161" s="15">
        <v>534</v>
      </c>
      <c r="G161" s="15">
        <v>293.17500000000001</v>
      </c>
    </row>
    <row r="162" spans="6:7" ht="20.100000000000001" customHeight="1" x14ac:dyDescent="0.15">
      <c r="F162" s="15">
        <v>535</v>
      </c>
      <c r="G162" s="15" t="e">
        <v>#VALUE!</v>
      </c>
    </row>
    <row r="163" spans="6:7" ht="20.100000000000001" customHeight="1" x14ac:dyDescent="0.15">
      <c r="F163" s="15">
        <v>536</v>
      </c>
      <c r="G163" s="15">
        <v>260.24400000000003</v>
      </c>
    </row>
    <row r="164" spans="6:7" ht="20.100000000000001" customHeight="1" x14ac:dyDescent="0.15">
      <c r="F164" s="15">
        <v>541</v>
      </c>
      <c r="G164" s="15">
        <v>237.83599999999998</v>
      </c>
    </row>
    <row r="165" spans="6:7" ht="20.100000000000001" customHeight="1" x14ac:dyDescent="0.15">
      <c r="F165" s="15">
        <v>542</v>
      </c>
      <c r="G165" s="15">
        <v>245.02799999999996</v>
      </c>
    </row>
    <row r="166" spans="6:7" ht="20.100000000000001" customHeight="1" x14ac:dyDescent="0.15">
      <c r="F166" s="15">
        <v>543</v>
      </c>
      <c r="G166" s="15">
        <v>293.17500000000001</v>
      </c>
    </row>
    <row r="167" spans="6:7" ht="20.100000000000001" customHeight="1" x14ac:dyDescent="0.15">
      <c r="F167" s="15">
        <v>544</v>
      </c>
      <c r="G167" s="15" t="e">
        <v>#VALUE!</v>
      </c>
    </row>
    <row r="168" spans="6:7" ht="20.100000000000001" customHeight="1" x14ac:dyDescent="0.15">
      <c r="F168" s="15">
        <v>545</v>
      </c>
      <c r="G168" s="15" t="e">
        <v>#VALUE!</v>
      </c>
    </row>
    <row r="169" spans="6:7" ht="20.100000000000001" customHeight="1" x14ac:dyDescent="0.15">
      <c r="F169" s="15">
        <v>546</v>
      </c>
      <c r="G169" s="15">
        <v>330.14400000000001</v>
      </c>
    </row>
    <row r="170" spans="6:7" ht="20.100000000000001" customHeight="1" x14ac:dyDescent="0.15">
      <c r="F170" s="15">
        <v>551</v>
      </c>
      <c r="G170" s="15" t="e">
        <v>#VALUE!</v>
      </c>
    </row>
    <row r="171" spans="6:7" ht="20.100000000000001" customHeight="1" x14ac:dyDescent="0.15">
      <c r="F171" s="15">
        <v>552</v>
      </c>
      <c r="G171" s="15" t="e">
        <v>#VALUE!</v>
      </c>
    </row>
    <row r="172" spans="6:7" ht="20.100000000000001" customHeight="1" x14ac:dyDescent="0.15">
      <c r="F172" s="15">
        <v>553</v>
      </c>
      <c r="G172" s="15" t="e">
        <v>#VALUE!</v>
      </c>
    </row>
    <row r="173" spans="6:7" ht="20.100000000000001" customHeight="1" x14ac:dyDescent="0.15">
      <c r="F173" s="15">
        <v>554</v>
      </c>
      <c r="G173" s="15" t="e">
        <v>#VALUE!</v>
      </c>
    </row>
    <row r="174" spans="6:7" ht="20.100000000000001" customHeight="1" x14ac:dyDescent="0.15">
      <c r="F174" s="15">
        <v>555</v>
      </c>
      <c r="G174" s="15" t="e">
        <v>#VALUE!</v>
      </c>
    </row>
    <row r="175" spans="6:7" ht="20.100000000000001" customHeight="1" x14ac:dyDescent="0.15">
      <c r="F175" s="15">
        <v>556</v>
      </c>
      <c r="G175" s="15" t="e">
        <v>#VALUE!</v>
      </c>
    </row>
    <row r="176" spans="6:7" ht="20.100000000000001" customHeight="1" x14ac:dyDescent="0.15">
      <c r="F176" s="15">
        <v>561</v>
      </c>
      <c r="G176" s="15">
        <v>244.70699999999999</v>
      </c>
    </row>
    <row r="177" spans="6:7" ht="20.100000000000001" customHeight="1" x14ac:dyDescent="0.15">
      <c r="F177" s="15">
        <v>562</v>
      </c>
      <c r="G177" s="15">
        <v>251.15399999999997</v>
      </c>
    </row>
    <row r="178" spans="6:7" ht="20.100000000000001" customHeight="1" x14ac:dyDescent="0.15">
      <c r="F178" s="15">
        <v>563</v>
      </c>
      <c r="G178" s="15">
        <v>260.24400000000003</v>
      </c>
    </row>
    <row r="179" spans="6:7" ht="20.100000000000001" customHeight="1" x14ac:dyDescent="0.15">
      <c r="F179" s="15">
        <v>564</v>
      </c>
      <c r="G179" s="15">
        <v>330.14400000000001</v>
      </c>
    </row>
    <row r="180" spans="6:7" ht="20.100000000000001" customHeight="1" x14ac:dyDescent="0.15">
      <c r="F180" s="15">
        <v>565</v>
      </c>
      <c r="G180" s="15" t="e">
        <v>#VALUE!</v>
      </c>
    </row>
    <row r="181" spans="6:7" ht="20.100000000000001" customHeight="1" x14ac:dyDescent="0.15">
      <c r="F181" s="15">
        <v>566</v>
      </c>
      <c r="G181" s="15" t="e">
        <v>#VALUE!</v>
      </c>
    </row>
    <row r="182" spans="6:7" ht="20.100000000000001" customHeight="1" x14ac:dyDescent="0.15">
      <c r="F182" s="15">
        <v>611</v>
      </c>
      <c r="G182" s="15" t="e">
        <v>#VALUE!</v>
      </c>
    </row>
    <row r="183" spans="6:7" ht="20.100000000000001" customHeight="1" x14ac:dyDescent="0.15">
      <c r="F183" s="15">
        <v>612</v>
      </c>
      <c r="G183" s="15">
        <v>240.952</v>
      </c>
    </row>
    <row r="184" spans="6:7" ht="20.100000000000001" customHeight="1" x14ac:dyDescent="0.15">
      <c r="F184" s="15">
        <v>613</v>
      </c>
      <c r="G184" s="15">
        <v>237.83599999999998</v>
      </c>
    </row>
    <row r="185" spans="6:7" ht="20.100000000000001" customHeight="1" x14ac:dyDescent="0.15">
      <c r="F185" s="15">
        <v>614</v>
      </c>
      <c r="G185" s="15">
        <v>245.02799999999996</v>
      </c>
    </row>
    <row r="186" spans="6:7" ht="20.100000000000001" customHeight="1" x14ac:dyDescent="0.15">
      <c r="F186" s="15">
        <v>615</v>
      </c>
      <c r="G186" s="15">
        <v>244.70699999999999</v>
      </c>
    </row>
    <row r="187" spans="6:7" ht="20.100000000000001" customHeight="1" x14ac:dyDescent="0.15">
      <c r="F187" s="15">
        <v>616</v>
      </c>
      <c r="G187" s="15" t="e">
        <v>#VALUE!</v>
      </c>
    </row>
    <row r="188" spans="6:7" ht="20.100000000000001" customHeight="1" x14ac:dyDescent="0.15">
      <c r="F188" s="15">
        <v>621</v>
      </c>
      <c r="G188" s="15">
        <v>240.952</v>
      </c>
    </row>
    <row r="189" spans="6:7" ht="20.100000000000001" customHeight="1" x14ac:dyDescent="0.15">
      <c r="F189" s="15">
        <v>622</v>
      </c>
      <c r="G189" s="15" t="e">
        <v>#VALUE!</v>
      </c>
    </row>
    <row r="190" spans="6:7" ht="20.100000000000001" customHeight="1" x14ac:dyDescent="0.15">
      <c r="F190" s="15">
        <v>623</v>
      </c>
      <c r="G190" s="15">
        <v>245.02799999999996</v>
      </c>
    </row>
    <row r="191" spans="6:7" ht="20.100000000000001" customHeight="1" x14ac:dyDescent="0.15">
      <c r="F191" s="15">
        <v>624</v>
      </c>
      <c r="G191" s="15">
        <v>244.70699999999999</v>
      </c>
    </row>
    <row r="192" spans="6:7" ht="20.100000000000001" customHeight="1" x14ac:dyDescent="0.15">
      <c r="F192" s="15">
        <v>625</v>
      </c>
      <c r="G192" s="15">
        <v>251.15399999999997</v>
      </c>
    </row>
    <row r="193" spans="6:7" ht="20.100000000000001" customHeight="1" x14ac:dyDescent="0.15">
      <c r="F193" s="15">
        <v>626</v>
      </c>
      <c r="G193" s="15" t="e">
        <v>#VALUE!</v>
      </c>
    </row>
    <row r="194" spans="6:7" ht="20.100000000000001" customHeight="1" x14ac:dyDescent="0.15">
      <c r="F194" s="15">
        <v>631</v>
      </c>
      <c r="G194" s="15">
        <v>237.83599999999998</v>
      </c>
    </row>
    <row r="195" spans="6:7" ht="20.100000000000001" customHeight="1" x14ac:dyDescent="0.15">
      <c r="F195" s="15">
        <v>632</v>
      </c>
      <c r="G195" s="15">
        <v>245.02799999999996</v>
      </c>
    </row>
    <row r="196" spans="6:7" ht="20.100000000000001" customHeight="1" x14ac:dyDescent="0.15">
      <c r="F196" s="15">
        <v>633</v>
      </c>
      <c r="G196" s="15" t="e">
        <v>#VALUE!</v>
      </c>
    </row>
    <row r="197" spans="6:7" ht="20.100000000000001" customHeight="1" x14ac:dyDescent="0.15">
      <c r="F197" s="15">
        <v>634</v>
      </c>
      <c r="G197" s="15">
        <v>251.15399999999997</v>
      </c>
    </row>
    <row r="198" spans="6:7" ht="20.100000000000001" customHeight="1" x14ac:dyDescent="0.15">
      <c r="F198" s="15">
        <v>635</v>
      </c>
      <c r="G198" s="15">
        <v>260.24400000000003</v>
      </c>
    </row>
    <row r="199" spans="6:7" ht="20.100000000000001" customHeight="1" x14ac:dyDescent="0.15">
      <c r="F199" s="15">
        <v>636</v>
      </c>
      <c r="G199" s="15" t="e">
        <v>#VALUE!</v>
      </c>
    </row>
    <row r="200" spans="6:7" ht="20.100000000000001" customHeight="1" x14ac:dyDescent="0.15">
      <c r="F200" s="15">
        <v>641</v>
      </c>
      <c r="G200" s="15">
        <v>245.02799999999996</v>
      </c>
    </row>
    <row r="201" spans="6:7" ht="20.100000000000001" customHeight="1" x14ac:dyDescent="0.15">
      <c r="F201" s="15">
        <v>642</v>
      </c>
      <c r="G201" s="15">
        <v>244.70699999999999</v>
      </c>
    </row>
    <row r="202" spans="6:7" ht="20.100000000000001" customHeight="1" x14ac:dyDescent="0.15">
      <c r="F202" s="15">
        <v>643</v>
      </c>
      <c r="G202" s="15">
        <v>251.15399999999997</v>
      </c>
    </row>
    <row r="203" spans="6:7" ht="20.100000000000001" customHeight="1" x14ac:dyDescent="0.15">
      <c r="F203" s="15">
        <v>644</v>
      </c>
      <c r="G203" s="15" t="e">
        <v>#VALUE!</v>
      </c>
    </row>
    <row r="204" spans="6:7" ht="20.100000000000001" customHeight="1" x14ac:dyDescent="0.15">
      <c r="F204" s="15">
        <v>645</v>
      </c>
      <c r="G204" s="15">
        <v>330.14400000000001</v>
      </c>
    </row>
    <row r="205" spans="6:7" ht="20.100000000000001" customHeight="1" x14ac:dyDescent="0.15">
      <c r="F205" s="15">
        <v>646</v>
      </c>
      <c r="G205" s="15" t="e">
        <v>#VALUE!</v>
      </c>
    </row>
    <row r="206" spans="6:7" ht="20.100000000000001" customHeight="1" x14ac:dyDescent="0.15">
      <c r="F206" s="15">
        <v>651</v>
      </c>
      <c r="G206" s="15">
        <v>244.70699999999999</v>
      </c>
    </row>
    <row r="207" spans="6:7" ht="20.100000000000001" customHeight="1" x14ac:dyDescent="0.15">
      <c r="F207" s="15">
        <v>652</v>
      </c>
      <c r="G207" s="15">
        <v>251.15399999999997</v>
      </c>
    </row>
    <row r="208" spans="6:7" ht="20.100000000000001" customHeight="1" x14ac:dyDescent="0.15">
      <c r="F208" s="15">
        <v>653</v>
      </c>
      <c r="G208" s="15">
        <v>260.24400000000003</v>
      </c>
    </row>
    <row r="209" spans="6:7" ht="20.100000000000001" customHeight="1" x14ac:dyDescent="0.15">
      <c r="F209" s="15">
        <v>654</v>
      </c>
      <c r="G209" s="15">
        <v>330.14400000000001</v>
      </c>
    </row>
    <row r="210" spans="6:7" ht="20.100000000000001" customHeight="1" x14ac:dyDescent="0.15">
      <c r="F210" s="15">
        <v>655</v>
      </c>
      <c r="G210" s="15" t="e">
        <v>#VALUE!</v>
      </c>
    </row>
    <row r="211" spans="6:7" ht="20.100000000000001" customHeight="1" x14ac:dyDescent="0.15">
      <c r="F211" s="15">
        <v>656</v>
      </c>
      <c r="G211" s="15" t="e">
        <v>#VALUE!</v>
      </c>
    </row>
    <row r="212" spans="6:7" ht="20.100000000000001" customHeight="1" x14ac:dyDescent="0.15">
      <c r="F212" s="15">
        <v>661</v>
      </c>
      <c r="G212" s="15" t="e">
        <v>#VALUE!</v>
      </c>
    </row>
    <row r="213" spans="6:7" ht="20.100000000000001" customHeight="1" x14ac:dyDescent="0.15">
      <c r="F213" s="15">
        <v>662</v>
      </c>
      <c r="G213" s="15" t="e">
        <v>#VALUE!</v>
      </c>
    </row>
    <row r="214" spans="6:7" ht="20.100000000000001" customHeight="1" x14ac:dyDescent="0.15">
      <c r="F214" s="15">
        <v>663</v>
      </c>
      <c r="G214" s="15" t="e">
        <v>#VALUE!</v>
      </c>
    </row>
    <row r="215" spans="6:7" ht="20.100000000000001" customHeight="1" x14ac:dyDescent="0.15">
      <c r="F215" s="15">
        <v>664</v>
      </c>
      <c r="G215" s="15" t="e">
        <v>#VALUE!</v>
      </c>
    </row>
    <row r="216" spans="6:7" ht="20.100000000000001" customHeight="1" x14ac:dyDescent="0.15">
      <c r="F216" s="15">
        <v>665</v>
      </c>
      <c r="G216" s="15" t="e">
        <v>#VALUE!</v>
      </c>
    </row>
    <row r="217" spans="6:7" ht="20.100000000000001" customHeight="1" x14ac:dyDescent="0.15">
      <c r="F217" s="15">
        <v>666</v>
      </c>
      <c r="G217" s="15" t="e">
        <v>#VALUE!</v>
      </c>
    </row>
    <row r="218" spans="6:7" ht="20.100000000000001" customHeight="1" x14ac:dyDescent="0.15">
      <c r="F218" s="1"/>
      <c r="G218" s="1"/>
    </row>
    <row r="219" spans="6:7" ht="20.100000000000001" customHeight="1" x14ac:dyDescent="0.15">
      <c r="F219" s="1"/>
      <c r="G219" s="1"/>
    </row>
    <row r="220" spans="6:7" ht="20.100000000000001" customHeight="1" x14ac:dyDescent="0.15">
      <c r="F220" s="1"/>
      <c r="G220" s="1"/>
    </row>
    <row r="221" spans="6:7" ht="20.100000000000001" customHeight="1" x14ac:dyDescent="0.15">
      <c r="F221" s="1"/>
      <c r="G221" s="1"/>
    </row>
    <row r="222" spans="6:7" ht="20.100000000000001" customHeight="1" x14ac:dyDescent="0.15">
      <c r="F222" s="1"/>
      <c r="G222" s="1"/>
    </row>
    <row r="223" spans="6:7" ht="20.100000000000001" customHeight="1" x14ac:dyDescent="0.15">
      <c r="F223" s="1"/>
      <c r="G223" s="1"/>
    </row>
    <row r="224" spans="6:7" ht="20.100000000000001" customHeight="1" x14ac:dyDescent="0.15">
      <c r="F224" s="1"/>
      <c r="G224" s="1"/>
    </row>
    <row r="225" spans="6:7" ht="20.100000000000001" customHeight="1" x14ac:dyDescent="0.15">
      <c r="F225" s="1"/>
      <c r="G225" s="1"/>
    </row>
    <row r="226" spans="6:7" ht="20.100000000000001" customHeight="1" x14ac:dyDescent="0.15">
      <c r="F226" s="1"/>
      <c r="G226" s="1"/>
    </row>
    <row r="227" spans="6:7" ht="20.100000000000001" customHeight="1" x14ac:dyDescent="0.15">
      <c r="F227" s="1"/>
      <c r="G227" s="1"/>
    </row>
    <row r="228" spans="6:7" ht="20.100000000000001" customHeight="1" x14ac:dyDescent="0.15">
      <c r="F228" s="1"/>
      <c r="G228" s="1"/>
    </row>
    <row r="229" spans="6:7" ht="20.100000000000001" customHeight="1" x14ac:dyDescent="0.15">
      <c r="F229" s="1"/>
      <c r="G229" s="1"/>
    </row>
  </sheetData>
  <autoFilter ref="A1:P37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61"/>
  <sheetViews>
    <sheetView workbookViewId="0">
      <selection activeCell="E8" sqref="E8"/>
    </sheetView>
  </sheetViews>
  <sheetFormatPr defaultRowHeight="13.5" x14ac:dyDescent="0.15"/>
  <cols>
    <col min="1" max="1" width="6.5" bestFit="1" customWidth="1"/>
    <col min="2" max="2" width="10.5" bestFit="1" customWidth="1"/>
    <col min="3" max="3" width="12.75" bestFit="1" customWidth="1"/>
    <col min="7" max="7" width="10.5" bestFit="1" customWidth="1"/>
    <col min="8" max="8" width="12.75" bestFit="1" customWidth="1"/>
  </cols>
  <sheetData>
    <row r="1" spans="1:8" x14ac:dyDescent="0.15">
      <c r="A1" s="15" t="str">
        <f>'K3'!F1</f>
        <v>spend</v>
      </c>
      <c r="B1" s="15" t="str">
        <f>'K3'!G1</f>
        <v>reBateAll</v>
      </c>
      <c r="C1" s="15" t="str">
        <f>'K3'!H1</f>
        <v>DrawnAmount</v>
      </c>
      <c r="D1" s="23" t="s">
        <v>149</v>
      </c>
      <c r="F1" t="s">
        <v>150</v>
      </c>
      <c r="G1" t="s">
        <v>151</v>
      </c>
      <c r="H1" t="s">
        <v>152</v>
      </c>
    </row>
    <row r="2" spans="1:8" x14ac:dyDescent="0.15">
      <c r="A2" s="15">
        <f>'K3'!F2</f>
        <v>20</v>
      </c>
      <c r="B2" s="15" t="e">
        <f>'K3'!G2</f>
        <v>#VALUE!</v>
      </c>
      <c r="C2" s="15">
        <f>'K3'!H2</f>
        <v>3.996</v>
      </c>
      <c r="D2" t="s">
        <v>216</v>
      </c>
      <c r="F2">
        <v>20</v>
      </c>
      <c r="G2">
        <v>0.11999999999999993</v>
      </c>
      <c r="H2">
        <v>18.260000000000002</v>
      </c>
    </row>
    <row r="3" spans="1:8" x14ac:dyDescent="0.15">
      <c r="A3" s="15">
        <f>'K3'!F3</f>
        <v>4</v>
      </c>
      <c r="B3" s="15" t="e">
        <f>'K3'!G3</f>
        <v>#VALUE!</v>
      </c>
      <c r="C3" s="15">
        <f>'K3'!H3</f>
        <v>0</v>
      </c>
      <c r="F3">
        <v>4</v>
      </c>
      <c r="G3">
        <v>2.3999999999999987E-2</v>
      </c>
      <c r="H3">
        <v>0</v>
      </c>
    </row>
    <row r="4" spans="1:8" x14ac:dyDescent="0.15">
      <c r="A4" s="15">
        <f>'K3'!F4</f>
        <v>42</v>
      </c>
      <c r="B4" s="15" t="e">
        <f>'K3'!G4</f>
        <v>#VALUE!</v>
      </c>
      <c r="C4" s="15">
        <f>'K3'!H4</f>
        <v>0</v>
      </c>
      <c r="D4" t="str">
        <f>SUBSTITUTE(E4,",",)</f>
        <v>145</v>
      </c>
      <c r="E4" t="s">
        <v>137</v>
      </c>
      <c r="F4">
        <v>42</v>
      </c>
      <c r="G4">
        <v>0.25199999999999984</v>
      </c>
      <c r="H4">
        <v>0</v>
      </c>
    </row>
    <row r="5" spans="1:8" x14ac:dyDescent="0.15">
      <c r="A5" s="15">
        <f>'K3'!F5</f>
        <v>60</v>
      </c>
      <c r="B5" s="15" t="e">
        <f>'K3'!G5</f>
        <v>#VALUE!</v>
      </c>
      <c r="C5" s="15">
        <f>'K3'!H5</f>
        <v>97.091999999999985</v>
      </c>
      <c r="D5" t="str">
        <f t="shared" ref="D5:D19" si="0">SUBSTITUTE(E5,",",)</f>
        <v>256</v>
      </c>
      <c r="E5" t="s">
        <v>141</v>
      </c>
      <c r="F5">
        <v>60</v>
      </c>
      <c r="G5">
        <v>0.35999999999999976</v>
      </c>
      <c r="H5">
        <v>96.444000000000017</v>
      </c>
    </row>
    <row r="6" spans="1:8" x14ac:dyDescent="0.15">
      <c r="A6" s="15">
        <f>'K3'!F6</f>
        <v>6</v>
      </c>
      <c r="B6" s="15" t="e">
        <f>'K3'!G6</f>
        <v>#VALUE!</v>
      </c>
      <c r="C6" s="15">
        <f>'K3'!H6</f>
        <v>48.467999999999996</v>
      </c>
      <c r="D6" t="str">
        <f t="shared" si="0"/>
        <v>112</v>
      </c>
      <c r="E6" t="s">
        <v>212</v>
      </c>
      <c r="F6">
        <v>6</v>
      </c>
      <c r="G6">
        <v>3.5999999999999976E-2</v>
      </c>
      <c r="H6">
        <v>0</v>
      </c>
    </row>
    <row r="7" spans="1:8" x14ac:dyDescent="0.15">
      <c r="A7" s="15">
        <f>'K3'!F7</f>
        <v>6</v>
      </c>
      <c r="B7" s="15" t="e">
        <f>'K3'!G7</f>
        <v>#VALUE!</v>
      </c>
      <c r="C7" s="15">
        <f>'K3'!H7</f>
        <v>0</v>
      </c>
      <c r="D7" t="str">
        <f t="shared" si="0"/>
        <v>234</v>
      </c>
      <c r="E7" t="s">
        <v>142</v>
      </c>
      <c r="F7">
        <v>6</v>
      </c>
      <c r="G7">
        <v>3.5999999999999976E-2</v>
      </c>
      <c r="H7">
        <v>0</v>
      </c>
    </row>
    <row r="8" spans="1:8" x14ac:dyDescent="0.15">
      <c r="A8" s="15">
        <f>'K3'!F8</f>
        <v>45</v>
      </c>
      <c r="B8" s="15" t="e">
        <f>'K3'!G8</f>
        <v>#VALUE!</v>
      </c>
      <c r="C8" s="15">
        <f>'K3'!H8</f>
        <v>0</v>
      </c>
      <c r="D8" t="str">
        <f t="shared" si="0"/>
        <v>355</v>
      </c>
      <c r="E8" t="s">
        <v>213</v>
      </c>
      <c r="F8">
        <v>45</v>
      </c>
      <c r="G8">
        <v>0.26999999999999985</v>
      </c>
      <c r="H8">
        <v>0</v>
      </c>
    </row>
    <row r="9" spans="1:8" x14ac:dyDescent="0.15">
      <c r="A9" s="15">
        <f>'K3'!F9</f>
        <v>90</v>
      </c>
      <c r="B9" s="15" t="e">
        <f>'K3'!G9</f>
        <v>#VALUE!</v>
      </c>
      <c r="C9" s="15">
        <f>'K3'!H9</f>
        <v>116.37</v>
      </c>
      <c r="D9" t="str">
        <f t="shared" si="0"/>
        <v>136</v>
      </c>
      <c r="E9" t="s">
        <v>144</v>
      </c>
      <c r="F9">
        <v>90</v>
      </c>
      <c r="G9">
        <v>0.5399999999999997</v>
      </c>
      <c r="H9">
        <v>115.61399999999999</v>
      </c>
    </row>
    <row r="10" spans="1:8" x14ac:dyDescent="0.15">
      <c r="A10" s="15">
        <f>'K3'!F10</f>
        <v>30</v>
      </c>
      <c r="B10" s="15" t="e">
        <f>'K3'!G10</f>
        <v>#VALUE!</v>
      </c>
      <c r="C10" s="15">
        <f>'K3'!H10</f>
        <v>64.218000000000004</v>
      </c>
      <c r="D10" t="str">
        <f t="shared" si="0"/>
        <v>225</v>
      </c>
      <c r="E10" t="s">
        <v>148</v>
      </c>
      <c r="F10">
        <v>30</v>
      </c>
      <c r="G10">
        <v>0.17999999999999988</v>
      </c>
      <c r="H10">
        <v>5.9580000000000002</v>
      </c>
    </row>
    <row r="11" spans="1:8" x14ac:dyDescent="0.15">
      <c r="A11" s="15">
        <f>'K3'!F11</f>
        <v>27</v>
      </c>
      <c r="B11" s="15" t="e">
        <f>'K3'!G11</f>
        <v>#VALUE!</v>
      </c>
      <c r="C11" s="15">
        <f>'K3'!H11</f>
        <v>0</v>
      </c>
      <c r="D11" t="str">
        <f t="shared" si="0"/>
        <v>155</v>
      </c>
      <c r="E11" t="s">
        <v>214</v>
      </c>
      <c r="F11">
        <v>27</v>
      </c>
      <c r="G11">
        <v>0.16199999999999989</v>
      </c>
      <c r="H11">
        <v>0</v>
      </c>
    </row>
    <row r="12" spans="1:8" x14ac:dyDescent="0.15">
      <c r="D12" t="str">
        <f t="shared" si="0"/>
        <v>114</v>
      </c>
      <c r="E12" t="s">
        <v>215</v>
      </c>
      <c r="F12">
        <v>20</v>
      </c>
      <c r="G12">
        <v>0.11999999999999993</v>
      </c>
      <c r="H12">
        <v>3.972</v>
      </c>
    </row>
    <row r="13" spans="1:8" x14ac:dyDescent="0.15">
      <c r="D13" t="str">
        <f t="shared" si="0"/>
        <v>233</v>
      </c>
      <c r="E13" t="s">
        <v>136</v>
      </c>
      <c r="F13">
        <v>4</v>
      </c>
      <c r="G13">
        <v>2.3999999999999987E-2</v>
      </c>
      <c r="H13">
        <v>0</v>
      </c>
    </row>
    <row r="14" spans="1:8" x14ac:dyDescent="0.15">
      <c r="D14" t="str">
        <f t="shared" si="0"/>
        <v>123</v>
      </c>
      <c r="E14" t="s">
        <v>135</v>
      </c>
      <c r="F14">
        <v>42</v>
      </c>
      <c r="G14">
        <v>0.25199999999999984</v>
      </c>
      <c r="H14">
        <v>0</v>
      </c>
    </row>
    <row r="15" spans="1:8" x14ac:dyDescent="0.15">
      <c r="D15" t="str">
        <f t="shared" si="0"/>
        <v>224</v>
      </c>
      <c r="E15" t="s">
        <v>140</v>
      </c>
      <c r="F15">
        <v>60</v>
      </c>
      <c r="G15">
        <v>0.35999999999999976</v>
      </c>
      <c r="H15">
        <v>96.444000000000017</v>
      </c>
    </row>
    <row r="16" spans="1:8" x14ac:dyDescent="0.15">
      <c r="D16" t="str">
        <f t="shared" si="0"/>
        <v>126</v>
      </c>
      <c r="E16" t="s">
        <v>132</v>
      </c>
      <c r="F16">
        <v>6</v>
      </c>
      <c r="G16">
        <v>3.5999999999999976E-2</v>
      </c>
      <c r="H16">
        <v>0</v>
      </c>
    </row>
    <row r="17" spans="4:8" x14ac:dyDescent="0.15">
      <c r="D17" t="str">
        <f t="shared" si="0"/>
        <v>155</v>
      </c>
      <c r="E17" t="s">
        <v>214</v>
      </c>
      <c r="F17">
        <v>6</v>
      </c>
      <c r="G17">
        <v>3.5999999999999976E-2</v>
      </c>
      <c r="H17">
        <v>0</v>
      </c>
    </row>
    <row r="18" spans="4:8" x14ac:dyDescent="0.15">
      <c r="D18" t="str">
        <f t="shared" si="0"/>
        <v>234</v>
      </c>
      <c r="E18" t="s">
        <v>142</v>
      </c>
      <c r="F18">
        <v>45</v>
      </c>
      <c r="G18">
        <v>0.26999999999999985</v>
      </c>
      <c r="H18">
        <v>0</v>
      </c>
    </row>
    <row r="19" spans="4:8" x14ac:dyDescent="0.15">
      <c r="D19" t="str">
        <f t="shared" si="0"/>
        <v>345</v>
      </c>
      <c r="E19" t="s">
        <v>143</v>
      </c>
      <c r="F19">
        <v>90</v>
      </c>
      <c r="G19">
        <v>0.5399999999999997</v>
      </c>
      <c r="H19">
        <v>115.61399999999999</v>
      </c>
    </row>
    <row r="20" spans="4:8" x14ac:dyDescent="0.15">
      <c r="F20">
        <v>30</v>
      </c>
      <c r="G20">
        <v>0.17999999999999988</v>
      </c>
      <c r="H20">
        <v>33.479999999999997</v>
      </c>
    </row>
    <row r="21" spans="4:8" x14ac:dyDescent="0.15">
      <c r="F21">
        <v>27</v>
      </c>
      <c r="G21">
        <v>0.16199999999999989</v>
      </c>
      <c r="H21">
        <v>0</v>
      </c>
    </row>
    <row r="22" spans="4:8" x14ac:dyDescent="0.15">
      <c r="F22">
        <v>20</v>
      </c>
      <c r="G22">
        <v>0.11999999999999993</v>
      </c>
      <c r="H22">
        <v>132.56400000000002</v>
      </c>
    </row>
    <row r="23" spans="4:8" x14ac:dyDescent="0.15">
      <c r="F23">
        <v>4</v>
      </c>
      <c r="G23">
        <v>2.3999999999999987E-2</v>
      </c>
      <c r="H23">
        <v>0</v>
      </c>
    </row>
    <row r="24" spans="4:8" x14ac:dyDescent="0.15">
      <c r="F24">
        <v>42</v>
      </c>
      <c r="G24">
        <v>0.25199999999999984</v>
      </c>
      <c r="H24">
        <v>0</v>
      </c>
    </row>
    <row r="25" spans="4:8" x14ac:dyDescent="0.15">
      <c r="F25">
        <v>60</v>
      </c>
      <c r="G25">
        <v>0.35999999999999976</v>
      </c>
      <c r="H25">
        <v>0</v>
      </c>
    </row>
    <row r="26" spans="4:8" x14ac:dyDescent="0.15">
      <c r="F26">
        <v>6</v>
      </c>
      <c r="G26">
        <v>3.5999999999999976E-2</v>
      </c>
      <c r="H26">
        <v>0</v>
      </c>
    </row>
    <row r="27" spans="4:8" x14ac:dyDescent="0.15">
      <c r="F27">
        <v>6</v>
      </c>
      <c r="G27">
        <v>3.5999999999999976E-2</v>
      </c>
      <c r="H27">
        <v>12.846</v>
      </c>
    </row>
    <row r="28" spans="4:8" x14ac:dyDescent="0.15">
      <c r="F28">
        <v>45</v>
      </c>
      <c r="G28">
        <v>0.26999999999999985</v>
      </c>
      <c r="H28">
        <v>0</v>
      </c>
    </row>
    <row r="29" spans="4:8" x14ac:dyDescent="0.15">
      <c r="F29">
        <v>90</v>
      </c>
      <c r="G29">
        <v>0.5399999999999997</v>
      </c>
      <c r="H29">
        <v>38.537999999999997</v>
      </c>
    </row>
    <row r="30" spans="4:8" x14ac:dyDescent="0.15">
      <c r="F30">
        <v>30</v>
      </c>
      <c r="G30">
        <v>0.17999999999999988</v>
      </c>
      <c r="H30">
        <v>5.9580000000000002</v>
      </c>
    </row>
    <row r="31" spans="4:8" x14ac:dyDescent="0.15">
      <c r="F31">
        <v>27</v>
      </c>
      <c r="G31">
        <v>0.16199999999999989</v>
      </c>
      <c r="H31">
        <v>0</v>
      </c>
    </row>
    <row r="32" spans="4:8" x14ac:dyDescent="0.15">
      <c r="F32">
        <v>20</v>
      </c>
      <c r="G32">
        <v>0.11999999999999993</v>
      </c>
      <c r="H32">
        <v>15.406000000000001</v>
      </c>
    </row>
    <row r="33" spans="6:8" x14ac:dyDescent="0.15">
      <c r="F33">
        <v>4</v>
      </c>
      <c r="G33">
        <v>2.3999999999999987E-2</v>
      </c>
      <c r="H33">
        <v>0</v>
      </c>
    </row>
    <row r="34" spans="6:8" x14ac:dyDescent="0.15">
      <c r="F34">
        <v>42</v>
      </c>
      <c r="G34">
        <v>0.25199999999999984</v>
      </c>
      <c r="H34">
        <v>0</v>
      </c>
    </row>
    <row r="35" spans="6:8" x14ac:dyDescent="0.15">
      <c r="F35">
        <v>60</v>
      </c>
      <c r="G35">
        <v>0.35999999999999976</v>
      </c>
      <c r="H35">
        <v>96.444000000000017</v>
      </c>
    </row>
    <row r="36" spans="6:8" x14ac:dyDescent="0.15">
      <c r="F36">
        <v>6</v>
      </c>
      <c r="G36">
        <v>3.5999999999999976E-2</v>
      </c>
      <c r="H36">
        <v>48.179999999999993</v>
      </c>
    </row>
    <row r="37" spans="6:8" x14ac:dyDescent="0.15">
      <c r="F37">
        <v>6</v>
      </c>
      <c r="G37">
        <v>3.5999999999999976E-2</v>
      </c>
      <c r="H37">
        <v>0</v>
      </c>
    </row>
    <row r="38" spans="6:8" x14ac:dyDescent="0.15">
      <c r="F38">
        <v>45</v>
      </c>
      <c r="G38">
        <v>0.26999999999999985</v>
      </c>
      <c r="H38">
        <v>0</v>
      </c>
    </row>
    <row r="39" spans="6:8" x14ac:dyDescent="0.15">
      <c r="F39">
        <v>90</v>
      </c>
      <c r="G39">
        <v>0.5399999999999997</v>
      </c>
      <c r="H39">
        <v>115.61399999999999</v>
      </c>
    </row>
    <row r="40" spans="6:8" x14ac:dyDescent="0.15">
      <c r="F40">
        <v>30</v>
      </c>
      <c r="G40">
        <v>0.17999999999999988</v>
      </c>
      <c r="H40">
        <v>11.916</v>
      </c>
    </row>
    <row r="41" spans="6:8" x14ac:dyDescent="0.15">
      <c r="F41">
        <v>27</v>
      </c>
      <c r="G41">
        <v>0.16199999999999989</v>
      </c>
      <c r="H41">
        <v>0</v>
      </c>
    </row>
    <row r="42" spans="6:8" x14ac:dyDescent="0.15">
      <c r="F42">
        <v>20</v>
      </c>
      <c r="G42">
        <v>0.11999999999999993</v>
      </c>
      <c r="H42">
        <v>3.972</v>
      </c>
    </row>
    <row r="43" spans="6:8" x14ac:dyDescent="0.15">
      <c r="F43">
        <v>4</v>
      </c>
      <c r="G43">
        <v>2.3999999999999987E-2</v>
      </c>
      <c r="H43">
        <v>0</v>
      </c>
    </row>
    <row r="44" spans="6:8" x14ac:dyDescent="0.15">
      <c r="F44">
        <v>42</v>
      </c>
      <c r="G44">
        <v>0.25199999999999984</v>
      </c>
      <c r="H44">
        <v>0</v>
      </c>
    </row>
    <row r="45" spans="6:8" x14ac:dyDescent="0.15">
      <c r="F45">
        <v>60</v>
      </c>
      <c r="G45">
        <v>0.35999999999999976</v>
      </c>
      <c r="H45">
        <v>0</v>
      </c>
    </row>
    <row r="46" spans="6:8" x14ac:dyDescent="0.15">
      <c r="F46">
        <v>6</v>
      </c>
      <c r="G46">
        <v>3.5999999999999976E-2</v>
      </c>
      <c r="H46">
        <v>0</v>
      </c>
    </row>
    <row r="47" spans="6:8" x14ac:dyDescent="0.15">
      <c r="F47">
        <v>6</v>
      </c>
      <c r="G47">
        <v>3.5999999999999976E-2</v>
      </c>
      <c r="H47">
        <v>12.846</v>
      </c>
    </row>
    <row r="48" spans="6:8" x14ac:dyDescent="0.15">
      <c r="F48">
        <v>45</v>
      </c>
      <c r="G48">
        <v>0.26999999999999985</v>
      </c>
      <c r="H48">
        <v>0</v>
      </c>
    </row>
    <row r="49" spans="6:8" x14ac:dyDescent="0.15">
      <c r="F49">
        <v>90</v>
      </c>
      <c r="G49">
        <v>0.5399999999999997</v>
      </c>
      <c r="H49">
        <v>38.537999999999997</v>
      </c>
    </row>
    <row r="50" spans="6:8" x14ac:dyDescent="0.15">
      <c r="F50">
        <v>30</v>
      </c>
      <c r="G50">
        <v>0.17999999999999988</v>
      </c>
      <c r="H50">
        <v>33.479999999999997</v>
      </c>
    </row>
    <row r="51" spans="6:8" x14ac:dyDescent="0.15">
      <c r="F51">
        <v>27</v>
      </c>
      <c r="G51">
        <v>0.16199999999999989</v>
      </c>
      <c r="H51">
        <v>192.88800000000003</v>
      </c>
    </row>
    <row r="52" spans="6:8" x14ac:dyDescent="0.15">
      <c r="F52">
        <v>20</v>
      </c>
      <c r="G52">
        <v>0.11999999999999993</v>
      </c>
      <c r="H52">
        <v>18.260000000000002</v>
      </c>
    </row>
    <row r="53" spans="6:8" x14ac:dyDescent="0.15">
      <c r="F53">
        <v>4</v>
      </c>
      <c r="G53">
        <v>2.3999999999999987E-2</v>
      </c>
      <c r="H53">
        <v>0</v>
      </c>
    </row>
    <row r="54" spans="6:8" x14ac:dyDescent="0.15">
      <c r="F54">
        <v>42</v>
      </c>
      <c r="G54">
        <v>0.25199999999999984</v>
      </c>
      <c r="H54">
        <v>0</v>
      </c>
    </row>
    <row r="55" spans="6:8" x14ac:dyDescent="0.15">
      <c r="F55">
        <v>60</v>
      </c>
      <c r="G55">
        <v>0.35999999999999976</v>
      </c>
      <c r="H55">
        <v>96.444000000000017</v>
      </c>
    </row>
    <row r="56" spans="6:8" x14ac:dyDescent="0.15">
      <c r="F56">
        <v>6</v>
      </c>
      <c r="G56">
        <v>3.5999999999999976E-2</v>
      </c>
      <c r="H56">
        <v>0</v>
      </c>
    </row>
    <row r="57" spans="6:8" x14ac:dyDescent="0.15">
      <c r="F57">
        <v>6</v>
      </c>
      <c r="G57">
        <v>3.5999999999999976E-2</v>
      </c>
      <c r="H57">
        <v>0</v>
      </c>
    </row>
    <row r="58" spans="6:8" x14ac:dyDescent="0.15">
      <c r="F58">
        <v>45</v>
      </c>
      <c r="G58">
        <v>0.26999999999999985</v>
      </c>
      <c r="H58">
        <v>0</v>
      </c>
    </row>
    <row r="59" spans="6:8" x14ac:dyDescent="0.15">
      <c r="F59">
        <v>90</v>
      </c>
      <c r="G59">
        <v>0.5399999999999997</v>
      </c>
      <c r="H59">
        <v>115.61399999999999</v>
      </c>
    </row>
    <row r="60" spans="6:8" x14ac:dyDescent="0.15">
      <c r="F60">
        <v>30</v>
      </c>
      <c r="G60">
        <v>0.17999999999999988</v>
      </c>
      <c r="H60">
        <v>5.9580000000000002</v>
      </c>
    </row>
    <row r="61" spans="6:8" x14ac:dyDescent="0.15">
      <c r="F61">
        <v>27</v>
      </c>
      <c r="G61">
        <v>0.16199999999999989</v>
      </c>
      <c r="H61">
        <v>0</v>
      </c>
    </row>
    <row r="62" spans="6:8" x14ac:dyDescent="0.15">
      <c r="F62">
        <v>20</v>
      </c>
      <c r="G62">
        <v>0.11999999999999993</v>
      </c>
      <c r="H62">
        <v>15.406000000000001</v>
      </c>
    </row>
    <row r="63" spans="6:8" x14ac:dyDescent="0.15">
      <c r="F63">
        <v>4</v>
      </c>
      <c r="G63">
        <v>2.3999999999999987E-2</v>
      </c>
      <c r="H63">
        <v>0</v>
      </c>
    </row>
    <row r="64" spans="6:8" x14ac:dyDescent="0.15">
      <c r="F64">
        <v>42</v>
      </c>
      <c r="G64">
        <v>0.25199999999999984</v>
      </c>
      <c r="H64">
        <v>0</v>
      </c>
    </row>
    <row r="65" spans="6:8" x14ac:dyDescent="0.15">
      <c r="F65">
        <v>60</v>
      </c>
      <c r="G65">
        <v>0.35999999999999976</v>
      </c>
      <c r="H65">
        <v>0</v>
      </c>
    </row>
    <row r="66" spans="6:8" x14ac:dyDescent="0.15">
      <c r="F66">
        <v>6</v>
      </c>
      <c r="G66">
        <v>3.5999999999999976E-2</v>
      </c>
      <c r="H66">
        <v>0</v>
      </c>
    </row>
    <row r="67" spans="6:8" x14ac:dyDescent="0.15">
      <c r="F67">
        <v>6</v>
      </c>
      <c r="G67">
        <v>3.5999999999999976E-2</v>
      </c>
      <c r="H67">
        <v>12.846</v>
      </c>
    </row>
    <row r="68" spans="6:8" x14ac:dyDescent="0.15">
      <c r="F68">
        <v>45</v>
      </c>
      <c r="G68">
        <v>0.26999999999999985</v>
      </c>
      <c r="H68">
        <v>321.48</v>
      </c>
    </row>
    <row r="69" spans="6:8" x14ac:dyDescent="0.15">
      <c r="F69">
        <v>90</v>
      </c>
      <c r="G69">
        <v>0.5399999999999997</v>
      </c>
      <c r="H69">
        <v>38.537999999999997</v>
      </c>
    </row>
    <row r="70" spans="6:8" x14ac:dyDescent="0.15">
      <c r="F70">
        <v>30</v>
      </c>
      <c r="G70">
        <v>0.17999999999999988</v>
      </c>
      <c r="H70">
        <v>11.916</v>
      </c>
    </row>
    <row r="71" spans="6:8" x14ac:dyDescent="0.15">
      <c r="F71">
        <v>27</v>
      </c>
      <c r="G71">
        <v>0.16199999999999989</v>
      </c>
      <c r="H71">
        <v>0</v>
      </c>
    </row>
    <row r="72" spans="6:8" x14ac:dyDescent="0.15">
      <c r="F72">
        <v>20</v>
      </c>
      <c r="G72">
        <v>0.11999999999999993</v>
      </c>
      <c r="H72">
        <v>3.972</v>
      </c>
    </row>
    <row r="73" spans="6:8" x14ac:dyDescent="0.15">
      <c r="F73">
        <v>4</v>
      </c>
      <c r="G73">
        <v>2.3999999999999987E-2</v>
      </c>
      <c r="H73">
        <v>0</v>
      </c>
    </row>
    <row r="74" spans="6:8" x14ac:dyDescent="0.15">
      <c r="F74">
        <v>42</v>
      </c>
      <c r="G74">
        <v>0.25199999999999984</v>
      </c>
      <c r="H74">
        <v>0</v>
      </c>
    </row>
    <row r="75" spans="6:8" x14ac:dyDescent="0.15">
      <c r="F75">
        <v>60</v>
      </c>
      <c r="G75">
        <v>0.35999999999999976</v>
      </c>
      <c r="H75">
        <v>0</v>
      </c>
    </row>
    <row r="76" spans="6:8" x14ac:dyDescent="0.15">
      <c r="F76">
        <v>6</v>
      </c>
      <c r="G76">
        <v>3.5999999999999976E-2</v>
      </c>
      <c r="H76">
        <v>0</v>
      </c>
    </row>
    <row r="77" spans="6:8" x14ac:dyDescent="0.15">
      <c r="F77">
        <v>6</v>
      </c>
      <c r="G77">
        <v>3.5999999999999976E-2</v>
      </c>
      <c r="H77">
        <v>12.846</v>
      </c>
    </row>
    <row r="78" spans="6:8" x14ac:dyDescent="0.15">
      <c r="F78">
        <v>45</v>
      </c>
      <c r="G78">
        <v>0.26999999999999985</v>
      </c>
      <c r="H78">
        <v>0</v>
      </c>
    </row>
    <row r="79" spans="6:8" x14ac:dyDescent="0.15">
      <c r="F79">
        <v>90</v>
      </c>
      <c r="G79">
        <v>0.5399999999999997</v>
      </c>
      <c r="H79">
        <v>38.537999999999997</v>
      </c>
    </row>
    <row r="80" spans="6:8" x14ac:dyDescent="0.15">
      <c r="F80">
        <v>30</v>
      </c>
      <c r="G80">
        <v>0.17999999999999988</v>
      </c>
      <c r="H80">
        <v>27.39</v>
      </c>
    </row>
    <row r="81" spans="6:8" x14ac:dyDescent="0.15">
      <c r="F81">
        <v>27</v>
      </c>
      <c r="G81">
        <v>0.16199999999999989</v>
      </c>
      <c r="H81">
        <v>192.88800000000003</v>
      </c>
    </row>
    <row r="82" spans="6:8" x14ac:dyDescent="0.15">
      <c r="F82">
        <v>20</v>
      </c>
      <c r="G82">
        <v>0.11999999999999993</v>
      </c>
      <c r="H82">
        <v>42.536000000000001</v>
      </c>
    </row>
    <row r="83" spans="6:8" x14ac:dyDescent="0.15">
      <c r="F83">
        <v>4</v>
      </c>
      <c r="G83">
        <v>2.3999999999999987E-2</v>
      </c>
      <c r="H83">
        <v>0</v>
      </c>
    </row>
    <row r="84" spans="6:8" x14ac:dyDescent="0.15">
      <c r="F84">
        <v>42</v>
      </c>
      <c r="G84">
        <v>0.25199999999999984</v>
      </c>
      <c r="H84">
        <v>0</v>
      </c>
    </row>
    <row r="85" spans="6:8" x14ac:dyDescent="0.15">
      <c r="F85">
        <v>60</v>
      </c>
      <c r="G85">
        <v>0.35999999999999976</v>
      </c>
      <c r="H85">
        <v>0</v>
      </c>
    </row>
    <row r="86" spans="6:8" x14ac:dyDescent="0.15">
      <c r="F86">
        <v>6</v>
      </c>
      <c r="G86">
        <v>3.5999999999999976E-2</v>
      </c>
      <c r="H86">
        <v>0</v>
      </c>
    </row>
    <row r="87" spans="6:8" x14ac:dyDescent="0.15">
      <c r="F87">
        <v>6</v>
      </c>
      <c r="G87">
        <v>3.5999999999999976E-2</v>
      </c>
      <c r="H87">
        <v>12.846</v>
      </c>
    </row>
    <row r="88" spans="6:8" x14ac:dyDescent="0.15">
      <c r="F88">
        <v>45</v>
      </c>
      <c r="G88">
        <v>0.26999999999999985</v>
      </c>
      <c r="H88">
        <v>321.48</v>
      </c>
    </row>
    <row r="89" spans="6:8" x14ac:dyDescent="0.15">
      <c r="F89">
        <v>90</v>
      </c>
      <c r="G89">
        <v>0.5399999999999997</v>
      </c>
      <c r="H89">
        <v>38.537999999999997</v>
      </c>
    </row>
    <row r="90" spans="6:8" x14ac:dyDescent="0.15">
      <c r="F90">
        <v>30</v>
      </c>
      <c r="G90">
        <v>0.17999999999999988</v>
      </c>
      <c r="H90">
        <v>5.9580000000000002</v>
      </c>
    </row>
    <row r="91" spans="6:8" x14ac:dyDescent="0.15">
      <c r="F91">
        <v>27</v>
      </c>
      <c r="G91">
        <v>0.16199999999999989</v>
      </c>
      <c r="H91">
        <v>0</v>
      </c>
    </row>
    <row r="92" spans="6:8" x14ac:dyDescent="0.15">
      <c r="F92">
        <v>20</v>
      </c>
      <c r="G92">
        <v>0.11999999999999993</v>
      </c>
      <c r="H92">
        <v>22.32</v>
      </c>
    </row>
    <row r="93" spans="6:8" x14ac:dyDescent="0.15">
      <c r="F93">
        <v>4</v>
      </c>
      <c r="G93">
        <v>2.3999999999999987E-2</v>
      </c>
      <c r="H93">
        <v>0</v>
      </c>
    </row>
    <row r="94" spans="6:8" x14ac:dyDescent="0.15">
      <c r="F94">
        <v>42</v>
      </c>
      <c r="G94">
        <v>0.25199999999999984</v>
      </c>
      <c r="H94">
        <v>0</v>
      </c>
    </row>
    <row r="95" spans="6:8" x14ac:dyDescent="0.15">
      <c r="F95">
        <v>60</v>
      </c>
      <c r="G95">
        <v>0.35999999999999976</v>
      </c>
      <c r="H95">
        <v>0</v>
      </c>
    </row>
    <row r="96" spans="6:8" x14ac:dyDescent="0.15">
      <c r="F96">
        <v>6</v>
      </c>
      <c r="G96">
        <v>3.5999999999999976E-2</v>
      </c>
      <c r="H96">
        <v>0</v>
      </c>
    </row>
    <row r="97" spans="6:8" x14ac:dyDescent="0.15">
      <c r="F97">
        <v>6</v>
      </c>
      <c r="G97">
        <v>3.5999999999999976E-2</v>
      </c>
      <c r="H97">
        <v>12.846</v>
      </c>
    </row>
    <row r="98" spans="6:8" x14ac:dyDescent="0.15">
      <c r="F98">
        <v>45</v>
      </c>
      <c r="G98">
        <v>0.26999999999999985</v>
      </c>
      <c r="H98">
        <v>0</v>
      </c>
    </row>
    <row r="99" spans="6:8" x14ac:dyDescent="0.15">
      <c r="F99">
        <v>90</v>
      </c>
      <c r="G99">
        <v>0.5399999999999997</v>
      </c>
      <c r="H99">
        <v>38.537999999999997</v>
      </c>
    </row>
    <row r="100" spans="6:8" x14ac:dyDescent="0.15">
      <c r="F100">
        <v>30</v>
      </c>
      <c r="G100">
        <v>0.17999999999999988</v>
      </c>
      <c r="H100">
        <v>5.9580000000000002</v>
      </c>
    </row>
    <row r="101" spans="6:8" x14ac:dyDescent="0.15">
      <c r="F101">
        <v>27</v>
      </c>
      <c r="G101">
        <v>0.16199999999999989</v>
      </c>
      <c r="H101">
        <v>0</v>
      </c>
    </row>
    <row r="102" spans="6:8" x14ac:dyDescent="0.15">
      <c r="F102">
        <v>20</v>
      </c>
      <c r="G102">
        <v>0.11999999999999993</v>
      </c>
      <c r="H102">
        <v>42.536000000000001</v>
      </c>
    </row>
    <row r="103" spans="6:8" x14ac:dyDescent="0.15">
      <c r="F103">
        <v>4</v>
      </c>
      <c r="G103">
        <v>2.3999999999999987E-2</v>
      </c>
      <c r="H103">
        <v>0</v>
      </c>
    </row>
    <row r="104" spans="6:8" x14ac:dyDescent="0.15">
      <c r="F104">
        <v>42</v>
      </c>
      <c r="G104">
        <v>0.25199999999999984</v>
      </c>
      <c r="H104">
        <v>0</v>
      </c>
    </row>
    <row r="105" spans="6:8" x14ac:dyDescent="0.15">
      <c r="F105">
        <v>60</v>
      </c>
      <c r="G105">
        <v>0.35999999999999976</v>
      </c>
      <c r="H105">
        <v>96.444000000000017</v>
      </c>
    </row>
    <row r="106" spans="6:8" x14ac:dyDescent="0.15">
      <c r="F106">
        <v>6</v>
      </c>
      <c r="G106">
        <v>3.5999999999999976E-2</v>
      </c>
      <c r="H106">
        <v>48.179999999999993</v>
      </c>
    </row>
    <row r="107" spans="6:8" x14ac:dyDescent="0.15">
      <c r="F107">
        <v>6</v>
      </c>
      <c r="G107">
        <v>3.5999999999999976E-2</v>
      </c>
      <c r="H107">
        <v>0</v>
      </c>
    </row>
    <row r="108" spans="6:8" x14ac:dyDescent="0.15">
      <c r="F108">
        <v>45</v>
      </c>
      <c r="G108">
        <v>0.26999999999999985</v>
      </c>
      <c r="H108">
        <v>0</v>
      </c>
    </row>
    <row r="109" spans="6:8" x14ac:dyDescent="0.15">
      <c r="F109">
        <v>90</v>
      </c>
      <c r="G109">
        <v>0.5399999999999997</v>
      </c>
      <c r="H109">
        <v>115.61399999999999</v>
      </c>
    </row>
    <row r="110" spans="6:8" x14ac:dyDescent="0.15">
      <c r="F110">
        <v>30</v>
      </c>
      <c r="G110">
        <v>0.17999999999999988</v>
      </c>
      <c r="H110">
        <v>5.9580000000000002</v>
      </c>
    </row>
    <row r="111" spans="6:8" x14ac:dyDescent="0.15">
      <c r="F111">
        <v>27</v>
      </c>
      <c r="G111">
        <v>0.16199999999999989</v>
      </c>
      <c r="H111">
        <v>0</v>
      </c>
    </row>
    <row r="112" spans="6:8" x14ac:dyDescent="0.15">
      <c r="F112">
        <v>20</v>
      </c>
      <c r="G112">
        <v>0.11999999999999993</v>
      </c>
      <c r="H112">
        <v>22.32</v>
      </c>
    </row>
    <row r="113" spans="6:8" x14ac:dyDescent="0.15">
      <c r="F113">
        <v>4</v>
      </c>
      <c r="G113">
        <v>2.3999999999999987E-2</v>
      </c>
      <c r="H113">
        <v>0</v>
      </c>
    </row>
    <row r="114" spans="6:8" x14ac:dyDescent="0.15">
      <c r="F114">
        <v>42</v>
      </c>
      <c r="G114">
        <v>0.25199999999999984</v>
      </c>
      <c r="H114">
        <v>0</v>
      </c>
    </row>
    <row r="115" spans="6:8" x14ac:dyDescent="0.15">
      <c r="F115">
        <v>60</v>
      </c>
      <c r="G115">
        <v>0.35999999999999976</v>
      </c>
      <c r="H115">
        <v>0</v>
      </c>
    </row>
    <row r="116" spans="6:8" x14ac:dyDescent="0.15">
      <c r="F116">
        <v>6</v>
      </c>
      <c r="G116">
        <v>3.5999999999999976E-2</v>
      </c>
      <c r="H116">
        <v>0</v>
      </c>
    </row>
    <row r="117" spans="6:8" x14ac:dyDescent="0.15">
      <c r="F117">
        <v>6</v>
      </c>
      <c r="G117">
        <v>3.5999999999999976E-2</v>
      </c>
      <c r="H117">
        <v>12.846</v>
      </c>
    </row>
    <row r="118" spans="6:8" x14ac:dyDescent="0.15">
      <c r="F118">
        <v>45</v>
      </c>
      <c r="G118">
        <v>0.26999999999999985</v>
      </c>
      <c r="H118">
        <v>321.48</v>
      </c>
    </row>
    <row r="119" spans="6:8" x14ac:dyDescent="0.15">
      <c r="F119">
        <v>90</v>
      </c>
      <c r="G119">
        <v>0.5399999999999997</v>
      </c>
      <c r="H119">
        <v>38.537999999999997</v>
      </c>
    </row>
    <row r="120" spans="6:8" x14ac:dyDescent="0.15">
      <c r="F120">
        <v>30</v>
      </c>
      <c r="G120">
        <v>0.17999999999999988</v>
      </c>
      <c r="H120">
        <v>5.9580000000000002</v>
      </c>
    </row>
    <row r="121" spans="6:8" x14ac:dyDescent="0.15">
      <c r="F121">
        <v>27</v>
      </c>
      <c r="G121">
        <v>0.16199999999999989</v>
      </c>
      <c r="H121">
        <v>0</v>
      </c>
    </row>
    <row r="122" spans="6:8" x14ac:dyDescent="0.15">
      <c r="F122">
        <v>20</v>
      </c>
      <c r="G122">
        <v>0.11999999999999993</v>
      </c>
      <c r="H122">
        <v>15.406000000000001</v>
      </c>
    </row>
    <row r="123" spans="6:8" x14ac:dyDescent="0.15">
      <c r="F123">
        <v>4</v>
      </c>
      <c r="G123">
        <v>2.3999999999999987E-2</v>
      </c>
      <c r="H123">
        <v>0</v>
      </c>
    </row>
    <row r="124" spans="6:8" x14ac:dyDescent="0.15">
      <c r="F124">
        <v>42</v>
      </c>
      <c r="G124">
        <v>0.25199999999999984</v>
      </c>
      <c r="H124">
        <v>0</v>
      </c>
    </row>
    <row r="125" spans="6:8" x14ac:dyDescent="0.15">
      <c r="F125">
        <v>60</v>
      </c>
      <c r="G125">
        <v>0.35999999999999976</v>
      </c>
      <c r="H125">
        <v>96.444000000000017</v>
      </c>
    </row>
    <row r="126" spans="6:8" x14ac:dyDescent="0.15">
      <c r="F126">
        <v>6</v>
      </c>
      <c r="G126">
        <v>3.5999999999999976E-2</v>
      </c>
      <c r="H126">
        <v>0</v>
      </c>
    </row>
    <row r="127" spans="6:8" x14ac:dyDescent="0.15">
      <c r="F127">
        <v>6</v>
      </c>
      <c r="G127">
        <v>3.5999999999999976E-2</v>
      </c>
      <c r="H127">
        <v>0</v>
      </c>
    </row>
    <row r="128" spans="6:8" x14ac:dyDescent="0.15">
      <c r="F128">
        <v>45</v>
      </c>
      <c r="G128">
        <v>0.26999999999999985</v>
      </c>
      <c r="H128">
        <v>0</v>
      </c>
    </row>
    <row r="129" spans="6:8" x14ac:dyDescent="0.15">
      <c r="F129">
        <v>90</v>
      </c>
      <c r="G129">
        <v>0.5399999999999997</v>
      </c>
      <c r="H129">
        <v>115.61399999999999</v>
      </c>
    </row>
    <row r="130" spans="6:8" x14ac:dyDescent="0.15">
      <c r="F130">
        <v>30</v>
      </c>
      <c r="G130">
        <v>0.17999999999999988</v>
      </c>
      <c r="H130">
        <v>11.916</v>
      </c>
    </row>
    <row r="131" spans="6:8" x14ac:dyDescent="0.15">
      <c r="F131">
        <v>27</v>
      </c>
      <c r="G131">
        <v>0.16199999999999989</v>
      </c>
      <c r="H131">
        <v>0</v>
      </c>
    </row>
    <row r="132" spans="6:8" x14ac:dyDescent="0.15">
      <c r="F132">
        <v>20</v>
      </c>
      <c r="G132">
        <v>0.11999999999999993</v>
      </c>
      <c r="H132">
        <v>3.972</v>
      </c>
    </row>
    <row r="133" spans="6:8" x14ac:dyDescent="0.15">
      <c r="F133">
        <v>4</v>
      </c>
      <c r="G133">
        <v>2.3999999999999987E-2</v>
      </c>
      <c r="H133">
        <v>0</v>
      </c>
    </row>
    <row r="134" spans="6:8" x14ac:dyDescent="0.15">
      <c r="F134">
        <v>42</v>
      </c>
      <c r="G134">
        <v>0.25199999999999984</v>
      </c>
      <c r="H134">
        <v>0</v>
      </c>
    </row>
    <row r="135" spans="6:8" x14ac:dyDescent="0.15">
      <c r="F135">
        <v>60</v>
      </c>
      <c r="G135">
        <v>0.35999999999999976</v>
      </c>
      <c r="H135">
        <v>0</v>
      </c>
    </row>
    <row r="136" spans="6:8" x14ac:dyDescent="0.15">
      <c r="F136">
        <v>6</v>
      </c>
      <c r="G136">
        <v>3.5999999999999976E-2</v>
      </c>
      <c r="H136">
        <v>0</v>
      </c>
    </row>
    <row r="137" spans="6:8" x14ac:dyDescent="0.15">
      <c r="F137">
        <v>6</v>
      </c>
      <c r="G137">
        <v>3.5999999999999976E-2</v>
      </c>
      <c r="H137">
        <v>12.846</v>
      </c>
    </row>
    <row r="138" spans="6:8" x14ac:dyDescent="0.15">
      <c r="F138">
        <v>45</v>
      </c>
      <c r="G138">
        <v>0.26999999999999985</v>
      </c>
      <c r="H138">
        <v>0</v>
      </c>
    </row>
    <row r="139" spans="6:8" x14ac:dyDescent="0.15">
      <c r="F139">
        <v>90</v>
      </c>
      <c r="G139">
        <v>0.5399999999999997</v>
      </c>
      <c r="H139">
        <v>38.537999999999997</v>
      </c>
    </row>
    <row r="140" spans="6:8" x14ac:dyDescent="0.15">
      <c r="F140">
        <v>30</v>
      </c>
      <c r="G140">
        <v>0.17999999999999988</v>
      </c>
      <c r="H140">
        <v>27.39</v>
      </c>
    </row>
    <row r="141" spans="6:8" x14ac:dyDescent="0.15">
      <c r="F141">
        <v>27</v>
      </c>
      <c r="G141">
        <v>0.16199999999999989</v>
      </c>
      <c r="H141">
        <v>192.88800000000003</v>
      </c>
    </row>
    <row r="142" spans="6:8" x14ac:dyDescent="0.15">
      <c r="F142">
        <v>20</v>
      </c>
      <c r="G142">
        <v>0.11999999999999993</v>
      </c>
      <c r="H142">
        <v>15.406000000000001</v>
      </c>
    </row>
    <row r="143" spans="6:8" x14ac:dyDescent="0.15">
      <c r="F143">
        <v>4</v>
      </c>
      <c r="G143">
        <v>2.3999999999999987E-2</v>
      </c>
      <c r="H143">
        <v>0</v>
      </c>
    </row>
    <row r="144" spans="6:8" x14ac:dyDescent="0.15">
      <c r="F144">
        <v>42</v>
      </c>
      <c r="G144">
        <v>0.25199999999999984</v>
      </c>
      <c r="H144">
        <v>0</v>
      </c>
    </row>
    <row r="145" spans="6:8" x14ac:dyDescent="0.15">
      <c r="F145">
        <v>60</v>
      </c>
      <c r="G145">
        <v>0.35999999999999976</v>
      </c>
      <c r="H145">
        <v>96.444000000000017</v>
      </c>
    </row>
    <row r="146" spans="6:8" x14ac:dyDescent="0.15">
      <c r="F146">
        <v>6</v>
      </c>
      <c r="G146">
        <v>3.5999999999999976E-2</v>
      </c>
      <c r="H146">
        <v>48.179999999999993</v>
      </c>
    </row>
    <row r="147" spans="6:8" x14ac:dyDescent="0.15">
      <c r="F147">
        <v>6</v>
      </c>
      <c r="G147">
        <v>3.5999999999999976E-2</v>
      </c>
      <c r="H147">
        <v>0</v>
      </c>
    </row>
    <row r="148" spans="6:8" x14ac:dyDescent="0.15">
      <c r="F148">
        <v>45</v>
      </c>
      <c r="G148">
        <v>0.26999999999999985</v>
      </c>
      <c r="H148">
        <v>0</v>
      </c>
    </row>
    <row r="149" spans="6:8" x14ac:dyDescent="0.15">
      <c r="F149">
        <v>90</v>
      </c>
      <c r="G149">
        <v>0.5399999999999997</v>
      </c>
      <c r="H149">
        <v>115.61399999999999</v>
      </c>
    </row>
    <row r="150" spans="6:8" x14ac:dyDescent="0.15">
      <c r="F150">
        <v>30</v>
      </c>
      <c r="G150">
        <v>0.17999999999999988</v>
      </c>
      <c r="H150">
        <v>11.916</v>
      </c>
    </row>
    <row r="151" spans="6:8" x14ac:dyDescent="0.15">
      <c r="F151">
        <v>27</v>
      </c>
      <c r="G151">
        <v>0.16199999999999989</v>
      </c>
      <c r="H151">
        <v>0</v>
      </c>
    </row>
    <row r="152" spans="6:8" x14ac:dyDescent="0.15">
      <c r="F152">
        <v>20</v>
      </c>
      <c r="G152">
        <v>0.11999999999999993</v>
      </c>
      <c r="H152">
        <v>7.944</v>
      </c>
    </row>
    <row r="153" spans="6:8" x14ac:dyDescent="0.15">
      <c r="F153">
        <v>4</v>
      </c>
      <c r="G153">
        <v>2.3999999999999987E-2</v>
      </c>
      <c r="H153">
        <v>0</v>
      </c>
    </row>
    <row r="154" spans="6:8" x14ac:dyDescent="0.15">
      <c r="F154">
        <v>42</v>
      </c>
      <c r="G154">
        <v>0.25199999999999984</v>
      </c>
      <c r="H154">
        <v>0</v>
      </c>
    </row>
    <row r="155" spans="6:8" x14ac:dyDescent="0.15">
      <c r="F155">
        <v>60</v>
      </c>
      <c r="G155">
        <v>0.35999999999999976</v>
      </c>
      <c r="H155">
        <v>96.444000000000017</v>
      </c>
    </row>
    <row r="156" spans="6:8" x14ac:dyDescent="0.15">
      <c r="F156">
        <v>6</v>
      </c>
      <c r="G156">
        <v>3.5999999999999976E-2</v>
      </c>
      <c r="H156">
        <v>48.179999999999993</v>
      </c>
    </row>
    <row r="157" spans="6:8" x14ac:dyDescent="0.15">
      <c r="F157">
        <v>6</v>
      </c>
      <c r="G157">
        <v>3.5999999999999976E-2</v>
      </c>
      <c r="H157">
        <v>0</v>
      </c>
    </row>
    <row r="158" spans="6:8" x14ac:dyDescent="0.15">
      <c r="F158">
        <v>45</v>
      </c>
      <c r="G158">
        <v>0.26999999999999985</v>
      </c>
      <c r="H158">
        <v>0</v>
      </c>
    </row>
    <row r="159" spans="6:8" x14ac:dyDescent="0.15">
      <c r="F159">
        <v>90</v>
      </c>
      <c r="G159">
        <v>0.5399999999999997</v>
      </c>
      <c r="H159">
        <v>115.61399999999999</v>
      </c>
    </row>
    <row r="160" spans="6:8" x14ac:dyDescent="0.15">
      <c r="F160">
        <v>30</v>
      </c>
      <c r="G160">
        <v>0.17999999999999988</v>
      </c>
      <c r="H160">
        <v>23.109000000000002</v>
      </c>
    </row>
    <row r="161" spans="6:8" x14ac:dyDescent="0.15">
      <c r="F161">
        <v>27</v>
      </c>
      <c r="G161">
        <v>0.16199999999999989</v>
      </c>
      <c r="H161">
        <v>0</v>
      </c>
    </row>
  </sheetData>
  <phoneticPr fontId="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"/>
  <sheetViews>
    <sheetView workbookViewId="0">
      <selection activeCell="C15" sqref="C15"/>
    </sheetView>
  </sheetViews>
  <sheetFormatPr defaultRowHeight="13.5" x14ac:dyDescent="0.15"/>
  <cols>
    <col min="1" max="2" width="14.75" style="3" bestFit="1" customWidth="1"/>
    <col min="3" max="3" width="17.25" style="3" bestFit="1" customWidth="1"/>
    <col min="4" max="4" width="13.625" style="3" bestFit="1" customWidth="1"/>
    <col min="5" max="5" width="12.5" style="3" bestFit="1" customWidth="1"/>
    <col min="6" max="6" width="11.375" style="3" bestFit="1" customWidth="1"/>
    <col min="7" max="7" width="16" style="3" bestFit="1" customWidth="1"/>
    <col min="8" max="8" width="18.5" style="3" bestFit="1" customWidth="1"/>
    <col min="9" max="9" width="13.625" style="3" bestFit="1" customWidth="1"/>
    <col min="10" max="10" width="16" style="3" bestFit="1" customWidth="1"/>
    <col min="11" max="16384" width="9" style="3"/>
  </cols>
  <sheetData>
    <row r="1" spans="1:10" x14ac:dyDescent="0.15">
      <c r="A1" s="3" t="s">
        <v>122</v>
      </c>
      <c r="B1" s="3" t="s">
        <v>123</v>
      </c>
      <c r="C1" s="3" t="s">
        <v>124</v>
      </c>
      <c r="D1" s="3" t="s">
        <v>125</v>
      </c>
      <c r="E1" s="3" t="s">
        <v>126</v>
      </c>
      <c r="F1" s="3" t="s">
        <v>127</v>
      </c>
      <c r="G1" s="3" t="s">
        <v>128</v>
      </c>
      <c r="H1" s="3" t="s">
        <v>129</v>
      </c>
      <c r="I1" s="3" t="s">
        <v>130</v>
      </c>
      <c r="J1" s="3" t="s">
        <v>131</v>
      </c>
    </row>
    <row r="2" spans="1:10" x14ac:dyDescent="0.15">
      <c r="A2" s="7"/>
      <c r="B2" s="7" t="s">
        <v>10</v>
      </c>
      <c r="C2" s="7" t="s">
        <v>119</v>
      </c>
      <c r="D2" s="7">
        <v>1</v>
      </c>
      <c r="E2" s="7">
        <v>2</v>
      </c>
      <c r="F2" s="7">
        <v>20</v>
      </c>
      <c r="G2" s="7">
        <v>0.13600000000000001</v>
      </c>
      <c r="H2" s="7">
        <v>3.86</v>
      </c>
      <c r="I2" s="7">
        <v>999983.86</v>
      </c>
      <c r="J2" s="7">
        <v>166</v>
      </c>
    </row>
    <row r="3" spans="1:10" x14ac:dyDescent="0.15">
      <c r="A3" s="15"/>
      <c r="B3" s="15" t="s">
        <v>12</v>
      </c>
      <c r="C3" s="15" t="s">
        <v>12</v>
      </c>
      <c r="D3" s="15">
        <v>1</v>
      </c>
      <c r="E3" s="15">
        <v>4</v>
      </c>
      <c r="F3" s="15">
        <v>4</v>
      </c>
      <c r="G3" s="15">
        <v>0</v>
      </c>
      <c r="H3" s="15">
        <v>0</v>
      </c>
      <c r="I3" s="15">
        <v>999979.86</v>
      </c>
      <c r="J3" s="15">
        <v>166</v>
      </c>
    </row>
    <row r="4" spans="1:10" x14ac:dyDescent="0.15">
      <c r="A4" s="15"/>
      <c r="B4" s="15" t="s">
        <v>14</v>
      </c>
      <c r="C4" s="15" t="s">
        <v>53</v>
      </c>
      <c r="D4" s="15">
        <v>1</v>
      </c>
      <c r="E4" s="15">
        <v>7</v>
      </c>
      <c r="F4" s="15">
        <v>42</v>
      </c>
      <c r="G4" s="15">
        <v>0</v>
      </c>
      <c r="H4" s="15">
        <v>0</v>
      </c>
      <c r="I4" s="15">
        <v>999937.86</v>
      </c>
      <c r="J4" s="15">
        <v>166</v>
      </c>
    </row>
    <row r="5" spans="1:10" x14ac:dyDescent="0.15">
      <c r="A5" s="15"/>
      <c r="B5" s="15" t="s">
        <v>16</v>
      </c>
      <c r="C5" s="15" t="s">
        <v>50</v>
      </c>
      <c r="D5" s="15">
        <v>1</v>
      </c>
      <c r="E5" s="15">
        <v>3</v>
      </c>
      <c r="F5" s="15">
        <v>60</v>
      </c>
      <c r="G5" s="15">
        <v>0</v>
      </c>
      <c r="H5" s="15">
        <v>0</v>
      </c>
      <c r="I5" s="15">
        <v>999877.86</v>
      </c>
      <c r="J5" s="15">
        <v>166</v>
      </c>
    </row>
    <row r="6" spans="1:10" x14ac:dyDescent="0.15">
      <c r="A6" s="15"/>
      <c r="B6" s="15" t="s">
        <v>18</v>
      </c>
      <c r="C6" s="15" t="s">
        <v>18</v>
      </c>
      <c r="D6" s="15">
        <v>1</v>
      </c>
      <c r="E6" s="15">
        <v>6</v>
      </c>
      <c r="F6" s="15">
        <v>6</v>
      </c>
      <c r="G6" s="15">
        <v>0</v>
      </c>
      <c r="H6" s="15">
        <v>0</v>
      </c>
      <c r="I6" s="15">
        <v>999871.86</v>
      </c>
      <c r="J6" s="15">
        <v>166</v>
      </c>
    </row>
    <row r="7" spans="1:10" x14ac:dyDescent="0.15">
      <c r="A7" s="15"/>
      <c r="B7" s="15" t="s">
        <v>20</v>
      </c>
      <c r="C7" s="15" t="s">
        <v>54</v>
      </c>
      <c r="D7" s="15">
        <v>1</v>
      </c>
      <c r="E7" s="15">
        <v>1</v>
      </c>
      <c r="F7" s="15">
        <v>6</v>
      </c>
      <c r="G7" s="15">
        <v>0.47599999999999998</v>
      </c>
      <c r="H7" s="15">
        <v>12.454000000000001</v>
      </c>
      <c r="I7" s="15">
        <v>999878.31400000001</v>
      </c>
      <c r="J7" s="15">
        <v>166</v>
      </c>
    </row>
    <row r="8" spans="1:10" x14ac:dyDescent="0.15">
      <c r="A8" s="15"/>
      <c r="B8" s="15" t="s">
        <v>22</v>
      </c>
      <c r="C8" s="15" t="s">
        <v>31</v>
      </c>
      <c r="D8" s="15">
        <v>1</v>
      </c>
      <c r="E8" s="15">
        <v>5</v>
      </c>
      <c r="F8" s="15">
        <v>45</v>
      </c>
      <c r="G8" s="15">
        <v>0</v>
      </c>
      <c r="H8" s="15">
        <v>0</v>
      </c>
      <c r="I8" s="15">
        <v>999833.31400000001</v>
      </c>
      <c r="J8" s="15">
        <v>166</v>
      </c>
    </row>
    <row r="9" spans="1:10" x14ac:dyDescent="0.15">
      <c r="A9" s="15"/>
      <c r="B9" s="15" t="s">
        <v>24</v>
      </c>
      <c r="C9" s="15" t="s">
        <v>50</v>
      </c>
      <c r="D9" s="15">
        <v>1</v>
      </c>
      <c r="E9" s="15">
        <v>6</v>
      </c>
      <c r="F9" s="15">
        <v>90</v>
      </c>
      <c r="G9" s="15">
        <v>1.4279999999999999</v>
      </c>
      <c r="H9" s="15">
        <v>37.362000000000002</v>
      </c>
      <c r="I9" s="15">
        <v>999780.67599999998</v>
      </c>
      <c r="J9" s="15">
        <v>166</v>
      </c>
    </row>
    <row r="10" spans="1:10" x14ac:dyDescent="0.15">
      <c r="A10" s="15"/>
      <c r="B10" s="15" t="s">
        <v>10</v>
      </c>
      <c r="C10" s="15" t="s">
        <v>120</v>
      </c>
      <c r="D10" s="15">
        <v>1</v>
      </c>
      <c r="E10" s="15">
        <v>3</v>
      </c>
      <c r="F10" s="15">
        <v>30</v>
      </c>
      <c r="G10" s="15">
        <v>1.224</v>
      </c>
      <c r="H10" s="15">
        <v>32.472000000000001</v>
      </c>
      <c r="I10" s="15">
        <v>999783.14799999993</v>
      </c>
      <c r="J10" s="15">
        <v>166</v>
      </c>
    </row>
    <row r="11" spans="1:10" x14ac:dyDescent="0.15">
      <c r="A11" s="15"/>
      <c r="B11" s="15" t="s">
        <v>22</v>
      </c>
      <c r="C11" s="15" t="s">
        <v>121</v>
      </c>
      <c r="D11" s="15">
        <v>1</v>
      </c>
      <c r="E11" s="15">
        <v>3</v>
      </c>
      <c r="F11" s="15">
        <v>27</v>
      </c>
      <c r="G11" s="15">
        <v>7.3439999999999994</v>
      </c>
      <c r="H11" s="15">
        <v>186.84</v>
      </c>
      <c r="I11" s="15">
        <v>999942.9879999999</v>
      </c>
      <c r="J11" s="15">
        <v>166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48"/>
  <sheetViews>
    <sheetView zoomScaleNormal="100" workbookViewId="0">
      <selection activeCell="A3" sqref="A3"/>
    </sheetView>
  </sheetViews>
  <sheetFormatPr defaultColWidth="9" defaultRowHeight="13.5" x14ac:dyDescent="0.15"/>
  <cols>
    <col min="1" max="1" width="10.375" style="19" customWidth="1"/>
    <col min="2" max="2" width="17.875" style="19" customWidth="1"/>
    <col min="3" max="3" width="12.875" style="19" customWidth="1"/>
    <col min="4" max="4" width="13.25" style="19" customWidth="1"/>
    <col min="5" max="5" width="14.625" style="19" customWidth="1"/>
    <col min="6" max="6" width="12.875" style="19" customWidth="1"/>
    <col min="7" max="7" width="11" style="19" customWidth="1"/>
    <col min="8" max="9" width="11.25" style="19" customWidth="1"/>
    <col min="10" max="10" width="13.25" style="19" customWidth="1"/>
    <col min="11" max="11" width="9" style="19"/>
    <col min="12" max="12" width="11.125" style="19" customWidth="1"/>
    <col min="13" max="13" width="9" style="19"/>
    <col min="14" max="14" width="10.875" style="19" customWidth="1"/>
    <col min="15" max="16384" width="9" style="19"/>
  </cols>
  <sheetData>
    <row r="1" spans="1:15" ht="13.5" customHeight="1" x14ac:dyDescent="0.15">
      <c r="A1" s="17" t="s">
        <v>58</v>
      </c>
      <c r="G1" s="17" t="s">
        <v>154</v>
      </c>
      <c r="H1" s="18" t="s">
        <v>55</v>
      </c>
      <c r="I1" s="18" t="s">
        <v>56</v>
      </c>
      <c r="J1" s="24" t="s">
        <v>57</v>
      </c>
      <c r="K1" s="24"/>
      <c r="L1" s="24" t="s">
        <v>155</v>
      </c>
      <c r="M1" s="24"/>
      <c r="N1" s="24" t="s">
        <v>95</v>
      </c>
      <c r="O1" s="24"/>
    </row>
    <row r="2" spans="1:15" x14ac:dyDescent="0.15">
      <c r="A2" s="19">
        <v>10002</v>
      </c>
      <c r="B2" s="17" t="s">
        <v>156</v>
      </c>
      <c r="F2" s="19" t="s">
        <v>157</v>
      </c>
      <c r="G2" s="19">
        <v>10002</v>
      </c>
      <c r="H2" s="19" t="s">
        <v>158</v>
      </c>
      <c r="I2" s="19">
        <v>9.9</v>
      </c>
      <c r="J2" s="20">
        <v>1499688</v>
      </c>
      <c r="K2" s="19">
        <f>I2</f>
        <v>9.9</v>
      </c>
      <c r="L2" s="20">
        <v>1591936</v>
      </c>
      <c r="M2" s="19">
        <f>K2-0.6</f>
        <v>9.3000000000000007</v>
      </c>
      <c r="N2" s="20"/>
      <c r="O2" s="19">
        <f>K2-0.5</f>
        <v>9.4</v>
      </c>
    </row>
    <row r="3" spans="1:15" x14ac:dyDescent="0.15">
      <c r="B3" s="17">
        <f>INDEX(G$2:O$48,MATCH(A2,G:G)-1,3)</f>
        <v>9.9</v>
      </c>
      <c r="F3" s="19" t="s">
        <v>153</v>
      </c>
      <c r="G3" s="19">
        <v>10003</v>
      </c>
      <c r="H3" s="19">
        <f>L2</f>
        <v>1591936</v>
      </c>
      <c r="I3" s="19">
        <f>M2</f>
        <v>9.3000000000000007</v>
      </c>
      <c r="J3" s="20">
        <v>1691330</v>
      </c>
      <c r="K3" s="19">
        <f>I3</f>
        <v>9.3000000000000007</v>
      </c>
      <c r="L3" s="20">
        <v>1796656</v>
      </c>
      <c r="M3" s="19">
        <f>K3-0.6</f>
        <v>8.7000000000000011</v>
      </c>
      <c r="N3" s="20"/>
      <c r="O3" s="19">
        <f>K3-0.3</f>
        <v>9</v>
      </c>
    </row>
    <row r="4" spans="1:15" x14ac:dyDescent="0.15">
      <c r="F4" s="19" t="s">
        <v>108</v>
      </c>
      <c r="G4" s="19">
        <v>10004</v>
      </c>
      <c r="H4" s="19">
        <f t="shared" ref="H4:I4" si="0">L3</f>
        <v>1796656</v>
      </c>
      <c r="I4" s="19">
        <f t="shared" si="0"/>
        <v>8.7000000000000011</v>
      </c>
      <c r="J4" s="20">
        <v>1109864</v>
      </c>
      <c r="K4" s="19">
        <f>I4</f>
        <v>8.7000000000000011</v>
      </c>
      <c r="L4" s="20"/>
      <c r="N4" s="20"/>
    </row>
    <row r="5" spans="1:15" x14ac:dyDescent="0.15">
      <c r="B5" s="17" t="s">
        <v>59</v>
      </c>
      <c r="C5" s="17" t="s">
        <v>109</v>
      </c>
      <c r="D5" s="17" t="s">
        <v>159</v>
      </c>
      <c r="E5" s="17" t="s">
        <v>64</v>
      </c>
      <c r="J5" s="20"/>
      <c r="L5" s="20"/>
      <c r="N5" s="20"/>
    </row>
    <row r="6" spans="1:15" x14ac:dyDescent="0.15">
      <c r="B6" s="19" t="str">
        <f>IF(ISNUMBER(INDEX(G$2:O$12,MATCH(A2,G:G)-1,2)),INDEX(G$2:O$12,MATCH(A2,G:G)-1,2),"没有上级")</f>
        <v>没有上级</v>
      </c>
      <c r="C6" s="20" t="str">
        <f>IF(ISNUMBER(INT(B6)),IF(AND(G2&lt;10005,G2&gt;10001),INDEX(G$2:O$48,MATCH(B6,L:L,0)-1,1),IF(G2=10002,"没有上级",INDEX(G$2:O$48,MATCH(B6,N:N,0)-1,1))),"没有上级")</f>
        <v>没有上级</v>
      </c>
      <c r="D6" s="19" t="str">
        <f>IF(ISNUMBER(INDEX(G$2:O$48,MATCH(C6,$G:$G)-1,3)),INDEX(G$2:O$48,MATCH(C6,$G:$G)-1,3),"没有上级")</f>
        <v>没有上级</v>
      </c>
      <c r="E6" s="19" t="str">
        <f>IF(ISNUMBER(D6-B3),ROUND((D6-B3)*10,0),"没有上级")</f>
        <v>没有上级</v>
      </c>
      <c r="J6" s="20"/>
      <c r="L6" s="20"/>
      <c r="N6" s="20"/>
    </row>
    <row r="7" spans="1:15" x14ac:dyDescent="0.15">
      <c r="J7" s="20"/>
      <c r="L7" s="20"/>
      <c r="N7" s="20"/>
    </row>
    <row r="8" spans="1:15" x14ac:dyDescent="0.15">
      <c r="B8" s="17" t="s">
        <v>60</v>
      </c>
      <c r="C8" s="17" t="s">
        <v>110</v>
      </c>
      <c r="D8" s="17" t="s">
        <v>160</v>
      </c>
      <c r="E8" s="19" t="s">
        <v>161</v>
      </c>
      <c r="J8" s="20"/>
      <c r="L8" s="20"/>
      <c r="N8" s="20"/>
    </row>
    <row r="9" spans="1:15" x14ac:dyDescent="0.15">
      <c r="B9" s="19" t="str">
        <f>IF(ISNUMBER(INDEX(G$2:O$48,MATCH(C6,G:G)-1,2)),INDEX(G$2:O$48,MATCH(C6,G:G)-1,2),"没有上级")</f>
        <v>没有上级</v>
      </c>
      <c r="C9" s="20" t="str">
        <f>IF(ISNUMBER(INT(B9)),IF(AND(C6&lt;10005,C6&gt;10001),INDEX(G$2:O$48,MATCH(B9,L:L,0)-1,1),IF(C6=10002,"没有上级",INDEX(G$2:O$48,MATCH(B9,N:N,0)-1,1))),"没有上级")</f>
        <v>没有上级</v>
      </c>
      <c r="D9" s="19" t="str">
        <f>IF(ISNUMBER(INDEX(G$2:O$12,MATCH(C9,$G:$G)-1,3)),INDEX(G$2:O$48,MATCH(C9,$G:$G)-1,3),"没有上级")</f>
        <v>没有上级</v>
      </c>
      <c r="E9" s="19" t="str">
        <f>IF(ISNUMBER(D9-D6),ROUND((D9-D6)*10,0),"没有上级")</f>
        <v>没有上级</v>
      </c>
      <c r="J9" s="20"/>
      <c r="L9" s="20"/>
      <c r="N9" s="20"/>
    </row>
    <row r="10" spans="1:15" x14ac:dyDescent="0.15">
      <c r="J10" s="20"/>
      <c r="L10" s="20"/>
      <c r="N10" s="20"/>
    </row>
    <row r="11" spans="1:15" x14ac:dyDescent="0.15">
      <c r="B11" s="17" t="s">
        <v>96</v>
      </c>
      <c r="C11" s="17" t="s">
        <v>162</v>
      </c>
      <c r="D11" s="17" t="s">
        <v>97</v>
      </c>
      <c r="E11" s="19" t="s">
        <v>163</v>
      </c>
      <c r="J11" s="20"/>
      <c r="L11" s="20"/>
      <c r="N11" s="20"/>
    </row>
    <row r="12" spans="1:15" x14ac:dyDescent="0.15">
      <c r="B12" s="19" t="str">
        <f>IF(ISNUMBER(INDEX(G$2:O$48,MATCH(C9,G:G)-1,2)),INDEX(G$2:O$48,MATCH(C9,G:G)-1,2),"没有上级")</f>
        <v>没有上级</v>
      </c>
      <c r="C12" s="20" t="str">
        <f>IF(ISNUMBER(INT(B12)),IF(AND(C9&lt;10005,C9&gt;10001),INDEX(G$2:O$48,MATCH(B12,L:L,0)-1,1),IF(C9=10002,"没有上级",INDEX(G$2:O$48,MATCH(B12,N:N,0)-1,1))),"没有上级")</f>
        <v>没有上级</v>
      </c>
      <c r="D12" s="19" t="str">
        <f>IF(ISNUMBER(INDEX(G$2:O$48,MATCH(C12,$G:$G)-1,3)),INDEX(G$2:O$48,MATCH(C12,$G:$G)-1,3),"没有上级")</f>
        <v>没有上级</v>
      </c>
      <c r="E12" s="19" t="str">
        <f>IF(ISNUMBER(D12-D9),ROUND((D12-D9)*10,0),"没有上级")</f>
        <v>没有上级</v>
      </c>
      <c r="J12" s="20"/>
      <c r="L12" s="20"/>
      <c r="N12" s="20"/>
    </row>
    <row r="13" spans="1:15" x14ac:dyDescent="0.15">
      <c r="J13" s="20"/>
      <c r="L13" s="20"/>
      <c r="N13" s="20"/>
    </row>
    <row r="14" spans="1:15" x14ac:dyDescent="0.15">
      <c r="B14" s="17" t="s">
        <v>164</v>
      </c>
      <c r="C14" s="17" t="s">
        <v>165</v>
      </c>
      <c r="D14" s="17" t="s">
        <v>166</v>
      </c>
      <c r="E14" s="19" t="s">
        <v>167</v>
      </c>
      <c r="J14" s="20"/>
      <c r="L14" s="20"/>
      <c r="N14" s="20"/>
    </row>
    <row r="15" spans="1:15" x14ac:dyDescent="0.15">
      <c r="B15" s="19" t="str">
        <f>IF(ISNUMBER(INDEX(G$2:O$48,MATCH(C12,G:G)-1,2)),INDEX(G$2:O$48,MATCH(C12,G:G)-1,2),"没有上级")</f>
        <v>没有上级</v>
      </c>
      <c r="C15" s="20" t="str">
        <f>IF(ISNUMBER(INT(B15)),IF(AND(C12&lt;10005,C12&gt;10001),INDEX(G$2:O$48,MATCH(B15,L:L,0)-1,1),IF(C12=10002,"没有上级",INDEX(G$2:O$48,MATCH(B15,N:N,0)-1,1))),"没有上级")</f>
        <v>没有上级</v>
      </c>
      <c r="D15" s="19" t="str">
        <f>IF(ISNUMBER(INDEX(G$2:O$48,MATCH(C15,$G:$G)-1,3)),INDEX(G$2:O$48,MATCH(C15,$G:$G)-1,3),"没有上级")</f>
        <v>没有上级</v>
      </c>
      <c r="E15" s="19" t="str">
        <f>IF(ISNUMBER(D15-D12),ROUND((D15-D12)*10,0),"没有上级")</f>
        <v>没有上级</v>
      </c>
    </row>
    <row r="17" spans="2:5" x14ac:dyDescent="0.15">
      <c r="B17" s="17" t="s">
        <v>168</v>
      </c>
      <c r="C17" s="17" t="s">
        <v>169</v>
      </c>
      <c r="D17" s="17" t="s">
        <v>170</v>
      </c>
      <c r="E17" s="19" t="s">
        <v>171</v>
      </c>
    </row>
    <row r="18" spans="2:5" x14ac:dyDescent="0.15">
      <c r="B18" s="19" t="str">
        <f>IF(ISNUMBER(INDEX(G$2:O$48,MATCH(C15,G:G)-1,2)),INDEX(G$2:O$48,MATCH(C15,G:G)-1,2),"没有上级")</f>
        <v>没有上级</v>
      </c>
      <c r="C18" s="20" t="str">
        <f>IF(ISNUMBER(INT(B18)),IF(AND(C15&lt;10005,C15&gt;10001),INDEX(G$2:O$48,MATCH(B18,L:L,0)-1,1),IF(C15=10002,"没有上级",INDEX(G$2:O$48,MATCH(B18,N:N,0)-1,1))),"没有上级")</f>
        <v>没有上级</v>
      </c>
      <c r="D18" s="19" t="str">
        <f>IF(ISNUMBER(INDEX(G$2:O$48,MATCH(C18,$G:$G)-1,3)),INDEX(G$2:O$48,MATCH(C18,$G:$G)-1,3),"没有上级")</f>
        <v>没有上级</v>
      </c>
      <c r="E18" s="19" t="str">
        <f>IF(ISNUMBER(D18-D15),ROUND((D18-D15)*10,0),"没有上级")</f>
        <v>没有上级</v>
      </c>
    </row>
    <row r="20" spans="2:5" x14ac:dyDescent="0.15">
      <c r="B20" s="17" t="s">
        <v>172</v>
      </c>
      <c r="C20" s="17" t="s">
        <v>173</v>
      </c>
      <c r="D20" s="17" t="s">
        <v>174</v>
      </c>
      <c r="E20" s="19" t="s">
        <v>175</v>
      </c>
    </row>
    <row r="21" spans="2:5" x14ac:dyDescent="0.15">
      <c r="B21" s="19" t="str">
        <f>IF(ISNUMBER(INDEX(G$2:O$48,MATCH(C18,G:G)-1,2)),INDEX(G$2:O$48,MATCH(C18,G:G)-1,2),"没有上级")</f>
        <v>没有上级</v>
      </c>
      <c r="C21" s="20" t="str">
        <f>IF(ISNUMBER(INT(B21)),IF(AND(C18&lt;10005,C18&gt;10001),INDEX(G$2:O$48,MATCH(B21,L:L,0)-1,1),IF(C18=10002,"没有上级",INDEX(G$2:O$48,MATCH(B21,N:N,0)-1,1))),"没有上级")</f>
        <v>没有上级</v>
      </c>
      <c r="D21" s="19" t="str">
        <f>IF(ISNUMBER(INDEX(G$2:O$48,MATCH(C21,$G:$G)-1,3)),INDEX(G$2:O$48,MATCH(C21,$G:$G)-1,3),"没有上级")</f>
        <v>没有上级</v>
      </c>
      <c r="E21" s="19" t="str">
        <f>IF(ISNUMBER(D21-D18),ROUND((D21-D18)*10,0),"没有上级")</f>
        <v>没有上级</v>
      </c>
    </row>
    <row r="23" spans="2:5" x14ac:dyDescent="0.15">
      <c r="B23" s="17" t="s">
        <v>176</v>
      </c>
      <c r="C23" s="17" t="s">
        <v>177</v>
      </c>
      <c r="D23" s="17" t="s">
        <v>178</v>
      </c>
      <c r="E23" s="19" t="s">
        <v>179</v>
      </c>
    </row>
    <row r="24" spans="2:5" x14ac:dyDescent="0.15">
      <c r="B24" s="19" t="str">
        <f>IF(ISNUMBER(INDEX(G$2:O$48,MATCH(C21,G:G)-1,2)),INDEX(G$2:O$48,MATCH(C21,G:G)-1,2),"没有上级")</f>
        <v>没有上级</v>
      </c>
      <c r="C24" s="20" t="str">
        <f>IF(ISNUMBER(INT(B24)),IF(AND(C21&lt;10005,C21&gt;10001),INDEX(G$2:O$48,MATCH(B24,L:L,0)-1,1),IF(C21=10002,"没有上级",INDEX(G$2:O$48,MATCH(B24,N:N,0)-1,1))),"没有上级")</f>
        <v>没有上级</v>
      </c>
      <c r="D24" s="19" t="str">
        <f>IF(ISNUMBER(INDEX(G$2:O$48,MATCH(C24,$G:$G)-1,3)),INDEX(G$2:O$48,MATCH(C24,$G:$G)-1,3),"没有上级")</f>
        <v>没有上级</v>
      </c>
      <c r="E24" s="19" t="str">
        <f>IF(ISNUMBER(D24-D21),ROUND((D24-D21)*10,0),"没有上级")</f>
        <v>没有上级</v>
      </c>
    </row>
    <row r="26" spans="2:5" x14ac:dyDescent="0.15">
      <c r="B26" s="17" t="s">
        <v>180</v>
      </c>
      <c r="C26" s="17" t="s">
        <v>181</v>
      </c>
      <c r="D26" s="17" t="s">
        <v>182</v>
      </c>
      <c r="E26" s="19" t="s">
        <v>183</v>
      </c>
    </row>
    <row r="27" spans="2:5" x14ac:dyDescent="0.15">
      <c r="B27" s="19" t="str">
        <f>IF(ISNUMBER(INDEX(G$2:O$48,MATCH(C24,G:G)-1,2)),INDEX(G$2:O$48,MATCH(C24,G:G)-1,2),"没有上级")</f>
        <v>没有上级</v>
      </c>
      <c r="C27" s="20" t="str">
        <f>IF(ISNUMBER(INT(B27)),IF(AND(C24&lt;10005,C24&gt;10001),INDEX(G$2:O$48,MATCH(B27,L:L,0)-1,1),IF(C24=10002,"没有上级",INDEX(G$2:O$48,MATCH(B27,N:N,0)-1,1))),"没有上级")</f>
        <v>没有上级</v>
      </c>
      <c r="D27" s="19" t="str">
        <f>IF(ISNUMBER(INDEX(G$2:O$48,MATCH(C27,$G:$G)-1,3)),INDEX(G$2:O$48,MATCH(C27,$G:$G)-1,3),"没有上级")</f>
        <v>没有上级</v>
      </c>
      <c r="E27" s="19" t="str">
        <f>IF(ISNUMBER(D27-D24),ROUND((D27-D24)*10,0),"没有上级")</f>
        <v>没有上级</v>
      </c>
    </row>
    <row r="29" spans="2:5" x14ac:dyDescent="0.15">
      <c r="B29" s="17" t="s">
        <v>184</v>
      </c>
      <c r="C29" s="17" t="s">
        <v>185</v>
      </c>
      <c r="D29" s="17" t="s">
        <v>186</v>
      </c>
      <c r="E29" s="19" t="s">
        <v>187</v>
      </c>
    </row>
    <row r="30" spans="2:5" x14ac:dyDescent="0.15">
      <c r="B30" s="19" t="str">
        <f>IF(ISNUMBER(INDEX(G$2:O$48,MATCH(C27,G:G)-1,2)),INDEX(G$2:O$48,MATCH(C27,G:G)-1,2),"没有上级")</f>
        <v>没有上级</v>
      </c>
      <c r="C30" s="20" t="str">
        <f>IF(ISNUMBER(INT(B30)),IF(AND(C27&lt;10005,C27&gt;10001),INDEX(G$2:O$48,MATCH(B30,L:L,0)-1,1),IF(C27=10002,"没有上级",INDEX(G$2:O$48,MATCH(B30,N:N,0)-1,1))),"没有上级")</f>
        <v>没有上级</v>
      </c>
      <c r="D30" s="19" t="str">
        <f>IF(ISNUMBER(INDEX(G$2:O$48,MATCH(C30,$G:$G)-1,3)),INDEX(G$2:O$48,MATCH(C30,$G:$G)-1,3),"没有上级")</f>
        <v>没有上级</v>
      </c>
      <c r="E30" s="19" t="str">
        <f>IF(ISNUMBER(D30-D27),ROUND((D30-D27)*10,0),"没有上级")</f>
        <v>没有上级</v>
      </c>
    </row>
    <row r="31" spans="2:5" x14ac:dyDescent="0.15">
      <c r="C31" s="20"/>
    </row>
    <row r="32" spans="2:5" x14ac:dyDescent="0.15">
      <c r="B32" s="17" t="s">
        <v>188</v>
      </c>
      <c r="C32" s="17" t="s">
        <v>189</v>
      </c>
      <c r="D32" s="17" t="s">
        <v>190</v>
      </c>
      <c r="E32" s="19" t="s">
        <v>191</v>
      </c>
    </row>
    <row r="33" spans="2:5" x14ac:dyDescent="0.15">
      <c r="B33" s="19" t="str">
        <f>IF(ISNUMBER(INDEX(G$2:O$48,MATCH(C30,G:G)-1,2)),INDEX(G$2:O$48,MATCH(C30,G:G)-1,2),"没有上级")</f>
        <v>没有上级</v>
      </c>
      <c r="C33" s="20" t="str">
        <f>IF(ISNUMBER(INT(B33)),IF(AND(C30&lt;10005,C30&gt;10001),INDEX(G$2:O$48,MATCH(B33,L:L,0)-1,1),IF(C30=10002,"没有上级",INDEX(G$2:O$48,MATCH(B33,N:N,0)-1,1))),"没有上级")</f>
        <v>没有上级</v>
      </c>
      <c r="D33" s="19" t="str">
        <f>IF(ISNUMBER(INDEX(G$2:O$48,MATCH(C33,$G:$G)-1,3)),INDEX(G$2:O$48,MATCH(C33,$G:$G)-1,3),"没有上级")</f>
        <v>没有上级</v>
      </c>
      <c r="E33" s="19" t="str">
        <f>IF(ISNUMBER(D33-D30),ROUND((D33-D30)*10,0),"没有上级")</f>
        <v>没有上级</v>
      </c>
    </row>
    <row r="35" spans="2:5" x14ac:dyDescent="0.15">
      <c r="B35" s="17" t="s">
        <v>192</v>
      </c>
      <c r="C35" s="17" t="s">
        <v>193</v>
      </c>
      <c r="D35" s="17" t="s">
        <v>194</v>
      </c>
      <c r="E35" s="19" t="s">
        <v>195</v>
      </c>
    </row>
    <row r="36" spans="2:5" x14ac:dyDescent="0.15">
      <c r="B36" s="19" t="str">
        <f>IF(ISNUMBER(INDEX(G$2:O$48,MATCH(C33,G:G)-1,2)),INDEX(G$2:O$48,MATCH(C33,G:G)-1,2),"没有上级")</f>
        <v>没有上级</v>
      </c>
      <c r="C36" s="20" t="str">
        <f>IF(ISNUMBER(INT(B36)),IF(AND(C33&lt;10005,C33&gt;10001),INDEX(G$2:O$48,MATCH(B36,L:L,0)-1,1),IF(C33=10002,"没有上级",INDEX(G$2:O$48,MATCH(B36,N:N,0)-1,1))),"没有上级")</f>
        <v>没有上级</v>
      </c>
      <c r="D36" s="19" t="str">
        <f>IF(ISNUMBER(INDEX(G$2:O$48,MATCH(C36,$G:$G)-1,3)),INDEX(G$2:O$48,MATCH(C36,$G:$G)-1,3),"没有上级")</f>
        <v>没有上级</v>
      </c>
      <c r="E36" s="19" t="str">
        <f>IF(ISNUMBER(D36-D33),ROUND((D36-D33)*10,0),"没有上级")</f>
        <v>没有上级</v>
      </c>
    </row>
    <row r="38" spans="2:5" x14ac:dyDescent="0.15">
      <c r="B38" s="17" t="s">
        <v>196</v>
      </c>
      <c r="C38" s="17" t="s">
        <v>197</v>
      </c>
      <c r="D38" s="17" t="s">
        <v>198</v>
      </c>
      <c r="E38" s="19" t="s">
        <v>199</v>
      </c>
    </row>
    <row r="39" spans="2:5" x14ac:dyDescent="0.15">
      <c r="B39" s="19" t="str">
        <f>IF(ISNUMBER(INDEX(G$2:O$48,MATCH(C36,G:G)-1,2)),INDEX(G$2:O$48,MATCH(C36,G:G)-1,2),"没有上级")</f>
        <v>没有上级</v>
      </c>
      <c r="C39" s="20" t="str">
        <f>IF(ISNUMBER(INT(B39)),IF(AND(C36&lt;10005,C36&gt;10001),INDEX(G$2:O$48,MATCH(B39,L:L,0)-1,1),IF(C36=10002,"没有上级",INDEX(G$2:O$48,MATCH(B39,N:N,0)-1,1))),"没有上级")</f>
        <v>没有上级</v>
      </c>
      <c r="D39" s="19" t="str">
        <f>IF(ISNUMBER(INDEX(G$2:O$48,MATCH(C39,$G:$G)-1,3)),INDEX(G$2:O$48,MATCH(C39,$G:$G)-1,3),"没有上级")</f>
        <v>没有上级</v>
      </c>
      <c r="E39" s="19" t="str">
        <f>IF(ISNUMBER(D39-D36),ROUND((D39-D36)*10,0),"没有上级")</f>
        <v>没有上级</v>
      </c>
    </row>
    <row r="41" spans="2:5" x14ac:dyDescent="0.15">
      <c r="B41" s="17" t="s">
        <v>200</v>
      </c>
      <c r="C41" s="17" t="s">
        <v>201</v>
      </c>
      <c r="D41" s="17" t="s">
        <v>202</v>
      </c>
      <c r="E41" s="19" t="s">
        <v>203</v>
      </c>
    </row>
    <row r="42" spans="2:5" x14ac:dyDescent="0.15">
      <c r="B42" s="19" t="str">
        <f>IF(ISNUMBER(INDEX(G$2:O$48,MATCH(C39,G:G)-1,2)),INDEX(G$2:O$48,MATCH(C39,G:G)-1,2),"没有上级")</f>
        <v>没有上级</v>
      </c>
      <c r="C42" s="20" t="str">
        <f>IF(ISNUMBER(INT(B42)),IF(AND(C39&lt;10005,C39&gt;10001),INDEX(G$2:O$48,MATCH(B42,L:L,0)-1,1),IF(C39=10002,"没有上级",INDEX(G$2:O$48,MATCH(B42,N:N,0)-1,1))),"没有上级")</f>
        <v>没有上级</v>
      </c>
      <c r="D42" s="19" t="str">
        <f>IF(ISNUMBER(INDEX(G$2:O$48,MATCH(C42,$G:$G)-1,3)),INDEX(G$2:O$48,MATCH(C42,$G:$G)-1,3),"没有上级")</f>
        <v>没有上级</v>
      </c>
      <c r="E42" s="19" t="str">
        <f>IF(ISNUMBER(D42-D39),ROUND((D42-D39)*10,0),"没有上级")</f>
        <v>没有上级</v>
      </c>
    </row>
    <row r="44" spans="2:5" x14ac:dyDescent="0.15">
      <c r="B44" s="17" t="s">
        <v>204</v>
      </c>
      <c r="C44" s="17" t="s">
        <v>205</v>
      </c>
      <c r="D44" s="17" t="s">
        <v>206</v>
      </c>
      <c r="E44" s="19" t="s">
        <v>207</v>
      </c>
    </row>
    <row r="45" spans="2:5" x14ac:dyDescent="0.15">
      <c r="B45" s="19" t="str">
        <f>IF(ISNUMBER(INDEX(G$2:O$48,MATCH(C42,G:G)-1,2)),INDEX(G$2:O$48,MATCH(C42,G:G)-1,2),"没有上级")</f>
        <v>没有上级</v>
      </c>
      <c r="C45" s="20" t="str">
        <f>IF(ISNUMBER(INT(B45)),IF(AND(C42&lt;10005,C42&gt;10001),INDEX(G$2:O$48,MATCH(B45,L:L,0)-1,1),IF(C42=10002,"没有上级",INDEX(G$2:O$48,MATCH(B45,N:N,0)-1,1))),"没有上级")</f>
        <v>没有上级</v>
      </c>
      <c r="D45" s="19" t="str">
        <f>IF(ISNUMBER(INDEX(G$2:O$48,MATCH(C45,$G:$G)-1,3)),INDEX(G$2:O$48,MATCH(C45,$G:$G)-1,3),"没有上级")</f>
        <v>没有上级</v>
      </c>
      <c r="E45" s="19" t="str">
        <f>IF(ISNUMBER(D45-D42),ROUND((D45-D42)*10,0),"没有上级")</f>
        <v>没有上级</v>
      </c>
    </row>
    <row r="47" spans="2:5" x14ac:dyDescent="0.15">
      <c r="B47" s="17" t="s">
        <v>208</v>
      </c>
      <c r="C47" s="17" t="s">
        <v>209</v>
      </c>
      <c r="D47" s="17" t="s">
        <v>210</v>
      </c>
      <c r="E47" s="19" t="s">
        <v>211</v>
      </c>
    </row>
    <row r="48" spans="2:5" x14ac:dyDescent="0.15">
      <c r="B48" s="19" t="str">
        <f>IF(ISNUMBER(INDEX(G$2:O$48,MATCH(C45,G:G)-1,2)),INDEX(G$2:O$48,MATCH(C45,G:G)-1,2),"没有上级")</f>
        <v>没有上级</v>
      </c>
      <c r="C48" s="20" t="str">
        <f>IF(ISNUMBER(INT(B48)),IF(AND(C45&lt;10005,C45&gt;10001),INDEX(G$2:O$48,MATCH(B48,L:L,0)-1,1),IF(C45=10002,"没有上级",INDEX(G$2:O$48,MATCH(B48,N:N,0)-1,1))),"没有上级")</f>
        <v>没有上级</v>
      </c>
      <c r="D48" s="19" t="str">
        <f>IF(ISNUMBER(INDEX(G$2:O$48,MATCH(C48,$G:$G)-1,3)),INDEX(G$2:O$48,MATCH(C48,$G:$G)-1,3),"没有上级")</f>
        <v>没有上级</v>
      </c>
      <c r="E48" s="19" t="str">
        <f>IF(ISNUMBER(D48-D45),ROUND((D48-D45)*10,0),"没有上级")</f>
        <v>没有上级</v>
      </c>
    </row>
  </sheetData>
  <mergeCells count="3">
    <mergeCell ref="N1:O1"/>
    <mergeCell ref="J1:K1"/>
    <mergeCell ref="L1:M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K3</vt:lpstr>
      <vt:lpstr>orderBetDatas</vt:lpstr>
      <vt:lpstr>K3Source</vt:lpstr>
      <vt:lpstr>数据对比计算</vt:lpstr>
      <vt:lpstr>ExportXML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2018-07-27T12:16:46Z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