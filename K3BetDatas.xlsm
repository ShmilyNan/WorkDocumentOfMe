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'K3'!$A$1:$O$26</definedName>
  </definedNames>
  <calcPr calcId="162913" iterate="1" iterateCount="101"/>
</workbook>
</file>

<file path=xl/calcChain.xml><?xml version="1.0" encoding="utf-8"?>
<calcChain xmlns="http://schemas.openxmlformats.org/spreadsheetml/2006/main">
  <c r="H2" i="2" l="1"/>
  <c r="D15" i="2"/>
  <c r="D14" i="2"/>
  <c r="D13" i="2"/>
  <c r="D12" i="2"/>
  <c r="I21" i="2"/>
  <c r="I12" i="2"/>
  <c r="J21" i="2"/>
  <c r="C21" i="2"/>
  <c r="I17" i="2"/>
  <c r="O48" i="5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H9" i="2"/>
  <c r="I10" i="2"/>
  <c r="H8" i="2"/>
  <c r="K4" i="2"/>
  <c r="H4" i="2" s="1"/>
  <c r="K5" i="2"/>
  <c r="K6" i="2"/>
  <c r="K7" i="2"/>
  <c r="K8" i="2"/>
  <c r="K9" i="2"/>
  <c r="K3" i="2"/>
  <c r="H5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C12" i="2" s="1"/>
  <c r="C16" i="2"/>
  <c r="E13" i="2"/>
  <c r="E14" i="2"/>
  <c r="E15" i="2"/>
  <c r="E12" i="2"/>
  <c r="B30" i="2"/>
  <c r="B23" i="2"/>
  <c r="B24" i="2" s="1"/>
  <c r="E23" i="2"/>
  <c r="E22" i="2"/>
  <c r="E21" i="2"/>
  <c r="E20" i="2"/>
  <c r="E19" i="2"/>
  <c r="E18" i="2"/>
  <c r="E17" i="2"/>
  <c r="E16" i="2"/>
  <c r="B22" i="2"/>
  <c r="B25" i="2" s="1"/>
  <c r="B21" i="2"/>
  <c r="B26" i="2" s="1"/>
  <c r="B20" i="2"/>
  <c r="B27" i="2" s="1"/>
  <c r="B19" i="2"/>
  <c r="B28" i="2" s="1"/>
  <c r="B18" i="2"/>
  <c r="B29" i="2" s="1"/>
  <c r="B17" i="2"/>
  <c r="C17" i="2" s="1"/>
  <c r="B16" i="2"/>
  <c r="B31" i="2" s="1"/>
  <c r="B13" i="2"/>
  <c r="C13" i="2" s="1"/>
  <c r="B14" i="2"/>
  <c r="C14" i="2" s="1"/>
  <c r="B15" i="2"/>
  <c r="C15" i="2" s="1"/>
  <c r="C23" i="2" l="1"/>
  <c r="C22" i="2"/>
  <c r="C20" i="2"/>
  <c r="C19" i="2"/>
  <c r="C18" i="2"/>
  <c r="L6" i="5"/>
  <c r="M6" i="5" s="1"/>
  <c r="L3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S14" i="5"/>
  <c r="U14" i="5" s="1"/>
  <c r="R14" i="5"/>
  <c r="U13" i="5"/>
  <c r="S13" i="5"/>
  <c r="R13" i="5"/>
  <c r="S12" i="5"/>
  <c r="U12" i="5" s="1"/>
  <c r="R12" i="5"/>
  <c r="S11" i="5"/>
  <c r="U11" i="5" s="1"/>
  <c r="R11" i="5"/>
  <c r="S10" i="5"/>
  <c r="U10" i="5" s="1"/>
  <c r="R10" i="5"/>
  <c r="U9" i="5"/>
  <c r="S9" i="5"/>
  <c r="R9" i="5"/>
  <c r="S8" i="5"/>
  <c r="U8" i="5" s="1"/>
  <c r="R8" i="5"/>
  <c r="U7" i="5"/>
  <c r="S7" i="5"/>
  <c r="R7" i="5"/>
  <c r="S6" i="5"/>
  <c r="U6" i="5" s="1"/>
  <c r="R6" i="5"/>
  <c r="U5" i="5"/>
  <c r="S5" i="5"/>
  <c r="R5" i="5"/>
  <c r="S4" i="5"/>
  <c r="U4" i="5" s="1"/>
  <c r="R4" i="5"/>
  <c r="S3" i="5"/>
  <c r="U3" i="5" s="1"/>
  <c r="R3" i="5"/>
  <c r="U2" i="5"/>
  <c r="N6" i="5" l="1"/>
  <c r="L9" i="5"/>
  <c r="M9" i="5" s="1"/>
  <c r="W30" i="5"/>
  <c r="S31" i="5" s="1"/>
  <c r="U31" i="5" s="1"/>
  <c r="Y30" i="5"/>
  <c r="S40" i="5" s="1"/>
  <c r="L12" i="5" l="1"/>
  <c r="M12" i="5" s="1"/>
  <c r="N9" i="5"/>
  <c r="W31" i="5"/>
  <c r="S32" i="5" s="1"/>
  <c r="U32" i="5" s="1"/>
  <c r="Y31" i="5"/>
  <c r="S41" i="5" s="1"/>
  <c r="N12" i="5" l="1"/>
  <c r="L15" i="5"/>
  <c r="M15" i="5" s="1"/>
  <c r="Y32" i="5"/>
  <c r="S42" i="5" s="1"/>
  <c r="W32" i="5"/>
  <c r="S33" i="5" s="1"/>
  <c r="U33" i="5" s="1"/>
  <c r="L18" i="5" l="1"/>
  <c r="M18" i="5" s="1"/>
  <c r="N15" i="5"/>
  <c r="Y33" i="5"/>
  <c r="S43" i="5" s="1"/>
  <c r="W33" i="5"/>
  <c r="S34" i="5" s="1"/>
  <c r="U34" i="5" s="1"/>
  <c r="N18" i="5" l="1"/>
  <c r="L21" i="5"/>
  <c r="M21" i="5" s="1"/>
  <c r="W34" i="5"/>
  <c r="S35" i="5" s="1"/>
  <c r="U35" i="5" s="1"/>
  <c r="Y34" i="5"/>
  <c r="S44" i="5" s="1"/>
  <c r="L24" i="5" l="1"/>
  <c r="M24" i="5" s="1"/>
  <c r="N21" i="5"/>
  <c r="Y35" i="5"/>
  <c r="S45" i="5" s="1"/>
  <c r="W35" i="5"/>
  <c r="S36" i="5" s="1"/>
  <c r="U36" i="5" s="1"/>
  <c r="N24" i="5" l="1"/>
  <c r="L27" i="5"/>
  <c r="M27" i="5" s="1"/>
  <c r="Y36" i="5"/>
  <c r="S46" i="5" s="1"/>
  <c r="W36" i="5"/>
  <c r="S37" i="5" s="1"/>
  <c r="U37" i="5" s="1"/>
  <c r="L30" i="5" l="1"/>
  <c r="M30" i="5" s="1"/>
  <c r="N27" i="5"/>
  <c r="Y37" i="5"/>
  <c r="S47" i="5" s="1"/>
  <c r="W37" i="5"/>
  <c r="S38" i="5" s="1"/>
  <c r="U38" i="5" s="1"/>
  <c r="N30" i="5" l="1"/>
  <c r="L33" i="5"/>
  <c r="M33" i="5" s="1"/>
  <c r="W38" i="5"/>
  <c r="Y38" i="5"/>
  <c r="S48" i="5" s="1"/>
  <c r="L36" i="5" l="1"/>
  <c r="M36" i="5" s="1"/>
  <c r="N33" i="5"/>
  <c r="N36" i="5" l="1"/>
  <c r="L39" i="5"/>
  <c r="M39" i="5" s="1"/>
  <c r="N39" i="5" l="1"/>
  <c r="L42" i="5"/>
  <c r="M42" i="5" s="1"/>
  <c r="N42" i="5" l="1"/>
  <c r="L45" i="5"/>
  <c r="M45" i="5" s="1"/>
  <c r="L48" i="5" l="1"/>
  <c r="M48" i="5" s="1"/>
  <c r="N48" i="5" s="1"/>
  <c r="N45" i="5"/>
  <c r="G15" i="1" l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M9" i="1"/>
  <c r="Z9" i="1" s="1"/>
  <c r="M8" i="1"/>
  <c r="Z8" i="1" s="1"/>
  <c r="M7" i="1"/>
  <c r="Z7" i="1" s="1"/>
  <c r="M6" i="1"/>
  <c r="Z6" i="1" s="1"/>
  <c r="M5" i="1"/>
  <c r="Z5" i="1" s="1"/>
  <c r="M4" i="1"/>
  <c r="Z4" i="1" s="1"/>
  <c r="M3" i="1"/>
  <c r="Z3" i="1" s="1"/>
  <c r="E17" i="1"/>
  <c r="E22" i="1"/>
  <c r="E21" i="1"/>
  <c r="E20" i="1"/>
  <c r="E19" i="1"/>
  <c r="E18" i="1"/>
  <c r="E16" i="1"/>
  <c r="E15" i="1"/>
  <c r="E14" i="1"/>
  <c r="G5" i="2" l="1"/>
  <c r="N5" i="1" s="1"/>
  <c r="G8" i="2"/>
  <c r="N8" i="1" s="1"/>
  <c r="G7" i="2"/>
  <c r="N7" i="1" s="1"/>
  <c r="G4" i="2"/>
  <c r="N4" i="1" s="1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A4" i="1"/>
  <c r="AA9" i="1"/>
  <c r="AA7" i="1"/>
  <c r="AA5" i="1"/>
  <c r="I8" i="2"/>
  <c r="I9" i="2"/>
  <c r="I5" i="2"/>
  <c r="I6" i="2"/>
  <c r="I7" i="2"/>
  <c r="I4" i="2"/>
  <c r="I3" i="2"/>
  <c r="I2" i="2"/>
  <c r="Q8" i="1" l="1"/>
  <c r="R8" i="1"/>
  <c r="S8" i="1"/>
  <c r="T8" i="1"/>
  <c r="U8" i="1"/>
  <c r="W8" i="1"/>
  <c r="X8" i="1"/>
  <c r="V8" i="1"/>
  <c r="O8" i="1"/>
  <c r="P8" i="1"/>
  <c r="O5" i="1"/>
  <c r="W5" i="1"/>
  <c r="P5" i="1"/>
  <c r="X5" i="1"/>
  <c r="Q5" i="1"/>
  <c r="R5" i="1"/>
  <c r="S5" i="1"/>
  <c r="U5" i="1"/>
  <c r="T5" i="1"/>
  <c r="V5" i="1"/>
  <c r="S7" i="1"/>
  <c r="T7" i="1"/>
  <c r="U7" i="1"/>
  <c r="V7" i="1"/>
  <c r="O7" i="1"/>
  <c r="W7" i="1"/>
  <c r="Q7" i="1"/>
  <c r="R7" i="1"/>
  <c r="P7" i="1"/>
  <c r="X7" i="1"/>
  <c r="Q4" i="1"/>
  <c r="R4" i="1"/>
  <c r="S4" i="1"/>
  <c r="T4" i="1"/>
  <c r="U4" i="1"/>
  <c r="O4" i="1"/>
  <c r="X4" i="1"/>
  <c r="V4" i="1"/>
  <c r="W4" i="1"/>
  <c r="P4" i="1"/>
  <c r="W3" i="1"/>
  <c r="X3" i="1"/>
  <c r="U3" i="1"/>
  <c r="V3" i="1"/>
  <c r="S3" i="1"/>
  <c r="T3" i="1"/>
  <c r="Q3" i="1"/>
  <c r="R3" i="1"/>
  <c r="O3" i="1"/>
  <c r="P3" i="1"/>
  <c r="E4" i="2"/>
  <c r="E5" i="2" s="1"/>
  <c r="E6" i="2" s="1"/>
  <c r="K3" i="1"/>
  <c r="N2" i="2"/>
  <c r="G9" i="2"/>
  <c r="N9" i="1" s="1"/>
  <c r="Q9" i="1" s="1"/>
  <c r="N4" i="2"/>
  <c r="N3" i="2"/>
  <c r="I6" i="1"/>
  <c r="I5" i="1"/>
  <c r="I9" i="1"/>
  <c r="I8" i="1"/>
  <c r="I7" i="1"/>
  <c r="AC8" i="1" l="1"/>
  <c r="AC7" i="1"/>
  <c r="AC3" i="1"/>
  <c r="AC4" i="1"/>
  <c r="H6" i="2"/>
  <c r="K6" i="1" s="1"/>
  <c r="AC5" i="1"/>
  <c r="D17" i="2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6" i="2"/>
  <c r="D19" i="2"/>
  <c r="U9" i="1"/>
  <c r="W9" i="1"/>
  <c r="X9" i="1"/>
  <c r="P9" i="1"/>
  <c r="T9" i="1"/>
  <c r="O9" i="1"/>
  <c r="S9" i="1"/>
  <c r="V9" i="1"/>
  <c r="R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G2" i="2"/>
  <c r="N2" i="1" s="1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G6" i="2" l="1"/>
  <c r="N6" i="1" s="1"/>
  <c r="AC9" i="1"/>
  <c r="M2" i="1"/>
  <c r="I3" i="1"/>
  <c r="I4" i="1"/>
  <c r="I2" i="1"/>
  <c r="O6" i="1" l="1"/>
  <c r="R6" i="1"/>
  <c r="W6" i="1"/>
  <c r="P6" i="1"/>
  <c r="Q6" i="1"/>
  <c r="S6" i="1"/>
  <c r="V6" i="1"/>
  <c r="X6" i="1"/>
  <c r="U6" i="1"/>
  <c r="T6" i="1"/>
  <c r="U2" i="1"/>
  <c r="U11" i="1" s="1"/>
  <c r="O2" i="1"/>
  <c r="O11" i="1" s="1"/>
  <c r="R2" i="1"/>
  <c r="R11" i="1" s="1"/>
  <c r="P2" i="1"/>
  <c r="P11" i="1" s="1"/>
  <c r="Q2" i="1"/>
  <c r="V2" i="1"/>
  <c r="V11" i="1" s="1"/>
  <c r="S2" i="1"/>
  <c r="X2" i="1"/>
  <c r="T2" i="1"/>
  <c r="T11" i="1" s="1"/>
  <c r="W2" i="1"/>
  <c r="W11" i="1" s="1"/>
  <c r="K2" i="1"/>
  <c r="L2" i="1" s="1"/>
  <c r="Q11" i="1" l="1"/>
  <c r="X11" i="1"/>
  <c r="S11" i="1"/>
  <c r="AC6" i="1"/>
  <c r="AC2" i="1"/>
  <c r="L3" i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Y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<sst xmlns="http://schemas.openxmlformats.org/spreadsheetml/2006/main" count="241" uniqueCount="191">
  <si>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</si>
  <si>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</si>
  <si>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</si>
  <si>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</si>
  <si>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</si>
  <si>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</si>
  <si>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</si>
  <si>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</si>
  <si>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</si>
  <si>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</si>
  <si>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</si>
  <si>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</si>
  <si>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</si>
  <si>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</si>
  <si>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</si>
  <si>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</si>
  <si>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</si>
  <si>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</si>
  <si>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</si>
  <si>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</si>
  <si>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</si>
  <si>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</si>
  <si>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</si>
  <si>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</si>
  <si>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</si>
  <si>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</si>
  <si>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</si>
  <si>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</si>
  <si>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</si>
  <si>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</si>
  <si>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</si>
  <si>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</si>
  <si>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</si>
  <si>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</si>
  <si>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</si>
  <si>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</si>
  <si>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</si>
  <si>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</si>
  <si>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</si>
  <si>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</si>
  <si>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</si>
  <si>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</si>
  <si>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</si>
  <si>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</si>
  <si>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</si>
  <si>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</si>
  <si>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</si>
  <si>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</si>
  <si>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</si>
  <si>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</si>
  <si>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</si>
  <si>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</si>
  <si>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</si>
  <si>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</si>
  <si>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</si>
  <si>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</si>
  <si>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</si>
  <si>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</si>
  <si>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</si>
  <si>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</si>
  <si>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</si>
  <si>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</si>
  <si>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</si>
  <si>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</si>
  <si>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</si>
  <si>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</si>
  <si>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</si>
  <si>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</si>
  <si>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</si>
  <si>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</si>
  <si>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</si>
  <si>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265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</si>
  <si>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</si>
  <si>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</si>
  <si>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</si>
  <si>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</si>
  <si>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</si>
  <si>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</si>
  <si>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</si>
  <si>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</si>
  <si>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</si>
  <si>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上级2UserId</t>
    <phoneticPr fontId="1" type="noConversion"/>
  </si>
  <si>
    <t>上级3userId</t>
    <phoneticPr fontId="1" type="noConversion"/>
  </si>
  <si>
    <t>上级4UserId</t>
    <phoneticPr fontId="1" type="noConversion"/>
  </si>
  <si>
    <t>上级5userId</t>
    <phoneticPr fontId="1" type="noConversion"/>
  </si>
  <si>
    <t>上级5level</t>
    <phoneticPr fontId="1" type="noConversion"/>
  </si>
  <si>
    <t>上级6UserId</t>
    <phoneticPr fontId="1" type="noConversion"/>
  </si>
  <si>
    <t>上级6返利</t>
    <phoneticPr fontId="1" type="noConversion"/>
  </si>
  <si>
    <t>上级7level</t>
    <phoneticPr fontId="1" type="noConversion"/>
  </si>
  <si>
    <t>上级8UserId</t>
    <phoneticPr fontId="1" type="noConversion"/>
  </si>
  <si>
    <t>上级9返利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</si>
  <si>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</si>
  <si>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</si>
  <si>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</si>
  <si>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</si>
  <si>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</si>
  <si>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</si>
  <si>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</si>
  <si>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</si>
  <si>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</si>
  <si>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</si>
  <si>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</si>
  <si>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</si>
  <si>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</si>
  <si>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</si>
  <si>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</si>
  <si>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</si>
  <si>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</si>
  <si>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</si>
  <si>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</si>
  <si>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</si>
  <si>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</si>
  <si>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</si>
  <si>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</si>
  <si>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</si>
  <si>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</si>
  <si>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</si>
  <si>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</si>
  <si>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</si>
  <si>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</si>
  <si>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</si>
  <si>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</si>
  <si>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</si>
  <si>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</si>
  <si>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</si>
  <si>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</si>
  <si>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</si>
  <si>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</si>
  <si>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</si>
  <si>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</si>
  <si>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null</t>
    <phoneticPr fontId="1" type="noConversion"/>
  </si>
  <si>
    <t>黄金分割线</t>
    <phoneticPr fontId="1" type="noConversion"/>
  </si>
  <si>
    <t>自身level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</si>
  <si>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</si>
  <si>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</si>
  <si>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</si>
  <si>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</si>
  <si>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</si>
  <si>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</si>
  <si>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</si>
  <si>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</si>
  <si>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</si>
  <si>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</si>
  <si>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</si>
  <si>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</si>
  <si>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上级5返利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</si>
  <si>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</si>
  <si>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</si>
  <si>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</si>
  <si>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上级7userId</t>
    <phoneticPr fontId="1" type="noConversion"/>
  </si>
  <si>
    <t>上级7返利</t>
    <phoneticPr fontId="1" type="noConversion"/>
  </si>
  <si>
    <t>上级8Code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</si>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</sst>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W2" sqref="W2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9.75" style="17" customWidth="1"/>
    <col min="13" max="13" width="9.625" style="17" customWidth="1"/>
    <col min="14" max="14" width="11.75" style="20" customWidth="1"/>
    <col min="15" max="24" width="13.75" style="20" customWidth="1"/>
    <col min="25" max="25" width="8.5" style="17" bestFit="1" customWidth="1"/>
    <col min="26" max="26" width="10.125" style="20" customWidth="1"/>
    <col min="27" max="27" width="10.75" style="17" customWidth="1"/>
    <col min="28" max="28" width="10.25" style="17" customWidth="1"/>
    <col min="29" max="16384" width="9" style="17"/>
  </cols>
  <sheetData>
    <row r="1" spans="1:29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104</v>
      </c>
      <c r="G1" s="20" t="s">
        <v>5</v>
      </c>
      <c r="H1" s="20" t="s">
        <v>49</v>
      </c>
      <c r="I1" s="20" t="s">
        <v>105</v>
      </c>
      <c r="J1" s="20" t="s">
        <v>106</v>
      </c>
      <c r="K1" s="20" t="s">
        <v>107</v>
      </c>
      <c r="L1" s="20" t="s">
        <v>108</v>
      </c>
      <c r="M1" s="15" t="s">
        <v>109</v>
      </c>
      <c r="N1" s="15" t="s">
        <v>93</v>
      </c>
      <c r="O1" s="15" t="s">
        <v>94</v>
      </c>
      <c r="P1" s="15" t="s">
        <v>95</v>
      </c>
      <c r="Q1" s="15" t="s">
        <v>96</v>
      </c>
      <c r="R1" s="15" t="s">
        <v>97</v>
      </c>
      <c r="S1" s="15" t="s">
        <v>98</v>
      </c>
      <c r="T1" s="15" t="s">
        <v>99</v>
      </c>
      <c r="U1" s="15" t="s">
        <v>100</v>
      </c>
      <c r="V1" s="15" t="s">
        <v>101</v>
      </c>
      <c r="W1" s="15" t="s">
        <v>102</v>
      </c>
      <c r="X1" s="15" t="s">
        <v>103</v>
      </c>
      <c r="Y1" s="15" t="s">
        <v>110</v>
      </c>
      <c r="Z1" s="15" t="s">
        <v>121</v>
      </c>
      <c r="AA1" s="17" t="s">
        <v>20</v>
      </c>
      <c r="AB1" s="17" t="s">
        <v>7</v>
      </c>
    </row>
    <row r="2" spans="1:29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AA2*G2*2</f>
        <v>40</v>
      </c>
      <c r="J2" s="17">
        <f>K3Source!E$2</f>
        <v>116</v>
      </c>
      <c r="K2" s="17">
        <f>K3Source!$H2</f>
        <v>25.283999999999999</v>
      </c>
      <c r="L2" s="17">
        <f>AB2-I2+K2</f>
        <v>999985.28399999999</v>
      </c>
      <c r="M2" s="17">
        <f>N(ISNUMBER(FIND(K3Source!N2,K3Source!D2,1)))*E14+N(ISNUMBER(FIND(K3Source!N3,K3Source!D2,1)))*E14+N(ISNUMBER(FIND(K3Source!N$4,K3Source!$D2,1)))*SUM(K3Source!F16:F31)</f>
        <v>1.4E-2</v>
      </c>
      <c r="N2" s="20">
        <f>K3Source!$G2</f>
        <v>3</v>
      </c>
      <c r="O2" s="20">
        <f>IF(ISNUMBER(Agent!$O$6*M2*H2),TRUNC(Agent!$O$6*M2*H2,3),"没有上级")</f>
        <v>0.16800000000000001</v>
      </c>
      <c r="P2" s="20">
        <f>IF(ISNUMBER(Agent!$O$9*H2*M2),TRUNC(Agent!$O$9*H2*M2,3),"没有上级")</f>
        <v>0.112</v>
      </c>
      <c r="Q2" s="20">
        <f>IF(ISNUMBER(Agent!$O$12*H2*M2),TRUNC(Agent!$O$12*H2*M2,3),"没有上级")</f>
        <v>0.112</v>
      </c>
      <c r="R2" s="20">
        <f>IF(ISNUMBER(Agent!$O$15*H2*M2),TRUNC(Agent!$O$15*H2*M2,3),"没有上级")</f>
        <v>0.112</v>
      </c>
      <c r="S2" s="20">
        <f>IF(ISNUMBER(Agent!$O$18*H2*M2),TRUNC(Agent!$O$18*H2*M2,3),"没有上级")</f>
        <v>0.112</v>
      </c>
      <c r="T2" s="20">
        <f>IF(ISNUMBER(Agent!$O$21*H2*M2),TRUNC(Agent!$O$21*H2*M2,3),"没有上级")</f>
        <v>0.112</v>
      </c>
      <c r="U2" s="20">
        <f>IF(ISNUMBER(Agent!$O$24*H2*M2),TRUNC(Agent!$O$24*H2*M2,3),"没有上级")</f>
        <v>0.112</v>
      </c>
      <c r="V2" s="20">
        <f>IF(ISNUMBER(Agent!$O$27*H2*M2),TRUNC(Agent!$O$27*H2*M2,3),"没有上级")</f>
        <v>0.112</v>
      </c>
      <c r="W2" s="20">
        <f>IF(ISNUMBER(Agent!$O$30*H2*M2),TRUNC(Agent!$O$30*H2*M2,3),"没有上级")</f>
        <v>0.112</v>
      </c>
      <c r="X2" s="20">
        <f>IF(ISNUMBER(Agent!$O$33*H2*M2),TRUNC(Agent!$O$33*H2*M2,3),"没有上级")</f>
        <v>0.112</v>
      </c>
      <c r="AA2" s="17">
        <v>20</v>
      </c>
      <c r="AB2" s="17">
        <v>1000000</v>
      </c>
      <c r="AC2" s="15">
        <f>SUM(O2:X2)</f>
        <v>1.1760000000000002</v>
      </c>
    </row>
    <row r="3" spans="1:29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17">
        <f t="shared" si="0"/>
        <v>2</v>
      </c>
      <c r="J3" s="17">
        <f>K3Source!E$2</f>
        <v>116</v>
      </c>
      <c r="K3" s="20">
        <f>K3Source!$H3</f>
        <v>0</v>
      </c>
      <c r="L3" s="17">
        <f t="shared" ref="L3:L9" si="1">$L2-$I3+$K3</f>
        <v>999983.28399999999</v>
      </c>
      <c r="M3" s="20">
        <f>TRUNC(0.036,4)</f>
        <v>3.5999999999999997E-2</v>
      </c>
      <c r="N3" s="20">
        <f>K3Source!$G3</f>
        <v>0</v>
      </c>
      <c r="O3" s="20">
        <f>IF(ISNUMBER(Agent!$O$6*M3*H3*N3),TRUNC(Agent!$O$6*M3*H3*N3,3),"没有上级")</f>
        <v>0</v>
      </c>
      <c r="P3" s="20">
        <f>IF(ISNUMBER(Agent!$O$9*H3*M3*N3),TRUNC(Agent!$O$9*H3*M3*N3,3),"没有上级")</f>
        <v>0</v>
      </c>
      <c r="Q3" s="20">
        <f>IF(ISNUMBER(Agent!$O$12*H3*M3*N3),TRUNC(Agent!$O$12*H3*M3*N3,3),"没有上级")</f>
        <v>0</v>
      </c>
      <c r="R3" s="20">
        <f>IF(ISNUMBER(Agent!$O$15*H3*M3*N3),TRUNC(Agent!$O$15*H3*M3*N3,3),"没有上级")</f>
        <v>0</v>
      </c>
      <c r="S3" s="20">
        <f>IF(ISNUMBER(Agent!$O$18*H3*M3*N3),TRUNC(Agent!$O$18*H3*M3*N3,3),"没有上级")</f>
        <v>0</v>
      </c>
      <c r="T3" s="20">
        <f>IF(ISNUMBER(Agent!$O$21*H3*M3*N3),TRUNC(Agent!$O$21*H3*M3*N3,3),"没有上级")</f>
        <v>0</v>
      </c>
      <c r="U3" s="20">
        <f>IF(ISNUMBER(Agent!$O$24*H3*M3*N3),TRUNC(Agent!$O$24*H3*M3*N3,3),"没有上级")</f>
        <v>0</v>
      </c>
      <c r="V3" s="20">
        <f>IF(ISNUMBER(Agent!$O$27*H3*M3*N3),TRUNC(Agent!$O$27*H3*M3*N3,3),"没有上级")</f>
        <v>0</v>
      </c>
      <c r="W3" s="20">
        <f>IF(ISNUMBER(Agent!$O$30*H3*M3*N3),TRUNC(Agent!$O$30*H3*M3*N3,3),"没有上级")</f>
        <v>0</v>
      </c>
      <c r="X3" s="20">
        <f>IF(ISNUMBER(Agent!$O$33*H3*M3*N3),TRUNC(Agent!$O$33*H3*M3*N3,3),"没有上级")</f>
        <v>0</v>
      </c>
      <c r="Y3" s="19">
        <v>31.68</v>
      </c>
      <c r="Z3" s="19">
        <f>TRUNC(Y3+M3*19,3)</f>
        <v>32.363999999999997</v>
      </c>
      <c r="AA3" s="17">
        <v>1</v>
      </c>
      <c r="AC3" s="15">
        <f t="shared" ref="AC3:AC9" si="2">SUM(O3:X3)</f>
        <v>0</v>
      </c>
    </row>
    <row r="4" spans="1:29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17">
        <f t="shared" si="0"/>
        <v>12</v>
      </c>
      <c r="J4" s="17">
        <f>K3Source!E$2</f>
        <v>116</v>
      </c>
      <c r="K4" s="20">
        <f>K3Source!$H4</f>
        <v>0</v>
      </c>
      <c r="L4" s="20">
        <f t="shared" si="1"/>
        <v>999971.28399999999</v>
      </c>
      <c r="M4" s="20">
        <f>TRUNC(0.216,4)</f>
        <v>0.216</v>
      </c>
      <c r="N4" s="20">
        <f>K3Source!$G4</f>
        <v>0</v>
      </c>
      <c r="O4" s="20">
        <f>IF(ISNUMBER(Agent!$O$6*M4*H4*N4),TRUNC(Agent!$O$6*M4*H4*N4,3),"没有上级")</f>
        <v>0</v>
      </c>
      <c r="P4" s="20">
        <f>IF(ISNUMBER(Agent!$O$9*H4*M4*N4),TRUNC(Agent!$O$9*H4*M4*N4,3),"没有上级")</f>
        <v>0</v>
      </c>
      <c r="Q4" s="20">
        <f>IF(ISNUMBER(Agent!$O$12*H4*M4*N4),TRUNC(Agent!$O$12*H4*M4*N4,3),"没有上级")</f>
        <v>0</v>
      </c>
      <c r="R4" s="20">
        <f>IF(ISNUMBER(Agent!$O$15*H4*M4*N4),TRUNC(Agent!$O$15*H4*M4*N4,3),"没有上级")</f>
        <v>0</v>
      </c>
      <c r="S4" s="20">
        <f>IF(ISNUMBER(Agent!$O$18*H4*M4*N4),TRUNC(Agent!$O$18*H4*M4*N4,3),"没有上级")</f>
        <v>0</v>
      </c>
      <c r="T4" s="20">
        <f>IF(ISNUMBER(Agent!$O$21*H4*M4*N4),TRUNC(Agent!$O$21*H4*M4*N4,3),"没有上级")</f>
        <v>0</v>
      </c>
      <c r="U4" s="20">
        <f>IF(ISNUMBER(Agent!$O$24*H4*M4*N4),TRUNC(Agent!$O$24*H4*M4*N4,3),"没有上级")</f>
        <v>0</v>
      </c>
      <c r="V4" s="20">
        <f>IF(ISNUMBER(Agent!$O$27*H4*M4*N4),TRUNC(Agent!$O$27*H4*M4*N4,3),"没有上级")</f>
        <v>0</v>
      </c>
      <c r="W4" s="20">
        <f>IF(ISNUMBER(Agent!$O$30*H4*M4*N4),TRUNC(Agent!$O$30*H4*M4*N4,3),"没有上级")</f>
        <v>0</v>
      </c>
      <c r="X4" s="20">
        <f>IF(ISNUMBER(Agent!$O$33*H4*M4*N4),TRUNC(Agent!$O$33*H4*M4*N4,3),"没有上级")</f>
        <v>0</v>
      </c>
      <c r="Y4" s="19">
        <v>190.08</v>
      </c>
      <c r="Z4" s="19">
        <f t="shared" ref="Z4:Z9" si="3">TRUNC(Y4+M4*19,3)</f>
        <v>194.184</v>
      </c>
      <c r="AA4" s="20">
        <f>LEN(SUBSTITUTE(F4," ",))/3</f>
        <v>6</v>
      </c>
      <c r="AC4" s="15">
        <f t="shared" si="2"/>
        <v>0</v>
      </c>
    </row>
    <row r="5" spans="1:29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17">
        <f t="shared" si="0"/>
        <v>40</v>
      </c>
      <c r="J5" s="17">
        <f>K3Source!E$2</f>
        <v>116</v>
      </c>
      <c r="K5" s="20">
        <f>K3Source!$H5</f>
        <v>0</v>
      </c>
      <c r="L5" s="20">
        <f t="shared" si="1"/>
        <v>999931.28399999999</v>
      </c>
      <c r="M5" s="20">
        <f>TRUNC(0.036,4)</f>
        <v>3.5999999999999997E-2</v>
      </c>
      <c r="N5" s="20">
        <f>K3Source!$G5</f>
        <v>0</v>
      </c>
      <c r="O5" s="20">
        <f>IF(ISNUMBER(Agent!$O$6*M5*H5*N5),TRUNC(Agent!$O$6*M5*H5*N5,3),"没有上级")</f>
        <v>0</v>
      </c>
      <c r="P5" s="20">
        <f>IF(ISNUMBER(Agent!$O$9*H5*M5*N5),TRUNC(Agent!$O$9*H5*M5*N5,3),"没有上级")</f>
        <v>0</v>
      </c>
      <c r="Q5" s="20">
        <f>IF(ISNUMBER(Agent!$O$12*H5*M5*N5),TRUNC(Agent!$O$12*H5*M5*N5,3),"没有上级")</f>
        <v>0</v>
      </c>
      <c r="R5" s="20">
        <f>IF(ISNUMBER(Agent!$O$15*H5*M5*N5),TRUNC(Agent!$O$15*H5*M5*N5,3),"没有上级")</f>
        <v>0</v>
      </c>
      <c r="S5" s="20">
        <f>IF(ISNUMBER(Agent!$O$18*H5*M5*N5),TRUNC(Agent!$O$18*H5*M5*N5,3),"没有上级")</f>
        <v>0</v>
      </c>
      <c r="T5" s="20">
        <f>IF(ISNUMBER(Agent!$O$21*H5*M5*N5),TRUNC(Agent!$O$21*H5*M5*N5,3),"没有上级")</f>
        <v>0</v>
      </c>
      <c r="U5" s="20">
        <f>IF(ISNUMBER(Agent!$O$24*H5*M5*N5),TRUNC(Agent!$O$24*H5*M5*N5,3),"没有上级")</f>
        <v>0</v>
      </c>
      <c r="V5" s="20">
        <f>IF(ISNUMBER(Agent!$O$27*H5*M5*N5),TRUNC(Agent!$O$27*H5*M5*N5,3),"没有上级")</f>
        <v>0</v>
      </c>
      <c r="W5" s="20">
        <f>IF(ISNUMBER(Agent!$O$30*H5*M5*N5),TRUNC(Agent!$O$30*H5*M5*N5,3),"没有上级")</f>
        <v>0</v>
      </c>
      <c r="X5" s="20">
        <f>IF(ISNUMBER(Agent!$O$33*H5*M5*N5),TRUNC(Agent!$O$33*H5*M5*N5,3),"没有上级")</f>
        <v>0</v>
      </c>
      <c r="Y5" s="19">
        <v>31.68</v>
      </c>
      <c r="Z5" s="19">
        <f t="shared" si="3"/>
        <v>32.363999999999997</v>
      </c>
      <c r="AA5" s="17">
        <f>COMBIN(LEN(SUBSTITUTE(F5," ",)),3)</f>
        <v>20</v>
      </c>
      <c r="AC5" s="15">
        <f t="shared" si="2"/>
        <v>0</v>
      </c>
    </row>
    <row r="6" spans="1:29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17">
        <f t="shared" si="0"/>
        <v>2</v>
      </c>
      <c r="J6" s="17">
        <f>K3Source!E$2</f>
        <v>116</v>
      </c>
      <c r="K6" s="20">
        <f>K3Source!$H6</f>
        <v>0</v>
      </c>
      <c r="L6" s="20">
        <f t="shared" si="1"/>
        <v>999929.28399999999</v>
      </c>
      <c r="M6" s="17">
        <f>TRUNC(0.008875,4)</f>
        <v>8.8000000000000005E-3</v>
      </c>
      <c r="N6" s="20">
        <f>K3Source!$G6</f>
        <v>0</v>
      </c>
      <c r="O6" s="20">
        <f>IF(ISNUMBER(Agent!$O$6*M6*H6*N6),TRUNC(Agent!$O$6*M6*H6*N6,3),"没有上级")</f>
        <v>0</v>
      </c>
      <c r="P6" s="20">
        <f>IF(ISNUMBER(Agent!$O$9*H6*M6*N6),TRUNC(Agent!$O$9*H6*M6*N6,3),"没有上级")</f>
        <v>0</v>
      </c>
      <c r="Q6" s="20">
        <f>IF(ISNUMBER(Agent!$O$12*H6*M6*N6),TRUNC(Agent!$O$12*H6*M6*N6,3),"没有上级")</f>
        <v>0</v>
      </c>
      <c r="R6" s="20">
        <f>IF(ISNUMBER(Agent!$O$15*H6*M6*N6),TRUNC(Agent!$O$15*H6*M6*N6,3),"没有上级")</f>
        <v>0</v>
      </c>
      <c r="S6" s="20">
        <f>IF(ISNUMBER(Agent!$O$18*H6*M6*N6),TRUNC(Agent!$O$18*H6*M6*N6,3),"没有上级")</f>
        <v>0</v>
      </c>
      <c r="T6" s="20">
        <f>IF(ISNUMBER(Agent!$O$21*H6*M6*N6),TRUNC(Agent!$O$21*H6*M6*N6,3),"没有上级")</f>
        <v>0</v>
      </c>
      <c r="U6" s="20">
        <f>IF(ISNUMBER(Agent!$O$24*H6*M6*N6),TRUNC(Agent!$O$24*H6*M6*N6,3),"没有上级")</f>
        <v>0</v>
      </c>
      <c r="V6" s="20">
        <f>IF(ISNUMBER(Agent!$O$27*H6*M6*N6),TRUNC(Agent!$O$27*H6*M6*N6,3),"没有上级")</f>
        <v>0</v>
      </c>
      <c r="W6" s="20">
        <f>IF(ISNUMBER(Agent!$O$30*H6*M6*N6),TRUNC(Agent!$O$30*H6*M6*N6,3),"没有上级")</f>
        <v>0</v>
      </c>
      <c r="X6" s="20">
        <f>IF(ISNUMBER(Agent!$O$33*H6*M6*N6),TRUNC(Agent!$O$33*H6*M6*N6,3),"没有上级")</f>
        <v>0</v>
      </c>
      <c r="Y6" s="19">
        <v>7.92</v>
      </c>
      <c r="Z6" s="19">
        <f t="shared" si="3"/>
        <v>8.0869999999999997</v>
      </c>
      <c r="AA6" s="17">
        <v>1</v>
      </c>
      <c r="AC6" s="15">
        <f t="shared" si="2"/>
        <v>0</v>
      </c>
    </row>
    <row r="7" spans="1:29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17">
        <f t="shared" si="0"/>
        <v>12</v>
      </c>
      <c r="J7" s="17">
        <f>K3Source!E$2</f>
        <v>116</v>
      </c>
      <c r="K7" s="20">
        <f>K3Source!$H7</f>
        <v>12.342000000000001</v>
      </c>
      <c r="L7" s="20">
        <f t="shared" si="1"/>
        <v>999929.62599999993</v>
      </c>
      <c r="M7" s="17">
        <f>TRUNC(0.01425,4)</f>
        <v>1.4200000000000001E-2</v>
      </c>
      <c r="N7" s="20">
        <f>K3Source!$G7</f>
        <v>1</v>
      </c>
      <c r="O7" s="20">
        <f>IF(ISNUMBER(Agent!$O$6*M7*H7*N7),TRUNC(Agent!$O$6*M7*H7*N7,3),"没有上级")</f>
        <v>8.5000000000000006E-2</v>
      </c>
      <c r="P7" s="20">
        <f>IF(ISNUMBER(Agent!$O$9*H7*M7*N7),TRUNC(Agent!$O$9*H7*M7*N7,3),"没有上级")</f>
        <v>5.6000000000000001E-2</v>
      </c>
      <c r="Q7" s="20">
        <f>IF(ISNUMBER(Agent!$O$12*H7*M7*N7),TRUNC(Agent!$O$12*H7*M7*N7,3),"没有上级")</f>
        <v>5.6000000000000001E-2</v>
      </c>
      <c r="R7" s="20">
        <f>IF(ISNUMBER(Agent!$O$15*H7*M7*N7),TRUNC(Agent!$O$15*H7*M7*N7,3),"没有上级")</f>
        <v>5.6000000000000001E-2</v>
      </c>
      <c r="S7" s="20">
        <f>IF(ISNUMBER(Agent!$O$18*H7*M7*N7),TRUNC(Agent!$O$18*H7*M7*N7,3),"没有上级")</f>
        <v>5.6000000000000001E-2</v>
      </c>
      <c r="T7" s="20">
        <f>IF(ISNUMBER(Agent!$O$21*H7*M7*N7),TRUNC(Agent!$O$21*H7*M7*N7,3),"没有上级")</f>
        <v>5.6000000000000001E-2</v>
      </c>
      <c r="U7" s="20">
        <f>IF(ISNUMBER(Agent!$O$24*H7*M7*N7),TRUNC(Agent!$O$24*H7*M7*N7,3),"没有上级")</f>
        <v>5.6000000000000001E-2</v>
      </c>
      <c r="V7" s="20">
        <f>IF(ISNUMBER(Agent!$O$27*H7*M7*N7),TRUNC(Agent!$O$27*H7*M7*N7,3),"没有上级")</f>
        <v>5.6000000000000001E-2</v>
      </c>
      <c r="W7" s="20">
        <f>IF(ISNUMBER(Agent!$O$30*H7*M7*N7),TRUNC(Agent!$O$30*H7*M7*N7,3),"没有上级")</f>
        <v>5.6000000000000001E-2</v>
      </c>
      <c r="X7" s="20">
        <f>IF(ISNUMBER(Agent!$O$33*H7*M7*N7),TRUNC(Agent!$O$33*H7*M7*N7,3),"没有上级")</f>
        <v>5.6000000000000001E-2</v>
      </c>
      <c r="Y7" s="19">
        <v>12.67</v>
      </c>
      <c r="Z7" s="19">
        <f t="shared" si="3"/>
        <v>12.939</v>
      </c>
      <c r="AA7" s="17">
        <f>LEN(SUBSTITUTE(F7," ",))/2</f>
        <v>6</v>
      </c>
      <c r="AC7" s="15">
        <f t="shared" si="2"/>
        <v>0.58900000000000008</v>
      </c>
    </row>
    <row r="8" spans="1:29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17">
        <f t="shared" si="0"/>
        <v>18</v>
      </c>
      <c r="J8" s="17">
        <f>K3Source!E$2</f>
        <v>116</v>
      </c>
      <c r="K8" s="20">
        <f>K3Source!$H8</f>
        <v>308.52</v>
      </c>
      <c r="L8" s="20">
        <f t="shared" si="1"/>
        <v>1000220.1459999999</v>
      </c>
      <c r="M8" s="20">
        <f>TRUNC(0.072,4)</f>
        <v>7.1999999999999995E-2</v>
      </c>
      <c r="N8" s="20">
        <f>K3Source!$G8</f>
        <v>0.99999999999999989</v>
      </c>
      <c r="O8" s="20">
        <f>IF(ISNUMBER(Agent!$O$6*M8*H8*N8),TRUNC(Agent!$O$6*M8*H8*N8,3),"没有上级")</f>
        <v>2.16</v>
      </c>
      <c r="P8" s="20">
        <f>IF(ISNUMBER(Agent!$O$9*H8*M8*N8),TRUNC(Agent!$O$9*H8*M8*N8,3),"没有上级")</f>
        <v>1.44</v>
      </c>
      <c r="Q8" s="20">
        <f>IF(ISNUMBER(Agent!$O$12*H8*M8*N8),TRUNC(Agent!$O$12*H8*M8*N8,3),"没有上级")</f>
        <v>1.44</v>
      </c>
      <c r="R8" s="20">
        <f>IF(ISNUMBER(Agent!$O$15*H8*M8*N8),TRUNC(Agent!$O$15*H8*M8*N8,3),"没有上级")</f>
        <v>1.44</v>
      </c>
      <c r="S8" s="20">
        <f>IF(ISNUMBER(Agent!$O$18*H8*M8*N8),TRUNC(Agent!$O$18*H8*M8*N8,3),"没有上级")</f>
        <v>1.44</v>
      </c>
      <c r="T8" s="20">
        <f>IF(ISNUMBER(Agent!$O$21*H8*M8*N8),TRUNC(Agent!$O$21*H8*M8*N8,3),"没有上级")</f>
        <v>1.44</v>
      </c>
      <c r="U8" s="20">
        <f>IF(ISNUMBER(Agent!$O$24*H8*M8*N8),TRUNC(Agent!$O$24*H8*M8*N8,3),"没有上级")</f>
        <v>1.44</v>
      </c>
      <c r="V8" s="20">
        <f>IF(ISNUMBER(Agent!$O$27*H8*M8*N8),TRUNC(Agent!$O$27*H8*M8*N8,3),"没有上级")</f>
        <v>1.44</v>
      </c>
      <c r="W8" s="20">
        <f>IF(ISNUMBER(Agent!$O$30*H8*M8*N8),TRUNC(Agent!$O$30*H8*M8*N8,3),"没有上级")</f>
        <v>1.44</v>
      </c>
      <c r="X8" s="20">
        <f>IF(ISNUMBER(Agent!$O$33*H8*M8*N8),TRUNC(Agent!$O$33*H8*M8*N8,3),"没有上级")</f>
        <v>1.44</v>
      </c>
      <c r="Y8" s="19">
        <v>63.36</v>
      </c>
      <c r="Z8" s="19">
        <f t="shared" si="3"/>
        <v>64.727999999999994</v>
      </c>
      <c r="AA8" s="15">
        <v>9</v>
      </c>
      <c r="AC8" s="15">
        <f t="shared" si="2"/>
        <v>15.119999999999997</v>
      </c>
    </row>
    <row r="9" spans="1:29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17">
        <f t="shared" si="0"/>
        <v>12</v>
      </c>
      <c r="J9" s="17">
        <f>K3Source!E$2</f>
        <v>116</v>
      </c>
      <c r="K9" s="20">
        <f>K3Source!$H9</f>
        <v>37.026000000000003</v>
      </c>
      <c r="L9" s="20">
        <f t="shared" si="1"/>
        <v>1000245.1719999999</v>
      </c>
      <c r="M9" s="17">
        <f>TRUNC(0.007125,4)</f>
        <v>7.1000000000000004E-3</v>
      </c>
      <c r="N9" s="20">
        <f>K3Source!$G9</f>
        <v>1</v>
      </c>
      <c r="O9" s="20">
        <f>IF(ISNUMBER(Agent!$O$6*M9*H9*N9),TRUNC(Agent!$O$6*M9*H9*N9,3),"没有上级")</f>
        <v>0.255</v>
      </c>
      <c r="P9" s="20">
        <f>IF(ISNUMBER(Agent!$O$9*H9*M9*N9),TRUNC(Agent!$O$9*H9*M9*N9,3),"没有上级")</f>
        <v>0.17</v>
      </c>
      <c r="Q9" s="20">
        <f>IF(ISNUMBER(Agent!$O$12*H9*M9*N9),TRUNC(Agent!$O$12*H9*M9*N9,3),"没有上级")</f>
        <v>0.17</v>
      </c>
      <c r="R9" s="20">
        <f>IF(ISNUMBER(Agent!$O$15*H9*M9*N9),TRUNC(Agent!$O$15*H9*M9*N9,3),"没有上级")</f>
        <v>0.17</v>
      </c>
      <c r="S9" s="20">
        <f>IF(ISNUMBER(Agent!$O$18*H9*M9*N9),TRUNC(Agent!$O$18*H9*M9*N9,3),"没有上级")</f>
        <v>0.17</v>
      </c>
      <c r="T9" s="20">
        <f>IF(ISNUMBER(Agent!$O$21*H9*M9*N9),TRUNC(Agent!$O$21*H9*M9*N9,3),"没有上级")</f>
        <v>0.17</v>
      </c>
      <c r="U9" s="20">
        <f>IF(ISNUMBER(Agent!$O$24*H9*M9*N9),TRUNC(Agent!$O$24*H9*M9*N9,3),"没有上级")</f>
        <v>0.17</v>
      </c>
      <c r="V9" s="20">
        <f>IF(ISNUMBER(Agent!$O$27*H9*M9*N9),TRUNC(Agent!$O$27*H9*M9*N9,3),"没有上级")</f>
        <v>0.17</v>
      </c>
      <c r="W9" s="20">
        <f>IF(ISNUMBER(Agent!$O$30*H9*M9*N9),TRUNC(Agent!$O$30*H9*M9*N9,3),"没有上级")</f>
        <v>0.17</v>
      </c>
      <c r="X9" s="20">
        <f>IF(ISNUMBER(Agent!$O$33*H9*M9*N9),TRUNC(Agent!$O$33*H9*M9*N9,3),"没有上级")</f>
        <v>0.17</v>
      </c>
      <c r="Y9" s="19">
        <v>6.33</v>
      </c>
      <c r="Z9" s="19">
        <f t="shared" si="3"/>
        <v>6.4640000000000004</v>
      </c>
      <c r="AA9" s="20">
        <f>LEN(SUBSTITUTE(F9," ",))</f>
        <v>6</v>
      </c>
      <c r="AC9" s="15">
        <f t="shared" si="2"/>
        <v>1.7849999999999999</v>
      </c>
    </row>
    <row r="11" spans="1:29" x14ac:dyDescent="0.15">
      <c r="K11" s="20"/>
      <c r="O11" s="20">
        <f>SUM(O2:O9)</f>
        <v>2.6680000000000001</v>
      </c>
      <c r="P11" s="20">
        <f>SUM(P2:P9)</f>
        <v>1.7779999999999998</v>
      </c>
      <c r="Q11" s="20">
        <f t="shared" ref="P11:X11" si="4">SUM(Q2:Q9)</f>
        <v>1.7779999999999998</v>
      </c>
      <c r="R11" s="20">
        <f t="shared" si="4"/>
        <v>1.7779999999999998</v>
      </c>
      <c r="S11" s="20">
        <f t="shared" si="4"/>
        <v>1.7779999999999998</v>
      </c>
      <c r="T11" s="20">
        <f t="shared" si="4"/>
        <v>1.7779999999999998</v>
      </c>
      <c r="U11" s="20">
        <f t="shared" si="4"/>
        <v>1.7779999999999998</v>
      </c>
      <c r="V11" s="20">
        <f t="shared" si="4"/>
        <v>1.7779999999999998</v>
      </c>
      <c r="W11" s="20">
        <f t="shared" si="4"/>
        <v>1.7779999999999998</v>
      </c>
      <c r="X11" s="20">
        <f t="shared" si="4"/>
        <v>1.7779999999999998</v>
      </c>
    </row>
    <row r="13" spans="1:29" ht="27" x14ac:dyDescent="0.15">
      <c r="D13" s="16" t="s">
        <v>111</v>
      </c>
      <c r="F13" s="16" t="s">
        <v>124</v>
      </c>
      <c r="G13" s="16" t="s">
        <v>123</v>
      </c>
    </row>
    <row r="14" spans="1:29" x14ac:dyDescent="0.15">
      <c r="D14" s="15" t="s">
        <v>112</v>
      </c>
      <c r="E14" s="17">
        <f>TRUNC(0.002,4)</f>
        <v>2E-3</v>
      </c>
      <c r="F14" s="18">
        <v>1.96</v>
      </c>
      <c r="G14" s="17">
        <f>TRUNC(F14+E14*19,3)</f>
        <v>1.998</v>
      </c>
    </row>
    <row r="15" spans="1:29" x14ac:dyDescent="0.15">
      <c r="D15" s="27" t="s">
        <v>113</v>
      </c>
      <c r="E15" s="17">
        <f>TRUNC(0.216,4)</f>
        <v>0.216</v>
      </c>
      <c r="F15" s="20">
        <v>190.08</v>
      </c>
      <c r="G15" s="20">
        <f t="shared" ref="G15:G22" si="5">TRUNC(F15+E15*19,3)</f>
        <v>194.184</v>
      </c>
    </row>
    <row r="16" spans="1:29" x14ac:dyDescent="0.15">
      <c r="D16" s="15" t="s">
        <v>114</v>
      </c>
      <c r="E16" s="17">
        <f>TRUNC(0.072,4)</f>
        <v>7.1999999999999995E-2</v>
      </c>
      <c r="F16" s="20">
        <v>63.36</v>
      </c>
      <c r="G16" s="20">
        <f t="shared" si="5"/>
        <v>64.727999999999994</v>
      </c>
    </row>
    <row r="17" spans="4:25" x14ac:dyDescent="0.15">
      <c r="D17" s="15" t="s">
        <v>115</v>
      </c>
      <c r="E17" s="15">
        <f>TRUNC(0.036,4)</f>
        <v>3.5999999999999997E-2</v>
      </c>
      <c r="F17" s="20">
        <v>31.68</v>
      </c>
      <c r="G17" s="20">
        <f t="shared" si="5"/>
        <v>32.363999999999997</v>
      </c>
    </row>
    <row r="18" spans="4:25" x14ac:dyDescent="0.15">
      <c r="D18" s="15" t="s">
        <v>116</v>
      </c>
      <c r="E18" s="17">
        <f>TRUNC(0.0215,4)</f>
        <v>2.1499999999999998E-2</v>
      </c>
      <c r="F18" s="20">
        <v>19</v>
      </c>
      <c r="G18" s="20">
        <f t="shared" si="5"/>
        <v>19.408000000000001</v>
      </c>
    </row>
    <row r="19" spans="4:25" x14ac:dyDescent="0.15">
      <c r="D19" s="15" t="s">
        <v>117</v>
      </c>
      <c r="E19" s="17">
        <f>TRUNC(0.01425,4)</f>
        <v>1.4200000000000001E-2</v>
      </c>
      <c r="F19" s="20">
        <v>12.67</v>
      </c>
      <c r="G19" s="20">
        <f t="shared" si="5"/>
        <v>12.939</v>
      </c>
    </row>
    <row r="20" spans="4:25" x14ac:dyDescent="0.15">
      <c r="D20" s="15" t="s">
        <v>118</v>
      </c>
      <c r="E20" s="17">
        <f>TRUNC(0.01025,4)</f>
        <v>1.0200000000000001E-2</v>
      </c>
      <c r="F20" s="20">
        <v>9.0500000000000007</v>
      </c>
      <c r="G20" s="20">
        <f t="shared" si="5"/>
        <v>9.2430000000000003</v>
      </c>
    </row>
    <row r="21" spans="4:25" x14ac:dyDescent="0.15">
      <c r="D21" s="15" t="s">
        <v>119</v>
      </c>
      <c r="E21" s="17">
        <f>TRUNC(0.0085,4)</f>
        <v>8.5000000000000006E-3</v>
      </c>
      <c r="F21" s="20">
        <v>7.6</v>
      </c>
      <c r="G21" s="20">
        <f t="shared" si="5"/>
        <v>7.7610000000000001</v>
      </c>
    </row>
    <row r="22" spans="4:25" x14ac:dyDescent="0.15">
      <c r="D22" s="15" t="s">
        <v>120</v>
      </c>
      <c r="E22" s="17">
        <f>TRUNC(0.008,4)</f>
        <v>8.0000000000000002E-3</v>
      </c>
      <c r="F22" s="20">
        <v>7.04</v>
      </c>
      <c r="G22" s="20">
        <f t="shared" si="5"/>
        <v>7.1920000000000002</v>
      </c>
    </row>
    <row r="25" spans="4:25" x14ac:dyDescent="0.15"/>
    <row r="27" spans="4:25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tabSelected="1" workbookViewId="0">
      <pane ySplit="1" topLeftCell="A2" activePane="bottomLeft" state="frozen"/>
      <selection pane="bottomLeft" activeCell="G16" sqref="G16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91</v>
      </c>
      <c r="H1" s="15" t="s">
        <v>48</v>
      </c>
      <c r="J1" s="15" t="s">
        <v>185</v>
      </c>
      <c r="K1" s="16" t="s">
        <v>183</v>
      </c>
      <c r="L1" s="16" t="s">
        <v>184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116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25.283999999999999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,双,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116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30.852</v>
      </c>
      <c r="L3" s="20">
        <f>TRUNC(28.8+99*((31.68-28.8)/80),3)</f>
        <v>32.363999999999997</v>
      </c>
      <c r="N3" s="2" t="str">
        <f>IF(SUM(LEFT(E$2,1),MID(E$2,2,1),MID(E$2,3,1))&lt;11,",小,",",大,")</f>
        <v>,小,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116</v>
      </c>
      <c r="F4" s="15">
        <v>7</v>
      </c>
      <c r="G4" s="15">
        <f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185.11199999999999</v>
      </c>
      <c r="L4" s="20">
        <f>TRUNC(172.8+99*((190.08-172.8)/80),3)</f>
        <v>194.184</v>
      </c>
      <c r="N4" s="2" t="str">
        <f>","&amp;SUM(LEFT(E$2,1),MID(E$2,2,1),MID(E$2,3,1))&amp;","</f>
        <v>,8,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116</v>
      </c>
      <c r="F5" s="15">
        <v>3</v>
      </c>
      <c r="G5" s="15">
        <f>H5/F5/K5</f>
        <v>0</v>
      </c>
      <c r="H5" s="20">
        <f>IF(AND(LEFT(E2,1)&lt;&gt;MID(E2,2,1),LEFT(E2,1)&lt;&gt;RIGHT(E2,1),MID(E2,2,1)&lt;&gt;RIGHT(E2,1),ISNUMBER(FIND(LEFT(E2,1),D5,1)),ISNUMBER(FIND(MID(E2,2,1),D5,1)),ISNUMBER(FIND(RIGHT(E2,1),D5,1))),F5*K5,0)</f>
        <v>0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30.852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116</v>
      </c>
      <c r="F6" s="15">
        <v>6</v>
      </c>
      <c r="G6" s="15">
        <f>H6/F6/K6</f>
        <v>0</v>
      </c>
      <c r="H6" s="20">
        <f>IF(AND(INT(RIGHT(E6,1))=MID(E6,2,1)+1,INT(RIGHT(E6,1))=LEFT(E6,1)+2),F6*K6,0)</f>
        <v>0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7.742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116</v>
      </c>
      <c r="F7" s="15">
        <v>1</v>
      </c>
      <c r="G7" s="15">
        <f>H7/F7/K7</f>
        <v>1</v>
      </c>
      <c r="H7" s="20">
        <f>IF(AND(MID(E2,2,1)=LEFT(E2,1),LEFT(E2,1)=RIGHT(E2,1)),0,IF(ISNUMBER(FIND(_xlfn.MODE.SNGL(INT(MID(E2,2,1)),INT(LEFT(E2,1)),INT(RIGHT(E2,1))),D7,1)),F7*K7,0))</f>
        <v>12.342000000000001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12.342000000000001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116</v>
      </c>
      <c r="F8" s="15">
        <v>5</v>
      </c>
      <c r="G8" s="15">
        <f>H8/F8/K8</f>
        <v>0.99999999999999989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308.52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61.704000000000001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186</v>
      </c>
      <c r="E9" s="20">
        <f t="shared" si="0"/>
        <v>116</v>
      </c>
      <c r="F9" s="15">
        <v>6</v>
      </c>
      <c r="G9" s="15">
        <f>H9/F9/K9</f>
        <v>1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37.026000000000003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6.1710000000000003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92</v>
      </c>
      <c r="B11" s="15" t="s">
        <v>181</v>
      </c>
      <c r="C11" s="15" t="s">
        <v>182</v>
      </c>
      <c r="D11" s="16"/>
      <c r="E11" s="15" t="s">
        <v>122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190</v>
      </c>
      <c r="B12" s="13">
        <f>TRUNC(1.8+99*((1.96-1.8)/80),3)</f>
        <v>1.998</v>
      </c>
      <c r="C12" s="13">
        <f>TRUNC(B12-(9.9-Agent!$L$3)*E12*10,3)</f>
        <v>1.9139999999999999</v>
      </c>
      <c r="D12" s="20">
        <f>IF(ISNUMBER(FIND(N$3,$A12,1)),$C12*F$2,0)</f>
        <v>0</v>
      </c>
      <c r="E12" s="20">
        <f>TRUNC((1.96-1.8)/80,3)</f>
        <v>2E-3</v>
      </c>
      <c r="H12" s="15"/>
      <c r="I12" s="14">
        <f>C12*2</f>
        <v>3.8279999999999998</v>
      </c>
    </row>
    <row r="13" spans="1:14" ht="20.100000000000001" customHeight="1" x14ac:dyDescent="0.15">
      <c r="A13" s="15" t="s">
        <v>189</v>
      </c>
      <c r="B13" s="20">
        <f t="shared" ref="B13:B15" si="1">TRUNC(1.8+99*((1.96-1.8)/80),3)</f>
        <v>1.998</v>
      </c>
      <c r="C13" s="20">
        <f>TRUNC(B13-(9.9-Agent!$L$3)*E13*10,3)</f>
        <v>1.9139999999999999</v>
      </c>
      <c r="D13" s="20">
        <f>IF(ISNUMBER(FIND(N$3,$A13,1)),$C13*F$2,0)</f>
        <v>3.8279999999999998</v>
      </c>
      <c r="E13" s="20">
        <f t="shared" ref="E13:E15" si="2">TRUNC((1.96-1.8)/80,3)</f>
        <v>2E-3</v>
      </c>
    </row>
    <row r="14" spans="1:14" ht="20.100000000000001" customHeight="1" x14ac:dyDescent="0.15">
      <c r="A14" s="15" t="s">
        <v>188</v>
      </c>
      <c r="B14" s="20">
        <f t="shared" si="1"/>
        <v>1.998</v>
      </c>
      <c r="C14" s="20">
        <f>TRUNC(B14-(9.9-Agent!$L$3)*E14*10,3)</f>
        <v>1.9139999999999999</v>
      </c>
      <c r="D14" s="20">
        <f>IF(ISNUMBER(FIND(N$2,$A14,1)),$C14*F$2,0)</f>
        <v>0</v>
      </c>
      <c r="E14" s="20">
        <f t="shared" si="2"/>
        <v>2E-3</v>
      </c>
      <c r="H14" s="15"/>
    </row>
    <row r="15" spans="1:14" ht="20.100000000000001" customHeight="1" x14ac:dyDescent="0.15">
      <c r="A15" s="15" t="s">
        <v>187</v>
      </c>
      <c r="B15" s="20">
        <f t="shared" si="1"/>
        <v>1.998</v>
      </c>
      <c r="C15" s="20">
        <f>TRUNC(B15-(9.9-Agent!$L$3)*E15*10,3)</f>
        <v>1.9139999999999999</v>
      </c>
      <c r="D15" s="20">
        <f>IF(ISNUMBER(FIND(N$2,$A15,1)),$C15*F$2,0)</f>
        <v>3.8279999999999998</v>
      </c>
      <c r="E15" s="20">
        <f t="shared" si="2"/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185.11199999999999</v>
      </c>
      <c r="D16" s="13">
        <f>IF(ISNUMBER(FIND(N$4,$A16,1)),$C16*F$2,0)</f>
        <v>0</v>
      </c>
      <c r="E16" s="20">
        <f>TRUNC(0.216,3)</f>
        <v>0.216</v>
      </c>
      <c r="F16" s="20">
        <f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61.704000000000001</v>
      </c>
      <c r="D17" s="20">
        <f>IF(ISNUMBER(FIND(N$4,$A17,1)),$C17*F$2,0)</f>
        <v>0</v>
      </c>
      <c r="E17" s="20">
        <f>TRUNC(0.072,3)</f>
        <v>7.1999999999999995E-2</v>
      </c>
      <c r="F17" s="20">
        <f>IF(ISNUMBER(FIND(N$4,$A17,1)),$E17,0)</f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30.852</v>
      </c>
      <c r="D18" s="20">
        <f>IF(ISNUMBER(FIND(N$4,$A18,1)),$C18*F$2,0)</f>
        <v>0</v>
      </c>
      <c r="E18" s="15">
        <f>TRUNC(0.036,3)</f>
        <v>3.5999999999999997E-2</v>
      </c>
      <c r="F18" s="20">
        <f>IF(ISNUMBER(FIND(N$4,$A18,1)),$E18,0)</f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18.526</v>
      </c>
      <c r="D19" s="20">
        <f>IF(ISNUMBER(FIND(N$4,$A19,1)),$C19*F$2,0)</f>
        <v>0</v>
      </c>
      <c r="E19" s="20">
        <f>TRUNC(0.0215,3)</f>
        <v>2.1000000000000001E-2</v>
      </c>
      <c r="F19" s="20">
        <f>IF(ISNUMBER(FIND(N$4,$A19,1)),$E19,0)</f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12.342000000000001</v>
      </c>
      <c r="D20" s="20">
        <f>IF(ISNUMBER(FIND(N$4,$A20,1)),$C20*F$2,0)</f>
        <v>0</v>
      </c>
      <c r="E20" s="20">
        <f>TRUNC(0.01425,3)</f>
        <v>1.4E-2</v>
      </c>
      <c r="F20" s="20">
        <f>IF(ISNUMBER(FIND(N$4,$A20,1)),$E20,0)</f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8.8140000000000001</v>
      </c>
      <c r="D21" s="20">
        <f>IF(ISNUMBER(FIND(N$4,$A21,1)),$C21*F$2,0)</f>
        <v>17.628</v>
      </c>
      <c r="E21" s="20">
        <f>TRUNC(0.01025,3)</f>
        <v>0.01</v>
      </c>
      <c r="F21" s="20">
        <f>IF(ISNUMBER(FIND(N$4,$A21,1)),$E21,0)</f>
        <v>0.01</v>
      </c>
      <c r="I21" s="14">
        <f>C21*2</f>
        <v>17.628</v>
      </c>
      <c r="J21" s="19">
        <f>2*TRUNC(I21-(9.9-Agent!$L$3)*E21*10,3)</f>
        <v>34.415999999999997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7.415</v>
      </c>
      <c r="D22" s="20">
        <f>IF(ISNUMBER(FIND(N$4,$A22,1)),$C22*F$2,0)</f>
        <v>0</v>
      </c>
      <c r="E22" s="20">
        <f>TRUNC(0.0085,3)</f>
        <v>8.0000000000000002E-3</v>
      </c>
      <c r="F22" s="20">
        <f>IF(ISNUMBER(FIND(N$4,$A22,1)),$E22,0)</f>
        <v>0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6.8559999999999999</v>
      </c>
      <c r="D23" s="20">
        <f>IF(ISNUMBER(FIND(N$4,$A23,1)),$C23*F$2,0)</f>
        <v>0</v>
      </c>
      <c r="E23" s="20">
        <f>TRUNC(0.008,3)</f>
        <v>8.0000000000000002E-3</v>
      </c>
      <c r="F23" s="20">
        <f>IF(ISNUMBER(FIND(N$4,$A23,1)),$E23,0)</f>
        <v>0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6.8559999999999999</v>
      </c>
      <c r="D24" s="20">
        <f>IF(ISNUMBER(FIND(N$4,$A24,1)),$C24*F$2,0)</f>
        <v>0</v>
      </c>
      <c r="E24" s="20">
        <f>E23</f>
        <v>8.0000000000000002E-3</v>
      </c>
      <c r="F24" s="20">
        <f>IF(ISNUMBER(FIND(N$4,$A24,1)),$E24,0)</f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7.415</v>
      </c>
      <c r="D25" s="20">
        <f>IF(ISNUMBER(FIND(N$4,$A25,1)),$C25*F$2,0)</f>
        <v>0</v>
      </c>
      <c r="E25" s="20">
        <f>E22</f>
        <v>8.0000000000000002E-3</v>
      </c>
      <c r="F25" s="20">
        <f>IF(ISNUMBER(FIND(N$4,$A25,1)),$E25,0)</f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8.8140000000000001</v>
      </c>
      <c r="D26" s="20">
        <f>IF(ISNUMBER(FIND(N$4,$A26,1)),$C26*F$2,0)</f>
        <v>0</v>
      </c>
      <c r="E26" s="20">
        <f>E21</f>
        <v>0.01</v>
      </c>
      <c r="F26" s="20">
        <f>IF(ISNUMBER(FIND(N$4,$A26,1)),$E26,0)</f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12.342000000000001</v>
      </c>
      <c r="D27" s="20">
        <f>IF(ISNUMBER(FIND(N$4,$A27,1)),$C27*F$2,0)</f>
        <v>0</v>
      </c>
      <c r="E27" s="20">
        <f>E20</f>
        <v>1.4E-2</v>
      </c>
      <c r="F27" s="20">
        <f>IF(ISNUMBER(FIND(N$4,$A27,1)),$E27,0)</f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18.526</v>
      </c>
      <c r="D28" s="20">
        <f>IF(ISNUMBER(FIND(N$4,$A28,1)),$C28*F$2,0)</f>
        <v>0</v>
      </c>
      <c r="E28" s="20">
        <f>E19</f>
        <v>2.1000000000000001E-2</v>
      </c>
      <c r="F28" s="20">
        <f>IF(ISNUMBER(FIND(N$4,$A28,1)),$E28,0)</f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30.852</v>
      </c>
      <c r="D29" s="20">
        <f>IF(ISNUMBER(FIND(N$4,$A29,1)),$C29*F$2,0)</f>
        <v>0</v>
      </c>
      <c r="E29" s="20">
        <f>E18</f>
        <v>3.5999999999999997E-2</v>
      </c>
      <c r="F29" s="20">
        <f>IF(ISNUMBER(FIND(N$4,$A29,1)),$E29,0)</f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61.704000000000001</v>
      </c>
      <c r="D30" s="20">
        <f>IF(ISNUMBER(FIND(N$4,$A30,1)),$C30*F$2,0)</f>
        <v>0</v>
      </c>
      <c r="E30" s="20">
        <f>E17</f>
        <v>7.1999999999999995E-2</v>
      </c>
      <c r="F30" s="20">
        <f>IF(ISNUMBER(FIND(N$4,$A30,1)),$E30,0)</f>
        <v>0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185.11199999999999</v>
      </c>
      <c r="D31" s="20">
        <f>IF(ISNUMBER(FIND(N$4,$A31,1)),$C31*F$2,0)</f>
        <v>0</v>
      </c>
      <c r="E31" s="20">
        <f>E16</f>
        <v>0.216</v>
      </c>
      <c r="F31" s="20">
        <f>IF(ISNUMBER(FIND(N$4,$A31,1)),$E31,0)</f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J8" sqref="J8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 t="s">
        <v>71</v>
      </c>
      <c r="H2" s="9">
        <v>25.94</v>
      </c>
      <c r="I2" s="9">
        <v>999985.94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 t="s">
        <v>71</v>
      </c>
      <c r="H3" s="9">
        <v>0</v>
      </c>
      <c r="I3" s="9">
        <v>999983.94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 t="s">
        <v>71</v>
      </c>
      <c r="H4" s="9">
        <v>0</v>
      </c>
      <c r="I4" s="9">
        <v>999971.94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 t="s">
        <v>71</v>
      </c>
      <c r="H5" s="9">
        <v>158.4</v>
      </c>
      <c r="I5" s="9">
        <v>1000090.34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 t="s">
        <v>71</v>
      </c>
      <c r="H6" s="9">
        <v>47.519999999999996</v>
      </c>
      <c r="I6" s="9">
        <v>1000135.86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 t="s">
        <v>71</v>
      </c>
      <c r="H7" s="9">
        <v>0</v>
      </c>
      <c r="I7" s="10">
        <v>1000123.86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 t="s">
        <v>71</v>
      </c>
      <c r="H8" s="11">
        <v>0</v>
      </c>
      <c r="I8" s="10">
        <v>1000105.86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 t="s">
        <v>71</v>
      </c>
      <c r="H9" s="11">
        <v>56.97</v>
      </c>
      <c r="I9" s="10">
        <v>1000150.83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M20" sqref="M20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72</v>
      </c>
      <c r="B1" s="23" t="s">
        <v>73</v>
      </c>
      <c r="C1" s="23" t="s">
        <v>74</v>
      </c>
      <c r="D1" s="28" t="s">
        <v>75</v>
      </c>
      <c r="E1" s="28"/>
      <c r="F1" s="28" t="s">
        <v>76</v>
      </c>
      <c r="G1" s="28"/>
      <c r="H1" s="28" t="s">
        <v>77</v>
      </c>
      <c r="I1" s="28"/>
      <c r="J1" s="22" t="s">
        <v>78</v>
      </c>
      <c r="K1" s="22"/>
      <c r="Q1" s="22" t="s">
        <v>72</v>
      </c>
      <c r="R1" s="23" t="s">
        <v>125</v>
      </c>
      <c r="S1" s="23" t="s">
        <v>126</v>
      </c>
      <c r="T1" s="28" t="s">
        <v>127</v>
      </c>
      <c r="U1" s="28"/>
      <c r="V1" s="28" t="s">
        <v>128</v>
      </c>
      <c r="W1" s="28"/>
      <c r="X1" s="28" t="s">
        <v>129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384</v>
      </c>
      <c r="L2" s="22" t="s">
        <v>132</v>
      </c>
      <c r="P2" s="24">
        <v>15196685175</v>
      </c>
      <c r="Q2" s="24">
        <v>44</v>
      </c>
      <c r="R2" s="24" t="s">
        <v>130</v>
      </c>
      <c r="S2" s="24">
        <v>9.9</v>
      </c>
      <c r="T2" s="26">
        <v>1397540</v>
      </c>
      <c r="U2" s="24">
        <f>S2</f>
        <v>9.9</v>
      </c>
      <c r="V2" s="26">
        <v>1593778</v>
      </c>
      <c r="W2" s="24">
        <v>9.6999999999999993</v>
      </c>
      <c r="X2" s="26">
        <v>1696564</v>
      </c>
      <c r="Y2" s="24">
        <v>9.6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5.6999999999999975</v>
      </c>
      <c r="P3" s="24">
        <v>15196685176</v>
      </c>
      <c r="Q3" s="24">
        <v>46</v>
      </c>
      <c r="R3" s="24">
        <f>V2</f>
        <v>1593778</v>
      </c>
      <c r="S3" s="24">
        <f>W2</f>
        <v>9.6999999999999993</v>
      </c>
      <c r="T3" s="26">
        <v>1790288</v>
      </c>
      <c r="U3" s="24">
        <f>S3</f>
        <v>9.6999999999999993</v>
      </c>
      <c r="V3" s="26">
        <v>1109472</v>
      </c>
      <c r="W3" s="24">
        <v>9.3000000000000007</v>
      </c>
      <c r="X3" s="26">
        <v>1119800</v>
      </c>
      <c r="Y3" s="24">
        <v>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>
        <v>15196685177</v>
      </c>
      <c r="Q4" s="24">
        <v>47</v>
      </c>
      <c r="R4" s="24">
        <f t="shared" ref="R4:S14" si="3">V3</f>
        <v>1109472</v>
      </c>
      <c r="S4" s="24">
        <f t="shared" si="3"/>
        <v>9.3000000000000007</v>
      </c>
      <c r="T4" s="26">
        <v>1129067</v>
      </c>
      <c r="U4" s="24">
        <f>S4</f>
        <v>9.3000000000000007</v>
      </c>
      <c r="V4" s="26">
        <v>1139975</v>
      </c>
      <c r="W4" s="24">
        <v>9</v>
      </c>
      <c r="X4" s="26">
        <v>1149458</v>
      </c>
      <c r="Y4" s="24">
        <v>8.6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79</v>
      </c>
      <c r="M5" s="22" t="s">
        <v>133</v>
      </c>
      <c r="N5" s="22" t="s">
        <v>134</v>
      </c>
      <c r="O5" s="22" t="s">
        <v>135</v>
      </c>
      <c r="P5" s="24">
        <v>15196685178</v>
      </c>
      <c r="Q5" s="24">
        <v>48</v>
      </c>
      <c r="R5" s="24">
        <f t="shared" si="3"/>
        <v>1139975</v>
      </c>
      <c r="S5" s="24">
        <f t="shared" si="3"/>
        <v>9</v>
      </c>
      <c r="T5" s="26">
        <v>1159546</v>
      </c>
      <c r="U5" s="24">
        <f t="shared" ref="U5:U14" si="4">S5</f>
        <v>9</v>
      </c>
      <c r="V5" s="26">
        <v>1169189</v>
      </c>
      <c r="W5" s="24">
        <v>8.6999999999999993</v>
      </c>
      <c r="X5" s="26">
        <v>1179730</v>
      </c>
      <c r="Y5" s="24">
        <v>8.5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7549362</v>
      </c>
      <c r="M6" s="26">
        <f>IF(ISNUMBER(INT(L6)),IF(AND(M3&lt;59,M3&gt;1),INDEX(Q$2:Y$48,MATCH(L6,V:V,0)-1,1),IF(M3=1,"没有上级",INDEX(Q$2:Y$48,MATCH(L6,X:X,0)-1,1))),"没有上级")</f>
        <v>374</v>
      </c>
      <c r="N6" s="24">
        <f>IF(ISNUMBER(INDEX(Q$2:Y$48,MATCH(M6,$Q:$Q)-1,3)),INDEX(Q$2:Y$48,MATCH(M6,$Q:$Q)-1,3),"没有上级")</f>
        <v>6.2999999999999972</v>
      </c>
      <c r="O6" s="24">
        <f>IF(ISNUMBER(N6-L3),(N6-L3)*10,"没有上级")</f>
        <v>5.9999999999999964</v>
      </c>
      <c r="P6" s="24">
        <v>15196685179</v>
      </c>
      <c r="Q6" s="24">
        <v>49</v>
      </c>
      <c r="R6" s="24">
        <f t="shared" si="3"/>
        <v>1169189</v>
      </c>
      <c r="S6" s="24">
        <f t="shared" si="3"/>
        <v>8.6999999999999993</v>
      </c>
      <c r="T6" s="26">
        <v>1209027</v>
      </c>
      <c r="U6" s="24">
        <f t="shared" si="4"/>
        <v>8.6999999999999993</v>
      </c>
      <c r="V6" s="26">
        <v>1219058</v>
      </c>
      <c r="W6" s="24">
        <v>8.3000000000000007</v>
      </c>
      <c r="X6" s="26">
        <v>1229894</v>
      </c>
      <c r="Y6" s="24">
        <v>8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>
        <v>15196685180</v>
      </c>
      <c r="Q7" s="24">
        <v>51</v>
      </c>
      <c r="R7" s="24">
        <f t="shared" si="3"/>
        <v>1219058</v>
      </c>
      <c r="S7" s="24">
        <f t="shared" si="3"/>
        <v>8.3000000000000007</v>
      </c>
      <c r="T7" s="26">
        <v>1249111</v>
      </c>
      <c r="U7" s="24">
        <f t="shared" si="4"/>
        <v>8.3000000000000007</v>
      </c>
      <c r="V7" s="26">
        <v>1259033</v>
      </c>
      <c r="W7" s="24">
        <v>7.9</v>
      </c>
      <c r="X7" s="26">
        <v>1269808</v>
      </c>
      <c r="Y7" s="24">
        <v>7.7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80</v>
      </c>
      <c r="M8" s="22" t="s">
        <v>81</v>
      </c>
      <c r="N8" s="22" t="s">
        <v>136</v>
      </c>
      <c r="O8" s="24" t="s">
        <v>137</v>
      </c>
      <c r="P8" s="24">
        <v>15196685181</v>
      </c>
      <c r="Q8" s="24">
        <v>52</v>
      </c>
      <c r="R8" s="24">
        <f t="shared" si="3"/>
        <v>1259033</v>
      </c>
      <c r="S8" s="24">
        <f t="shared" si="3"/>
        <v>7.9</v>
      </c>
      <c r="T8" s="26">
        <v>1279180</v>
      </c>
      <c r="U8" s="24">
        <f t="shared" si="4"/>
        <v>7.9</v>
      </c>
      <c r="V8" s="26">
        <v>1309141</v>
      </c>
      <c r="W8" s="24">
        <v>7.5</v>
      </c>
      <c r="X8" s="26">
        <v>1319581</v>
      </c>
      <c r="Y8" s="24">
        <v>7.3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7509015</v>
      </c>
      <c r="M9" s="26">
        <f>IF(ISNUMBER(INT(L9)),IF(OR(AND(M6&lt;59,M6&gt;44),AND(M6&lt;375,M6&gt;361)),INDEX(Q$2:Y$48,MATCH(L9,V:V,0)-1,1),IF(OR(M6=44,M6=361),"没有上级",INDEX(Q$2:Y$48,MATCH(L9,X:X,0)-1,1))),"没有上级")</f>
        <v>373</v>
      </c>
      <c r="N9" s="24">
        <f>IF(ISNUMBER(INDEX(Q$2:Y$48,MATCH(M9,$Q:$Q)-1,3)),INDEX(Q$2:Y$48,MATCH(M9,$Q:$Q)-1,3),"没有上级")</f>
        <v>6.6999999999999975</v>
      </c>
      <c r="O9" s="24">
        <f>IF(ISNUMBER(N9-N6),(N9-N6)*10,"没有上级")</f>
        <v>4.0000000000000036</v>
      </c>
      <c r="P9" s="24">
        <v>15196685182</v>
      </c>
      <c r="Q9" s="24">
        <v>53</v>
      </c>
      <c r="R9" s="24">
        <f t="shared" si="3"/>
        <v>1309141</v>
      </c>
      <c r="S9" s="24">
        <f t="shared" si="3"/>
        <v>7.5</v>
      </c>
      <c r="T9" s="26">
        <v>1329766</v>
      </c>
      <c r="U9" s="24">
        <f t="shared" si="4"/>
        <v>7.5</v>
      </c>
      <c r="V9" s="26">
        <v>1339989</v>
      </c>
      <c r="W9" s="24">
        <v>7</v>
      </c>
      <c r="X9" s="26">
        <v>1349390</v>
      </c>
      <c r="Y9" s="24">
        <v>6.9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>
        <v>15196685183</v>
      </c>
      <c r="Q10" s="24">
        <v>54</v>
      </c>
      <c r="R10" s="24">
        <f t="shared" si="3"/>
        <v>1339989</v>
      </c>
      <c r="S10" s="24">
        <f t="shared" si="3"/>
        <v>7</v>
      </c>
      <c r="T10" s="26">
        <v>1359017</v>
      </c>
      <c r="U10" s="24">
        <f t="shared" si="4"/>
        <v>7</v>
      </c>
      <c r="V10" s="26">
        <v>1369863</v>
      </c>
      <c r="W10" s="24">
        <v>6.8</v>
      </c>
      <c r="X10" s="26">
        <v>1379674</v>
      </c>
      <c r="Y10" s="24">
        <v>6.5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138</v>
      </c>
      <c r="M11" s="22" t="s">
        <v>82</v>
      </c>
      <c r="N11" s="22" t="s">
        <v>139</v>
      </c>
      <c r="O11" s="24" t="s">
        <v>140</v>
      </c>
      <c r="P11" s="24">
        <v>15196685184</v>
      </c>
      <c r="Q11" s="24">
        <v>55</v>
      </c>
      <c r="R11" s="24">
        <f t="shared" si="3"/>
        <v>1369863</v>
      </c>
      <c r="S11" s="24">
        <f t="shared" si="3"/>
        <v>6.8</v>
      </c>
      <c r="T11" s="26">
        <v>1409123</v>
      </c>
      <c r="U11" s="24">
        <f t="shared" si="4"/>
        <v>6.8</v>
      </c>
      <c r="V11" s="26">
        <v>1419362</v>
      </c>
      <c r="W11" s="24">
        <v>6.4</v>
      </c>
      <c r="X11" s="26">
        <v>1429851</v>
      </c>
      <c r="Y11" s="24">
        <v>6.2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7459622</v>
      </c>
      <c r="M12" s="26">
        <f>IF(ISNUMBER(INT(L12)),IF(OR(AND(M9&lt;59,M9&gt;44),AND(M9&lt;375,M9&gt;361)),INDEX(Q$2:Y$48,MATCH(L12,V:V,0)-1,1),IF(OR(M9=44,M9=361),"没有上级",INDEX(Q$2:Y$48,MATCH(L12,X:X,0)-1,1))),"没有上级")</f>
        <v>372</v>
      </c>
      <c r="N12" s="24">
        <f>IF(ISNUMBER(INDEX(Q$2:Y$48,MATCH(M12,$Q:$Q)-1,3)),INDEX(Q$2:Y$48,MATCH(M12,$Q:$Q)-1,3),"没有上级")</f>
        <v>7.0999999999999979</v>
      </c>
      <c r="O12" s="24">
        <f>IF(ISNUMBER(N12-N9),(N12-N9)*10,"没有上级")</f>
        <v>4.0000000000000036</v>
      </c>
      <c r="P12" s="24">
        <v>15196685185</v>
      </c>
      <c r="Q12" s="24">
        <v>56</v>
      </c>
      <c r="R12" s="24">
        <f t="shared" si="3"/>
        <v>1419362</v>
      </c>
      <c r="S12" s="24">
        <f t="shared" si="3"/>
        <v>6.4</v>
      </c>
      <c r="T12" s="26">
        <v>1439187</v>
      </c>
      <c r="U12" s="24">
        <f t="shared" si="4"/>
        <v>6.4</v>
      </c>
      <c r="V12" s="26">
        <v>1449573</v>
      </c>
      <c r="W12" s="24">
        <v>6</v>
      </c>
      <c r="X12" s="26">
        <v>1459656</v>
      </c>
      <c r="Y12" s="24"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Q13" s="24">
        <v>57</v>
      </c>
      <c r="R13" s="24">
        <f t="shared" si="3"/>
        <v>1449573</v>
      </c>
      <c r="S13" s="24">
        <f t="shared" si="3"/>
        <v>6</v>
      </c>
      <c r="T13" s="26">
        <v>1469569</v>
      </c>
      <c r="U13" s="24">
        <f t="shared" si="4"/>
        <v>6</v>
      </c>
      <c r="V13" s="26">
        <v>1479217</v>
      </c>
      <c r="W13" s="24">
        <v>5.8</v>
      </c>
      <c r="X13" s="26">
        <v>1509070</v>
      </c>
      <c r="Y13" s="24">
        <v>5.7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141</v>
      </c>
      <c r="M14" s="22" t="s">
        <v>83</v>
      </c>
      <c r="N14" s="22" t="s">
        <v>142</v>
      </c>
      <c r="O14" s="24" t="s">
        <v>143</v>
      </c>
      <c r="P14" s="24">
        <v>15196685187</v>
      </c>
      <c r="Q14" s="24">
        <v>58</v>
      </c>
      <c r="R14" s="24">
        <f t="shared" si="3"/>
        <v>1479217</v>
      </c>
      <c r="S14" s="24">
        <f t="shared" si="3"/>
        <v>5.8</v>
      </c>
      <c r="T14" s="26">
        <v>1519492</v>
      </c>
      <c r="U14" s="24">
        <f t="shared" si="4"/>
        <v>5.8</v>
      </c>
      <c r="V14" s="26">
        <v>1529223</v>
      </c>
      <c r="W14" s="24">
        <v>5.3</v>
      </c>
      <c r="X14" s="26">
        <v>1539373</v>
      </c>
      <c r="Y14" s="24">
        <v>5.5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7429171</v>
      </c>
      <c r="M15" s="26">
        <f>IF(ISNUMBER(INT(L15)),IF(OR(AND(M12&lt;59,M12&gt;44),AND(M12&lt;375,M12&gt;361)),INDEX(Q$2:Y$48,MATCH(L15,V:V,0)-1,1),IF(OR(M12=44,M12=361),"没有上级",INDEX(Q$2:Y$48,MATCH(L15,X:X,0)-1,1))),"没有上级")</f>
        <v>371</v>
      </c>
      <c r="N15" s="24">
        <f>IF(ISNUMBER(INDEX(Q$2:Y$48,MATCH(M15,$Q:$Q)-1,3)),INDEX(Q$2:Y$48,MATCH(M15,$Q:$Q)-1,3),"没有上级")</f>
        <v>7.4999999999999982</v>
      </c>
      <c r="O15" s="24">
        <f>IF(ISNUMBER(N15-N12),(N15-N12)*10,"没有上级")</f>
        <v>4.0000000000000036</v>
      </c>
      <c r="P15" s="24">
        <v>15196685188</v>
      </c>
      <c r="Q15" s="24">
        <v>59</v>
      </c>
      <c r="R15" s="24">
        <f>X2</f>
        <v>1696564</v>
      </c>
      <c r="S15" s="24">
        <f>Y2</f>
        <v>9.6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Q16" s="24">
        <v>60</v>
      </c>
      <c r="R16" s="24">
        <f t="shared" ref="R16:S27" si="5">X3</f>
        <v>1119800</v>
      </c>
      <c r="S16" s="24">
        <f t="shared" si="5"/>
        <v>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144</v>
      </c>
      <c r="M17" s="22" t="s">
        <v>84</v>
      </c>
      <c r="N17" s="22" t="s">
        <v>85</v>
      </c>
      <c r="O17" s="24" t="s">
        <v>145</v>
      </c>
      <c r="P17" s="24">
        <v>15196685190</v>
      </c>
      <c r="Q17" s="24">
        <v>61</v>
      </c>
      <c r="R17" s="24">
        <f t="shared" si="5"/>
        <v>1149458</v>
      </c>
      <c r="S17" s="24">
        <f t="shared" si="5"/>
        <v>8.6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7379939</v>
      </c>
      <c r="M18" s="26">
        <f>IF(ISNUMBER(INT(L18)),IF(OR(AND(M15&lt;59,M15&gt;44),AND(M15&lt;375,M15&gt;361)),INDEX(Q$2:Y$48,MATCH(L18,V:V,0)-1,1),IF(OR(M15=44,M15=361),"没有上级",INDEX(Q$2:Y$48,MATCH(L18,X:X,0)-1,1))),"没有上级")</f>
        <v>370</v>
      </c>
      <c r="N18" s="24">
        <f>IF(ISNUMBER(INDEX(Q$2:Y$48,MATCH(M18,$Q:$Q)-1,3)),INDEX(Q$2:Y$48,MATCH(M18,$Q:$Q)-1,3),"没有上级")</f>
        <v>7.8999999999999986</v>
      </c>
      <c r="O18" s="24">
        <f>IF(ISNUMBER(N18-N15),(N18-N15)*10,"没有上级")</f>
        <v>4.0000000000000036</v>
      </c>
      <c r="P18" s="24">
        <v>15196685191</v>
      </c>
      <c r="Q18" s="24">
        <v>62</v>
      </c>
      <c r="R18" s="24">
        <f t="shared" si="5"/>
        <v>1179730</v>
      </c>
      <c r="S18" s="24">
        <f t="shared" si="5"/>
        <v>8.5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Q19" s="24">
        <v>63</v>
      </c>
      <c r="R19" s="24">
        <f t="shared" si="5"/>
        <v>1229894</v>
      </c>
      <c r="S19" s="24">
        <f t="shared" si="5"/>
        <v>8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146</v>
      </c>
      <c r="M20" s="22" t="s">
        <v>86</v>
      </c>
      <c r="N20" s="22" t="s">
        <v>147</v>
      </c>
      <c r="O20" s="24" t="s">
        <v>87</v>
      </c>
      <c r="P20" s="24">
        <v>15196685193</v>
      </c>
      <c r="Q20" s="24">
        <v>64</v>
      </c>
      <c r="R20" s="24">
        <f t="shared" si="5"/>
        <v>1269808</v>
      </c>
      <c r="S20" s="24">
        <f t="shared" si="5"/>
        <v>7.7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7349227</v>
      </c>
      <c r="M21" s="26">
        <f>IF(ISNUMBER(INT(L21)),IF(OR(AND(M18&lt;59,M18&gt;44),AND(M18&lt;375,M18&gt;361)),INDEX(Q$2:Y$48,MATCH(L21,V:V,0)-1,1),IF(OR(M18=44,M18=361),"没有上级",INDEX(Q$2:Y$48,MATCH(L21,X:X,0)-1,1))),"没有上级")</f>
        <v>369</v>
      </c>
      <c r="N21" s="24">
        <f>IF(ISNUMBER(INDEX(Q$2:Y$48,MATCH(M21,$Q:$Q)-1,3)),INDEX(Q$2:Y$48,MATCH(M21,$Q:$Q)-1,3),"没有上级")</f>
        <v>8.2999999999999989</v>
      </c>
      <c r="O21" s="24">
        <f>IF(ISNUMBER(N21-N18),(N21-N18)*10,"没有上级")</f>
        <v>4.0000000000000036</v>
      </c>
      <c r="P21" s="24">
        <v>15196685194</v>
      </c>
      <c r="Q21" s="24">
        <v>65</v>
      </c>
      <c r="R21" s="24">
        <f t="shared" si="5"/>
        <v>1319581</v>
      </c>
      <c r="S21" s="24">
        <f t="shared" si="5"/>
        <v>7.3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Q22" s="24">
        <v>66</v>
      </c>
      <c r="R22" s="24">
        <f t="shared" si="5"/>
        <v>1349390</v>
      </c>
      <c r="S22" s="24">
        <f t="shared" si="5"/>
        <v>6.9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148</v>
      </c>
      <c r="M23" s="22" t="s">
        <v>149</v>
      </c>
      <c r="N23" s="22" t="s">
        <v>88</v>
      </c>
      <c r="O23" s="24" t="s">
        <v>150</v>
      </c>
      <c r="P23" s="24">
        <v>15196685196</v>
      </c>
      <c r="Q23" s="24">
        <v>67</v>
      </c>
      <c r="R23" s="24">
        <f t="shared" si="5"/>
        <v>1379674</v>
      </c>
      <c r="S23" s="24">
        <f t="shared" si="5"/>
        <v>6.5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7319721</v>
      </c>
      <c r="M24" s="26">
        <f>IF(ISNUMBER(INT(L24)),IF(OR(AND(M21&lt;59,M21&gt;44),AND(M21&lt;375,M21&gt;361)),INDEX(Q$2:Y$48,MATCH(L24,V:V,0)-1,1),IF(OR(M21=44,M21=361),"没有上级",INDEX(Q$2:Y$48,MATCH(L24,X:X,0)-1,1))),"没有上级")</f>
        <v>368</v>
      </c>
      <c r="N24" s="24">
        <f>IF(ISNUMBER(INDEX(Q$2:Y$48,MATCH(M24,$Q:$Q)-1,3)),INDEX(Q$2:Y$48,MATCH(M24,$Q:$Q)-1,3),"没有上级")</f>
        <v>8.6999999999999993</v>
      </c>
      <c r="O24" s="24">
        <f>IF(ISNUMBER(N24-N21),(N24-N21)*10,"没有上级")</f>
        <v>4.0000000000000036</v>
      </c>
      <c r="P24" s="24">
        <v>15196685197</v>
      </c>
      <c r="Q24" s="24">
        <v>68</v>
      </c>
      <c r="R24" s="24">
        <f t="shared" si="5"/>
        <v>1429851</v>
      </c>
      <c r="S24" s="24">
        <f t="shared" si="5"/>
        <v>6.2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Q25" s="24">
        <v>69</v>
      </c>
      <c r="R25" s="24">
        <f t="shared" si="5"/>
        <v>1459656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151</v>
      </c>
      <c r="M26" s="22" t="s">
        <v>89</v>
      </c>
      <c r="N26" s="22" t="s">
        <v>152</v>
      </c>
      <c r="O26" s="24" t="s">
        <v>153</v>
      </c>
      <c r="P26" s="24">
        <v>15196685199</v>
      </c>
      <c r="Q26" s="24">
        <v>70</v>
      </c>
      <c r="R26" s="24">
        <f t="shared" si="5"/>
        <v>1509070</v>
      </c>
      <c r="S26" s="24">
        <f t="shared" si="5"/>
        <v>5.7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7269356</v>
      </c>
      <c r="M27" s="26">
        <f>IF(ISNUMBER(INT(L27)),IF(OR(AND(M24&lt;59,M24&gt;44),AND(M24&lt;375,M24&gt;361)),INDEX(Q$2:Y$48,MATCH(L27,V:V,0)-1,1),IF(OR(M24=44,M24=361),"没有上级",INDEX(Q$2:Y$48,MATCH(L27,X:X,0)-1,1))),"没有上级")</f>
        <v>367</v>
      </c>
      <c r="N27" s="24">
        <f>IF(ISNUMBER(INDEX(Q$2:Y$48,MATCH(M27,$Q:$Q)-1,3)),INDEX(Q$2:Y$48,MATCH(M27,$Q:$Q)-1,3),"没有上级")</f>
        <v>9.1</v>
      </c>
      <c r="O27" s="24">
        <f>IF(ISNUMBER(N27-N24),(N27-N24)*10,"没有上级")</f>
        <v>4.0000000000000036</v>
      </c>
      <c r="P27" s="24">
        <v>15196685200</v>
      </c>
      <c r="Q27" s="24">
        <v>71</v>
      </c>
      <c r="R27" s="24">
        <f t="shared" si="5"/>
        <v>1539373</v>
      </c>
      <c r="S27" s="24">
        <f t="shared" si="5"/>
        <v>5.5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131</v>
      </c>
      <c r="Q28" s="24" t="s">
        <v>131</v>
      </c>
      <c r="R28" s="24" t="s">
        <v>131</v>
      </c>
      <c r="S28" s="24" t="s">
        <v>131</v>
      </c>
      <c r="T28" s="24" t="s">
        <v>131</v>
      </c>
      <c r="U28" s="24" t="s">
        <v>131</v>
      </c>
      <c r="V28" s="24" t="s">
        <v>131</v>
      </c>
      <c r="W28" s="24" t="s">
        <v>131</v>
      </c>
      <c r="X28" s="24" t="s">
        <v>131</v>
      </c>
      <c r="Y28" s="24" t="s">
        <v>131</v>
      </c>
      <c r="Z28" s="24" t="s">
        <v>131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154</v>
      </c>
      <c r="M29" s="22" t="s">
        <v>155</v>
      </c>
      <c r="N29" s="22" t="s">
        <v>156</v>
      </c>
      <c r="O29" s="24" t="s">
        <v>90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7239404</v>
      </c>
      <c r="M30" s="26">
        <f>IF(ISNUMBER(INT(L30)),IF(OR(AND(M27&lt;59,M27&gt;44),AND(M27&lt;375,M27&gt;361)),INDEX(Q$2:Y$48,MATCH(L30,V:V,0)-1,1),IF(OR(M27=44,M27=361),"没有上级",INDEX(Q$2:Y$48,MATCH(L30,X:X,0)-1,1))),"没有上级")</f>
        <v>366</v>
      </c>
      <c r="N30" s="24">
        <f>IF(ISNUMBER(INDEX(Q$2:Y$48,MATCH(M30,$Q:$Q)-1,3)),INDEX(Q$2:Y$48,MATCH(M30,$Q:$Q)-1,3),"没有上级")</f>
        <v>9.5</v>
      </c>
      <c r="O30" s="24">
        <f>IF(ISNUMBER(N30-N27),(N30-N27)*10,"没有上级")</f>
        <v>4.0000000000000036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157</v>
      </c>
      <c r="M32" s="22" t="s">
        <v>158</v>
      </c>
      <c r="N32" s="22" t="s">
        <v>159</v>
      </c>
      <c r="O32" s="24" t="s">
        <v>160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7209805</v>
      </c>
      <c r="M33" s="26">
        <f>IF(ISNUMBER(INT(L33)),IF(OR(AND(M30&lt;59,M30&gt;44),AND(M30&lt;375,M30&gt;361)),INDEX(Q$2:Y$48,MATCH(L33,V:V,0)-1,1),IF(OR(M30=44,M30=361),"没有上级",INDEX(Q$2:Y$48,MATCH(L33,X:X,0)-1,1))),"没有上级")</f>
        <v>361</v>
      </c>
      <c r="N33" s="24">
        <f>IF(ISNUMBER(INDEX(Q$2:Y$48,MATCH(M33,$Q:$Q)-1,3)),INDEX(Q$2:Y$48,MATCH(M33,$Q:$Q)-1,3),"没有上级")</f>
        <v>9.9</v>
      </c>
      <c r="O33" s="24">
        <f>IF(ISNUMBER(N33-N30),(N33-N30)*10,"没有上级")</f>
        <v>4.0000000000000036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161</v>
      </c>
      <c r="M35" s="22" t="s">
        <v>162</v>
      </c>
      <c r="N35" s="22" t="s">
        <v>163</v>
      </c>
      <c r="O35" s="24" t="s">
        <v>164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IF(ISNUMBER(INT(L36)),IF(OR(AND(M33&lt;59,M33&gt;44),AND(M33&lt;375,M33&gt;361)),INDEX(Q$2:Y$48,MATCH(L36,V:V,0)-1,1),IF(OR(M33=44,M33=361),"没有上级",INDEX(Q$2:Y$48,MATCH(L36,X:X,0)-1,1))),"没有上级")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IF(ISNUMBER(N36-N33),(N36-N33)*10,"没有上级")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165</v>
      </c>
      <c r="M38" s="22" t="s">
        <v>166</v>
      </c>
      <c r="N38" s="22" t="s">
        <v>167</v>
      </c>
      <c r="O38" s="24" t="s">
        <v>168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IF(ISNUMBER(INT(L39)),IF(OR(AND(M36&lt;59,M36&gt;44),AND(M36&lt;375,M36&gt;361)),INDEX(Q$2:Y$48,MATCH(L39,V:V,0)-1,1),IF(OR(M36=44,M36=361),"没有上级",INDEX(Q$2:Y$48,MATCH(L39,X:X,0)-1,1))),"没有上级")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IF(ISNUMBER(N39-N36),(N39-N36)*10,"没有上级")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169</v>
      </c>
      <c r="M41" s="22" t="s">
        <v>170</v>
      </c>
      <c r="N41" s="22" t="s">
        <v>171</v>
      </c>
      <c r="O41" s="24" t="s">
        <v>172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IF(ISNUMBER(INT(L42)),IF(OR(AND(M39&lt;59,M39&gt;44),AND(M39&lt;375,M39&gt;361)),INDEX(Q$2:Y$48,MATCH(L42,V:V,0)-1,1),IF(OR(M39=44,M39=361),"没有上级",INDEX(Q$2:Y$48,MATCH(L42,X:X,0)-1,1))),"没有上级")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IF(ISNUMBER(N42-N39),(N42-N39)*10,"没有上级")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173</v>
      </c>
      <c r="M44" s="22" t="s">
        <v>174</v>
      </c>
      <c r="N44" s="22" t="s">
        <v>175</v>
      </c>
      <c r="O44" s="24" t="s">
        <v>176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IF(ISNUMBER(INT(L45)),IF(OR(AND(M42&lt;59,M42&gt;44),AND(M42&lt;375,M42&gt;361)),INDEX(Q$2:Y$48,MATCH(L45,V:V,0)-1,1),IF(OR(M42=44,M42=361),"没有上级",INDEX(Q$2:Y$48,MATCH(L45,X:X,0)-1,1))),"没有上级")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IF(ISNUMBER(N45-N42),(N45-N42)*10,"没有上级")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177</v>
      </c>
      <c r="M47" s="22" t="s">
        <v>178</v>
      </c>
      <c r="N47" s="22" t="s">
        <v>179</v>
      </c>
      <c r="O47" s="24" t="s">
        <v>180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IF(ISNUMBER(INT(L48)),IF(OR(AND(M45&lt;59,M45&gt;44),AND(M45&lt;375,M45&gt;361)),INDEX(Q$2:Y$48,MATCH(L48,V:V,0)-1,1),IF(OR(M45=44,M45=361),"没有上级",INDEX(Q$2:Y$48,MATCH(L48,X:X,0)-1,1))),"没有上级")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IF(ISNUMBER(N48-N45),(N48-N45)*10,"没有上级")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2018-06-21T14:58:16Z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