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Git Repository\WorkDocumentOfMe\"/>
    </mc:Choice>
  </mc:AlternateContent>
  <bookViews>
    <workbookView xWindow="0" yWindow="0" windowWidth="19095" windowHeight="7830"/>
  </bookViews>
  <sheets>
    <sheet name="Sheet1" sheetId="1" r:id="rId1"/>
    <sheet name="Sheet2" sheetId="2" r:id="rId2"/>
    <sheet name="Sheet3" sheetId="4" r:id="rId3"/>
  </sheets>
  <functionGroups builtInGroupCount="18"/>
  <definedNames>
    <definedName name="_xlnm._FilterDatabase" localSheetId="0" hidden="1">Sheet1!$A$1:$S$26</definedName>
  </definedNames>
  <calcPr calcId="162913" iterate="1" iterateCount="101"/>
</workbook>
</file>

<file path=xl/calcChain.xml><?xml version="1.0" encoding="utf-8"?>
<calcChain xmlns="http://schemas.openxmlformats.org/spreadsheetml/2006/main">
  <c r="F2" i="1" l="1"/>
  <c r="H3" i="1"/>
  <c r="H4" i="1"/>
  <c r="H5" i="1"/>
  <c r="H6" i="1"/>
  <c r="H7" i="1"/>
  <c r="H8" i="1"/>
  <c r="H9" i="1"/>
  <c r="H2" i="1"/>
  <c r="K6" i="1"/>
  <c r="G6" i="2"/>
  <c r="S2" i="1"/>
  <c r="S4" i="1"/>
  <c r="O4" i="1"/>
  <c r="O9" i="1"/>
  <c r="O7" i="1"/>
  <c r="O5" i="1"/>
  <c r="K12" i="1"/>
  <c r="E2" i="2"/>
  <c r="H8" i="2"/>
  <c r="H9" i="2"/>
  <c r="H5" i="2"/>
  <c r="H6" i="2"/>
  <c r="H7" i="2"/>
  <c r="H4" i="2"/>
  <c r="H3" i="2"/>
  <c r="H2" i="2"/>
  <c r="J2" i="2" l="1"/>
  <c r="G3" i="2"/>
  <c r="K3" i="1" s="1"/>
  <c r="G9" i="2"/>
  <c r="G7" i="2"/>
  <c r="G8" i="2"/>
  <c r="G5" i="2"/>
  <c r="G4" i="2"/>
  <c r="J4" i="2"/>
  <c r="J3" i="2"/>
  <c r="I6" i="1"/>
  <c r="I5" i="1"/>
  <c r="I9" i="1"/>
  <c r="I8" i="1"/>
  <c r="I7" i="1"/>
  <c r="K4" i="1" l="1"/>
  <c r="K5" i="1"/>
  <c r="K8" i="1"/>
  <c r="K9" i="1"/>
  <c r="K7" i="1"/>
  <c r="C14" i="2"/>
  <c r="C18" i="2"/>
  <c r="C26" i="2"/>
  <c r="C19" i="2"/>
  <c r="C27" i="2"/>
  <c r="C20" i="2"/>
  <c r="C28" i="2"/>
  <c r="C21" i="2"/>
  <c r="C29" i="2"/>
  <c r="C22" i="2"/>
  <c r="C15" i="2"/>
  <c r="C23" i="2"/>
  <c r="C16" i="2"/>
  <c r="C24" i="2"/>
  <c r="C17" i="2"/>
  <c r="C25" i="2"/>
  <c r="J2" i="1"/>
  <c r="J4" i="1"/>
  <c r="J5" i="1"/>
  <c r="J3" i="1"/>
  <c r="J9" i="1"/>
  <c r="J7" i="1"/>
  <c r="J8" i="1"/>
  <c r="J6" i="1"/>
  <c r="G2" i="2" l="1"/>
  <c r="I3" i="1"/>
  <c r="I4" i="1"/>
  <c r="I2" i="1"/>
  <c r="K2" i="1" l="1"/>
  <c r="L2" i="1" s="1"/>
  <c r="L3" i="1" l="1"/>
  <c r="L4" i="1" s="1"/>
  <c r="L5" i="1" s="1"/>
  <c r="L6" i="1" s="1"/>
  <c r="L7" i="1" s="1"/>
  <c r="L8" i="1" s="1"/>
  <c r="L9" i="1" s="1"/>
</calcChain>
</file>

<file path=xl/comments1.xml><?xml version="1.0" encoding="utf-8"?>
<comments xmlns="http://schemas.openxmlformats.org/spreadsheetml/2006/main">
  <authors>
    <author>Lance</author>
  </authors>
  <commentLis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彩种</t>
        </r>
      </text>
    </comment>
    <comment ref="C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期号</t>
        </r>
      </text>
    </comment>
    <comment ref="D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E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G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倍数
</t>
        </r>
      </text>
    </comment>
    <comment ref="H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投注金额</t>
        </r>
      </text>
    </comment>
    <comment ref="I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花费</t>
        </r>
      </text>
    </comment>
    <comment ref="J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开奖号码</t>
        </r>
      </text>
    </comment>
    <comment ref="K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中奖金额
</t>
        </r>
      </text>
    </comment>
    <comment ref="L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余额</t>
        </r>
      </text>
    </comment>
    <comment ref="M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组名
</t>
        </r>
      </text>
    </comment>
    <comment ref="N1" authorId="0" shapeId="0">
      <text>
        <r>
          <rPr>
            <b/>
            <sz val="9"/>
            <color indexed="8"/>
            <rFont val="宋体"/>
            <family val="3"/>
            <charset val="134"/>
          </rPr>
          <t>Lance:奖金基数</t>
        </r>
      </text>
    </comment>
    <comment ref="O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中奖注数</t>
        </r>
      </text>
    </comment>
    <comment ref="P13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第一个重复数字</t>
        </r>
      </text>
    </comment>
    <comment ref="P14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第二个重复数字</t>
        </r>
      </text>
    </comment>
    <comment ref="P15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判断开奖号码是组120、组60、组30、组20、组10、组5</t>
        </r>
      </text>
    </comment>
    <comment ref="N25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1.结果为龙虎时，赔率为2.177</t>
        </r>
      </text>
    </comment>
  </commentList>
</comments>
</file>

<file path=xl/comments2.xml><?xml version="1.0" encoding="utf-8"?>
<comments xmlns="http://schemas.openxmlformats.org/spreadsheetml/2006/main">
  <authors>
    <author>Lance</author>
  </authors>
  <commentList>
    <comment ref="A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C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列
</t>
        </r>
      </text>
    </comment>
    <comment ref="D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元素</t>
        </r>
      </text>
    </comment>
  </commentList>
</comments>
</file>

<file path=xl/connections.xml><?xml version="1.0" encoding="utf-8"?>
<connections xmlns="http://schemas.openxmlformats.org/spreadsheetml/2006/main">
  <connection id="1" name="betorder" type="4" refreshedVersion="0" background="1">
    <webPr xml="1" sourceData="1" url="C:\Users\Lance\Desktop\betorder.xml" htmlTables="1" htmlFormat="all"/>
  </connection>
  <connection id="2" name="betorder1" type="4" refreshedVersion="0" background="1">
    <webPr xml="1" sourceData="1" url="C:\Users\Lance\Desktop\betorder.xml" htmlTables="1" htmlFormat="all"/>
  </connection>
  <connection id="3" name="betorder2" type="4" refreshedVersion="0" background="1">
    <webPr xml="1" sourceData="1" url="C:\Users\Lance\Desktop\betorder.xml" htmlTables="1" htmlFormat="all"/>
  </connection>
  <connection id="4" name="betorder3" type="4" refreshedVersion="0" background="1">
    <webPr xml="1" sourceData="1" url="C:\Users\Lance\Desktop\betorder.xml" htmlTables="1" htmlFormat="all"/>
  </connection>
  <connection id="5" name="betorder4" type="4" refreshedVersion="0" background="1">
    <webPr xml="1" sourceData="1" url="C:\Users\Lance\Desktop\BetDatas.xml" htmlTables="1" htmlFormat="all"/>
  </connection>
  <connection id="6" name="betorder5" type="4" refreshedVersion="0" background="1">
    <webPr xml="1" sourceData="1" url="C:\Users\Lance\Desktop\betorder.xml" htmlTables="1" htmlFormat="all"/>
  </connection>
  <connection id="7" name="TestData" type="4" refreshedVersion="0" background="1">
    <webPr xml="1" sourceData="1" url="C:\Users\Lance\Desktop\TestData.xml" htmlTables="1" htmlFormat="all"/>
  </connection>
</connections>
</file>

<file path=xl/sharedStrings.xml><?xml version="1.0" encoding="utf-8"?>
<sst xmlns="http://schemas.openxmlformats.org/spreadsheetml/2006/main" count="153" uniqueCount="91">
  <si>
    <t>BetRange</t>
  </si>
  <si>
    <t>PlayType</t>
  </si>
  <si>
    <t>Clomun</t>
  </si>
  <si>
    <t>Option</t>
  </si>
  <si>
    <t>Issue</t>
  </si>
  <si>
    <t>Group</t>
  </si>
  <si>
    <t>Multiple</t>
  </si>
  <si>
    <t>Reward</t>
  </si>
  <si>
    <t>时时彩</t>
  </si>
  <si>
    <t>定位胆</t>
  </si>
  <si>
    <t>直选</t>
  </si>
  <si>
    <t>组选</t>
  </si>
  <si>
    <t>中奖内容</t>
    <phoneticPr fontId="1" type="noConversion"/>
  </si>
  <si>
    <t>重复个数</t>
    <phoneticPr fontId="1" type="noConversion"/>
  </si>
  <si>
    <t>DrawnAmount</t>
    <phoneticPr fontId="1" type="noConversion"/>
  </si>
  <si>
    <t>Principal</t>
    <phoneticPr fontId="1" type="noConversion"/>
  </si>
  <si>
    <t>betContent</t>
    <phoneticPr fontId="1" type="noConversion"/>
  </si>
  <si>
    <t>amount</t>
    <phoneticPr fontId="1" type="noConversion"/>
  </si>
  <si>
    <t>spend</t>
    <phoneticPr fontId="1" type="noConversion"/>
  </si>
  <si>
    <t>balance</t>
    <phoneticPr fontId="1" type="noConversion"/>
  </si>
  <si>
    <t>resultNumber</t>
    <phoneticPr fontId="1" type="noConversion"/>
  </si>
  <si>
    <t>betRange</t>
    <phoneticPr fontId="1" type="noConversion"/>
  </si>
  <si>
    <t>playType</t>
    <phoneticPr fontId="1" type="noConversion"/>
  </si>
  <si>
    <t>betContent</t>
    <phoneticPr fontId="1" type="noConversion"/>
  </si>
  <si>
    <t>mutiple</t>
    <phoneticPr fontId="1" type="noConversion"/>
  </si>
  <si>
    <t>amount</t>
    <phoneticPr fontId="1" type="noConversion"/>
  </si>
  <si>
    <t>spend</t>
    <phoneticPr fontId="1" type="noConversion"/>
  </si>
  <si>
    <t>resultNum</t>
    <phoneticPr fontId="1" type="noConversion"/>
  </si>
  <si>
    <t>drawnAmount</t>
    <phoneticPr fontId="1" type="noConversion"/>
  </si>
  <si>
    <t>balance</t>
    <phoneticPr fontId="1" type="noConversion"/>
  </si>
  <si>
    <t>spend</t>
    <phoneticPr fontId="1" type="noConversion"/>
  </si>
  <si>
    <t>三码</t>
    <phoneticPr fontId="1" type="noConversion"/>
  </si>
  <si>
    <t>二码</t>
    <phoneticPr fontId="1" type="noConversion"/>
  </si>
  <si>
    <r>
      <t>Bet</t>
    </r>
    <r>
      <rPr>
        <sz val="11"/>
        <color theme="1"/>
        <rFont val="宋体"/>
        <family val="3"/>
        <charset val="134"/>
        <scheme val="minor"/>
      </rPr>
      <t>Number</t>
    </r>
    <phoneticPr fontId="1" type="noConversion"/>
  </si>
  <si>
    <t>和值</t>
  </si>
  <si>
    <t>和值</t>
    <phoneticPr fontId="1" type="noConversion"/>
  </si>
  <si>
    <t>三同号通选</t>
  </si>
  <si>
    <t>三同号通选</t>
    <phoneticPr fontId="1" type="noConversion"/>
  </si>
  <si>
    <t>三同号单选</t>
  </si>
  <si>
    <t>三同号单选</t>
    <phoneticPr fontId="1" type="noConversion"/>
  </si>
  <si>
    <t>三不同号</t>
  </si>
  <si>
    <t>三不同号</t>
    <phoneticPr fontId="1" type="noConversion"/>
  </si>
  <si>
    <t>三连号通选</t>
  </si>
  <si>
    <t>三连号通选</t>
    <phoneticPr fontId="1" type="noConversion"/>
  </si>
  <si>
    <t>二同号复选</t>
  </si>
  <si>
    <t>二同号复选</t>
    <phoneticPr fontId="1" type="noConversion"/>
  </si>
  <si>
    <t>二同号单选</t>
  </si>
  <si>
    <t>二同号单选</t>
    <phoneticPr fontId="1" type="noConversion"/>
  </si>
  <si>
    <t>二不同号</t>
  </si>
  <si>
    <t>二不同号</t>
    <phoneticPr fontId="1" type="noConversion"/>
  </si>
  <si>
    <t>大 小 单 双 3 4 5 6 7 8 9 10 11 12 13 14 15 16 17 18</t>
  </si>
  <si>
    <t>三同号通选</t>
    <phoneticPr fontId="1" type="noConversion"/>
  </si>
  <si>
    <r>
      <t>1</t>
    </r>
    <r>
      <rPr>
        <sz val="11"/>
        <color theme="1"/>
        <rFont val="宋体"/>
        <family val="3"/>
        <charset val="134"/>
        <scheme val="minor"/>
      </rPr>
      <t>11 222 333 444 555 666</t>
    </r>
    <phoneticPr fontId="1" type="noConversion"/>
  </si>
  <si>
    <r>
      <t>1</t>
    </r>
    <r>
      <rPr>
        <sz val="11"/>
        <color theme="1"/>
        <rFont val="宋体"/>
        <family val="3"/>
        <charset val="134"/>
        <scheme val="minor"/>
      </rPr>
      <t xml:space="preserve"> 2 3 4 5 6</t>
    </r>
    <phoneticPr fontId="1" type="noConversion"/>
  </si>
  <si>
    <t>三连号通选</t>
    <phoneticPr fontId="1" type="noConversion"/>
  </si>
  <si>
    <r>
      <t>1</t>
    </r>
    <r>
      <rPr>
        <sz val="11"/>
        <color theme="1"/>
        <rFont val="宋体"/>
        <family val="3"/>
        <charset val="134"/>
        <scheme val="minor"/>
      </rPr>
      <t>1 22 33 44 55 66</t>
    </r>
    <phoneticPr fontId="1" type="noConversion"/>
  </si>
  <si>
    <r>
      <t>1</t>
    </r>
    <r>
      <rPr>
        <sz val="11"/>
        <color theme="1"/>
        <rFont val="宋体"/>
        <family val="3"/>
        <charset val="134"/>
        <scheme val="minor"/>
      </rPr>
      <t xml:space="preserve"> 2 3 4 5 6</t>
    </r>
    <phoneticPr fontId="1" type="noConversion"/>
  </si>
  <si>
    <t>resultNumber</t>
    <phoneticPr fontId="1" type="noConversion"/>
  </si>
  <si>
    <t>大 小 单 双</t>
  </si>
  <si>
    <t>11 22 33 4 5 6</t>
  </si>
  <si>
    <t>11 22 33 4 5 6</t>
    <phoneticPr fontId="1" type="noConversion"/>
  </si>
  <si>
    <t>,大,小,单,双,3,4,5,6,7,8,9,10,11,12,13,14,15,16,17,18,</t>
    <phoneticPr fontId="1" type="noConversion"/>
  </si>
  <si>
    <t>中奖金额</t>
    <phoneticPr fontId="1" type="noConversion"/>
  </si>
  <si>
    <t>大</t>
    <phoneticPr fontId="1" type="noConversion"/>
  </si>
  <si>
    <t>小</t>
    <phoneticPr fontId="1" type="noConversion"/>
  </si>
  <si>
    <t>单</t>
    <phoneticPr fontId="1" type="noConversion"/>
  </si>
  <si>
    <t>双</t>
    <phoneticPr fontId="1" type="noConversion"/>
  </si>
  <si>
    <t>amount</t>
    <phoneticPr fontId="1" type="noConversion"/>
  </si>
  <si>
    <r>
      <t>,3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</si>
  <si>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,4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</si>
  <si>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,5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</si>
  <si>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,6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</si>
  <si>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,7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</si>
  <si>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,8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</si>
  <si>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</si>
  <si>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,10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</si>
  <si>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,11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</si>
  <si>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,12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</si>
  <si>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,13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</si>
  <si>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,14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</si>
  <si>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,15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</si>
  <si>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,16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</si>
  <si>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,17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</si>
  <si>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,18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</si>
  <si>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1 2 3 4 5 6</t>
  </si>
  <si>
    <t>1 2 3 4 5 6</t>
    <phoneticPr fontId="1" type="noConversion"/>
  </si>
  <si>
    <t>,11,22,33,4,5,6,</t>
    <phoneticPr fontId="1" type="noConversion"/>
  </si>
  <si>
    <r>
      <t>1</t>
    </r>
    <r>
      <rPr>
        <sz val="11"/>
        <color theme="1"/>
        <rFont val="宋体"/>
        <family val="3"/>
        <charset val="134"/>
        <scheme val="minor"/>
      </rPr>
      <t xml:space="preserve"> 2 5 6</t>
    </r>
    <phoneticPr fontId="1" type="noConversion"/>
  </si>
  <si>
    <t>111 222 333 444 555 666</t>
  </si>
  <si>
    <t>11 22 33 44 55 66</t>
  </si>
  <si>
    <t>265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</si>
</sst>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b/>
      <sz val="9"/>
      <color indexed="8"/>
      <name val="宋体"/>
      <family val="3"/>
      <charset val="134"/>
    </font>
    <font>
      <sz val="9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0" fontId="0" fillId="0" borderId="0" xfId="0" quotePrefix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4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</cellXfs>
  <cellStyles count="1">
    <cellStyle name="常规" xfId="0" builtinId="0"/>
  </cellStyles>
  <dxfs count="11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1">
    <xsd:schema xmlns:xsd="http://www.w3.org/2001/XMLSchema" xmlns="">
      <xsd:element nillable="true" name="betorder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betRange" form="unqualified"/>
                  <xsd:element minOccurs="0" nillable="true" type="xsd:string" name="playType" form="unqualified"/>
                  <xsd:element minOccurs="0" nillable="true" type="xsd:string" name="betContent" form="unqualified"/>
                  <xsd:element minOccurs="0" nillable="true" type="xsd:string" name="mutiple" form="unqualified"/>
                  <xsd:element minOccurs="0" nillable="true" type="xsd:string" name="amount" form="unqualified"/>
                  <xsd:element minOccurs="0" nillable="true" type="xsd:string" name="spend" form="unqualified"/>
                  <xsd:element minOccurs="0" nillable="true" type="xsd:string" name="drawnAmount" form="unqualified"/>
                  <xsd:element minOccurs="0" nillable="true" type="xsd:string" name="balance" form="unqualified"/>
                </xsd:sequence>
              </xsd:complexType>
            </xsd:element>
          </xsd:sequence>
        </xsd:complexType>
      </xsd:element>
    </xsd:schema>
  </Schema>
  <Schema ID="Schema2">
    <xsd:schema xmlns:xsd="http://www.w3.org/2001/XMLSchema" xmlns="">
      <xsd:element nillable="true" name="betorder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betRange" form="unqualified"/>
                  <xsd:element minOccurs="0" nillable="true" type="xsd:string" name="playType" form="unqualified"/>
                  <xsd:element minOccurs="0" nillable="true" type="xsd:string" name="betContent" form="unqualified"/>
                  <xsd:element minOccurs="0" nillable="true" type="xsd:string" name="mutiple" form="unqualified"/>
                  <xsd:element minOccurs="0" nillable="true" type="xsd:string" name="amount" form="unqualified"/>
                  <xsd:element minOccurs="0" nillable="true" type="xsd:string" name="spend" form="unqualified"/>
                  <xsd:element minOccurs="0" nillable="true" type="xsd:string" name="resultNum" form="unqualified"/>
                  <xsd:element minOccurs="0" nillable="true" type="xsd:string" name="drawnAmount" form="unqualified"/>
                  <xsd:element minOccurs="0" nillable="true" type="xsd:string" name="balance" form="unqualified"/>
                </xsd:sequence>
              </xsd:complexType>
            </xsd:element>
          </xsd:sequence>
        </xsd:complexType>
      </xsd:element>
    </xsd:schema>
  </Schema>
  <Map ID="7" Name="betorder_映射" RootElement="betorder" SchemaID="Schema11" ShowImportExportValidationErrors="false" AutoFit="true" Append="true" PreserveSortAFLayout="true" PreserveFormat="true">
    <DataBinding FileBinding="true" ConnectionID="5" DataBindingLoadMode="1"/>
  </Map>
  <Map ID="8" Name="betorder_映射1" RootElement="betorder" SchemaID="Schema2" ShowImportExportValidationErrors="false" AutoFit="true" Append="false" PreserveSortAFLayout="true" PreserveFormat="true">
    <DataBinding FileBinding="true" ConnectionID="6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openxmlformats.org/officeDocument/2006/relationships/xmlMaps" Target="xmlMap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表1" displayName="表1" ref="A1:I9" tableType="xml" totalsRowShown="0" headerRowDxfId="10" dataDxfId="9" connectionId="6">
  <autoFilter ref="A1:I9"/>
  <tableColumns count="9">
    <tableColumn id="1" uniqueName="betRange" name="betRange" dataDxfId="8">
      <xmlColumnPr mapId="8" xpath="/betorder/order/betRange" xmlDataType="string"/>
    </tableColumn>
    <tableColumn id="2" uniqueName="playType" name="playType" dataDxfId="7">
      <xmlColumnPr mapId="8" xpath="/betorder/order/playType" xmlDataType="string"/>
    </tableColumn>
    <tableColumn id="3" uniqueName="betContent" name="betContent" dataDxfId="6">
      <xmlColumnPr mapId="8" xpath="/betorder/order/betContent" xmlDataType="string"/>
    </tableColumn>
    <tableColumn id="4" uniqueName="mutiple" name="mutiple" dataDxfId="5">
      <xmlColumnPr mapId="8" xpath="/betorder/order/mutiple" xmlDataType="string"/>
    </tableColumn>
    <tableColumn id="5" uniqueName="amount" name="amount" dataDxfId="4">
      <xmlColumnPr mapId="8" xpath="/betorder/order/amount" xmlDataType="string"/>
    </tableColumn>
    <tableColumn id="6" uniqueName="spend" name="spend" dataDxfId="3">
      <xmlColumnPr mapId="8" xpath="/betorder/order/spend" xmlDataType="string"/>
    </tableColumn>
    <tableColumn id="7" uniqueName="resultNum" name="resultNum" dataDxfId="2">
      <xmlColumnPr mapId="8" xpath="/betorder/order/resultNum" xmlDataType="string"/>
    </tableColumn>
    <tableColumn id="8" uniqueName="drawnAmount" name="drawnAmount" dataDxfId="1">
      <xmlColumnPr mapId="8" xpath="/betorder/order/drawnAmount" xmlDataType="string"/>
    </tableColumn>
    <tableColumn id="9" uniqueName="balance" name="balance" dataDxfId="0">
      <xmlColumnPr mapId="8" xpath="/betorder/order/balance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25"/>
  <sheetViews>
    <sheetView tabSelected="1" topLeftCell="D1" zoomScaleNormal="100" workbookViewId="0">
      <pane ySplit="1" topLeftCell="A2" activePane="bottomLeft" state="frozen"/>
      <selection activeCell="D1" sqref="D1"/>
      <selection pane="bottomLeft" activeCell="G27" sqref="G27"/>
    </sheetView>
  </sheetViews>
  <sheetFormatPr defaultColWidth="9" defaultRowHeight="13.5" x14ac:dyDescent="0.15"/>
  <cols>
    <col min="1" max="1" width="4.5" style="19" hidden="1" customWidth="1"/>
    <col min="2" max="2" width="12.75" style="19" hidden="1" customWidth="1"/>
    <col min="3" max="3" width="0.125" style="19" hidden="1" customWidth="1"/>
    <col min="4" max="4" width="9.5" style="19" bestFit="1" customWidth="1"/>
    <col min="5" max="5" width="12.125" style="19" customWidth="1"/>
    <col min="6" max="6" width="37.625" style="20" customWidth="1"/>
    <col min="7" max="7" width="12.125" style="19" customWidth="1"/>
    <col min="8" max="8" width="12.25" style="19" customWidth="1"/>
    <col min="9" max="9" width="12.75" style="19" bestFit="1" customWidth="1"/>
    <col min="10" max="10" width="11.75" style="19" customWidth="1"/>
    <col min="11" max="11" width="16.75" style="19" bestFit="1" customWidth="1"/>
    <col min="12" max="12" width="16.25" style="19" customWidth="1"/>
    <col min="13" max="13" width="7.25" style="19" customWidth="1"/>
    <col min="14" max="14" width="8.5" style="19" bestFit="1" customWidth="1"/>
    <col min="15" max="15" width="10.75" style="19" customWidth="1"/>
    <col min="16" max="16" width="8.875" style="19" hidden="1" customWidth="1"/>
    <col min="17" max="17" width="7.625" style="19" hidden="1" customWidth="1"/>
    <col min="18" max="18" width="10.25" style="19" customWidth="1"/>
    <col min="19" max="19" width="48.75" style="19" customWidth="1"/>
    <col min="20" max="16384" width="9" style="19"/>
  </cols>
  <sheetData>
    <row r="1" spans="1:19" x14ac:dyDescent="0.15">
      <c r="A1" s="19">
        <v>1</v>
      </c>
      <c r="B1" s="19">
        <v>5050</v>
      </c>
      <c r="C1" s="19" t="s">
        <v>4</v>
      </c>
      <c r="D1" s="19" t="s">
        <v>0</v>
      </c>
      <c r="E1" s="19" t="s">
        <v>1</v>
      </c>
      <c r="F1" s="20" t="s">
        <v>16</v>
      </c>
      <c r="G1" s="19" t="s">
        <v>6</v>
      </c>
      <c r="H1" s="19" t="s">
        <v>17</v>
      </c>
      <c r="I1" s="19" t="s">
        <v>18</v>
      </c>
      <c r="J1" s="19" t="s">
        <v>20</v>
      </c>
      <c r="K1" s="19" t="s">
        <v>14</v>
      </c>
      <c r="L1" s="19" t="s">
        <v>19</v>
      </c>
      <c r="M1" s="19" t="s">
        <v>5</v>
      </c>
      <c r="N1" s="19" t="s">
        <v>7</v>
      </c>
      <c r="O1" s="19" t="s">
        <v>33</v>
      </c>
      <c r="P1" s="19" t="s">
        <v>13</v>
      </c>
      <c r="Q1" s="19" t="s">
        <v>12</v>
      </c>
      <c r="R1" s="19" t="s">
        <v>15</v>
      </c>
    </row>
    <row r="2" spans="1:19" ht="27" x14ac:dyDescent="0.15">
      <c r="A2" s="1">
        <v>2</v>
      </c>
      <c r="B2" s="19" t="s">
        <v>8</v>
      </c>
      <c r="C2" s="19">
        <v>20180517001</v>
      </c>
      <c r="D2" s="19" t="s">
        <v>31</v>
      </c>
      <c r="E2" s="17" t="s">
        <v>35</v>
      </c>
      <c r="F2" s="18" t="str">
        <f>TRIM(SUBSTITUTE(Sheet2!D2,","," "))</f>
        <v>大 小 单 双 3 4 5 6 7 8 9 10 11 12 13 14 15 16 17 18</v>
      </c>
      <c r="G2" s="19">
        <v>1</v>
      </c>
      <c r="H2" s="19">
        <f ca="1">RANDBETWEEN(1,7)</f>
        <v>4</v>
      </c>
      <c r="I2" s="19">
        <f t="shared" ref="I2:I9" si="0">O2*G2*2</f>
        <v>40</v>
      </c>
      <c r="J2" s="19" t="str">
        <f ca="1">Sheet2!E$2</f>
        <v>654</v>
      </c>
      <c r="K2" s="19">
        <f ca="1">Sheet2!$G2</f>
        <v>45.84</v>
      </c>
      <c r="L2" s="19">
        <f ca="1">R2-I2+K2</f>
        <v>1000005.84</v>
      </c>
      <c r="M2" s="19" t="s">
        <v>9</v>
      </c>
      <c r="N2" s="19">
        <v>1920.6</v>
      </c>
      <c r="O2" s="19">
        <v>20</v>
      </c>
      <c r="R2" s="19">
        <v>1000000</v>
      </c>
      <c r="S2" s="19" t="e">
        <f>IF(MOD(SUM(LEFT(E$2,1),MID(E$2,2,1),MID(E$2,3,1)),2)=1,"单","双")</f>
        <v>#VALUE!</v>
      </c>
    </row>
    <row r="3" spans="1:19" ht="19.5" customHeight="1" x14ac:dyDescent="0.15">
      <c r="A3" s="19">
        <v>7</v>
      </c>
      <c r="D3" s="19" t="s">
        <v>31</v>
      </c>
      <c r="E3" s="17" t="s">
        <v>37</v>
      </c>
      <c r="F3" s="18" t="s">
        <v>51</v>
      </c>
      <c r="G3" s="24">
        <v>1</v>
      </c>
      <c r="H3" s="24">
        <f t="shared" ref="H3:H9" ca="1" si="1">RANDBETWEEN(1,7)</f>
        <v>3</v>
      </c>
      <c r="I3" s="19">
        <f t="shared" si="0"/>
        <v>2</v>
      </c>
      <c r="J3" s="19" t="str">
        <f ca="1">Sheet2!E$2</f>
        <v>654</v>
      </c>
      <c r="K3" s="24">
        <f ca="1">Sheet2!$G3</f>
        <v>0</v>
      </c>
      <c r="L3" s="19">
        <f t="shared" ref="L3:L9" ca="1" si="2">$L2-$I3+$K3</f>
        <v>1000003.84</v>
      </c>
      <c r="M3" s="19" t="s">
        <v>10</v>
      </c>
      <c r="N3" s="19">
        <v>1920.6</v>
      </c>
      <c r="O3" s="19">
        <v>1</v>
      </c>
      <c r="S3" s="24"/>
    </row>
    <row r="4" spans="1:19" x14ac:dyDescent="0.15">
      <c r="A4" s="19">
        <v>9</v>
      </c>
      <c r="D4" s="19" t="s">
        <v>31</v>
      </c>
      <c r="E4" s="17" t="s">
        <v>39</v>
      </c>
      <c r="F4" s="18" t="s">
        <v>52</v>
      </c>
      <c r="G4" s="24">
        <v>1</v>
      </c>
      <c r="H4" s="24">
        <f t="shared" ca="1" si="1"/>
        <v>4</v>
      </c>
      <c r="I4" s="19">
        <f t="shared" si="0"/>
        <v>12</v>
      </c>
      <c r="J4" s="19" t="str">
        <f ca="1">Sheet2!E$2</f>
        <v>654</v>
      </c>
      <c r="K4" s="24">
        <f ca="1">Sheet2!$G4</f>
        <v>0</v>
      </c>
      <c r="L4" s="24">
        <f t="shared" ca="1" si="2"/>
        <v>999991.84</v>
      </c>
      <c r="N4" s="19">
        <v>320.10000000000002</v>
      </c>
      <c r="O4" s="24">
        <f>LEN(SUBSTITUTE(F4," ",))/3</f>
        <v>6</v>
      </c>
      <c r="S4" s="24" t="e">
        <f>SUM(LEFT(E$2,1),MID(E$2,2,1),MID(E$2,3,1))</f>
        <v>#VALUE!</v>
      </c>
    </row>
    <row r="5" spans="1:19" x14ac:dyDescent="0.15">
      <c r="A5" s="19">
        <v>10</v>
      </c>
      <c r="D5" s="19" t="s">
        <v>31</v>
      </c>
      <c r="E5" s="17" t="s">
        <v>41</v>
      </c>
      <c r="F5" s="18" t="s">
        <v>53</v>
      </c>
      <c r="G5" s="24">
        <v>1</v>
      </c>
      <c r="H5" s="24">
        <f t="shared" ca="1" si="1"/>
        <v>5</v>
      </c>
      <c r="I5" s="19">
        <f t="shared" si="0"/>
        <v>40</v>
      </c>
      <c r="J5" s="19" t="str">
        <f ca="1">Sheet2!E$2</f>
        <v>654</v>
      </c>
      <c r="K5" s="24">
        <f ca="1">Sheet2!$G5</f>
        <v>158.4</v>
      </c>
      <c r="L5" s="24">
        <f t="shared" ca="1" si="2"/>
        <v>1000110.24</v>
      </c>
      <c r="N5" s="19">
        <v>320.10000000000002</v>
      </c>
      <c r="O5" s="19">
        <f>COMBIN(LEN(SUBSTITUTE(F5," ",)),3)</f>
        <v>20</v>
      </c>
    </row>
    <row r="6" spans="1:19" x14ac:dyDescent="0.15">
      <c r="A6" s="19">
        <v>11</v>
      </c>
      <c r="D6" s="19" t="s">
        <v>31</v>
      </c>
      <c r="E6" s="17" t="s">
        <v>43</v>
      </c>
      <c r="F6" s="18" t="s">
        <v>54</v>
      </c>
      <c r="G6" s="24">
        <v>1</v>
      </c>
      <c r="H6" s="24">
        <f t="shared" ca="1" si="1"/>
        <v>4</v>
      </c>
      <c r="I6" s="19">
        <f t="shared" si="0"/>
        <v>2</v>
      </c>
      <c r="J6" s="19" t="str">
        <f ca="1">Sheet2!E$2</f>
        <v>654</v>
      </c>
      <c r="K6" s="24">
        <f>Sheet2!$G6</f>
        <v>47.519999999999996</v>
      </c>
      <c r="L6" s="24">
        <f t="shared" ca="1" si="2"/>
        <v>1000155.76</v>
      </c>
      <c r="N6" s="19">
        <v>320.10000000000002</v>
      </c>
      <c r="O6" s="19">
        <v>1</v>
      </c>
    </row>
    <row r="7" spans="1:19" x14ac:dyDescent="0.15">
      <c r="A7" s="19">
        <v>12</v>
      </c>
      <c r="D7" s="19" t="s">
        <v>32</v>
      </c>
      <c r="E7" s="17" t="s">
        <v>45</v>
      </c>
      <c r="F7" s="18" t="s">
        <v>55</v>
      </c>
      <c r="G7" s="24">
        <v>1</v>
      </c>
      <c r="H7" s="24">
        <f t="shared" ca="1" si="1"/>
        <v>6</v>
      </c>
      <c r="I7" s="19">
        <f t="shared" si="0"/>
        <v>12</v>
      </c>
      <c r="J7" s="19" t="str">
        <f ca="1">Sheet2!E$2</f>
        <v>654</v>
      </c>
      <c r="K7" s="24">
        <f ca="1">Sheet2!$G7</f>
        <v>0</v>
      </c>
      <c r="L7" s="24">
        <f t="shared" ca="1" si="2"/>
        <v>1000143.76</v>
      </c>
      <c r="M7" s="19" t="s">
        <v>11</v>
      </c>
      <c r="N7" s="19">
        <v>213.4</v>
      </c>
      <c r="O7" s="19">
        <f>LEN(SUBSTITUTE(F7," ",))/2</f>
        <v>6</v>
      </c>
    </row>
    <row r="8" spans="1:19" x14ac:dyDescent="0.15">
      <c r="A8" s="19">
        <v>13</v>
      </c>
      <c r="D8" s="19" t="s">
        <v>32</v>
      </c>
      <c r="E8" s="17" t="s">
        <v>47</v>
      </c>
      <c r="F8" s="18" t="s">
        <v>60</v>
      </c>
      <c r="G8" s="24">
        <v>1</v>
      </c>
      <c r="H8" s="24">
        <f t="shared" ca="1" si="1"/>
        <v>1</v>
      </c>
      <c r="I8" s="19">
        <f t="shared" si="0"/>
        <v>18</v>
      </c>
      <c r="J8" s="19" t="str">
        <f ca="1">Sheet2!E$2</f>
        <v>654</v>
      </c>
      <c r="K8" s="24">
        <f ca="1">Sheet2!$G8</f>
        <v>0</v>
      </c>
      <c r="L8" s="24">
        <f t="shared" ca="1" si="2"/>
        <v>1000125.76</v>
      </c>
      <c r="N8" s="19">
        <v>213.4</v>
      </c>
      <c r="O8" s="17">
        <v>9</v>
      </c>
    </row>
    <row r="9" spans="1:19" x14ac:dyDescent="0.15">
      <c r="A9" s="19">
        <v>15</v>
      </c>
      <c r="D9" s="19" t="s">
        <v>32</v>
      </c>
      <c r="E9" s="17" t="s">
        <v>49</v>
      </c>
      <c r="F9" s="18" t="s">
        <v>56</v>
      </c>
      <c r="G9" s="24">
        <v>1</v>
      </c>
      <c r="H9" s="24">
        <f t="shared" ca="1" si="1"/>
        <v>7</v>
      </c>
      <c r="I9" s="19">
        <f t="shared" si="0"/>
        <v>12</v>
      </c>
      <c r="J9" s="19" t="str">
        <f ca="1">Sheet2!E$2</f>
        <v>654</v>
      </c>
      <c r="K9" s="24">
        <f ca="1">Sheet2!$G9</f>
        <v>56.97</v>
      </c>
      <c r="L9" s="24">
        <f t="shared" ca="1" si="2"/>
        <v>1000170.73</v>
      </c>
      <c r="N9" s="19">
        <v>106.7</v>
      </c>
      <c r="O9" s="24">
        <f>LEN(SUBSTITUTE(F9," ",))</f>
        <v>6</v>
      </c>
    </row>
    <row r="11" spans="1:19" x14ac:dyDescent="0.15">
      <c r="K11" s="24" t="s">
        <v>58</v>
      </c>
    </row>
    <row r="12" spans="1:19" x14ac:dyDescent="0.15">
      <c r="K12" s="19">
        <f>LEN(SUBSTITUTE(K11," ",))</f>
        <v>4</v>
      </c>
    </row>
    <row r="13" spans="1:19" x14ac:dyDescent="0.15"/>
    <row r="14" spans="1:19" x14ac:dyDescent="0.15"/>
    <row r="15" spans="1:19" x14ac:dyDescent="0.15"/>
    <row r="18" spans="5:14" ht="27" x14ac:dyDescent="0.15">
      <c r="E18" s="19" t="s">
        <v>34</v>
      </c>
      <c r="F18" s="20" t="s">
        <v>50</v>
      </c>
      <c r="G18" s="19">
        <v>1</v>
      </c>
      <c r="H18" s="19">
        <v>2</v>
      </c>
      <c r="I18" s="19">
        <v>40</v>
      </c>
      <c r="J18" s="19" t="s">
        <v>90</v>
      </c>
      <c r="K18" s="19">
        <v>25.94</v>
      </c>
      <c r="L18" s="19">
        <v>999985.94</v>
      </c>
    </row>
    <row r="19" spans="5:14" x14ac:dyDescent="0.15">
      <c r="E19" s="19" t="s">
        <v>36</v>
      </c>
      <c r="F19" s="20" t="s">
        <v>36</v>
      </c>
      <c r="G19" s="19">
        <v>1</v>
      </c>
      <c r="H19" s="19">
        <v>4</v>
      </c>
      <c r="I19" s="19">
        <v>2</v>
      </c>
      <c r="J19" s="19" t="s">
        <v>90</v>
      </c>
      <c r="K19" s="19">
        <v>0</v>
      </c>
      <c r="L19" s="19">
        <v>999983.94</v>
      </c>
    </row>
    <row r="20" spans="5:14" x14ac:dyDescent="0.15">
      <c r="E20" s="19" t="s">
        <v>38</v>
      </c>
      <c r="F20" s="20" t="s">
        <v>88</v>
      </c>
      <c r="G20" s="19">
        <v>1</v>
      </c>
      <c r="H20" s="19">
        <v>7</v>
      </c>
      <c r="I20" s="19">
        <v>12</v>
      </c>
      <c r="J20" s="19" t="s">
        <v>90</v>
      </c>
      <c r="K20" s="19">
        <v>0</v>
      </c>
      <c r="L20" s="19">
        <v>999971.94</v>
      </c>
    </row>
    <row r="21" spans="5:14" x14ac:dyDescent="0.15">
      <c r="E21" s="19" t="s">
        <v>40</v>
      </c>
      <c r="F21" s="20" t="s">
        <v>84</v>
      </c>
      <c r="G21" s="19">
        <v>1</v>
      </c>
      <c r="H21" s="19">
        <v>3</v>
      </c>
      <c r="I21" s="19">
        <v>40</v>
      </c>
      <c r="J21" s="19" t="s">
        <v>90</v>
      </c>
      <c r="K21" s="19">
        <v>158.4</v>
      </c>
      <c r="L21" s="19">
        <v>1000090.34</v>
      </c>
    </row>
    <row r="22" spans="5:14" x14ac:dyDescent="0.15">
      <c r="E22" s="19" t="s">
        <v>42</v>
      </c>
      <c r="F22" s="20" t="s">
        <v>42</v>
      </c>
      <c r="G22" s="19">
        <v>1</v>
      </c>
      <c r="H22" s="19">
        <v>6</v>
      </c>
      <c r="I22" s="19">
        <v>2</v>
      </c>
      <c r="J22" s="19" t="s">
        <v>90</v>
      </c>
      <c r="K22" s="19">
        <v>47.519999999999996</v>
      </c>
      <c r="L22" s="19">
        <v>1000135.86</v>
      </c>
    </row>
    <row r="23" spans="5:14" x14ac:dyDescent="0.15">
      <c r="E23" s="19" t="s">
        <v>44</v>
      </c>
      <c r="F23" s="20" t="s">
        <v>89</v>
      </c>
      <c r="G23" s="19">
        <v>1</v>
      </c>
      <c r="H23" s="19">
        <v>1</v>
      </c>
      <c r="I23" s="19">
        <v>12</v>
      </c>
      <c r="J23" s="19" t="s">
        <v>90</v>
      </c>
      <c r="K23" s="19">
        <v>0</v>
      </c>
      <c r="L23" s="19">
        <v>1000123.86</v>
      </c>
    </row>
    <row r="24" spans="5:14" x14ac:dyDescent="0.15">
      <c r="E24" s="19" t="s">
        <v>46</v>
      </c>
      <c r="F24" s="20" t="s">
        <v>59</v>
      </c>
      <c r="G24" s="19">
        <v>1</v>
      </c>
      <c r="H24" s="19">
        <v>5</v>
      </c>
      <c r="I24" s="19">
        <v>18</v>
      </c>
      <c r="J24" s="19" t="s">
        <v>90</v>
      </c>
      <c r="K24" s="19">
        <v>0</v>
      </c>
      <c r="L24" s="19">
        <v>1000105.86</v>
      </c>
    </row>
    <row r="25" spans="5:14" x14ac:dyDescent="0.15">
      <c r="E25" s="19" t="s">
        <v>48</v>
      </c>
      <c r="F25" s="20" t="s">
        <v>84</v>
      </c>
      <c r="G25" s="19">
        <v>1</v>
      </c>
      <c r="H25" s="19">
        <v>6</v>
      </c>
      <c r="I25" s="19">
        <v>12</v>
      </c>
      <c r="J25" s="19" t="s">
        <v>90</v>
      </c>
      <c r="K25" s="19">
        <v>56.97</v>
      </c>
      <c r="L25" s="19">
        <v>1000150.83</v>
      </c>
    </row>
  </sheetData>
  <phoneticPr fontId="1" type="noConversion"/>
  <pageMargins left="0.75" right="0.75" top="1" bottom="1" header="0.51180555555555596" footer="0.51180555555555596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29"/>
  <sheetViews>
    <sheetView topLeftCell="B1" workbookViewId="0">
      <pane ySplit="1" topLeftCell="A2" activePane="bottomLeft" state="frozen"/>
      <selection pane="bottomLeft" activeCell="G10" sqref="G10"/>
    </sheetView>
  </sheetViews>
  <sheetFormatPr defaultRowHeight="20.100000000000001" customHeight="1" x14ac:dyDescent="0.15"/>
  <cols>
    <col min="1" max="1" width="9.5" style="15" bestFit="1" customWidth="1"/>
    <col min="2" max="2" width="12.125" style="15" customWidth="1"/>
    <col min="3" max="3" width="8.875" style="15" customWidth="1"/>
    <col min="4" max="4" width="66.625" style="3" customWidth="1"/>
    <col min="5" max="5" width="14.375" style="15" customWidth="1"/>
    <col min="6" max="6" width="8" style="5" customWidth="1"/>
    <col min="7" max="7" width="16.5" style="2" customWidth="1"/>
    <col min="8" max="8" width="39.125" style="16" customWidth="1"/>
    <col min="9" max="16384" width="9" style="2"/>
  </cols>
  <sheetData>
    <row r="1" spans="1:10" ht="20.100000000000001" customHeight="1" x14ac:dyDescent="0.15">
      <c r="A1" s="15" t="s">
        <v>0</v>
      </c>
      <c r="B1" s="15" t="s">
        <v>1</v>
      </c>
      <c r="C1" s="15" t="s">
        <v>2</v>
      </c>
      <c r="D1" s="7" t="s">
        <v>3</v>
      </c>
      <c r="E1" s="17" t="s">
        <v>57</v>
      </c>
      <c r="F1" s="17" t="s">
        <v>67</v>
      </c>
      <c r="G1" s="13" t="s">
        <v>62</v>
      </c>
      <c r="I1" s="2" t="s">
        <v>30</v>
      </c>
    </row>
    <row r="2" spans="1:10" ht="63" customHeight="1" x14ac:dyDescent="0.15">
      <c r="A2" s="24" t="s">
        <v>31</v>
      </c>
      <c r="B2" s="17" t="s">
        <v>35</v>
      </c>
      <c r="C2" s="17"/>
      <c r="D2" s="18" t="s">
        <v>61</v>
      </c>
      <c r="E2" s="15" t="str">
        <f ca="1">RANDBETWEEN(1,6)&amp;RANDBETWEEN(1,6)&amp;RANDBETWEEN(1,6)</f>
        <v>654</v>
      </c>
      <c r="F2" s="6">
        <v>2</v>
      </c>
      <c r="G2" s="22">
        <f ca="1">IF(ISNUMBER(FIND(J2,D2,1)),B10*F2,0)+IF(ISNUMBER(FIND(J3,D2,1)),B12*F2,0)+SUM(C14:C29)</f>
        <v>45.84</v>
      </c>
      <c r="H2" s="25" t="str">
        <f>TRIM(IF(LEN(D2)=0,"-",SUBSTITUTE(D2,","," ")))&amp;","&amp;TRIM(IF(LEN(D3)=0,"-",SUBSTITUTE(D3,","," ")))&amp;","&amp;TRIM(IF(LEN(D4)=0,"-",SUBSTITUTE(D4,","," ")))</f>
        <v>大 小 单 双 3 4 5 6 7 8 9 10 11 12 13 14 15 16 17 18,三同号通选,111 222 333 444 555 666</v>
      </c>
      <c r="J2" s="2" t="str">
        <f ca="1">IF(MOD(SUM(LEFT(E$2,1),MID(E$2,2,1),MID(E$2,3,1)),2)=1,",单,",",双,")</f>
        <v>,单,</v>
      </c>
    </row>
    <row r="3" spans="1:10" ht="20.100000000000001" customHeight="1" x14ac:dyDescent="0.15">
      <c r="A3" s="24" t="s">
        <v>31</v>
      </c>
      <c r="B3" s="17" t="s">
        <v>37</v>
      </c>
      <c r="C3" s="17"/>
      <c r="D3" s="18" t="s">
        <v>51</v>
      </c>
      <c r="F3" s="17">
        <v>3</v>
      </c>
      <c r="G3" s="22">
        <f ca="1">IF(AND(LEFT(E2,1)=MID(E2,2,1),LEFT(E2,1)=RIGHT(E2,1)),31.68*F3,0)</f>
        <v>0</v>
      </c>
      <c r="H3" s="16" t="str">
        <f>TRIM(IF(LEN(D5)=0,"-",SUBSTITUTE(D3," "," ")))</f>
        <v>三同号通选</v>
      </c>
      <c r="J3" s="2" t="str">
        <f ca="1">IF(SUM(LEFT(E$2,1),MID(E$2,2,1),MID(E$2,3,1))&lt;11,",小,",",大,")</f>
        <v>,大,</v>
      </c>
    </row>
    <row r="4" spans="1:10" ht="20.100000000000001" customHeight="1" x14ac:dyDescent="0.15">
      <c r="A4" s="24" t="s">
        <v>31</v>
      </c>
      <c r="B4" s="17" t="s">
        <v>39</v>
      </c>
      <c r="C4" s="17"/>
      <c r="D4" s="18" t="s">
        <v>52</v>
      </c>
      <c r="F4" s="17">
        <v>4</v>
      </c>
      <c r="G4" s="22">
        <f ca="1">N(ISNUMBER(FIND(E2,D4,1)))*F4*190.08</f>
        <v>0</v>
      </c>
      <c r="H4" s="16" t="str">
        <f>TRIM(IF(LEN(Sheet2!D4)=0,"-",SUBSTITUTE(Sheet2!D4,","," ")))</f>
        <v>111 222 333 444 555 666</v>
      </c>
      <c r="J4" s="2" t="str">
        <f ca="1">","&amp;SUM(LEFT(E$2,1),MID(E$2,2,1),MID(E$2,3,1))&amp;","</f>
        <v>,15,</v>
      </c>
    </row>
    <row r="5" spans="1:10" ht="20.100000000000001" customHeight="1" x14ac:dyDescent="0.15">
      <c r="A5" s="24" t="s">
        <v>31</v>
      </c>
      <c r="B5" s="17" t="s">
        <v>41</v>
      </c>
      <c r="D5" s="18" t="s">
        <v>85</v>
      </c>
      <c r="F5" s="17">
        <v>5</v>
      </c>
      <c r="G5" s="22">
        <f ca="1">IF(AND(LEFT(E2,1)&lt;&gt;MID(E2,2,1),LEFT(E2,1)&lt;&gt;RIGHT(E2,1),MID(E2,2,1)&lt;&gt;RIGHT(E2,1),ISNUMBER(FIND(LEFT(E2,1),D5,1)),ISNUMBER(FIND(MID(E2,2,1),D5,1)),ISNUMBER(FIND(RIGHT(E2,1),D5,1))),F5*31.68,0)</f>
        <v>158.4</v>
      </c>
      <c r="H5" s="23" t="str">
        <f>TRIM(IF(LEN(Sheet2!D5)=0,"-",SUBSTITUTE(Sheet2!D5,","," ")))</f>
        <v>1 2 3 4 5 6</v>
      </c>
    </row>
    <row r="6" spans="1:10" s="15" customFormat="1" ht="20.100000000000001" customHeight="1" x14ac:dyDescent="0.15">
      <c r="A6" s="24" t="s">
        <v>31</v>
      </c>
      <c r="B6" s="17" t="s">
        <v>43</v>
      </c>
      <c r="C6" s="17"/>
      <c r="D6" s="18" t="s">
        <v>54</v>
      </c>
      <c r="F6" s="17">
        <v>6</v>
      </c>
      <c r="G6" s="22">
        <f>F6*7.92</f>
        <v>47.519999999999996</v>
      </c>
      <c r="H6" s="23" t="str">
        <f>TRIM(IF(LEN(Sheet2!D6)=0,"-",SUBSTITUTE(Sheet2!D6,","," ")))</f>
        <v>三连号通选</v>
      </c>
    </row>
    <row r="7" spans="1:10" s="15" customFormat="1" ht="20.100000000000001" customHeight="1" x14ac:dyDescent="0.15">
      <c r="A7" s="24" t="s">
        <v>32</v>
      </c>
      <c r="B7" s="17" t="s">
        <v>45</v>
      </c>
      <c r="D7" s="18" t="s">
        <v>55</v>
      </c>
      <c r="F7" s="17">
        <v>7</v>
      </c>
      <c r="G7" s="22">
        <f ca="1">IF(AND(MID(E2,2,1)=LEFT(E2,1),LEFT(E2,1)=RIGHT(E2,1)),0,IF(ISNUMBER(FIND(_xlfn.MODE.SNGL(INT(MID(E2,2,1)),INT(LEFT(E2,1)),INT(RIGHT(E2,1))),D7,1)),F7*12.67,0))</f>
        <v>0</v>
      </c>
      <c r="H7" s="23" t="str">
        <f>TRIM(IF(LEN(Sheet2!D7)=0,"-",SUBSTITUTE(Sheet2!D7,","," ")))</f>
        <v>11 22 33 44 55 66</v>
      </c>
    </row>
    <row r="8" spans="1:10" s="15" customFormat="1" ht="20.100000000000001" customHeight="1" x14ac:dyDescent="0.15">
      <c r="A8" s="24" t="s">
        <v>32</v>
      </c>
      <c r="B8" s="17" t="s">
        <v>47</v>
      </c>
      <c r="C8" s="17"/>
      <c r="D8" s="18" t="s">
        <v>86</v>
      </c>
      <c r="F8" s="17">
        <v>8</v>
      </c>
      <c r="G8" s="22">
        <f ca="1">IF(AND(MID(E2,2,1)=LEFT(E2,1),LEFT(E2,1)=RIGHT(E2,1)),0,
 IF(AND(ISNUMBER(FIND(","&amp;SUBSTITUTE(E2,_xlfn.MODE.SNGL(INT(MID(E2,2,1)),INT(LEFT(E2,1)),INT(RIGHT(E2,1))),)&amp;",",D8,1)),
   ISNUMBER(FIND(","&amp;_xlfn.MODE.SNGL(INT(MID(E2,2,1)),INT(LEFT(E2,1)),INT(RIGHT(E2,1)))&amp;_xlfn.MODE.SNGL(INT(MID(E2,2,1)),INT(LEFT(E2,1)),INT(RIGHT(E2,1)))&amp;",",D8,1))),F8*63.36,0))</f>
        <v>0</v>
      </c>
      <c r="H8" s="23" t="str">
        <f>TRIM(IF(LEN(D8)=0,"-",SUBSTITUTE(D8,","," ")))</f>
        <v>11 22 33 4 5 6</v>
      </c>
    </row>
    <row r="9" spans="1:10" s="15" customFormat="1" ht="20.100000000000001" customHeight="1" x14ac:dyDescent="0.15">
      <c r="A9" s="24" t="s">
        <v>32</v>
      </c>
      <c r="B9" s="17" t="s">
        <v>49</v>
      </c>
      <c r="C9" s="17"/>
      <c r="D9" s="18" t="s">
        <v>87</v>
      </c>
      <c r="F9" s="17">
        <v>9</v>
      </c>
      <c r="G9" s="21">
        <f ca="1">IF(AND(LEFT(E2,1)=MID(E2,2,1),LEFT(E2,1)=RIGHT(E2,1)),0,IF(ISNUMBER(_xlfn.MODE.SNGL(INT(MID(E2,2,1)),INT(LEFT(E2,1)),INT(RIGHT(E2,1)))),IF(AND(ISNUMBER(FIND(_xlfn.MODE.SNGL(INT(MID(E2,2,1)),INT(LEFT(E2,1)),INT(RIGHT(E2,1))),D9,1)),ISNUMBER(FIND(SUBSTITUTE(E2,_xlfn.MODE.SNGL(INT(MID(E2,2,1)),INT(LEFT(E2,1)),INT(RIGHT(E2,1))),),D9,1))),F9*6.33,0),IF(SUM(ISNUMBER(FIND(LEFT(E2,1),D9,1)),ISNUMBER(FIND(MID(E2,2,1),D9,1)),ISNUMBER(FIND(RIGHT(E2,1),D9,1)))&gt;=2,F9*6.33,0)))</f>
        <v>56.97</v>
      </c>
      <c r="H9" s="23" t="str">
        <f>TRIM(IF(LEN(Sheet2!D9)=0,"-",SUBSTITUTE(Sheet2!D9,","," ")))</f>
        <v>1 2 5 6</v>
      </c>
    </row>
    <row r="10" spans="1:10" ht="20.100000000000001" customHeight="1" x14ac:dyDescent="0.15">
      <c r="A10" s="17" t="s">
        <v>63</v>
      </c>
      <c r="B10" s="15">
        <v>1.96</v>
      </c>
      <c r="D10" s="14"/>
      <c r="G10" s="17"/>
    </row>
    <row r="11" spans="1:10" ht="20.100000000000001" customHeight="1" x14ac:dyDescent="0.15">
      <c r="A11" s="17" t="s">
        <v>64</v>
      </c>
      <c r="B11" s="24">
        <v>1.96</v>
      </c>
      <c r="D11" s="10"/>
    </row>
    <row r="12" spans="1:10" ht="20.100000000000001" customHeight="1" x14ac:dyDescent="0.15">
      <c r="A12" s="17" t="s">
        <v>65</v>
      </c>
      <c r="B12" s="24">
        <v>1.96</v>
      </c>
      <c r="D12" s="7"/>
      <c r="G12" s="17"/>
    </row>
    <row r="13" spans="1:10" ht="20.100000000000001" customHeight="1" x14ac:dyDescent="0.15">
      <c r="A13" s="17" t="s">
        <v>66</v>
      </c>
      <c r="B13" s="24">
        <v>1.96</v>
      </c>
      <c r="D13" s="10"/>
    </row>
    <row r="14" spans="1:10" ht="20.100000000000001" customHeight="1" x14ac:dyDescent="0.15">
      <c r="A14" s="17" t="s">
        <v>68</v>
      </c>
      <c r="B14" s="15">
        <v>190.08</v>
      </c>
      <c r="C14" s="15">
        <f ca="1">IF(ISNUMBER(FIND(J$4,$A14,1)),$B14*F$2,0)</f>
        <v>0</v>
      </c>
      <c r="D14" s="7"/>
    </row>
    <row r="15" spans="1:10" ht="20.100000000000001" customHeight="1" x14ac:dyDescent="0.15">
      <c r="A15" s="17" t="s">
        <v>69</v>
      </c>
      <c r="B15" s="15">
        <v>63.36</v>
      </c>
      <c r="C15" s="24">
        <f t="shared" ref="C15:C29" ca="1" si="0">IF(ISNUMBER(FIND(J$4,$A15,1)),$B15*F$2,0)</f>
        <v>0</v>
      </c>
      <c r="D15" s="7"/>
    </row>
    <row r="16" spans="1:10" ht="20.100000000000001" customHeight="1" x14ac:dyDescent="0.15">
      <c r="A16" s="17" t="s">
        <v>70</v>
      </c>
      <c r="B16" s="15">
        <v>31.68</v>
      </c>
      <c r="C16" s="24">
        <f t="shared" ca="1" si="0"/>
        <v>0</v>
      </c>
      <c r="D16" s="7"/>
    </row>
    <row r="17" spans="1:3" ht="20.100000000000001" customHeight="1" x14ac:dyDescent="0.15">
      <c r="A17" s="17" t="s">
        <v>71</v>
      </c>
      <c r="B17" s="15">
        <v>19</v>
      </c>
      <c r="C17" s="24">
        <f t="shared" ca="1" si="0"/>
        <v>0</v>
      </c>
    </row>
    <row r="18" spans="1:3" ht="20.100000000000001" customHeight="1" x14ac:dyDescent="0.15">
      <c r="A18" s="17" t="s">
        <v>72</v>
      </c>
      <c r="B18" s="15">
        <v>12.67</v>
      </c>
      <c r="C18" s="24">
        <f t="shared" ca="1" si="0"/>
        <v>0</v>
      </c>
    </row>
    <row r="19" spans="1:3" ht="20.100000000000001" customHeight="1" x14ac:dyDescent="0.15">
      <c r="A19" s="17" t="s">
        <v>73</v>
      </c>
      <c r="B19" s="15">
        <v>9.0500000000000007</v>
      </c>
      <c r="C19" s="24">
        <f t="shared" ca="1" si="0"/>
        <v>0</v>
      </c>
    </row>
    <row r="20" spans="1:3" ht="20.100000000000001" customHeight="1" x14ac:dyDescent="0.15">
      <c r="A20" s="17" t="s">
        <v>74</v>
      </c>
      <c r="B20" s="15">
        <v>7.6</v>
      </c>
      <c r="C20" s="24">
        <f t="shared" ca="1" si="0"/>
        <v>0</v>
      </c>
    </row>
    <row r="21" spans="1:3" ht="20.100000000000001" customHeight="1" x14ac:dyDescent="0.15">
      <c r="A21" s="17" t="s">
        <v>75</v>
      </c>
      <c r="B21" s="15">
        <v>7.04</v>
      </c>
      <c r="C21" s="24">
        <f t="shared" ca="1" si="0"/>
        <v>0</v>
      </c>
    </row>
    <row r="22" spans="1:3" ht="20.100000000000001" customHeight="1" x14ac:dyDescent="0.15">
      <c r="A22" s="17" t="s">
        <v>76</v>
      </c>
      <c r="B22" s="24">
        <v>7.04</v>
      </c>
      <c r="C22" s="24">
        <f t="shared" ca="1" si="0"/>
        <v>0</v>
      </c>
    </row>
    <row r="23" spans="1:3" ht="20.100000000000001" customHeight="1" x14ac:dyDescent="0.15">
      <c r="A23" s="17" t="s">
        <v>77</v>
      </c>
      <c r="B23" s="24">
        <v>7.6</v>
      </c>
      <c r="C23" s="24">
        <f t="shared" ca="1" si="0"/>
        <v>0</v>
      </c>
    </row>
    <row r="24" spans="1:3" ht="20.100000000000001" customHeight="1" x14ac:dyDescent="0.15">
      <c r="A24" s="17" t="s">
        <v>78</v>
      </c>
      <c r="B24" s="24">
        <v>9.0500000000000007</v>
      </c>
      <c r="C24" s="24">
        <f t="shared" ca="1" si="0"/>
        <v>0</v>
      </c>
    </row>
    <row r="25" spans="1:3" ht="20.100000000000001" customHeight="1" x14ac:dyDescent="0.15">
      <c r="A25" s="17" t="s">
        <v>79</v>
      </c>
      <c r="B25" s="24">
        <v>12.67</v>
      </c>
      <c r="C25" s="24">
        <f t="shared" ca="1" si="0"/>
        <v>0</v>
      </c>
    </row>
    <row r="26" spans="1:3" ht="20.100000000000001" customHeight="1" x14ac:dyDescent="0.15">
      <c r="A26" s="17" t="s">
        <v>80</v>
      </c>
      <c r="B26" s="24">
        <v>19</v>
      </c>
      <c r="C26" s="24">
        <f t="shared" ca="1" si="0"/>
        <v>38</v>
      </c>
    </row>
    <row r="27" spans="1:3" ht="20.100000000000001" customHeight="1" x14ac:dyDescent="0.15">
      <c r="A27" s="17" t="s">
        <v>81</v>
      </c>
      <c r="B27" s="24">
        <v>31.68</v>
      </c>
      <c r="C27" s="24">
        <f t="shared" ca="1" si="0"/>
        <v>0</v>
      </c>
    </row>
    <row r="28" spans="1:3" ht="20.100000000000001" customHeight="1" x14ac:dyDescent="0.15">
      <c r="A28" s="17" t="s">
        <v>82</v>
      </c>
      <c r="B28" s="24">
        <v>63.36</v>
      </c>
      <c r="C28" s="24">
        <f t="shared" ca="1" si="0"/>
        <v>0</v>
      </c>
    </row>
    <row r="29" spans="1:3" ht="20.100000000000001" customHeight="1" x14ac:dyDescent="0.15">
      <c r="A29" s="17" t="s">
        <v>83</v>
      </c>
      <c r="B29" s="24">
        <v>190.08</v>
      </c>
      <c r="C29" s="24">
        <f t="shared" ca="1" si="0"/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9"/>
  <sheetViews>
    <sheetView workbookViewId="0">
      <selection activeCell="H9" sqref="H9"/>
    </sheetView>
  </sheetViews>
  <sheetFormatPr defaultRowHeight="13.5" x14ac:dyDescent="0.15"/>
  <cols>
    <col min="1" max="1" width="14.75" style="4" bestFit="1" customWidth="1"/>
    <col min="2" max="2" width="14.75" style="4" customWidth="1"/>
    <col min="3" max="3" width="26.875" style="7" customWidth="1"/>
    <col min="4" max="4" width="8.25" style="4" customWidth="1"/>
    <col min="5" max="5" width="6.125" style="4" customWidth="1"/>
    <col min="6" max="6" width="9.375" style="4" customWidth="1"/>
    <col min="7" max="7" width="18.5" style="4" bestFit="1" customWidth="1"/>
    <col min="8" max="8" width="13.625" style="4" bestFit="1" customWidth="1"/>
    <col min="9" max="9" width="13.25" style="4" customWidth="1"/>
    <col min="10" max="10" width="9" style="4"/>
    <col min="11" max="11" width="15.125" style="4" customWidth="1"/>
    <col min="12" max="12" width="97.125" style="4" bestFit="1" customWidth="1"/>
    <col min="13" max="13" width="14.75" style="4" bestFit="1" customWidth="1"/>
    <col min="14" max="14" width="17.25" style="4" bestFit="1" customWidth="1"/>
    <col min="15" max="15" width="13.625" style="4" bestFit="1" customWidth="1"/>
    <col min="16" max="16" width="12.5" style="4" bestFit="1" customWidth="1"/>
    <col min="17" max="17" width="11.375" style="4" bestFit="1" customWidth="1"/>
    <col min="18" max="18" width="16" style="4" bestFit="1" customWidth="1"/>
    <col min="19" max="19" width="18.5" style="4" bestFit="1" customWidth="1"/>
    <col min="20" max="20" width="13.625" style="4" bestFit="1" customWidth="1"/>
    <col min="21" max="16384" width="9" style="4"/>
  </cols>
  <sheetData>
    <row r="1" spans="1:12" x14ac:dyDescent="0.15">
      <c r="A1" s="4" t="s">
        <v>21</v>
      </c>
      <c r="B1" s="4" t="s">
        <v>22</v>
      </c>
      <c r="C1" s="4" t="s">
        <v>23</v>
      </c>
      <c r="D1" s="4" t="s">
        <v>24</v>
      </c>
      <c r="E1" s="4" t="s">
        <v>25</v>
      </c>
      <c r="F1" s="4" t="s">
        <v>26</v>
      </c>
      <c r="G1" s="4" t="s">
        <v>27</v>
      </c>
      <c r="H1" s="4" t="s">
        <v>28</v>
      </c>
      <c r="I1" s="4" t="s">
        <v>29</v>
      </c>
    </row>
    <row r="2" spans="1:12" x14ac:dyDescent="0.15">
      <c r="A2" s="9"/>
      <c r="B2" s="9" t="s">
        <v>34</v>
      </c>
      <c r="C2" s="8" t="s">
        <v>50</v>
      </c>
      <c r="D2" s="9">
        <v>1</v>
      </c>
      <c r="E2" s="9">
        <v>2</v>
      </c>
      <c r="F2" s="9">
        <v>40</v>
      </c>
      <c r="G2" s="8" t="s">
        <v>90</v>
      </c>
      <c r="H2" s="9">
        <v>25.94</v>
      </c>
      <c r="I2" s="9">
        <v>999985.94</v>
      </c>
      <c r="K2" s="13"/>
      <c r="L2" s="13"/>
    </row>
    <row r="3" spans="1:12" x14ac:dyDescent="0.15">
      <c r="A3" s="9"/>
      <c r="B3" s="9" t="s">
        <v>36</v>
      </c>
      <c r="C3" s="8" t="s">
        <v>36</v>
      </c>
      <c r="D3" s="9">
        <v>1</v>
      </c>
      <c r="E3" s="9">
        <v>4</v>
      </c>
      <c r="F3" s="9">
        <v>2</v>
      </c>
      <c r="G3" s="9" t="s">
        <v>90</v>
      </c>
      <c r="H3" s="9">
        <v>0</v>
      </c>
      <c r="I3" s="9">
        <v>999983.94</v>
      </c>
      <c r="K3" s="13"/>
      <c r="L3" s="13"/>
    </row>
    <row r="4" spans="1:12" x14ac:dyDescent="0.15">
      <c r="A4" s="9"/>
      <c r="B4" s="9" t="s">
        <v>38</v>
      </c>
      <c r="C4" s="8" t="s">
        <v>88</v>
      </c>
      <c r="D4" s="9">
        <v>1</v>
      </c>
      <c r="E4" s="9">
        <v>7</v>
      </c>
      <c r="F4" s="9">
        <v>12</v>
      </c>
      <c r="G4" s="9" t="s">
        <v>90</v>
      </c>
      <c r="H4" s="9">
        <v>0</v>
      </c>
      <c r="I4" s="9">
        <v>999971.94</v>
      </c>
      <c r="K4" s="13"/>
      <c r="L4" s="13"/>
    </row>
    <row r="5" spans="1:12" x14ac:dyDescent="0.15">
      <c r="A5" s="9"/>
      <c r="B5" s="9" t="s">
        <v>40</v>
      </c>
      <c r="C5" s="8" t="s">
        <v>84</v>
      </c>
      <c r="D5" s="9">
        <v>1</v>
      </c>
      <c r="E5" s="9">
        <v>3</v>
      </c>
      <c r="F5" s="9">
        <v>40</v>
      </c>
      <c r="G5" s="9" t="s">
        <v>90</v>
      </c>
      <c r="H5" s="9">
        <v>158.4</v>
      </c>
      <c r="I5" s="9">
        <v>1000090.34</v>
      </c>
      <c r="K5" s="13"/>
      <c r="L5" s="12"/>
    </row>
    <row r="6" spans="1:12" x14ac:dyDescent="0.15">
      <c r="A6" s="9"/>
      <c r="B6" s="9" t="s">
        <v>42</v>
      </c>
      <c r="C6" s="8" t="s">
        <v>42</v>
      </c>
      <c r="D6" s="9">
        <v>1</v>
      </c>
      <c r="E6" s="9">
        <v>6</v>
      </c>
      <c r="F6" s="9">
        <v>2</v>
      </c>
      <c r="G6" s="9" t="s">
        <v>90</v>
      </c>
      <c r="H6" s="9">
        <v>47.519999999999996</v>
      </c>
      <c r="I6" s="9">
        <v>1000135.86</v>
      </c>
      <c r="K6" s="13"/>
      <c r="L6" s="12"/>
    </row>
    <row r="7" spans="1:12" x14ac:dyDescent="0.15">
      <c r="A7" s="8"/>
      <c r="B7" s="8" t="s">
        <v>44</v>
      </c>
      <c r="C7" s="8" t="s">
        <v>89</v>
      </c>
      <c r="D7" s="9">
        <v>1</v>
      </c>
      <c r="E7" s="9">
        <v>1</v>
      </c>
      <c r="F7" s="9">
        <v>12</v>
      </c>
      <c r="G7" s="9" t="s">
        <v>90</v>
      </c>
      <c r="H7" s="9">
        <v>0</v>
      </c>
      <c r="I7" s="11">
        <v>1000123.86</v>
      </c>
      <c r="K7" s="13"/>
      <c r="L7" s="12"/>
    </row>
    <row r="8" spans="1:12" x14ac:dyDescent="0.15">
      <c r="A8" s="8"/>
      <c r="B8" s="8" t="s">
        <v>46</v>
      </c>
      <c r="C8" s="8" t="s">
        <v>59</v>
      </c>
      <c r="D8" s="12">
        <v>1</v>
      </c>
      <c r="E8" s="12">
        <v>5</v>
      </c>
      <c r="F8" s="12">
        <v>18</v>
      </c>
      <c r="G8" s="12" t="s">
        <v>90</v>
      </c>
      <c r="H8" s="12">
        <v>0</v>
      </c>
      <c r="I8" s="11">
        <v>1000105.86</v>
      </c>
      <c r="K8" s="13"/>
      <c r="L8" s="12"/>
    </row>
    <row r="9" spans="1:12" x14ac:dyDescent="0.15">
      <c r="A9" s="8"/>
      <c r="B9" s="8" t="s">
        <v>48</v>
      </c>
      <c r="C9" s="8" t="s">
        <v>84</v>
      </c>
      <c r="D9" s="12">
        <v>1</v>
      </c>
      <c r="E9" s="12">
        <v>6</v>
      </c>
      <c r="F9" s="12">
        <v>12</v>
      </c>
      <c r="G9" s="12" t="s">
        <v>90</v>
      </c>
      <c r="H9" s="12">
        <v>56.97</v>
      </c>
      <c r="I9" s="11">
        <v>1000150.83</v>
      </c>
      <c r="K9" s="13"/>
      <c r="L9" s="12"/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kingsoft</dc:creator>
  <cp:lastModifiedBy>Lance</cp:lastModifiedBy>
  <dcterms:created xsi:type="dcterms:W3CDTF">2018-02-27T11:14:00Z</dcterms:created>
  <dcterms:modified xsi:type="dcterms:W3CDTF">2018-06-12T07:29:29Z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2052-10.1.0.7346</vt:lpwstr>
  </property>
</Properties>
</file>