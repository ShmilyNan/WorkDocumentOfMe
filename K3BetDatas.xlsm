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2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Sheet1!$A$1:$S$26</definedName>
  </definedNames>
  <calcPr calcId="162913" iterate="1" iterateCount="101"/>
</workbook>
</file>

<file path=xl/calcChain.xml><?xml version="1.0" encoding="utf-8"?>
<calcChain xmlns="http://schemas.openxmlformats.org/spreadsheetml/2006/main">
  <c r="F2" i="1" l="1"/>
  <c r="H3" i="1"/>
  <c r="H4" i="1"/>
  <c r="H5" i="1"/>
  <c r="H6" i="1"/>
  <c r="H7" i="1"/>
  <c r="H8" i="1"/>
  <c r="H9" i="1"/>
  <c r="H2" i="1"/>
  <c r="K6" i="1"/>
  <c r="G6" i="2"/>
  <c r="S2" i="1"/>
  <c r="S4" i="1"/>
  <c r="O4" i="1"/>
  <c r="O9" i="1"/>
  <c r="O7" i="1"/>
  <c r="O5" i="1"/>
  <c r="K12" i="1"/>
  <c r="E2" i="2"/>
  <c r="H8" i="2"/>
  <c r="H9" i="2"/>
  <c r="H5" i="2"/>
  <c r="H6" i="2"/>
  <c r="H7" i="2"/>
  <c r="H4" i="2"/>
  <c r="H3" i="2"/>
  <c r="H2" i="2"/>
  <c r="J2" i="2" l="1"/>
  <c r="G3" i="2"/>
  <c r="K3" i="1" s="1"/>
  <c r="G9" i="2"/>
  <c r="G7" i="2"/>
  <c r="G8" i="2"/>
  <c r="G5" i="2"/>
  <c r="G4" i="2"/>
  <c r="J4" i="2"/>
  <c r="J3" i="2"/>
  <c r="I6" i="1"/>
  <c r="I5" i="1"/>
  <c r="I9" i="1"/>
  <c r="I8" i="1"/>
  <c r="I7" i="1"/>
  <c r="K4" i="1" l="1"/>
  <c r="K5" i="1"/>
  <c r="K8" i="1"/>
  <c r="K9" i="1"/>
  <c r="K7" i="1"/>
  <c r="C14" i="2"/>
  <c r="C18" i="2"/>
  <c r="C26" i="2"/>
  <c r="C19" i="2"/>
  <c r="C27" i="2"/>
  <c r="C20" i="2"/>
  <c r="C28" i="2"/>
  <c r="C21" i="2"/>
  <c r="C29" i="2"/>
  <c r="C22" i="2"/>
  <c r="C15" i="2"/>
  <c r="C23" i="2"/>
  <c r="C16" i="2"/>
  <c r="C24" i="2"/>
  <c r="C17" i="2"/>
  <c r="C25" i="2"/>
  <c r="J2" i="1"/>
  <c r="J4" i="1"/>
  <c r="J5" i="1"/>
  <c r="J3" i="1"/>
  <c r="J9" i="1"/>
  <c r="J7" i="1"/>
  <c r="J8" i="1"/>
  <c r="J6" i="1"/>
  <c r="G2" i="2" l="1"/>
  <c r="I3" i="1"/>
  <c r="I4" i="1"/>
  <c r="I2" i="1"/>
  <c r="K2" i="1" l="1"/>
  <c r="L2" i="1" s="1"/>
  <c r="L3" i="1" l="1"/>
  <c r="L4" i="1" s="1"/>
  <c r="L5" i="1" s="1"/>
  <c r="L6" i="1" s="1"/>
  <c r="L7" i="1" s="1"/>
  <c r="L8" i="1" s="1"/>
  <c r="L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P1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N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<sst xmlns="http://schemas.openxmlformats.org/spreadsheetml/2006/main" count="153" uniqueCount="91">
  <si>
    <t>BetRange</t>
  </si>
  <si>
    <t>PlayType</t>
  </si>
  <si>
    <t>Clomun</t>
  </si>
  <si>
    <t>Option</t>
  </si>
  <si>
    <t>Issue</t>
  </si>
  <si>
    <t>Group</t>
  </si>
  <si>
    <t>Multiple</t>
  </si>
  <si>
    <t>Reward</t>
  </si>
  <si>
    <t>时时彩</t>
  </si>
  <si>
    <t>定位胆</t>
  </si>
  <si>
    <t>直选</t>
  </si>
  <si>
    <t>组选</t>
  </si>
  <si>
    <t>中奖内容</t>
    <phoneticPr fontId="1" type="noConversion"/>
  </si>
  <si>
    <t>重复个数</t>
    <phoneticPr fontId="1" type="noConversion"/>
  </si>
  <si>
    <t>DrawnAmount</t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</si>
  <si>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</si>
  <si>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</si>
  <si>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</si>
  <si>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</si>
  <si>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</si>
  <si>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</si>
  <si>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</si>
  <si>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</si>
  <si>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</si>
  <si>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</si>
  <si>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</si>
  <si>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</si>
  <si>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</si>
  <si>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</si>
  <si>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</si>
  <si>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</si>
  <si>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</si>
  <si>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</si>
  <si>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</si>
  <si>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</si>
  <si>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</si>
  <si>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</si>
  <si>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</si>
  <si>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</si>
  <si>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</si>
  <si>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</si>
  <si>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</si>
  <si>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</si>
  <si>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</si>
  <si>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</si>
  <si>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</si>
  <si>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</si>
  <si>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</si>
  <si>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</si>
  <si>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</si>
  <si>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</si>
  <si>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</si>
  <si>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</si>
  <si>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</si>
  <si>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</si>
  <si>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</si>
  <si>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</si>
  <si>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</si>
  <si>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大 小 单 双</t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</si>
  <si>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</si>
  <si>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</si>
  <si>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</si>
  <si>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</si>
  <si>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大</t>
    <phoneticPr fontId="1" type="noConversion"/>
  </si>
  <si>
    <t>小</t>
    <phoneticPr fontId="1" type="noConversion"/>
  </si>
  <si>
    <t>单</t>
    <phoneticPr fontId="1" type="noConversion"/>
  </si>
  <si>
    <t>双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</si>
  <si>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</si>
  <si>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</si>
  <si>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</si>
  <si>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</si>
  <si>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</si>
  <si>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</si>
  <si>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</si>
  <si>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</si>
  <si>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</si>
  <si>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</si>
  <si>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</si>
  <si>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</si>
  <si>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</si>
  <si>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</si>
  <si>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</si>
  <si>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</si>
  <si>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</si>
  <si>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</si>
  <si>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</si>
  <si>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</si>
  <si>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2 5 6</t>
    </r>
    <phoneticPr fontId="1" type="noConversion"/>
  </si>
  <si>
    <t>111 222 333 444 555 666</t>
  </si>
  <si>
    <t>11 22 33 44 55 66</t>
  </si>
  <si>
    <t>265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</si>
</sst>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表1" displayName="表1" ref="A1:I9" tableType="xml" totalsRowShown="0" headerRowDxfId="10" dataDxfId="9" connectionId="6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5"/>
  <sheetViews>
    <sheetView topLeftCell="D1" zoomScaleNormal="100" workbookViewId="0">
      <pane ySplit="1" topLeftCell="A2" activePane="bottomLeft" state="frozen"/>
      <selection activeCell="D1" sqref="D1"/>
      <selection pane="bottomLeft" activeCell="E18" sqref="E18:L25"/>
    </sheetView>
  </sheetViews>
  <sheetFormatPr defaultColWidth="9" defaultRowHeight="13.5" x14ac:dyDescent="0.15"/>
  <cols>
    <col min="1" max="1" width="4.5" style="19" hidden="1" customWidth="1"/>
    <col min="2" max="2" width="12.75" style="19" hidden="1" customWidth="1"/>
    <col min="3" max="3" width="0.125" style="19" hidden="1" customWidth="1"/>
    <col min="4" max="4" width="9.5" style="19" bestFit="1" customWidth="1"/>
    <col min="5" max="5" width="12.125" style="19" customWidth="1"/>
    <col min="6" max="6" width="37.625" style="20" customWidth="1"/>
    <col min="7" max="7" width="12.125" style="19" customWidth="1"/>
    <col min="8" max="8" width="12.25" style="19" customWidth="1"/>
    <col min="9" max="9" width="12.75" style="19" bestFit="1" customWidth="1"/>
    <col min="10" max="10" width="11.75" style="19" customWidth="1"/>
    <col min="11" max="11" width="16.75" style="19" bestFit="1" customWidth="1"/>
    <col min="12" max="12" width="16.25" style="19" customWidth="1"/>
    <col min="13" max="13" width="7.25" style="19" customWidth="1"/>
    <col min="14" max="14" width="8.5" style="19" bestFit="1" customWidth="1"/>
    <col min="15" max="15" width="10.75" style="19" customWidth="1"/>
    <col min="16" max="16" width="8.875" style="19" hidden="1" customWidth="1"/>
    <col min="17" max="17" width="7.625" style="19" hidden="1" customWidth="1"/>
    <col min="18" max="18" width="10.25" style="19" customWidth="1"/>
    <col min="19" max="19" width="48.75" style="19" customWidth="1"/>
    <col min="20" max="16384" width="9" style="19"/>
  </cols>
  <sheetData>
    <row r="1" spans="1:19" x14ac:dyDescent="0.15">
      <c r="A1" s="19">
        <v>1</v>
      </c>
      <c r="B1" s="19">
        <v>5050</v>
      </c>
      <c r="C1" s="19" t="s">
        <v>4</v>
      </c>
      <c r="D1" s="19" t="s">
        <v>0</v>
      </c>
      <c r="E1" s="19" t="s">
        <v>1</v>
      </c>
      <c r="F1" s="20" t="s">
        <v>16</v>
      </c>
      <c r="G1" s="19" t="s">
        <v>6</v>
      </c>
      <c r="H1" s="19" t="s">
        <v>17</v>
      </c>
      <c r="I1" s="19" t="s">
        <v>18</v>
      </c>
      <c r="J1" s="19" t="s">
        <v>20</v>
      </c>
      <c r="K1" s="19" t="s">
        <v>14</v>
      </c>
      <c r="L1" s="19" t="s">
        <v>19</v>
      </c>
      <c r="M1" s="19" t="s">
        <v>5</v>
      </c>
      <c r="N1" s="19" t="s">
        <v>7</v>
      </c>
      <c r="O1" s="19" t="s">
        <v>33</v>
      </c>
      <c r="P1" s="19" t="s">
        <v>13</v>
      </c>
      <c r="Q1" s="19" t="s">
        <v>12</v>
      </c>
      <c r="R1" s="19" t="s">
        <v>15</v>
      </c>
    </row>
    <row r="2" spans="1:19" ht="27" x14ac:dyDescent="0.15">
      <c r="A2" s="1">
        <v>2</v>
      </c>
      <c r="B2" s="19" t="s">
        <v>8</v>
      </c>
      <c r="C2" s="19">
        <v>20180517001</v>
      </c>
      <c r="D2" s="19" t="s">
        <v>31</v>
      </c>
      <c r="E2" s="17" t="s">
        <v>35</v>
      </c>
      <c r="F2" s="18" t="str">
        <f>TRIM(SUBSTITUTE(Sheet2!D2,","," "))</f>
        <v>大 小 单 双 3 4 5 6 7 8 9 10 11 12 13 14 15 16 17 18</v>
      </c>
      <c r="G2" s="19">
        <v>1</v>
      </c>
      <c r="H2" s="19">
        <f ca="1">RANDBETWEEN(1,7)</f>
        <v>3</v>
      </c>
      <c r="I2" s="19">
        <f t="shared" ref="I2:I9" si="0">O2*G2*2</f>
        <v>40</v>
      </c>
      <c r="J2" s="19" t="str">
        <f ca="1">Sheet2!E$2</f>
        <v>263</v>
      </c>
      <c r="K2" s="19">
        <f ca="1">Sheet2!$G2</f>
        <v>21.92</v>
      </c>
      <c r="L2" s="19">
        <f ca="1">R2-I2+K2</f>
        <v>999981.92</v>
      </c>
      <c r="M2" s="19" t="s">
        <v>9</v>
      </c>
      <c r="N2" s="19">
        <v>1920.6</v>
      </c>
      <c r="O2" s="19">
        <v>20</v>
      </c>
      <c r="R2" s="19">
        <v>1000000</v>
      </c>
      <c r="S2" s="19" t="e">
        <f>IF(MOD(SUM(LEFT(E$2,1),MID(E$2,2,1),MID(E$2,3,1)),2)=1,"单","双")</f>
        <v>#VALUE!</v>
      </c>
    </row>
    <row r="3" spans="1:19" ht="19.5" customHeight="1" x14ac:dyDescent="0.15">
      <c r="A3" s="19">
        <v>7</v>
      </c>
      <c r="D3" s="19" t="s">
        <v>31</v>
      </c>
      <c r="E3" s="17" t="s">
        <v>37</v>
      </c>
      <c r="F3" s="18" t="s">
        <v>51</v>
      </c>
      <c r="G3" s="24">
        <v>1</v>
      </c>
      <c r="H3" s="24">
        <f t="shared" ref="H3:H9" ca="1" si="1">RANDBETWEEN(1,7)</f>
        <v>2</v>
      </c>
      <c r="I3" s="19">
        <f t="shared" si="0"/>
        <v>2</v>
      </c>
      <c r="J3" s="19" t="str">
        <f ca="1">Sheet2!E$2</f>
        <v>263</v>
      </c>
      <c r="K3" s="24">
        <f ca="1">Sheet2!$G3</f>
        <v>0</v>
      </c>
      <c r="L3" s="19">
        <f t="shared" ref="L3:L9" ca="1" si="2">$L2-$I3+$K3</f>
        <v>999979.92</v>
      </c>
      <c r="M3" s="19" t="s">
        <v>10</v>
      </c>
      <c r="N3" s="19">
        <v>1920.6</v>
      </c>
      <c r="O3" s="19">
        <v>1</v>
      </c>
      <c r="S3" s="24"/>
    </row>
    <row r="4" spans="1:19" x14ac:dyDescent="0.15">
      <c r="A4" s="19">
        <v>9</v>
      </c>
      <c r="D4" s="19" t="s">
        <v>31</v>
      </c>
      <c r="E4" s="17" t="s">
        <v>39</v>
      </c>
      <c r="F4" s="18" t="s">
        <v>52</v>
      </c>
      <c r="G4" s="24">
        <v>1</v>
      </c>
      <c r="H4" s="24">
        <f t="shared" ca="1" si="1"/>
        <v>2</v>
      </c>
      <c r="I4" s="19">
        <f t="shared" si="0"/>
        <v>12</v>
      </c>
      <c r="J4" s="19" t="str">
        <f ca="1">Sheet2!E$2</f>
        <v>263</v>
      </c>
      <c r="K4" s="24">
        <f ca="1">Sheet2!$G4</f>
        <v>0</v>
      </c>
      <c r="L4" s="24">
        <f t="shared" ca="1" si="2"/>
        <v>999967.92</v>
      </c>
      <c r="N4" s="19">
        <v>320.10000000000002</v>
      </c>
      <c r="O4" s="24">
        <f>LEN(SUBSTITUTE(F4," ",))/3</f>
        <v>6</v>
      </c>
      <c r="S4" s="24" t="e">
        <f>SUM(LEFT(E$2,1),MID(E$2,2,1),MID(E$2,3,1))</f>
        <v>#VALUE!</v>
      </c>
    </row>
    <row r="5" spans="1:19" x14ac:dyDescent="0.15">
      <c r="A5" s="19">
        <v>10</v>
      </c>
      <c r="D5" s="19" t="s">
        <v>31</v>
      </c>
      <c r="E5" s="17" t="s">
        <v>41</v>
      </c>
      <c r="F5" s="18" t="s">
        <v>53</v>
      </c>
      <c r="G5" s="24">
        <v>1</v>
      </c>
      <c r="H5" s="24">
        <f t="shared" ca="1" si="1"/>
        <v>6</v>
      </c>
      <c r="I5" s="19">
        <f t="shared" si="0"/>
        <v>40</v>
      </c>
      <c r="J5" s="19" t="str">
        <f ca="1">Sheet2!E$2</f>
        <v>263</v>
      </c>
      <c r="K5" s="24">
        <f ca="1">Sheet2!$G5</f>
        <v>158.4</v>
      </c>
      <c r="L5" s="24">
        <f t="shared" ca="1" si="2"/>
        <v>1000086.3200000001</v>
      </c>
      <c r="N5" s="19">
        <v>320.10000000000002</v>
      </c>
      <c r="O5" s="19">
        <f>COMBIN(LEN(SUBSTITUTE(F5," ",)),3)</f>
        <v>20</v>
      </c>
    </row>
    <row r="6" spans="1:19" x14ac:dyDescent="0.15">
      <c r="A6" s="19">
        <v>11</v>
      </c>
      <c r="D6" s="19" t="s">
        <v>31</v>
      </c>
      <c r="E6" s="17" t="s">
        <v>43</v>
      </c>
      <c r="F6" s="18" t="s">
        <v>54</v>
      </c>
      <c r="G6" s="24">
        <v>1</v>
      </c>
      <c r="H6" s="24">
        <f t="shared" ca="1" si="1"/>
        <v>6</v>
      </c>
      <c r="I6" s="19">
        <f t="shared" si="0"/>
        <v>2</v>
      </c>
      <c r="J6" s="19" t="str">
        <f ca="1">Sheet2!E$2</f>
        <v>263</v>
      </c>
      <c r="K6" s="24">
        <f>Sheet2!$G6</f>
        <v>47.519999999999996</v>
      </c>
      <c r="L6" s="24">
        <f t="shared" ca="1" si="2"/>
        <v>1000131.8400000001</v>
      </c>
      <c r="N6" s="19">
        <v>320.10000000000002</v>
      </c>
      <c r="O6" s="19">
        <v>1</v>
      </c>
    </row>
    <row r="7" spans="1:19" x14ac:dyDescent="0.15">
      <c r="A7" s="19">
        <v>12</v>
      </c>
      <c r="D7" s="19" t="s">
        <v>32</v>
      </c>
      <c r="E7" s="17" t="s">
        <v>45</v>
      </c>
      <c r="F7" s="18" t="s">
        <v>55</v>
      </c>
      <c r="G7" s="24">
        <v>1</v>
      </c>
      <c r="H7" s="24">
        <f t="shared" ca="1" si="1"/>
        <v>5</v>
      </c>
      <c r="I7" s="19">
        <f t="shared" si="0"/>
        <v>12</v>
      </c>
      <c r="J7" s="19" t="str">
        <f ca="1">Sheet2!E$2</f>
        <v>263</v>
      </c>
      <c r="K7" s="24">
        <f ca="1">Sheet2!$G7</f>
        <v>0</v>
      </c>
      <c r="L7" s="24">
        <f t="shared" ca="1" si="2"/>
        <v>1000119.8400000001</v>
      </c>
      <c r="M7" s="19" t="s">
        <v>11</v>
      </c>
      <c r="N7" s="19">
        <v>213.4</v>
      </c>
      <c r="O7" s="19">
        <f>LEN(SUBSTITUTE(F7," ",))/2</f>
        <v>6</v>
      </c>
    </row>
    <row r="8" spans="1:19" x14ac:dyDescent="0.15">
      <c r="A8" s="19">
        <v>13</v>
      </c>
      <c r="D8" s="19" t="s">
        <v>32</v>
      </c>
      <c r="E8" s="17" t="s">
        <v>47</v>
      </c>
      <c r="F8" s="18" t="s">
        <v>60</v>
      </c>
      <c r="G8" s="24">
        <v>1</v>
      </c>
      <c r="H8" s="24">
        <f t="shared" ca="1" si="1"/>
        <v>3</v>
      </c>
      <c r="I8" s="19">
        <f t="shared" si="0"/>
        <v>18</v>
      </c>
      <c r="J8" s="19" t="str">
        <f ca="1">Sheet2!E$2</f>
        <v>263</v>
      </c>
      <c r="K8" s="24">
        <f ca="1">Sheet2!$G8</f>
        <v>0</v>
      </c>
      <c r="L8" s="24">
        <f t="shared" ca="1" si="2"/>
        <v>1000101.8400000001</v>
      </c>
      <c r="N8" s="19">
        <v>213.4</v>
      </c>
      <c r="O8" s="17">
        <v>9</v>
      </c>
    </row>
    <row r="9" spans="1:19" x14ac:dyDescent="0.15">
      <c r="A9" s="19">
        <v>15</v>
      </c>
      <c r="D9" s="19" t="s">
        <v>32</v>
      </c>
      <c r="E9" s="17" t="s">
        <v>49</v>
      </c>
      <c r="F9" s="18" t="s">
        <v>56</v>
      </c>
      <c r="G9" s="24">
        <v>1</v>
      </c>
      <c r="H9" s="24">
        <f t="shared" ca="1" si="1"/>
        <v>1</v>
      </c>
      <c r="I9" s="19">
        <f t="shared" si="0"/>
        <v>12</v>
      </c>
      <c r="J9" s="19" t="str">
        <f ca="1">Sheet2!E$2</f>
        <v>263</v>
      </c>
      <c r="K9" s="24">
        <f ca="1">Sheet2!$G9</f>
        <v>56.97</v>
      </c>
      <c r="L9" s="24">
        <f t="shared" ca="1" si="2"/>
        <v>1000146.81</v>
      </c>
      <c r="N9" s="19">
        <v>106.7</v>
      </c>
      <c r="O9" s="24">
        <f>LEN(SUBSTITUTE(F9," ",))</f>
        <v>6</v>
      </c>
    </row>
    <row r="11" spans="1:19" x14ac:dyDescent="0.15">
      <c r="K11" s="24" t="s">
        <v>58</v>
      </c>
    </row>
    <row r="12" spans="1:19" x14ac:dyDescent="0.15">
      <c r="K12" s="19">
        <f>LEN(SUBSTITUTE(K11," ",))</f>
        <v>4</v>
      </c>
    </row>
    <row r="13" spans="1:19" x14ac:dyDescent="0.15"/>
    <row r="14" spans="1:19" x14ac:dyDescent="0.15"/>
    <row r="15" spans="1:19" x14ac:dyDescent="0.15"/>
    <row r="18" spans="5:14" ht="27" x14ac:dyDescent="0.15">
      <c r="E18" s="19" t="s">
        <v>34</v>
      </c>
      <c r="F18" s="20" t="s">
        <v>50</v>
      </c>
      <c r="G18" s="19">
        <v>1</v>
      </c>
      <c r="H18" s="19">
        <v>2</v>
      </c>
      <c r="I18" s="19">
        <v>40</v>
      </c>
      <c r="J18" s="19" t="s">
        <v>90</v>
      </c>
      <c r="K18" s="19">
        <v>25.94</v>
      </c>
      <c r="L18" s="19">
        <v>999985.94</v>
      </c>
    </row>
    <row r="19" spans="5:14" x14ac:dyDescent="0.15">
      <c r="E19" s="19" t="s">
        <v>36</v>
      </c>
      <c r="F19" s="20" t="s">
        <v>36</v>
      </c>
      <c r="G19" s="19">
        <v>1</v>
      </c>
      <c r="H19" s="19">
        <v>4</v>
      </c>
      <c r="I19" s="19">
        <v>2</v>
      </c>
      <c r="J19" s="19" t="s">
        <v>90</v>
      </c>
      <c r="K19" s="19">
        <v>0</v>
      </c>
      <c r="L19" s="19">
        <v>999983.94</v>
      </c>
    </row>
    <row r="20" spans="5:14" x14ac:dyDescent="0.15">
      <c r="E20" s="19" t="s">
        <v>38</v>
      </c>
      <c r="F20" s="20" t="s">
        <v>88</v>
      </c>
      <c r="G20" s="19">
        <v>1</v>
      </c>
      <c r="H20" s="19">
        <v>7</v>
      </c>
      <c r="I20" s="19">
        <v>12</v>
      </c>
      <c r="J20" s="19" t="s">
        <v>90</v>
      </c>
      <c r="K20" s="19">
        <v>0</v>
      </c>
      <c r="L20" s="19">
        <v>999971.94</v>
      </c>
    </row>
    <row r="21" spans="5:14" x14ac:dyDescent="0.15">
      <c r="E21" s="19" t="s">
        <v>40</v>
      </c>
      <c r="F21" s="20" t="s">
        <v>84</v>
      </c>
      <c r="G21" s="19">
        <v>1</v>
      </c>
      <c r="H21" s="19">
        <v>3</v>
      </c>
      <c r="I21" s="19">
        <v>40</v>
      </c>
      <c r="J21" s="19" t="s">
        <v>90</v>
      </c>
      <c r="K21" s="19">
        <v>158.4</v>
      </c>
      <c r="L21" s="19">
        <v>1000090.34</v>
      </c>
    </row>
    <row r="22" spans="5:14" x14ac:dyDescent="0.15">
      <c r="E22" s="19" t="s">
        <v>42</v>
      </c>
      <c r="F22" s="20" t="s">
        <v>42</v>
      </c>
      <c r="G22" s="19">
        <v>1</v>
      </c>
      <c r="H22" s="19">
        <v>6</v>
      </c>
      <c r="I22" s="19">
        <v>2</v>
      </c>
      <c r="J22" s="19" t="s">
        <v>90</v>
      </c>
      <c r="K22" s="19">
        <v>47.519999999999996</v>
      </c>
      <c r="L22" s="19">
        <v>1000135.86</v>
      </c>
    </row>
    <row r="23" spans="5:14" x14ac:dyDescent="0.15">
      <c r="E23" s="19" t="s">
        <v>44</v>
      </c>
      <c r="F23" s="20" t="s">
        <v>89</v>
      </c>
      <c r="G23" s="19">
        <v>1</v>
      </c>
      <c r="H23" s="19">
        <v>1</v>
      </c>
      <c r="I23" s="19">
        <v>12</v>
      </c>
      <c r="J23" s="19" t="s">
        <v>90</v>
      </c>
      <c r="K23" s="19">
        <v>0</v>
      </c>
      <c r="L23" s="19">
        <v>1000123.86</v>
      </c>
    </row>
    <row r="24" spans="5:14" x14ac:dyDescent="0.15">
      <c r="E24" s="19" t="s">
        <v>46</v>
      </c>
      <c r="F24" s="20" t="s">
        <v>59</v>
      </c>
      <c r="G24" s="19">
        <v>1</v>
      </c>
      <c r="H24" s="19">
        <v>5</v>
      </c>
      <c r="I24" s="19">
        <v>18</v>
      </c>
      <c r="J24" s="19" t="s">
        <v>90</v>
      </c>
      <c r="K24" s="19">
        <v>0</v>
      </c>
      <c r="L24" s="19">
        <v>1000105.86</v>
      </c>
    </row>
    <row r="25" spans="5:14" x14ac:dyDescent="0.15">
      <c r="E25" s="19" t="s">
        <v>48</v>
      </c>
      <c r="F25" s="20" t="s">
        <v>84</v>
      </c>
      <c r="G25" s="19">
        <v>1</v>
      </c>
      <c r="H25" s="19">
        <v>6</v>
      </c>
      <c r="I25" s="19">
        <v>12</v>
      </c>
      <c r="J25" s="19" t="s">
        <v>90</v>
      </c>
      <c r="K25" s="19">
        <v>56.97</v>
      </c>
      <c r="L25" s="19">
        <v>1000150.83</v>
      </c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9"/>
  <sheetViews>
    <sheetView topLeftCell="B1" workbookViewId="0">
      <pane ySplit="1" topLeftCell="A2" activePane="bottomLeft" state="frozen"/>
      <selection pane="bottomLeft" activeCell="G10" sqref="G10"/>
    </sheetView>
  </sheetViews>
  <sheetFormatPr defaultRowHeight="20.100000000000001" customHeight="1" x14ac:dyDescent="0.15"/>
  <cols>
    <col min="1" max="1" width="9.5" style="15" bestFit="1" customWidth="1"/>
    <col min="2" max="2" width="12.125" style="15" customWidth="1"/>
    <col min="3" max="3" width="8.875" style="15" customWidth="1"/>
    <col min="4" max="4" width="66.625" style="3" customWidth="1"/>
    <col min="5" max="5" width="14.375" style="15" customWidth="1"/>
    <col min="6" max="6" width="8" style="5" customWidth="1"/>
    <col min="7" max="7" width="16.5" style="2" customWidth="1"/>
    <col min="8" max="8" width="39.125" style="16" customWidth="1"/>
    <col min="9" max="16384" width="9" style="2"/>
  </cols>
  <sheetData>
    <row r="1" spans="1:10" ht="20.100000000000001" customHeight="1" x14ac:dyDescent="0.15">
      <c r="A1" s="15" t="s">
        <v>0</v>
      </c>
      <c r="B1" s="15" t="s">
        <v>1</v>
      </c>
      <c r="C1" s="15" t="s">
        <v>2</v>
      </c>
      <c r="D1" s="7" t="s">
        <v>3</v>
      </c>
      <c r="E1" s="17" t="s">
        <v>57</v>
      </c>
      <c r="F1" s="17" t="s">
        <v>67</v>
      </c>
      <c r="G1" s="13" t="s">
        <v>62</v>
      </c>
      <c r="I1" s="2" t="s">
        <v>30</v>
      </c>
    </row>
    <row r="2" spans="1:10" ht="63" customHeight="1" x14ac:dyDescent="0.15">
      <c r="A2" s="24" t="s">
        <v>31</v>
      </c>
      <c r="B2" s="17" t="s">
        <v>35</v>
      </c>
      <c r="C2" s="17"/>
      <c r="D2" s="18" t="s">
        <v>61</v>
      </c>
      <c r="E2" s="15" t="str">
        <f ca="1">RANDBETWEEN(1,6)&amp;RANDBETWEEN(1,6)&amp;RANDBETWEEN(1,6)</f>
        <v>263</v>
      </c>
      <c r="F2" s="6">
        <v>2</v>
      </c>
      <c r="G2" s="22">
        <f ca="1">IF(ISNUMBER(FIND(J2,D2,1)),B10*F2,0)+IF(ISNUMBER(FIND(J3,D2,1)),B12*F2,0)+SUM(C14:C29)</f>
        <v>21.92</v>
      </c>
      <c r="H2" s="25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J2" s="2" t="str">
        <f ca="1">IF(MOD(SUM(LEFT(E$2,1),MID(E$2,2,1),MID(E$2,3,1)),2)=1,",单,",",双,")</f>
        <v>,单,</v>
      </c>
    </row>
    <row r="3" spans="1:10" ht="20.100000000000001" customHeight="1" x14ac:dyDescent="0.15">
      <c r="A3" s="24" t="s">
        <v>31</v>
      </c>
      <c r="B3" s="17" t="s">
        <v>37</v>
      </c>
      <c r="C3" s="17"/>
      <c r="D3" s="18" t="s">
        <v>51</v>
      </c>
      <c r="F3" s="17">
        <v>3</v>
      </c>
      <c r="G3" s="22">
        <f ca="1">IF(AND(LEFT(E2,1)=MID(E2,2,1),LEFT(E2,1)=RIGHT(E2,1)),31.68*F3,0)</f>
        <v>0</v>
      </c>
      <c r="H3" s="16" t="str">
        <f>TRIM(IF(LEN(D5)=0,"-",SUBSTITUTE(D3," "," ")))</f>
        <v>三同号通选</v>
      </c>
      <c r="J3" s="2" t="str">
        <f ca="1">IF(SUM(LEFT(E$2,1),MID(E$2,2,1),MID(E$2,3,1))&lt;11,",小,",",大,")</f>
        <v>,大,</v>
      </c>
    </row>
    <row r="4" spans="1:10" ht="20.100000000000001" customHeight="1" x14ac:dyDescent="0.15">
      <c r="A4" s="24" t="s">
        <v>31</v>
      </c>
      <c r="B4" s="17" t="s">
        <v>39</v>
      </c>
      <c r="C4" s="17"/>
      <c r="D4" s="18" t="s">
        <v>52</v>
      </c>
      <c r="F4" s="17">
        <v>4</v>
      </c>
      <c r="G4" s="22">
        <f ca="1">N(ISNUMBER(FIND(E2,D4,1)))*F4*190.08</f>
        <v>0</v>
      </c>
      <c r="H4" s="16" t="str">
        <f>TRIM(IF(LEN(Sheet2!D4)=0,"-",SUBSTITUTE(Sheet2!D4,","," ")))</f>
        <v>111 222 333 444 555 666</v>
      </c>
      <c r="J4" s="2" t="str">
        <f ca="1">","&amp;SUM(LEFT(E$2,1),MID(E$2,2,1),MID(E$2,3,1))&amp;","</f>
        <v>,11,</v>
      </c>
    </row>
    <row r="5" spans="1:10" ht="20.100000000000001" customHeight="1" x14ac:dyDescent="0.15">
      <c r="A5" s="24" t="s">
        <v>31</v>
      </c>
      <c r="B5" s="17" t="s">
        <v>41</v>
      </c>
      <c r="D5" s="18" t="s">
        <v>85</v>
      </c>
      <c r="F5" s="17">
        <v>5</v>
      </c>
      <c r="G5" s="22">
        <f ca="1">IF(AND(LEFT(E2,1)&lt;&gt;MID(E2,2,1),LEFT(E2,1)&lt;&gt;RIGHT(E2,1),MID(E2,2,1)&lt;&gt;RIGHT(E2,1),ISNUMBER(FIND(LEFT(E2,1),D5,1)),ISNUMBER(FIND(MID(E2,2,1),D5,1)),ISNUMBER(FIND(RIGHT(E2,1),D5,1))),F5*31.68,0)</f>
        <v>158.4</v>
      </c>
      <c r="H5" s="23" t="str">
        <f>TRIM(IF(LEN(Sheet2!D5)=0,"-",SUBSTITUTE(Sheet2!D5,","," ")))</f>
        <v>1 2 3 4 5 6</v>
      </c>
    </row>
    <row r="6" spans="1:10" s="15" customFormat="1" ht="20.100000000000001" customHeight="1" x14ac:dyDescent="0.15">
      <c r="A6" s="24" t="s">
        <v>31</v>
      </c>
      <c r="B6" s="17" t="s">
        <v>43</v>
      </c>
      <c r="C6" s="17"/>
      <c r="D6" s="18" t="s">
        <v>54</v>
      </c>
      <c r="F6" s="17">
        <v>6</v>
      </c>
      <c r="G6" s="22">
        <f>F6*7.92</f>
        <v>47.519999999999996</v>
      </c>
      <c r="H6" s="23" t="str">
        <f>TRIM(IF(LEN(Sheet2!D6)=0,"-",SUBSTITUTE(Sheet2!D6,","," ")))</f>
        <v>三连号通选</v>
      </c>
    </row>
    <row r="7" spans="1:10" s="15" customFormat="1" ht="20.100000000000001" customHeight="1" x14ac:dyDescent="0.15">
      <c r="A7" s="24" t="s">
        <v>32</v>
      </c>
      <c r="B7" s="17" t="s">
        <v>45</v>
      </c>
      <c r="D7" s="18" t="s">
        <v>55</v>
      </c>
      <c r="F7" s="17">
        <v>7</v>
      </c>
      <c r="G7" s="22">
        <f ca="1">IF(AND(MID(E2,2,1)=LEFT(E2,1),LEFT(E2,1)=RIGHT(E2,1)),0,IF(ISNUMBER(FIND(_xlfn.MODE.SNGL(INT(MID(E2,2,1)),INT(LEFT(E2,1)),INT(RIGHT(E2,1))),D7,1)),F7*12.67,0))</f>
        <v>0</v>
      </c>
      <c r="H7" s="23" t="str">
        <f>TRIM(IF(LEN(Sheet2!D7)=0,"-",SUBSTITUTE(Sheet2!D7,","," ")))</f>
        <v>11 22 33 44 55 66</v>
      </c>
    </row>
    <row r="8" spans="1:10" s="15" customFormat="1" ht="20.100000000000001" customHeight="1" x14ac:dyDescent="0.15">
      <c r="A8" s="24" t="s">
        <v>32</v>
      </c>
      <c r="B8" s="17" t="s">
        <v>47</v>
      </c>
      <c r="C8" s="17"/>
      <c r="D8" s="18" t="s">
        <v>86</v>
      </c>
      <c r="F8" s="17">
        <v>8</v>
      </c>
      <c r="G8" s="22">
        <f ca="1"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ISNUMBER(FIND(","&amp;_xlfn.MODE.SNGL(INT(MID(E2,2,1)),INT(LEFT(E2,1)),INT(RIGHT(E2,1)))&amp;_xlfn.MODE.SNGL(INT(MID(E2,2,1)),INT(LEFT(E2,1)),INT(RIGHT(E2,1)))&amp;",",D8,1))),F8*63.36,0))</f>
        <v>0</v>
      </c>
      <c r="H8" s="23" t="str">
        <f>TRIM(IF(LEN(D8)=0,"-",SUBSTITUTE(D8,","," ")))</f>
        <v>11 22 33 4 5 6</v>
      </c>
    </row>
    <row r="9" spans="1:10" s="15" customFormat="1" ht="20.100000000000001" customHeight="1" x14ac:dyDescent="0.15">
      <c r="A9" s="24" t="s">
        <v>32</v>
      </c>
      <c r="B9" s="17" t="s">
        <v>49</v>
      </c>
      <c r="C9" s="17"/>
      <c r="D9" s="18" t="s">
        <v>87</v>
      </c>
      <c r="F9" s="17">
        <v>9</v>
      </c>
      <c r="G9" s="21">
        <f ca="1">IF(AND(LEFT(E2,1)=MID(E2,2,1),LEFT(E2,1)=RIGHT(E2,1)),0,IF(ISNUMBER(_xlfn.MODE.SNGL(INT(MID(E2,2,1)),INT(LEFT(E2,1)),INT(RIGHT(E2,1)))),IF(AND(ISNUMBER(FIND(_xlfn.MODE.SNGL(INT(MID(E2,2,1)),INT(LEFT(E2,1)),INT(RIGHT(E2,1))),D9,1)),ISNUMBER(FIND(SUBSTITUTE(E2,_xlfn.MODE.SNGL(INT(MID(E2,2,1)),INT(LEFT(E2,1)),INT(RIGHT(E2,1))),),D9,1))),F9*6.33,0),IF(SUM(ISNUMBER(FIND(LEFT(E2,1),D9,1)),ISNUMBER(FIND(MID(E2,2,1),D9,1)),ISNUMBER(FIND(RIGHT(E2,1),D9,1)))&gt;=2,F9*6.33,0)))</f>
        <v>56.97</v>
      </c>
      <c r="H9" s="23" t="str">
        <f>TRIM(IF(LEN(Sheet2!D9)=0,"-",SUBSTITUTE(Sheet2!D9,","," ")))</f>
        <v>1 2 5 6</v>
      </c>
    </row>
    <row r="10" spans="1:10" ht="20.100000000000001" customHeight="1" x14ac:dyDescent="0.15">
      <c r="A10" s="17" t="s">
        <v>63</v>
      </c>
      <c r="B10" s="15">
        <v>1.96</v>
      </c>
      <c r="D10" s="14"/>
      <c r="G10" s="17"/>
    </row>
    <row r="11" spans="1:10" ht="20.100000000000001" customHeight="1" x14ac:dyDescent="0.15">
      <c r="A11" s="17" t="s">
        <v>64</v>
      </c>
      <c r="B11" s="24">
        <v>1.96</v>
      </c>
      <c r="D11" s="10"/>
    </row>
    <row r="12" spans="1:10" ht="20.100000000000001" customHeight="1" x14ac:dyDescent="0.15">
      <c r="A12" s="17" t="s">
        <v>65</v>
      </c>
      <c r="B12" s="24">
        <v>1.96</v>
      </c>
      <c r="D12" s="7"/>
      <c r="G12" s="17"/>
    </row>
    <row r="13" spans="1:10" ht="20.100000000000001" customHeight="1" x14ac:dyDescent="0.15">
      <c r="A13" s="17" t="s">
        <v>66</v>
      </c>
      <c r="B13" s="24">
        <v>1.96</v>
      </c>
      <c r="D13" s="10"/>
    </row>
    <row r="14" spans="1:10" ht="20.100000000000001" customHeight="1" x14ac:dyDescent="0.15">
      <c r="A14" s="17" t="s">
        <v>68</v>
      </c>
      <c r="B14" s="15">
        <v>190.08</v>
      </c>
      <c r="C14" s="15">
        <f ca="1">IF(ISNUMBER(FIND(J$4,$A14,1)),$B14*F$2,0)</f>
        <v>0</v>
      </c>
      <c r="D14" s="7"/>
    </row>
    <row r="15" spans="1:10" ht="20.100000000000001" customHeight="1" x14ac:dyDescent="0.15">
      <c r="A15" s="17" t="s">
        <v>69</v>
      </c>
      <c r="B15" s="15">
        <v>63.36</v>
      </c>
      <c r="C15" s="24">
        <f t="shared" ref="C15:C29" ca="1" si="0">IF(ISNUMBER(FIND(J$4,$A15,1)),$B15*F$2,0)</f>
        <v>0</v>
      </c>
      <c r="D15" s="7"/>
    </row>
    <row r="16" spans="1:10" ht="20.100000000000001" customHeight="1" x14ac:dyDescent="0.15">
      <c r="A16" s="17" t="s">
        <v>70</v>
      </c>
      <c r="B16" s="15">
        <v>31.68</v>
      </c>
      <c r="C16" s="24">
        <f t="shared" ca="1" si="0"/>
        <v>0</v>
      </c>
      <c r="D16" s="7"/>
    </row>
    <row r="17" spans="1:3" ht="20.100000000000001" customHeight="1" x14ac:dyDescent="0.15">
      <c r="A17" s="17" t="s">
        <v>71</v>
      </c>
      <c r="B17" s="15">
        <v>19</v>
      </c>
      <c r="C17" s="24">
        <f t="shared" ca="1" si="0"/>
        <v>0</v>
      </c>
    </row>
    <row r="18" spans="1:3" ht="20.100000000000001" customHeight="1" x14ac:dyDescent="0.15">
      <c r="A18" s="17" t="s">
        <v>72</v>
      </c>
      <c r="B18" s="15">
        <v>12.67</v>
      </c>
      <c r="C18" s="24">
        <f t="shared" ca="1" si="0"/>
        <v>0</v>
      </c>
    </row>
    <row r="19" spans="1:3" ht="20.100000000000001" customHeight="1" x14ac:dyDescent="0.15">
      <c r="A19" s="17" t="s">
        <v>73</v>
      </c>
      <c r="B19" s="15">
        <v>9.0500000000000007</v>
      </c>
      <c r="C19" s="24">
        <f t="shared" ca="1" si="0"/>
        <v>0</v>
      </c>
    </row>
    <row r="20" spans="1:3" ht="20.100000000000001" customHeight="1" x14ac:dyDescent="0.15">
      <c r="A20" s="17" t="s">
        <v>74</v>
      </c>
      <c r="B20" s="15">
        <v>7.6</v>
      </c>
      <c r="C20" s="24">
        <f t="shared" ca="1" si="0"/>
        <v>0</v>
      </c>
    </row>
    <row r="21" spans="1:3" ht="20.100000000000001" customHeight="1" x14ac:dyDescent="0.15">
      <c r="A21" s="17" t="s">
        <v>75</v>
      </c>
      <c r="B21" s="15">
        <v>7.04</v>
      </c>
      <c r="C21" s="24">
        <f t="shared" ca="1" si="0"/>
        <v>0</v>
      </c>
    </row>
    <row r="22" spans="1:3" ht="20.100000000000001" customHeight="1" x14ac:dyDescent="0.15">
      <c r="A22" s="17" t="s">
        <v>76</v>
      </c>
      <c r="B22" s="24">
        <v>7.04</v>
      </c>
      <c r="C22" s="24">
        <f t="shared" ca="1" si="0"/>
        <v>14.08</v>
      </c>
    </row>
    <row r="23" spans="1:3" ht="20.100000000000001" customHeight="1" x14ac:dyDescent="0.15">
      <c r="A23" s="17" t="s">
        <v>77</v>
      </c>
      <c r="B23" s="24">
        <v>7.6</v>
      </c>
      <c r="C23" s="24">
        <f t="shared" ca="1" si="0"/>
        <v>0</v>
      </c>
    </row>
    <row r="24" spans="1:3" ht="20.100000000000001" customHeight="1" x14ac:dyDescent="0.15">
      <c r="A24" s="17" t="s">
        <v>78</v>
      </c>
      <c r="B24" s="24">
        <v>9.0500000000000007</v>
      </c>
      <c r="C24" s="24">
        <f t="shared" ca="1" si="0"/>
        <v>0</v>
      </c>
    </row>
    <row r="25" spans="1:3" ht="20.100000000000001" customHeight="1" x14ac:dyDescent="0.15">
      <c r="A25" s="17" t="s">
        <v>79</v>
      </c>
      <c r="B25" s="24">
        <v>12.67</v>
      </c>
      <c r="C25" s="24">
        <f t="shared" ca="1" si="0"/>
        <v>0</v>
      </c>
    </row>
    <row r="26" spans="1:3" ht="20.100000000000001" customHeight="1" x14ac:dyDescent="0.15">
      <c r="A26" s="17" t="s">
        <v>80</v>
      </c>
      <c r="B26" s="24">
        <v>19</v>
      </c>
      <c r="C26" s="24">
        <f t="shared" ca="1" si="0"/>
        <v>0</v>
      </c>
    </row>
    <row r="27" spans="1:3" ht="20.100000000000001" customHeight="1" x14ac:dyDescent="0.15">
      <c r="A27" s="17" t="s">
        <v>81</v>
      </c>
      <c r="B27" s="24">
        <v>31.68</v>
      </c>
      <c r="C27" s="24">
        <f t="shared" ca="1" si="0"/>
        <v>0</v>
      </c>
    </row>
    <row r="28" spans="1:3" ht="20.100000000000001" customHeight="1" x14ac:dyDescent="0.15">
      <c r="A28" s="17" t="s">
        <v>82</v>
      </c>
      <c r="B28" s="24">
        <v>63.36</v>
      </c>
      <c r="C28" s="24">
        <f t="shared" ca="1" si="0"/>
        <v>0</v>
      </c>
    </row>
    <row r="29" spans="1:3" ht="20.100000000000001" customHeight="1" x14ac:dyDescent="0.15">
      <c r="A29" s="17" t="s">
        <v>83</v>
      </c>
      <c r="B29" s="24">
        <v>190.08</v>
      </c>
      <c r="C29" s="24">
        <f t="shared" ca="1" si="0"/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tabSelected="1" workbookViewId="0">
      <selection activeCell="H9" sqref="H9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4" t="s">
        <v>29</v>
      </c>
    </row>
    <row r="2" spans="1:12" x14ac:dyDescent="0.15">
      <c r="A2" s="9"/>
      <c r="B2" s="9" t="s">
        <v>34</v>
      </c>
      <c r="C2" s="8" t="s">
        <v>50</v>
      </c>
      <c r="D2" s="9">
        <v>1</v>
      </c>
      <c r="E2" s="9">
        <v>2</v>
      </c>
      <c r="F2" s="9">
        <v>40</v>
      </c>
      <c r="G2" s="8" t="s">
        <v>90</v>
      </c>
      <c r="H2" s="9">
        <v>25.94</v>
      </c>
      <c r="I2" s="9">
        <v>999985.94</v>
      </c>
      <c r="K2" s="13"/>
      <c r="L2" s="13"/>
    </row>
    <row r="3" spans="1:12" x14ac:dyDescent="0.15">
      <c r="A3" s="9"/>
      <c r="B3" s="9" t="s">
        <v>36</v>
      </c>
      <c r="C3" s="8" t="s">
        <v>36</v>
      </c>
      <c r="D3" s="9">
        <v>1</v>
      </c>
      <c r="E3" s="9">
        <v>4</v>
      </c>
      <c r="F3" s="9">
        <v>2</v>
      </c>
      <c r="G3" s="9" t="s">
        <v>90</v>
      </c>
      <c r="H3" s="9">
        <v>0</v>
      </c>
      <c r="I3" s="9">
        <v>999983.94</v>
      </c>
      <c r="K3" s="13"/>
      <c r="L3" s="13"/>
    </row>
    <row r="4" spans="1:12" x14ac:dyDescent="0.15">
      <c r="A4" s="9"/>
      <c r="B4" s="9" t="s">
        <v>38</v>
      </c>
      <c r="C4" s="8" t="s">
        <v>88</v>
      </c>
      <c r="D4" s="9">
        <v>1</v>
      </c>
      <c r="E4" s="9">
        <v>7</v>
      </c>
      <c r="F4" s="9">
        <v>12</v>
      </c>
      <c r="G4" s="9" t="s">
        <v>90</v>
      </c>
      <c r="H4" s="9">
        <v>0</v>
      </c>
      <c r="I4" s="9">
        <v>999971.94</v>
      </c>
      <c r="K4" s="13"/>
      <c r="L4" s="13"/>
    </row>
    <row r="5" spans="1:12" x14ac:dyDescent="0.15">
      <c r="A5" s="9"/>
      <c r="B5" s="9" t="s">
        <v>40</v>
      </c>
      <c r="C5" s="8" t="s">
        <v>84</v>
      </c>
      <c r="D5" s="9">
        <v>1</v>
      </c>
      <c r="E5" s="9">
        <v>3</v>
      </c>
      <c r="F5" s="9">
        <v>40</v>
      </c>
      <c r="G5" s="9" t="s">
        <v>90</v>
      </c>
      <c r="H5" s="9">
        <v>158.4</v>
      </c>
      <c r="I5" s="9">
        <v>1000090.34</v>
      </c>
      <c r="K5" s="13"/>
      <c r="L5" s="12"/>
    </row>
    <row r="6" spans="1:12" x14ac:dyDescent="0.15">
      <c r="A6" s="9"/>
      <c r="B6" s="9" t="s">
        <v>42</v>
      </c>
      <c r="C6" s="8" t="s">
        <v>42</v>
      </c>
      <c r="D6" s="9">
        <v>1</v>
      </c>
      <c r="E6" s="9">
        <v>6</v>
      </c>
      <c r="F6" s="9">
        <v>2</v>
      </c>
      <c r="G6" s="9" t="s">
        <v>90</v>
      </c>
      <c r="H6" s="9">
        <v>47.519999999999996</v>
      </c>
      <c r="I6" s="9">
        <v>1000135.86</v>
      </c>
      <c r="K6" s="13"/>
      <c r="L6" s="12"/>
    </row>
    <row r="7" spans="1:12" x14ac:dyDescent="0.15">
      <c r="A7" s="8"/>
      <c r="B7" s="8" t="s">
        <v>44</v>
      </c>
      <c r="C7" s="8" t="s">
        <v>89</v>
      </c>
      <c r="D7" s="9">
        <v>1</v>
      </c>
      <c r="E7" s="9">
        <v>1</v>
      </c>
      <c r="F7" s="9">
        <v>12</v>
      </c>
      <c r="G7" s="9" t="s">
        <v>90</v>
      </c>
      <c r="H7" s="9">
        <v>0</v>
      </c>
      <c r="I7" s="11">
        <v>1000123.86</v>
      </c>
      <c r="K7" s="13"/>
      <c r="L7" s="12"/>
    </row>
    <row r="8" spans="1:12" x14ac:dyDescent="0.15">
      <c r="A8" s="8"/>
      <c r="B8" s="8" t="s">
        <v>46</v>
      </c>
      <c r="C8" s="8" t="s">
        <v>59</v>
      </c>
      <c r="D8" s="12">
        <v>1</v>
      </c>
      <c r="E8" s="12">
        <v>5</v>
      </c>
      <c r="F8" s="12">
        <v>18</v>
      </c>
      <c r="G8" s="12" t="s">
        <v>90</v>
      </c>
      <c r="H8" s="12">
        <v>0</v>
      </c>
      <c r="I8" s="11">
        <v>1000105.86</v>
      </c>
      <c r="K8" s="13"/>
      <c r="L8" s="12"/>
    </row>
    <row r="9" spans="1:12" x14ac:dyDescent="0.15">
      <c r="A9" s="8"/>
      <c r="B9" s="8" t="s">
        <v>48</v>
      </c>
      <c r="C9" s="8" t="s">
        <v>84</v>
      </c>
      <c r="D9" s="12">
        <v>1</v>
      </c>
      <c r="E9" s="12">
        <v>6</v>
      </c>
      <c r="F9" s="12">
        <v>12</v>
      </c>
      <c r="G9" s="12" t="s">
        <v>90</v>
      </c>
      <c r="H9" s="12">
        <v>56.97</v>
      </c>
      <c r="I9" s="11">
        <v>1000150.83</v>
      </c>
      <c r="K9" s="13"/>
      <c r="L9" s="12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2018-06-08T10:29:20Z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