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Sheet1!$A$1:$U$87</definedName>
  </definedNames>
  <calcPr calcId="162913" iterate="1" iterateCount="101"/>
</workbook>
</file>

<file path=xl/calcChain.xml><?xml version="1.0" encoding="utf-8"?>
<calcChain xmlns="http://schemas.openxmlformats.org/spreadsheetml/2006/main">
  <c r="C22" i="2" l="1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K2" i="2"/>
  <c r="J2" i="1" s="1"/>
  <c r="L11" i="2" l="1"/>
  <c r="L10" i="2"/>
  <c r="L9" i="2"/>
  <c r="L8" i="2"/>
  <c r="L7" i="2"/>
  <c r="J77" i="1"/>
  <c r="J61" i="1"/>
  <c r="J45" i="1"/>
  <c r="J29" i="1"/>
  <c r="J13" i="1"/>
  <c r="J84" i="1"/>
  <c r="J68" i="1"/>
  <c r="J52" i="1"/>
  <c r="J36" i="1"/>
  <c r="J20" i="1"/>
  <c r="J4" i="1"/>
  <c r="J75" i="1"/>
  <c r="J59" i="1"/>
  <c r="J43" i="1"/>
  <c r="J27" i="1"/>
  <c r="J11" i="1"/>
  <c r="J82" i="1"/>
  <c r="J66" i="1"/>
  <c r="J42" i="1"/>
  <c r="J18" i="1"/>
  <c r="J81" i="1"/>
  <c r="J73" i="1"/>
  <c r="J65" i="1"/>
  <c r="J57" i="1"/>
  <c r="J49" i="1"/>
  <c r="J41" i="1"/>
  <c r="J33" i="1"/>
  <c r="J25" i="1"/>
  <c r="J17" i="1"/>
  <c r="J9" i="1"/>
  <c r="J85" i="1"/>
  <c r="J69" i="1"/>
  <c r="J53" i="1"/>
  <c r="J37" i="1"/>
  <c r="J21" i="1"/>
  <c r="J5" i="1"/>
  <c r="J76" i="1"/>
  <c r="J60" i="1"/>
  <c r="J44" i="1"/>
  <c r="J28" i="1"/>
  <c r="J12" i="1"/>
  <c r="J83" i="1"/>
  <c r="J67" i="1"/>
  <c r="J51" i="1"/>
  <c r="J35" i="1"/>
  <c r="J19" i="1"/>
  <c r="J3" i="1"/>
  <c r="J74" i="1"/>
  <c r="J58" i="1"/>
  <c r="J50" i="1"/>
  <c r="J34" i="1"/>
  <c r="J26" i="1"/>
  <c r="J10" i="1"/>
  <c r="J80" i="1"/>
  <c r="J64" i="1"/>
  <c r="J48" i="1"/>
  <c r="J32" i="1"/>
  <c r="J16" i="1"/>
  <c r="J87" i="1"/>
  <c r="J79" i="1"/>
  <c r="J71" i="1"/>
  <c r="J63" i="1"/>
  <c r="J55" i="1"/>
  <c r="J47" i="1"/>
  <c r="J39" i="1"/>
  <c r="J31" i="1"/>
  <c r="J23" i="1"/>
  <c r="J15" i="1"/>
  <c r="J7" i="1"/>
  <c r="J72" i="1"/>
  <c r="J56" i="1"/>
  <c r="J40" i="1"/>
  <c r="J24" i="1"/>
  <c r="J8" i="1"/>
  <c r="J86" i="1"/>
  <c r="J78" i="1"/>
  <c r="J70" i="1"/>
  <c r="J62" i="1"/>
  <c r="J54" i="1"/>
  <c r="J46" i="1"/>
  <c r="J38" i="1"/>
  <c r="J30" i="1"/>
  <c r="J22" i="1"/>
  <c r="J14" i="1"/>
  <c r="J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Q13" i="1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Q3" i="1"/>
  <c r="Q2" i="1"/>
  <c r="Q4" i="1"/>
  <c r="N29" i="2" l="1"/>
  <c r="N25" i="2"/>
  <c r="N2" i="2"/>
  <c r="F2" i="1" s="1"/>
  <c r="N16" i="2"/>
  <c r="F11" i="1" s="1"/>
  <c r="N7" i="2"/>
  <c r="F3" i="1" s="1"/>
  <c r="N18" i="2"/>
  <c r="N19" i="2"/>
  <c r="N20" i="2"/>
  <c r="N21" i="2"/>
  <c r="N22" i="2"/>
  <c r="N23" i="2"/>
  <c r="N24" i="2"/>
  <c r="N28" i="2"/>
  <c r="N30" i="2"/>
  <c r="N31" i="2"/>
  <c r="N32" i="2"/>
  <c r="N33" i="2"/>
  <c r="N34" i="2"/>
  <c r="N35" i="2"/>
  <c r="N36" i="2"/>
  <c r="N37" i="2"/>
  <c r="N38" i="2"/>
  <c r="N39" i="2"/>
  <c r="N40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4" i="2"/>
  <c r="N75" i="2"/>
  <c r="N76" i="2"/>
  <c r="N78" i="2"/>
  <c r="N79" i="2"/>
  <c r="N81" i="2"/>
  <c r="N82" i="2"/>
  <c r="N83" i="2"/>
  <c r="N88" i="2"/>
  <c r="N89" i="2"/>
  <c r="N90" i="2"/>
  <c r="N92" i="2"/>
  <c r="N94" i="2"/>
  <c r="N96" i="2"/>
  <c r="N98" i="2"/>
  <c r="N100" i="2"/>
  <c r="N101" i="2"/>
  <c r="N102" i="2"/>
  <c r="N103" i="2"/>
  <c r="N104" i="2"/>
  <c r="N105" i="2"/>
  <c r="N106" i="2"/>
  <c r="N107" i="2"/>
  <c r="N109" i="2"/>
  <c r="N111" i="2"/>
  <c r="N114" i="2"/>
  <c r="N117" i="2"/>
  <c r="N123" i="2"/>
  <c r="N133" i="2"/>
  <c r="N10" i="2"/>
  <c r="F5" i="1" s="1"/>
  <c r="N11" i="2"/>
  <c r="F6" i="1" s="1"/>
  <c r="N12" i="2"/>
  <c r="F7" i="1" s="1"/>
  <c r="N13" i="2"/>
  <c r="F8" i="1" s="1"/>
  <c r="N14" i="2"/>
  <c r="F9" i="1" s="1"/>
  <c r="N15" i="2"/>
  <c r="F10" i="1" s="1"/>
  <c r="N9" i="2"/>
  <c r="F4" i="1" s="1"/>
  <c r="L3" i="2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2" i="1"/>
  <c r="G3" i="1"/>
  <c r="I3" i="1" s="1"/>
  <c r="G4" i="1"/>
  <c r="I4" i="1" s="1"/>
  <c r="G5" i="1"/>
  <c r="G6" i="1"/>
  <c r="G7" i="1"/>
  <c r="G8" i="1"/>
  <c r="G9" i="1"/>
  <c r="G10" i="1"/>
  <c r="G11" i="1"/>
  <c r="G12" i="1"/>
  <c r="G13" i="1"/>
  <c r="I13" i="1" s="1"/>
  <c r="G14" i="1"/>
  <c r="G15" i="1"/>
  <c r="G16" i="1"/>
  <c r="G17" i="1"/>
  <c r="G18" i="1"/>
  <c r="G19" i="1"/>
  <c r="G20" i="1"/>
  <c r="G21" i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G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2" i="1"/>
  <c r="I2" i="1" s="1"/>
  <c r="M10" i="2" l="1"/>
  <c r="K5" i="1" s="1"/>
  <c r="M11" i="2"/>
  <c r="K6" i="1" s="1"/>
  <c r="M9" i="2"/>
  <c r="K4" i="1" s="1"/>
  <c r="L2" i="2"/>
  <c r="L6" i="2"/>
  <c r="L5" i="2"/>
  <c r="L4" i="2"/>
  <c r="Q19" i="1"/>
  <c r="I19" i="1" s="1"/>
  <c r="Q18" i="1"/>
  <c r="I18" i="1" s="1"/>
  <c r="Q15" i="1"/>
  <c r="I15" i="1" s="1"/>
  <c r="Q11" i="1"/>
  <c r="I11" i="1" s="1"/>
  <c r="Q10" i="1"/>
  <c r="I10" i="1" s="1"/>
  <c r="Q7" i="1"/>
  <c r="I7" i="1" s="1"/>
  <c r="Q16" i="1"/>
  <c r="I16" i="1" l="1"/>
  <c r="M7" i="2"/>
  <c r="K3" i="1" s="1"/>
  <c r="M2" i="2"/>
  <c r="K2" i="1" s="1"/>
  <c r="L2" i="1" s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Q46" i="1"/>
  <c r="Q20" i="1"/>
  <c r="Q12" i="1"/>
  <c r="Q8" i="1"/>
  <c r="Q33" i="1"/>
  <c r="Q59" i="1"/>
  <c r="Q67" i="1"/>
  <c r="I46" i="1" l="1"/>
  <c r="I67" i="1"/>
  <c r="I59" i="1"/>
  <c r="I33" i="1"/>
  <c r="I8" i="1"/>
  <c r="I12" i="1"/>
  <c r="I20" i="1"/>
  <c r="L3" i="1"/>
  <c r="L4" i="1" s="1"/>
  <c r="Q21" i="1"/>
  <c r="I21" i="1" s="1"/>
  <c r="Q9" i="1"/>
  <c r="I9" i="1" s="1"/>
  <c r="Q17" i="1"/>
  <c r="I17" i="1" s="1"/>
  <c r="O2" i="1" l="1"/>
  <c r="Q6" i="1"/>
  <c r="I6" i="1" s="1"/>
  <c r="Q5" i="1"/>
  <c r="I5" i="1" s="1"/>
  <c r="L5" i="1" s="1"/>
  <c r="Q14" i="1"/>
  <c r="I14" i="1" s="1"/>
  <c r="K20" i="1"/>
  <c r="K12" i="1"/>
  <c r="R75" i="1"/>
  <c r="R74" i="1"/>
  <c r="R76" i="1"/>
  <c r="K67" i="1"/>
  <c r="U5" i="1"/>
  <c r="R63" i="1" a="1"/>
  <c r="R63" i="1" s="1"/>
  <c r="R61" i="1" a="1"/>
  <c r="R61" i="1" s="1"/>
  <c r="L6" i="1" l="1"/>
  <c r="K76" i="1"/>
  <c r="K75" i="1"/>
  <c r="K58" i="1" l="1"/>
  <c r="K62" i="1"/>
  <c r="K69" i="1" l="1"/>
  <c r="K78" i="1"/>
  <c r="K79" i="1"/>
  <c r="K71" i="1" l="1"/>
  <c r="K80" i="1"/>
  <c r="K72" i="1"/>
  <c r="K70" i="1"/>
  <c r="O69" i="1"/>
  <c r="K73" i="1" l="1"/>
  <c r="K77" i="1"/>
  <c r="K74" i="1"/>
  <c r="K52" i="1"/>
  <c r="K59" i="1"/>
  <c r="P39" i="1"/>
  <c r="P38" i="1"/>
  <c r="O26" i="1"/>
  <c r="P26" i="1"/>
  <c r="O85" i="1"/>
  <c r="O86" i="1"/>
  <c r="O84" i="1"/>
  <c r="O83" i="1"/>
  <c r="O81" i="1"/>
  <c r="O82" i="1"/>
  <c r="O71" i="1" l="1"/>
  <c r="O70" i="1"/>
  <c r="P61" i="1"/>
  <c r="O3" i="1"/>
  <c r="O60" i="1" l="1"/>
  <c r="O59" i="1"/>
  <c r="K46" i="1"/>
  <c r="O58" i="1"/>
  <c r="P40" i="1"/>
  <c r="P37" i="1"/>
  <c r="O37" i="1" s="1"/>
  <c r="P25" i="1"/>
  <c r="P36" i="1"/>
  <c r="P23" i="1"/>
  <c r="O35" i="1"/>
  <c r="O34" i="1"/>
  <c r="O33" i="1"/>
  <c r="K33" i="1"/>
  <c r="O32" i="1"/>
  <c r="O19" i="1"/>
  <c r="P29" i="1"/>
  <c r="O27" i="1"/>
  <c r="O31" i="1"/>
  <c r="O30" i="1"/>
  <c r="P24" i="1"/>
  <c r="O24" i="1" s="1"/>
  <c r="P28" i="1"/>
  <c r="P27" i="1"/>
  <c r="K41" i="1" l="1"/>
  <c r="K25" i="1"/>
  <c r="K60" i="1"/>
  <c r="K28" i="1"/>
  <c r="K42" i="1"/>
  <c r="K55" i="1"/>
  <c r="K29" i="1"/>
  <c r="K61" i="1"/>
  <c r="K27" i="1"/>
  <c r="K26" i="1"/>
  <c r="K39" i="1"/>
  <c r="K54" i="1"/>
  <c r="K56" i="1"/>
  <c r="K57" i="1"/>
  <c r="K40" i="1"/>
  <c r="K87" i="1"/>
  <c r="K85" i="1"/>
  <c r="K86" i="1"/>
  <c r="K84" i="1"/>
  <c r="K82" i="1"/>
  <c r="K83" i="1"/>
  <c r="K81" i="1"/>
  <c r="K65" i="1"/>
  <c r="K68" i="1"/>
  <c r="K64" i="1"/>
  <c r="K66" i="1"/>
  <c r="K63" i="1"/>
  <c r="K53" i="1"/>
  <c r="K50" i="1"/>
  <c r="K51" i="1"/>
  <c r="K48" i="1"/>
  <c r="K49" i="1"/>
  <c r="K45" i="1"/>
  <c r="K47" i="1"/>
  <c r="K44" i="1"/>
  <c r="K43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O7" i="1"/>
  <c r="O6" i="1"/>
  <c r="K7" i="1"/>
  <c r="L7" i="1" s="1"/>
  <c r="O5" i="1"/>
  <c r="O4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6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R7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R7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R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<sst xmlns="http://schemas.openxmlformats.org/spreadsheetml/2006/main" count="729" uniqueCount="301">
  <si>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</si>
  <si>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</si>
  <si>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</si>
  <si>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</si>
  <si>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</si>
  <si>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</si>
  <si>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</si>
  <si>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</si>
  <si>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</si>
  <si>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</si>
  <si>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</si>
  <si>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</si>
  <si>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</si>
  <si>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</si>
  <si>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</si>
  <si>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</si>
  <si>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</si>
  <si>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</si>
  <si>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</si>
  <si>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</si>
  <si>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</si>
  <si>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</si>
  <si>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</si>
  <si>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</si>
  <si>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</si>
  <si>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</si>
  <si>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</si>
  <si>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</si>
  <si>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</si>
  <si>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</si>
  <si>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</si>
  <si>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</si>
  <si>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</si>
  <si>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</si>
  <si>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</si>
  <si>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</si>
  <si>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</si>
  <si>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</si>
  <si>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</si>
  <si>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</si>
  <si>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</si>
  <si>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</si>
  <si>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</si>
  <si>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</si>
  <si>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</si>
  <si>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</si>
  <si>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</si>
  <si>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</si>
  <si>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</si>
  <si>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</si>
  <si>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</si>
  <si>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</si>
  <si>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</si>
  <si>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</si>
  <si>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</si>
  <si>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</si>
  <si>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</si>
  <si>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</si>
  <si>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</si>
  <si>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</si>
  <si>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</si>
  <si>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</si>
  <si>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</si>
  <si>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</si>
  <si>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</si>
  <si>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</si>
  <si>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</si>
  <si>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</si>
  <si>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</si>
  <si>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</si>
  <si>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</si>
  <si>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</si>
  <si>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</si>
  <si>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</si>
  <si>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</si>
  <si>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</si>
  <si>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</si>
  <si>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</si>
  <si>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</si>
  <si>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</si>
  <si>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</si>
  <si>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</si>
  <si>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</si>
  <si>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</si>
  <si>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</si>
  <si>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</si>
  <si>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</si>
  <si>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</si>
  <si>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</si>
  <si>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</si>
  <si>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</si>
  <si>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</si>
  <si>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</si>
  <si>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</si>
  <si>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</si>
  <si>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</si>
  <si>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</si>
  <si>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</si>
  <si>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</si>
  <si>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</si>
  <si>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</si>
  <si>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</si>
  <si>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</si>
  <si>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</si>
  <si>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</si>
  <si>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</si>
  <si>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</si>
  <si>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</si>
  <si>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</si>
  <si>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</si>
  <si>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</si>
  <si>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</si>
  <si>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</si>
  <si>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</si>
  <si>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</si>
  <si>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</si>
  <si>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</si>
  <si>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</si>
  <si>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</si>
  <si>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</si>
  <si>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</si>
  <si>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</si>
  <si>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</si>
  <si>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</si>
  <si>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</si>
  <si>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</si>
  <si>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</si>
  <si>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</si>
  <si>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</si>
  <si>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</si>
  <si>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</si>
  <si>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</si>
  <si>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0,1,2,8,9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</si>
  <si>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</si>
  <si>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</si>
  <si>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</si>
  <si>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</si>
  <si>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</si>
  <si>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</si>
  <si>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</si>
  <si>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</si>
  <si>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</si>
  <si>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</si>
  <si>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</si>
  <si>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</si>
  <si>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</si>
  <si>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</si>
  <si>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</si>
  <si>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</si>
  <si>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</si>
  <si>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</si>
  <si>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</si>
  <si>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中奖内容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</si>
  <si>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</si>
  <si>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</si>
  <si>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</si>
  <si>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</si>
  <si>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</si>
  <si>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</si>
  <si>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</si>
  <si>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</si>
  <si>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</si>
  <si>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</si>
  <si>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</si>
  <si>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</si>
  <si>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</si>
  <si>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</si>
  <si>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</si>
  <si>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</si>
  <si>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</si>
  <si>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</si>
  <si>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</si>
  <si>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</si>
  <si>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</si>
  <si>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</si>
  <si>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</si>
  <si>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</si>
  <si>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</si>
  <si>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</si>
  <si>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</si>
  <si>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</si>
  <si>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</si>
  <si>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</si>
  <si>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</si>
  <si>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</si>
  <si>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</si>
  <si>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</si>
  <si>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</si>
  <si>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</si>
  <si>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</si>
  <si>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</si>
  <si>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</si>
  <si>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</si>
  <si>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</si>
  <si>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</si>
  <si>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</si>
  <si>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</si>
  <si>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</si>
  <si>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</si>
  <si>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</si>
  <si>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</si>
  <si>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</si>
  <si>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</si>
  <si>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</si>
  <si>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</si>
  <si>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</si>
  <si>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</si>
  <si>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</si>
  <si>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</si>
  <si>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</si>
  <si>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</si>
  <si>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</si>
  <si>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</si>
  <si>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</si>
  <si>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</si>
  <si>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</si>
  <si>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</si>
  <si>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</si>
  <si>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</si>
  <si>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</si>
  <si>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</si>
  <si>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</si>
  <si>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</si>
  <si>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</si>
  <si>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0,1,3,5,6,</t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</si>
  <si>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</si>
  <si>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</si>
  <si>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</si>
  <si>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</si>
  <si>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</si>
  <si>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</si>
  <si>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</si>
  <si>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</si>
  <si>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</si>
  <si>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</si>
  <si>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</si>
  <si>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</si>
  <si>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</si>
  <si>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</si>
  <si>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</si>
  <si>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</si>
  <si>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</si>
  <si>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</si>
  <si>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</si>
  <si>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</si>
  <si>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</si>
  <si>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</si>
  <si>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</si>
  <si>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</si>
  <si>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</si>
  <si>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,1,2,8,9</t>
    <phoneticPr fontId="1" type="noConversion"/>
  </si>
  <si>
    <t>,0,1,6,7,10,11,17,</t>
    <phoneticPr fontId="1" type="noConversion"/>
  </si>
  <si>
    <t>,1,3,4,6,15,16,24,25,26,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</si>
  <si>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</si>
  <si>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1,2,3,9,10,11,12,13,14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</si>
  <si>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</si>
  <si>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</si>
  <si>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,1,7,8,13,14,16,18,20,25,26,</t>
    <phoneticPr fontId="1" type="noConversion"/>
  </si>
  <si>
    <t>,0,1,4,6,11,12,13,14,17,18,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</si>
  <si>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</si>
  <si>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</si>
  <si>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</si>
  <si>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</si>
  <si>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</si>
  <si>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t>,3,4,5,6,</t>
    <phoneticPr fontId="1" type="noConversion"/>
  </si>
  <si>
    <t>,23,98,47</t>
    <phoneticPr fontId="1" type="noConversion"/>
  </si>
  <si>
    <t>,2,3,4,</t>
    <phoneticPr fontId="1" type="noConversion"/>
  </si>
  <si>
    <r>
      <t>,12,12,13,21,31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</si>
  <si>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</si>
  <si>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</si>
  <si>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</si>
  <si>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</si>
  <si>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</si>
  <si>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,5,6,7,8,9,</t>
    <phoneticPr fontId="1" type="noConversion"/>
  </si>
  <si>
    <t>,1,2,3,4,7,</t>
    <phoneticPr fontId="1" type="noConversion"/>
  </si>
  <si>
    <r>
      <t>,123,123,321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</si>
  <si>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,1,2,3,4,6,10,11,16,17,18,</t>
    <phoneticPr fontId="1" type="noConversion"/>
  </si>
  <si>
    <r>
      <t>,0,3,4,5,6,9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</si>
  <si>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</si>
  <si>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</si>
  <si>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,1,5,8,14,15,18,</t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</si>
  <si>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</si>
  <si>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</si>
  <si>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</si>
  <si>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 xml:space="preserve"> 0 1 4 5 , 0 1 2 , 1 9 , 2 5 , 3 6 </t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</si>
  <si>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</si>
  <si>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</si>
  <si>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</si>
  <si>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</si>
  <si>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</si>
  <si>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</si>
  <si>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</si>
  <si>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</si>
  <si>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</si>
  <si>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</si>
  <si>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</si>
  <si>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23389</t>
  </si>
  <si>
    <t xml:space="preserve"> 0 1 2 , 3 4 5 6 </t>
    <phoneticPr fontId="1" type="noConversion"/>
  </si>
  <si>
    <t xml:space="preserve"> 23 98 47</t>
    <phoneticPr fontId="1" type="noConversion"/>
  </si>
  <si>
    <t xml:space="preserve"> 1 5 8 14 15 18 </t>
    <phoneticPr fontId="1" type="noConversion"/>
  </si>
  <si>
    <t xml:space="preserve"> 0 1 2 7 8 9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</si>
</sst>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2">
    <cellStyle name="差" xfId="1" builtinId="27"/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6" tableType="xml" totalsRowShown="0" headerRowDxfId="10" dataDxfId="9" connectionId="6">
  <autoFilter ref="A1:I6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8"/>
  <sheetViews>
    <sheetView topLeftCell="D1" zoomScaleNormal="100" workbookViewId="0">
      <pane ySplit="1" topLeftCell="A2" activePane="bottomLeft" state="frozen"/>
      <selection activeCell="D1" sqref="D1"/>
      <selection pane="bottomLeft" activeCell="U7" sqref="U7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18" bestFit="1" customWidth="1"/>
    <col min="6" max="6" width="19.875" style="7" customWidth="1"/>
    <col min="7" max="7" width="9.5" style="8" bestFit="1" customWidth="1"/>
    <col min="8" max="8" width="9.5" style="13" bestFit="1" customWidth="1"/>
    <col min="9" max="9" width="12.75" style="8" bestFit="1" customWidth="1"/>
    <col min="10" max="10" width="11.75" style="21" customWidth="1"/>
    <col min="11" max="11" width="16.75" style="8" bestFit="1" customWidth="1"/>
    <col min="12" max="12" width="16.25" style="8" customWidth="1"/>
    <col min="13" max="13" width="4.125" style="8" customWidth="1"/>
    <col min="14" max="14" width="8.5" style="8" bestFit="1" customWidth="1"/>
    <col min="15" max="15" width="8.125" style="8" customWidth="1"/>
    <col min="16" max="16" width="6.625" style="8" customWidth="1"/>
    <col min="17" max="17" width="10.75" style="8" customWidth="1"/>
    <col min="18" max="18" width="8.875" style="8" hidden="1" customWidth="1"/>
    <col min="19" max="19" width="7.625" style="8" hidden="1" customWidth="1"/>
    <col min="20" max="20" width="10.25" style="8" customWidth="1"/>
    <col min="21" max="21" width="33.875" style="8" bestFit="1" customWidth="1"/>
    <col min="22" max="16384" width="9" style="8"/>
  </cols>
  <sheetData>
    <row r="1" spans="1:21" ht="32.25" customHeight="1" x14ac:dyDescent="0.15">
      <c r="A1" s="8">
        <v>1</v>
      </c>
      <c r="B1" s="8">
        <v>5050</v>
      </c>
      <c r="C1" s="8" t="s">
        <v>9</v>
      </c>
      <c r="D1" s="18" t="s">
        <v>0</v>
      </c>
      <c r="E1" s="18" t="s">
        <v>1</v>
      </c>
      <c r="F1" s="13" t="s">
        <v>244</v>
      </c>
      <c r="G1" s="8" t="s">
        <v>11</v>
      </c>
      <c r="H1" s="13" t="s">
        <v>245</v>
      </c>
      <c r="I1" s="9" t="s">
        <v>246</v>
      </c>
      <c r="J1" s="22" t="s">
        <v>285</v>
      </c>
      <c r="K1" s="8" t="s">
        <v>230</v>
      </c>
      <c r="L1" s="9" t="s">
        <v>247</v>
      </c>
      <c r="M1" s="8" t="s">
        <v>10</v>
      </c>
      <c r="N1" s="8" t="s">
        <v>12</v>
      </c>
      <c r="O1" s="8" t="s">
        <v>13</v>
      </c>
      <c r="P1" s="8" t="s">
        <v>125</v>
      </c>
      <c r="Q1" s="8" t="s">
        <v>231</v>
      </c>
      <c r="R1" s="8" t="s">
        <v>160</v>
      </c>
      <c r="S1" s="8" t="s">
        <v>152</v>
      </c>
      <c r="T1" s="9" t="s">
        <v>243</v>
      </c>
    </row>
    <row r="2" spans="1:21" ht="26.25" customHeight="1" x14ac:dyDescent="0.15">
      <c r="A2" s="1">
        <v>2</v>
      </c>
      <c r="B2" s="8" t="s">
        <v>14</v>
      </c>
      <c r="C2" s="8">
        <v>20180517001</v>
      </c>
      <c r="D2" s="18" t="s">
        <v>4</v>
      </c>
      <c r="E2" s="18" t="s">
        <v>5</v>
      </c>
      <c r="F2" s="12" t="str">
        <f>Sheet2!$N2</f>
        <v xml:space="preserve"> 0 1 4 5 , 0 1 2 , 1 9 , 2 5 , 3 6 </v>
      </c>
      <c r="G2" s="8">
        <f ca="1">RANDBETWEEN(1,9)</f>
        <v>3</v>
      </c>
      <c r="H2" s="8">
        <f ca="1">RANDBETWEEN(1,9)</f>
        <v>9</v>
      </c>
      <c r="I2" s="8">
        <f t="shared" ref="I2:I33" ca="1" si="0">Q2*G2*2</f>
        <v>78</v>
      </c>
      <c r="J2" s="21" t="str">
        <f ca="1">Sheet2!K$2</f>
        <v>41775</v>
      </c>
      <c r="K2" s="8">
        <f ca="1">Sheet2!$M2*$H2*$G2*$N2</f>
        <v>1058.4000000000001</v>
      </c>
      <c r="L2" s="8">
        <f ca="1">T2-I2+K2</f>
        <v>5980.4</v>
      </c>
      <c r="M2" s="8" t="s">
        <v>15</v>
      </c>
      <c r="N2" s="8">
        <v>19.600000000000001</v>
      </c>
      <c r="O2" s="8">
        <f ca="1">IF(AND(ISNUMBER(FIND(LEFT(J2,1),#REF!,1)),LEN(J2)&lt;&gt;0),1,0)</f>
        <v>0</v>
      </c>
      <c r="Q2" s="8">
        <f>SUM(LEN(SUBSTITUTE(Sheet2!J2,",",)),LEN(SUBSTITUTE(Sheet2!J3,",",)),LEN(SUBSTITUTE(Sheet2!J4,",",)),LEN(SUBSTITUTE(Sheet2!J5,",",)),LEN(SUBSTITUTE(Sheet2!J6,",",)))</f>
        <v>13</v>
      </c>
      <c r="T2" s="8">
        <v>5000</v>
      </c>
    </row>
    <row r="3" spans="1:21" ht="27" customHeight="1" x14ac:dyDescent="0.15">
      <c r="A3" s="8">
        <v>7</v>
      </c>
      <c r="D3" s="18" t="s">
        <v>19</v>
      </c>
      <c r="E3" s="18" t="s">
        <v>21</v>
      </c>
      <c r="F3" s="19" t="str">
        <f>Sheet2!$N7</f>
        <v xml:space="preserve"> 0 1 2 , 3 4 5 6 </v>
      </c>
      <c r="G3" s="8">
        <f t="shared" ref="G3:G58" ca="1" si="1">RANDBETWEEN(1,9)</f>
        <v>1</v>
      </c>
      <c r="H3" s="8">
        <f t="shared" ref="H3:H58" ca="1" si="2">RANDBETWEEN(1,9)</f>
        <v>7</v>
      </c>
      <c r="I3" s="18">
        <f t="shared" ca="1" si="0"/>
        <v>24</v>
      </c>
      <c r="J3" s="21" t="str">
        <f ca="1">Sheet2!K$2</f>
        <v>41775</v>
      </c>
      <c r="K3" s="10">
        <f ca="1">Sheet2!$M7*$H3*$G3*$N3</f>
        <v>0</v>
      </c>
      <c r="L3" s="8">
        <f t="shared" ref="L3:L11" ca="1" si="3">$L2-$I3+$K3</f>
        <v>5956.4</v>
      </c>
      <c r="M3" s="8" t="s">
        <v>20</v>
      </c>
      <c r="N3" s="8">
        <v>196</v>
      </c>
      <c r="O3" s="8">
        <f ca="1">IF(ISNUMBER(FIND(LEFT(J2,1),#REF!,1)),1,0)</f>
        <v>0</v>
      </c>
      <c r="Q3" s="8">
        <f>COMBIN(LEN(SUBSTITUTE(Sheet2!J7,",",)),1)*COMBIN(LEN(SUBSTITUTE(Sheet2!J8,",",)),1)</f>
        <v>12</v>
      </c>
    </row>
    <row r="4" spans="1:21" s="6" customFormat="1" ht="13.5" customHeight="1" x14ac:dyDescent="0.15">
      <c r="A4" s="8">
        <v>9</v>
      </c>
      <c r="B4" s="8"/>
      <c r="C4" s="8"/>
      <c r="D4" s="18" t="s">
        <v>19</v>
      </c>
      <c r="E4" s="18" t="s">
        <v>22</v>
      </c>
      <c r="F4" s="19" t="str">
        <f>Sheet2!$N9</f>
        <v xml:space="preserve"> 23 98 47</v>
      </c>
      <c r="G4" s="8">
        <f t="shared" ca="1" si="1"/>
        <v>4</v>
      </c>
      <c r="H4" s="8">
        <f t="shared" ca="1" si="2"/>
        <v>2</v>
      </c>
      <c r="I4" s="18">
        <f t="shared" ca="1" si="0"/>
        <v>24</v>
      </c>
      <c r="J4" s="21" t="str">
        <f ca="1">Sheet2!K$2</f>
        <v>41775</v>
      </c>
      <c r="K4" s="10">
        <f ca="1">Sheet2!$M9*$H4*$G4*$N4</f>
        <v>0</v>
      </c>
      <c r="L4" s="18">
        <f t="shared" ca="1" si="3"/>
        <v>5932.4</v>
      </c>
      <c r="M4" s="8"/>
      <c r="N4" s="8">
        <v>196</v>
      </c>
      <c r="O4" s="8">
        <f ca="1">IF(ISNUMBER(FIND(","&amp;LEFT(J2,2),#REF!,1)),1,0)</f>
        <v>0</v>
      </c>
      <c r="P4" s="8"/>
      <c r="Q4" s="8">
        <f>FINDNUMBER(Sheet2!J9,2)</f>
        <v>3</v>
      </c>
      <c r="R4" s="8"/>
      <c r="S4" s="8"/>
      <c r="T4" s="8"/>
      <c r="U4" s="8"/>
    </row>
    <row r="5" spans="1:21" x14ac:dyDescent="0.15">
      <c r="A5" s="8">
        <v>10</v>
      </c>
      <c r="D5" s="18" t="s">
        <v>19</v>
      </c>
      <c r="E5" s="18" t="s">
        <v>24</v>
      </c>
      <c r="F5" s="19" t="str">
        <f>Sheet2!$N10</f>
        <v xml:space="preserve"> 1 5 8 14 15 18 </v>
      </c>
      <c r="G5" s="8">
        <f t="shared" ca="1" si="1"/>
        <v>7</v>
      </c>
      <c r="H5" s="8">
        <f t="shared" ca="1" si="2"/>
        <v>5</v>
      </c>
      <c r="I5" s="18">
        <f t="shared" ca="1" si="0"/>
        <v>378</v>
      </c>
      <c r="J5" s="21" t="str">
        <f ca="1">Sheet2!K$2</f>
        <v>41775</v>
      </c>
      <c r="K5" s="10">
        <f ca="1">Sheet2!$M10*$H5*$G5*$N5</f>
        <v>6860</v>
      </c>
      <c r="L5" s="18">
        <f t="shared" ca="1" si="3"/>
        <v>12414.4</v>
      </c>
      <c r="N5" s="8">
        <v>196</v>
      </c>
      <c r="O5" s="8">
        <f ca="1">IF(ISNUMBER(FIND(","&amp;SUM(LEFT(J2,1),MID(J2,2,1))&amp;",",#REF!,1)),1,0)</f>
        <v>0</v>
      </c>
      <c r="Q5" s="8">
        <f>SUM(Sheet2!C2:C20)</f>
        <v>27</v>
      </c>
      <c r="U5" s="8">
        <f ca="1">LOOKUP(SUM(LEN(SUBSTITUTE(J2,MID(J2,{1,2,3,4,5},1),))),{8,12,14,16,18,20;5,10,20,30,60,120})</f>
        <v>60</v>
      </c>
    </row>
    <row r="6" spans="1:21" x14ac:dyDescent="0.15">
      <c r="A6" s="8">
        <v>11</v>
      </c>
      <c r="D6" s="18" t="s">
        <v>19</v>
      </c>
      <c r="E6" s="18" t="s">
        <v>26</v>
      </c>
      <c r="F6" s="19" t="str">
        <f>Sheet2!$N11</f>
        <v xml:space="preserve"> 0 1 2 7 8 9 </v>
      </c>
      <c r="G6" s="8">
        <f t="shared" ca="1" si="1"/>
        <v>8</v>
      </c>
      <c r="H6" s="8">
        <f t="shared" ca="1" si="2"/>
        <v>8</v>
      </c>
      <c r="I6" s="18">
        <f t="shared" ca="1" si="0"/>
        <v>896</v>
      </c>
      <c r="J6" s="21" t="str">
        <f ca="1">Sheet2!K$2</f>
        <v>41775</v>
      </c>
      <c r="K6" s="10">
        <f ca="1">Sheet2!$M11*$H6*$G6*$N6</f>
        <v>0</v>
      </c>
      <c r="L6" s="18">
        <f t="shared" ca="1" si="3"/>
        <v>11518.4</v>
      </c>
      <c r="N6" s="8">
        <v>196</v>
      </c>
      <c r="O6" s="8">
        <f ca="1">IF(ISNUMBER(FIND(IF(LEFT(J2,1)&gt;MID(J2,2,1),LEFT(J2,1)-MID(J2,2,1),MID(J2,2,1)-LEFT(J2,1)),#REF!,1)),1,0)</f>
        <v>0</v>
      </c>
      <c r="Q6" s="8">
        <f>SUM(Sheet2!C$21:C$30)</f>
        <v>56</v>
      </c>
    </row>
    <row r="7" spans="1:21" x14ac:dyDescent="0.15">
      <c r="A7" s="8">
        <v>12</v>
      </c>
      <c r="D7" s="18" t="s">
        <v>19</v>
      </c>
      <c r="E7" s="18" t="s">
        <v>28</v>
      </c>
      <c r="F7" s="19" t="str">
        <f>Sheet2!$N12</f>
        <v xml:space="preserve"> 0 1 2 7 8 9 </v>
      </c>
      <c r="G7" s="8">
        <f t="shared" ca="1" si="1"/>
        <v>3</v>
      </c>
      <c r="H7" s="8">
        <f t="shared" ca="1" si="2"/>
        <v>9</v>
      </c>
      <c r="I7" s="18" t="e">
        <f t="shared" ca="1" si="0"/>
        <v>#REF!</v>
      </c>
      <c r="J7" s="21" t="str">
        <f ca="1">Sheet2!K$2</f>
        <v>41775</v>
      </c>
      <c r="K7" s="8">
        <f ca="1">IF(LEFT(J2,1)&lt;&gt;MID(J2,2,1),IF(IF(ISNUMBER(FIND(LEFT(J2,1),#REF!,1)),1,0)+IF(ISNUMBER(FIND(MID(J2,2,1),#REF!,1)),1,0)=2,G2*N7,0),0)</f>
        <v>0</v>
      </c>
      <c r="L7" s="18" t="e">
        <f t="shared" ca="1" si="3"/>
        <v>#REF!</v>
      </c>
      <c r="M7" s="8" t="s">
        <v>27</v>
      </c>
      <c r="N7" s="8">
        <v>98</v>
      </c>
      <c r="O7" s="8">
        <f ca="1">IF(LEFT(J2,1)&lt;&gt;MID(J2,2,1),IF(IF(ISNUMBER(FIND(LEFT(J2,1),#REF!,1)),1,0)+IF(ISNUMBER(FIND(MID(J2,2,1),#REF!,1)),1,0)=2,1,0),0)</f>
        <v>0</v>
      </c>
      <c r="Q7" s="9" t="e">
        <f>COMBIN(LEN(SUBSTITUTE(#REF!,",",)),2)</f>
        <v>#REF!</v>
      </c>
    </row>
    <row r="8" spans="1:21" s="6" customFormat="1" ht="13.5" customHeight="1" x14ac:dyDescent="0.15">
      <c r="A8" s="8">
        <v>13</v>
      </c>
      <c r="B8" s="8"/>
      <c r="C8" s="8"/>
      <c r="D8" s="18" t="s">
        <v>19</v>
      </c>
      <c r="E8" s="18" t="s">
        <v>29</v>
      </c>
      <c r="F8" s="19" t="str">
        <f>Sheet2!$N13</f>
        <v xml:space="preserve"> 01 02 03 </v>
      </c>
      <c r="G8" s="8">
        <f t="shared" ca="1" si="1"/>
        <v>8</v>
      </c>
      <c r="H8" s="8">
        <f t="shared" ca="1" si="2"/>
        <v>1</v>
      </c>
      <c r="I8" s="18" t="e">
        <f t="shared" ca="1" si="0"/>
        <v>#VALUE!</v>
      </c>
      <c r="J8" s="21" t="str">
        <f ca="1">Sheet2!K$2</f>
        <v>41775</v>
      </c>
      <c r="K8" s="8">
        <f ca="1">IF(EXACT(LEFT(J2,1),MID(J2,2,1)),0,IF(OR(ISNUMBER(FIND(","&amp;LEFT(J2,2)&amp;",",#REF!,1)),ISNUMBER(FIND(","&amp;MID(J2,2,1)&amp;LEFT(J2,1)&amp;",",#REF!,1))),G2*N8,0))</f>
        <v>0</v>
      </c>
      <c r="L8" s="18" t="e">
        <f t="shared" ca="1" si="3"/>
        <v>#REF!</v>
      </c>
      <c r="M8" s="8"/>
      <c r="N8" s="8">
        <v>98</v>
      </c>
      <c r="O8" s="8"/>
      <c r="P8" s="8"/>
      <c r="Q8" s="8" t="e">
        <f>FINDNUMBER(#REF!,2)</f>
        <v>#VALUE!</v>
      </c>
      <c r="R8" s="8"/>
      <c r="S8" s="8"/>
      <c r="T8" s="8"/>
      <c r="U8" s="8"/>
    </row>
    <row r="9" spans="1:21" x14ac:dyDescent="0.15">
      <c r="A9" s="8">
        <v>14</v>
      </c>
      <c r="D9" s="18" t="s">
        <v>19</v>
      </c>
      <c r="E9" s="18" t="s">
        <v>30</v>
      </c>
      <c r="F9" s="19" t="str">
        <f>Sheet2!$N14</f>
        <v xml:space="preserve"> 1 2 3 8 14 15 </v>
      </c>
      <c r="G9" s="8">
        <f t="shared" ca="1" si="1"/>
        <v>5</v>
      </c>
      <c r="H9" s="8">
        <f t="shared" ca="1" si="2"/>
        <v>5</v>
      </c>
      <c r="I9" s="18">
        <f t="shared" ca="1" si="0"/>
        <v>0</v>
      </c>
      <c r="J9" s="21" t="str">
        <f ca="1">Sheet2!K$2</f>
        <v>41775</v>
      </c>
      <c r="K9" s="8">
        <f ca="1">IF(LEFT(J2,1)&lt;&gt;MID(J2,2,1),IF(ISNUMBER(FIND(","&amp;SUM(LEFT(J2,1),MID(J2,2,1))&amp;",",#REF!,1)),G2*N9,0),0)</f>
        <v>0</v>
      </c>
      <c r="L9" s="18" t="e">
        <f t="shared" ca="1" si="3"/>
        <v>#REF!</v>
      </c>
      <c r="N9" s="8">
        <v>98</v>
      </c>
      <c r="Q9" s="8">
        <f>SUM(Sheet2!C$31:C$47)</f>
        <v>0</v>
      </c>
    </row>
    <row r="10" spans="1:21" x14ac:dyDescent="0.15">
      <c r="A10" s="8">
        <v>15</v>
      </c>
      <c r="D10" s="18" t="s">
        <v>19</v>
      </c>
      <c r="E10" s="18" t="s">
        <v>31</v>
      </c>
      <c r="F10" s="19" t="str">
        <f>Sheet2!$N15</f>
        <v xml:space="preserve">0 1 3 5 6 </v>
      </c>
      <c r="G10" s="8">
        <f t="shared" ca="1" si="1"/>
        <v>4</v>
      </c>
      <c r="H10" s="8">
        <f t="shared" ca="1" si="2"/>
        <v>1</v>
      </c>
      <c r="I10" s="18" t="e">
        <f t="shared" ca="1" si="0"/>
        <v>#REF!</v>
      </c>
      <c r="J10" s="21" t="str">
        <f ca="1">Sheet2!K$2</f>
        <v>41775</v>
      </c>
      <c r="K10" s="8">
        <f ca="1">IF(AND(OR(ISNUMBER(FIND(LEFT(J2,1),#REF!,1)),ISNUMBER(FIND(MID(J2,2,1),#REF!,1))),LEFT(J2,1)&lt;&gt;MID(J2,2,1)),G2*N10,0)</f>
        <v>0</v>
      </c>
      <c r="L10" s="18" t="e">
        <f t="shared" ca="1" si="3"/>
        <v>#REF!</v>
      </c>
      <c r="N10" s="8">
        <v>98</v>
      </c>
      <c r="Q10" s="8" t="e">
        <f>LEN(SUBSTITUTE(#REF!,",",))</f>
        <v>#REF!</v>
      </c>
    </row>
    <row r="11" spans="1:21" x14ac:dyDescent="0.15">
      <c r="A11" s="8">
        <v>16</v>
      </c>
      <c r="D11" s="18" t="s">
        <v>33</v>
      </c>
      <c r="E11" s="18" t="s">
        <v>21</v>
      </c>
      <c r="F11" s="19" t="str">
        <f>Sheet2!$N16</f>
        <v xml:space="preserve"> 1 2 8 9, 2 3 4 </v>
      </c>
      <c r="G11" s="8">
        <f t="shared" ca="1" si="1"/>
        <v>3</v>
      </c>
      <c r="H11" s="8">
        <f t="shared" ca="1" si="2"/>
        <v>2</v>
      </c>
      <c r="I11" s="18" t="e">
        <f t="shared" ca="1" si="0"/>
        <v>#REF!</v>
      </c>
      <c r="J11" s="21" t="str">
        <f ca="1">Sheet2!K$2</f>
        <v>41775</v>
      </c>
      <c r="K11" s="8">
        <f ca="1">IF(IF(ISNUMBER(FIND(RIGHT(J2,1),#REF!,1)),1,0)+IF(ISNUMBER(FIND(MID(J2,4,1),#REF!,1)),1,0)=2,G2*N11*1,0)</f>
        <v>0</v>
      </c>
      <c r="L11" s="18" t="e">
        <f t="shared" ca="1" si="3"/>
        <v>#REF!</v>
      </c>
      <c r="M11" s="8" t="s">
        <v>20</v>
      </c>
      <c r="N11" s="8">
        <v>196</v>
      </c>
      <c r="Q11" s="23" t="e">
        <f>COMBIN(LEN(SUBSTITUTE(#REF!,",",)),1)*COMBIN(LEN(SUBSTITUTE(#REF!,",",)),1)</f>
        <v>#REF!</v>
      </c>
    </row>
    <row r="12" spans="1:21" s="6" customFormat="1" ht="13.5" customHeight="1" x14ac:dyDescent="0.15">
      <c r="A12" s="8">
        <v>18</v>
      </c>
      <c r="B12" s="8"/>
      <c r="C12" s="8"/>
      <c r="D12" s="18" t="s">
        <v>33</v>
      </c>
      <c r="E12" s="18" t="s">
        <v>22</v>
      </c>
      <c r="F12" s="12"/>
      <c r="G12" s="8">
        <f t="shared" ca="1" si="1"/>
        <v>7</v>
      </c>
      <c r="H12" s="8">
        <f t="shared" ca="1" si="2"/>
        <v>5</v>
      </c>
      <c r="I12" s="18" t="e">
        <f t="shared" ca="1" si="0"/>
        <v>#VALUE!</v>
      </c>
      <c r="J12" s="21" t="str">
        <f ca="1">Sheet2!K$2</f>
        <v>41775</v>
      </c>
      <c r="K12" s="8">
        <f ca="1">IF(ISNUMBER(FIND(","&amp;RIGHT(J2,2),#REF!,1)),G2*N12,0)</f>
        <v>0</v>
      </c>
      <c r="L12" s="18" t="e">
        <f ca="1">#REF!-$I12+$K12</f>
        <v>#REF!</v>
      </c>
      <c r="M12" s="8"/>
      <c r="N12" s="8">
        <v>196</v>
      </c>
      <c r="O12" s="8"/>
      <c r="P12" s="8"/>
      <c r="Q12" s="8" t="e">
        <f>FINDNUMBER(#REF!,2)</f>
        <v>#VALUE!</v>
      </c>
      <c r="R12" s="8"/>
      <c r="S12" s="8"/>
      <c r="T12" s="8"/>
      <c r="U12" s="8"/>
    </row>
    <row r="13" spans="1:21" x14ac:dyDescent="0.15">
      <c r="A13" s="8">
        <v>19</v>
      </c>
      <c r="D13" s="18" t="s">
        <v>33</v>
      </c>
      <c r="E13" s="18" t="s">
        <v>24</v>
      </c>
      <c r="F13" s="12"/>
      <c r="G13" s="8">
        <f t="shared" ca="1" si="1"/>
        <v>3</v>
      </c>
      <c r="H13" s="8">
        <f t="shared" ca="1" si="2"/>
        <v>9</v>
      </c>
      <c r="I13" s="18">
        <f t="shared" ca="1" si="0"/>
        <v>222</v>
      </c>
      <c r="J13" s="21" t="str">
        <f ca="1">Sheet2!K$2</f>
        <v>41775</v>
      </c>
      <c r="K13" s="8">
        <f ca="1">IF(ISNUMBER(FIND(","&amp;SUM(RIGHT(J2,1),MID(J2,4,1))&amp;",",#REF!,1)),G2*N13,0)</f>
        <v>0</v>
      </c>
      <c r="L13" s="18" t="e">
        <f t="shared" ref="L13:L19" ca="1" si="4">$L12-$I13+$K13</f>
        <v>#REF!</v>
      </c>
      <c r="N13" s="8">
        <v>196</v>
      </c>
      <c r="Q13" s="8">
        <f>SUM(Sheet2!E2:E20)</f>
        <v>37</v>
      </c>
    </row>
    <row r="14" spans="1:21" x14ac:dyDescent="0.15">
      <c r="A14" s="8">
        <v>20</v>
      </c>
      <c r="D14" s="18" t="s">
        <v>33</v>
      </c>
      <c r="E14" s="18" t="s">
        <v>26</v>
      </c>
      <c r="F14" s="12"/>
      <c r="G14" s="8">
        <f t="shared" ca="1" si="1"/>
        <v>8</v>
      </c>
      <c r="H14" s="8">
        <f t="shared" ca="1" si="2"/>
        <v>6</v>
      </c>
      <c r="I14" s="18">
        <f t="shared" ca="1" si="0"/>
        <v>1056</v>
      </c>
      <c r="J14" s="21" t="str">
        <f ca="1">Sheet2!K$2</f>
        <v>41775</v>
      </c>
      <c r="K14" s="8">
        <f ca="1">IF(ISNUMBER(FIND(MAX(MID(J2,4,1),RIGHT(J2,1))-MIN(MID(J2,4,1),RIGHT(J2,1)),#REF!,1)),G2*N14*1,0)</f>
        <v>0</v>
      </c>
      <c r="L14" s="18" t="e">
        <f t="shared" ca="1" si="4"/>
        <v>#REF!</v>
      </c>
      <c r="N14" s="8">
        <v>196</v>
      </c>
      <c r="Q14" s="8">
        <f>SUM(Sheet2!E$21:E$30)</f>
        <v>66</v>
      </c>
    </row>
    <row r="15" spans="1:21" x14ac:dyDescent="0.15">
      <c r="A15" s="8">
        <v>21</v>
      </c>
      <c r="D15" s="18" t="s">
        <v>33</v>
      </c>
      <c r="E15" s="18" t="s">
        <v>28</v>
      </c>
      <c r="F15" s="12"/>
      <c r="G15" s="8">
        <f t="shared" ca="1" si="1"/>
        <v>3</v>
      </c>
      <c r="H15" s="8">
        <f t="shared" ca="1" si="2"/>
        <v>5</v>
      </c>
      <c r="I15" s="18" t="e">
        <f t="shared" ca="1" si="0"/>
        <v>#REF!</v>
      </c>
      <c r="J15" s="21" t="str">
        <f ca="1">Sheet2!K$2</f>
        <v>41775</v>
      </c>
      <c r="K15" s="8">
        <f ca="1">IF(RIGHT(J2,1)&lt;&gt;MID(J2,4,1),IF(IF(ISNUMBER(FIND(RIGHT(J2,1),#REF!,1)),1,0)+IF(ISNUMBER(FIND(MID(J2,4,1),#REF!,1)),1,0)=2,G2*N15,0),0)</f>
        <v>0</v>
      </c>
      <c r="L15" s="18" t="e">
        <f t="shared" ca="1" si="4"/>
        <v>#REF!</v>
      </c>
      <c r="M15" s="8" t="s">
        <v>27</v>
      </c>
      <c r="N15" s="8">
        <v>98</v>
      </c>
      <c r="Q15" s="8" t="e">
        <f>COMBIN(LEN(SUBSTITUTE(#REF!,",",)),2)</f>
        <v>#REF!</v>
      </c>
    </row>
    <row r="16" spans="1:21" ht="13.5" customHeight="1" x14ac:dyDescent="0.15">
      <c r="A16" s="8">
        <v>22</v>
      </c>
      <c r="D16" s="18" t="s">
        <v>33</v>
      </c>
      <c r="E16" s="18" t="s">
        <v>29</v>
      </c>
      <c r="F16" s="12"/>
      <c r="G16" s="8">
        <f t="shared" ca="1" si="1"/>
        <v>4</v>
      </c>
      <c r="H16" s="8">
        <f t="shared" ca="1" si="2"/>
        <v>5</v>
      </c>
      <c r="I16" s="18" t="e">
        <f t="shared" ca="1" si="0"/>
        <v>#VALUE!</v>
      </c>
      <c r="J16" s="21" t="str">
        <f ca="1">Sheet2!K$2</f>
        <v>41775</v>
      </c>
      <c r="K16" s="8">
        <f ca="1">IF(EXACT(RIGHT(J2,1),MID(J2,4,1)),0,IF(OR(ISNUMBER(FIND(","&amp;RIGHT(J2,2)&amp;",",#REF!,1)),ISNUMBER(FIND(","&amp;RIGHT(J2,1)&amp;MID(J2,4,1)&amp;",",#REF!,1))),G2*N8,0))</f>
        <v>0</v>
      </c>
      <c r="L16" s="18" t="e">
        <f t="shared" ca="1" si="4"/>
        <v>#REF!</v>
      </c>
      <c r="N16" s="8">
        <v>98</v>
      </c>
      <c r="Q16" s="8" t="e">
        <f>FINDNUMBER(#REF!,2)</f>
        <v>#VALUE!</v>
      </c>
    </row>
    <row r="17" spans="1:21" x14ac:dyDescent="0.15">
      <c r="A17" s="8">
        <v>23</v>
      </c>
      <c r="D17" s="18" t="s">
        <v>33</v>
      </c>
      <c r="E17" s="18" t="s">
        <v>30</v>
      </c>
      <c r="F17" s="12"/>
      <c r="G17" s="8">
        <f t="shared" ca="1" si="1"/>
        <v>5</v>
      </c>
      <c r="H17" s="8">
        <f t="shared" ca="1" si="2"/>
        <v>2</v>
      </c>
      <c r="I17" s="18">
        <f t="shared" ca="1" si="0"/>
        <v>0</v>
      </c>
      <c r="J17" s="21" t="str">
        <f ca="1">Sheet2!K$2</f>
        <v>41775</v>
      </c>
      <c r="K17" s="8">
        <f ca="1">IF(RIGHT(J2,1)&lt;&gt;MID(J2,4,1),IF(ISNUMBER(FIND(","&amp;SUM(MID(J2,4,1),RIGHT(J2,1))&amp;",",#REF!,1)),G2*N17,0),0)</f>
        <v>0</v>
      </c>
      <c r="L17" s="18" t="e">
        <f t="shared" ca="1" si="4"/>
        <v>#REF!</v>
      </c>
      <c r="N17" s="8">
        <v>98</v>
      </c>
      <c r="Q17" s="8">
        <f>SUM(Sheet2!E$31:E$47)</f>
        <v>0</v>
      </c>
    </row>
    <row r="18" spans="1:21" x14ac:dyDescent="0.15">
      <c r="A18" s="8">
        <v>24</v>
      </c>
      <c r="D18" s="18" t="s">
        <v>33</v>
      </c>
      <c r="E18" s="18" t="s">
        <v>31</v>
      </c>
      <c r="F18" s="12"/>
      <c r="G18" s="8">
        <f t="shared" ca="1" si="1"/>
        <v>5</v>
      </c>
      <c r="H18" s="8">
        <f t="shared" ca="1" si="2"/>
        <v>9</v>
      </c>
      <c r="I18" s="18" t="e">
        <f t="shared" ca="1" si="0"/>
        <v>#REF!</v>
      </c>
      <c r="J18" s="21" t="str">
        <f ca="1">Sheet2!K$2</f>
        <v>41775</v>
      </c>
      <c r="K18" s="8">
        <f ca="1">IF(AND(OR(ISNUMBER(FIND(RIGHT(J2,1),#REF!,1)),ISNUMBER(FIND(MID(J2,4,1),#REF!,1))),RIGHT(J2,1)&lt;&gt;MID(J2,4,1)),G2*N18,0)</f>
        <v>0</v>
      </c>
      <c r="L18" s="18" t="e">
        <f t="shared" ca="1" si="4"/>
        <v>#REF!</v>
      </c>
      <c r="N18" s="8">
        <v>98</v>
      </c>
      <c r="Q18" s="8" t="e">
        <f>LEN(SUBSTITUTE(#REF!,",",))*9</f>
        <v>#REF!</v>
      </c>
    </row>
    <row r="19" spans="1:21" x14ac:dyDescent="0.15">
      <c r="A19" s="8">
        <v>25</v>
      </c>
      <c r="D19" s="18" t="s">
        <v>34</v>
      </c>
      <c r="E19" s="18" t="s">
        <v>5</v>
      </c>
      <c r="F19" s="12"/>
      <c r="G19" s="8">
        <f t="shared" ca="1" si="1"/>
        <v>6</v>
      </c>
      <c r="H19" s="8">
        <f t="shared" ca="1" si="2"/>
        <v>2</v>
      </c>
      <c r="I19" s="18" t="e">
        <f t="shared" ca="1" si="0"/>
        <v>#REF!</v>
      </c>
      <c r="J19" s="21" t="str">
        <f ca="1">Sheet2!K$2</f>
        <v>41775</v>
      </c>
      <c r="K19" s="8">
        <f ca="1">IF(AND(ISNUMBER(FIND(LEFT(J2,1),#REF!,1)),ISNUMBER(FIND(MID(J2,2,1),#REF!,1)),ISNUMBER(FIND(MID(J2,3,1),#REF!,1))),G2*N19,0)</f>
        <v>0</v>
      </c>
      <c r="L19" s="18" t="e">
        <f t="shared" ca="1" si="4"/>
        <v>#REF!</v>
      </c>
      <c r="M19" s="8" t="s">
        <v>20</v>
      </c>
      <c r="N19" s="8">
        <v>1960</v>
      </c>
      <c r="O19" s="8" t="b">
        <f ca="1">ISNUMBER(FIND(LEFT(J2,1),#REF!,1))</f>
        <v>0</v>
      </c>
      <c r="Q19" s="23" t="e">
        <f>LEN(SUBSTITUTE(#REF!,",",))*LEN(SUBSTITUTE(#REF!,",",))*LEN(SUBSTITUTE(#REF!,",",))</f>
        <v>#REF!</v>
      </c>
    </row>
    <row r="20" spans="1:21" s="6" customFormat="1" ht="13.5" customHeight="1" x14ac:dyDescent="0.15">
      <c r="A20" s="8">
        <v>28</v>
      </c>
      <c r="B20" s="8"/>
      <c r="C20" s="8"/>
      <c r="D20" s="18" t="s">
        <v>34</v>
      </c>
      <c r="E20" s="18" t="s">
        <v>35</v>
      </c>
      <c r="F20" s="12"/>
      <c r="G20" s="8">
        <f t="shared" ca="1" si="1"/>
        <v>5</v>
      </c>
      <c r="H20" s="8">
        <f t="shared" ca="1" si="2"/>
        <v>4</v>
      </c>
      <c r="I20" s="18" t="e">
        <f t="shared" ca="1" si="0"/>
        <v>#VALUE!</v>
      </c>
      <c r="J20" s="21" t="str">
        <f ca="1">Sheet2!K$2</f>
        <v>41775</v>
      </c>
      <c r="K20" s="8">
        <f ca="1">IF(ISNUMBER(FIND(","&amp;LEFT(J2,3),#REF!,1)),G2*N20,0)</f>
        <v>0</v>
      </c>
      <c r="L20" s="18" t="e">
        <f ca="1">#REF!-$I20+$K20</f>
        <v>#REF!</v>
      </c>
      <c r="M20" s="8"/>
      <c r="N20" s="8">
        <v>1960</v>
      </c>
      <c r="O20" s="8"/>
      <c r="P20" s="8"/>
      <c r="Q20" s="8" t="e">
        <f>FINDNUMBER(#REF!,3)</f>
        <v>#VALUE!</v>
      </c>
      <c r="R20" s="8"/>
      <c r="S20" s="8"/>
      <c r="T20" s="8"/>
      <c r="U20" s="8"/>
    </row>
    <row r="21" spans="1:21" x14ac:dyDescent="0.15">
      <c r="A21" s="8">
        <v>29</v>
      </c>
      <c r="D21" s="18" t="s">
        <v>34</v>
      </c>
      <c r="E21" s="18" t="s">
        <v>24</v>
      </c>
      <c r="F21" s="12"/>
      <c r="G21" s="8">
        <f t="shared" ca="1" si="1"/>
        <v>6</v>
      </c>
      <c r="H21" s="8">
        <f t="shared" ca="1" si="2"/>
        <v>8</v>
      </c>
      <c r="I21" s="18">
        <f t="shared" ca="1" si="0"/>
        <v>0</v>
      </c>
      <c r="J21" s="21" t="str">
        <f ca="1">Sheet2!K$2</f>
        <v>41775</v>
      </c>
      <c r="K21" s="8">
        <f ca="1">IF(ISNUMBER(FIND(","&amp;SUM(LEFT(J2,1),MID(J2,2,1),MID(J2,3,1))&amp;",",#REF!,1)),G2*N21,0)</f>
        <v>0</v>
      </c>
      <c r="L21" s="18" t="e">
        <f t="shared" ref="L21:L32" ca="1" si="5">$L20-$I21+$K21</f>
        <v>#REF!</v>
      </c>
      <c r="N21" s="8">
        <v>1960</v>
      </c>
      <c r="Q21" s="8">
        <f>SUM(Sheet2!$C48:$C75)</f>
        <v>0</v>
      </c>
    </row>
    <row r="22" spans="1:21" x14ac:dyDescent="0.15">
      <c r="A22" s="8">
        <v>30</v>
      </c>
      <c r="D22" s="18" t="s">
        <v>34</v>
      </c>
      <c r="E22" s="18" t="s">
        <v>26</v>
      </c>
      <c r="F22" s="12"/>
      <c r="G22" s="8">
        <f t="shared" ca="1" si="1"/>
        <v>6</v>
      </c>
      <c r="H22" s="8">
        <f t="shared" ca="1" si="2"/>
        <v>4</v>
      </c>
      <c r="I22" s="18">
        <f t="shared" ca="1" si="0"/>
        <v>0</v>
      </c>
      <c r="J22" s="21" t="str">
        <f ca="1">Sheet2!K$2</f>
        <v>41775</v>
      </c>
      <c r="K22" s="8">
        <f ca="1">IF(ISNUMBER(FIND(MAX(MID(J2,2,1),LEFT(J2,1),MID(J2,3,1))-MIN(MID(J2,2,1),LEFT(J2,1),MID(J2,3,1)),#REF!,1)),G2*N22*1,0)</f>
        <v>0</v>
      </c>
      <c r="L22" s="18" t="e">
        <f t="shared" ca="1" si="5"/>
        <v>#REF!</v>
      </c>
      <c r="N22" s="8">
        <v>1960</v>
      </c>
    </row>
    <row r="23" spans="1:21" ht="16.5" customHeight="1" x14ac:dyDescent="0.15">
      <c r="A23" s="8">
        <v>31</v>
      </c>
      <c r="D23" s="18" t="s">
        <v>34</v>
      </c>
      <c r="E23" s="18" t="s">
        <v>30</v>
      </c>
      <c r="F23" s="12"/>
      <c r="G23" s="8">
        <f t="shared" ca="1" si="1"/>
        <v>7</v>
      </c>
      <c r="H23" s="8">
        <f t="shared" ca="1" si="2"/>
        <v>3</v>
      </c>
      <c r="I23" s="18">
        <f t="shared" ca="1" si="0"/>
        <v>0</v>
      </c>
      <c r="J23" s="21" t="str">
        <f ca="1">Sheet2!K$2</f>
        <v>41775</v>
      </c>
      <c r="K23" s="8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18" t="e">
        <f t="shared" ca="1" si="5"/>
        <v>#REF!</v>
      </c>
      <c r="M23" s="8" t="s">
        <v>27</v>
      </c>
      <c r="N23" s="8">
        <v>326.66500000000002</v>
      </c>
      <c r="P23" s="8" t="b">
        <f ca="1">OR(AND(LEFT(J2,1)=MID(J2,2,1),MID(J2,2,1)&lt;&gt;MID(J2,3,1)),AND(LEFT(J2,1)&lt;&gt;MID(J2,2,1),MID(J2,2,1)=MID(J2,3,1)),AND(MID(J2,3,1)=LEFT(J2,1),LEFT(J2,1)&lt;&gt;MID(J2,2,1)))</f>
        <v>0</v>
      </c>
    </row>
    <row r="24" spans="1:21" x14ac:dyDescent="0.15">
      <c r="A24" s="8">
        <v>32</v>
      </c>
      <c r="D24" s="18" t="s">
        <v>34</v>
      </c>
      <c r="E24" s="18" t="s">
        <v>36</v>
      </c>
      <c r="F24" s="12"/>
      <c r="G24" s="8">
        <f t="shared" ca="1" si="1"/>
        <v>1</v>
      </c>
      <c r="H24" s="8">
        <f t="shared" ca="1" si="2"/>
        <v>5</v>
      </c>
      <c r="I24" s="18">
        <f t="shared" ca="1" si="0"/>
        <v>0</v>
      </c>
      <c r="J24" s="21" t="str">
        <f ca="1">Sheet2!K$2</f>
        <v>41775</v>
      </c>
      <c r="K24" s="8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18" t="e">
        <f t="shared" ca="1" si="5"/>
        <v>#REF!</v>
      </c>
      <c r="N24" s="8">
        <v>653.33000000000004</v>
      </c>
      <c r="O24" s="8" t="b">
        <f ca="1">AND(ISNUMBER(FIND(LEFT(J2,1),#REF!,1)),ISNUMBER(FIND(MID(J2,2,1),#REF!,1)),ISNUMBER(FIND(MID(J2,3,1),#REF!,1)),P24)</f>
        <v>0</v>
      </c>
      <c r="P24" s="8" t="b">
        <f ca="1">OR(AND(LEFT(J2,1)=MID(J2,2,1),MID(J2,2,1)&lt;&gt;MID(J2,3,1)),AND(LEFT(J2,1)&lt;&gt;MID(J2,2,1),MID(J2,2,1)=MID(J2,3,1)),AND(MID(J2,3,1)=LEFT(J2,1),LEFT(J2,1)&lt;&gt;MID(J2,2,1)))</f>
        <v>0</v>
      </c>
    </row>
    <row r="25" spans="1:21" x14ac:dyDescent="0.15">
      <c r="A25" s="8">
        <v>33</v>
      </c>
      <c r="D25" s="18" t="s">
        <v>34</v>
      </c>
      <c r="E25" s="18" t="s">
        <v>37</v>
      </c>
      <c r="F25" s="12"/>
      <c r="G25" s="8">
        <f t="shared" ca="1" si="1"/>
        <v>8</v>
      </c>
      <c r="H25" s="8">
        <f t="shared" ca="1" si="2"/>
        <v>9</v>
      </c>
      <c r="I25" s="18">
        <f t="shared" ca="1" si="0"/>
        <v>0</v>
      </c>
      <c r="J25" s="21" t="str">
        <f ca="1">Sheet2!K$2</f>
        <v>41775</v>
      </c>
      <c r="K25" s="8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18" t="e">
        <f t="shared" ca="1" si="5"/>
        <v>#REF!</v>
      </c>
      <c r="N25" s="8">
        <v>326.66000000000003</v>
      </c>
      <c r="P25" s="8" t="b">
        <f ca="1">OR(AND(LEFT(J2,1)=MID(J2,2,1),MID(J2,2,1)&lt;&gt;MID(J2,3,1)),AND(LEFT(J2,1)&lt;&gt;MID(J2,2,1),MID(J2,2,1)=MID(J2,3,1)),AND(MID(J2,3,1)=LEFT(J2,1),LEFT(J2,1)&lt;&gt;MID(J2,2,1)))</f>
        <v>0</v>
      </c>
    </row>
    <row r="26" spans="1:21" s="6" customFormat="1" ht="13.5" customHeight="1" x14ac:dyDescent="0.15">
      <c r="A26" s="8">
        <v>34</v>
      </c>
      <c r="B26" s="8"/>
      <c r="C26" s="8"/>
      <c r="D26" s="18" t="s">
        <v>34</v>
      </c>
      <c r="E26" s="18" t="s">
        <v>38</v>
      </c>
      <c r="F26" s="12"/>
      <c r="G26" s="8">
        <f t="shared" ca="1" si="1"/>
        <v>4</v>
      </c>
      <c r="H26" s="8">
        <f t="shared" ca="1" si="2"/>
        <v>1</v>
      </c>
      <c r="I26" s="18">
        <f t="shared" ca="1" si="0"/>
        <v>0</v>
      </c>
      <c r="J26" s="21" t="str">
        <f ca="1">Sheet2!K$2</f>
        <v>41775</v>
      </c>
      <c r="K26" s="8">
        <f ca="1"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18" t="e">
        <f t="shared" ca="1" si="5"/>
        <v>#REF!</v>
      </c>
      <c r="M26" s="8"/>
      <c r="N26" s="8">
        <v>326.66500000000002</v>
      </c>
      <c r="O26" s="8" t="b">
        <f ca="1">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</f>
        <v>0</v>
      </c>
      <c r="P26" s="8" t="b">
        <f ca="1">OR(AND(LEFT(J2,1)=MID(J2,2,1),MID(J2,2,1)&lt;&gt;MID(J2,3,1)),AND(LEFT(J2,1)&lt;&gt;MID(J2,2,1),MID(J2,2,1)=MID(J2,3,1)),AND(MID(J2,3,1)=LEFT(J2,1),LEFT(J2,1)&lt;&gt;MID(J2,2,1)))</f>
        <v>0</v>
      </c>
      <c r="Q26" s="8"/>
      <c r="R26" s="8"/>
      <c r="S26" s="8"/>
      <c r="T26" s="8"/>
      <c r="U26" s="8"/>
    </row>
    <row r="27" spans="1:21" x14ac:dyDescent="0.15">
      <c r="A27" s="8">
        <v>35</v>
      </c>
      <c r="D27" s="18" t="s">
        <v>34</v>
      </c>
      <c r="E27" s="18" t="s">
        <v>31</v>
      </c>
      <c r="F27" s="12"/>
      <c r="G27" s="8">
        <f t="shared" ca="1" si="1"/>
        <v>6</v>
      </c>
      <c r="H27" s="8">
        <f t="shared" ca="1" si="2"/>
        <v>7</v>
      </c>
      <c r="I27" s="18">
        <f t="shared" ca="1" si="0"/>
        <v>0</v>
      </c>
      <c r="J27" s="21" t="str">
        <f ca="1">Sheet2!K$2</f>
        <v>41775</v>
      </c>
      <c r="K27" s="8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18" t="e">
        <f t="shared" ca="1" si="5"/>
        <v>#REF!</v>
      </c>
      <c r="N27" s="8">
        <v>326.66500000000002</v>
      </c>
      <c r="O27" s="8" t="b">
        <f ca="1">OR(ISNUMBER(FIND(LEFT(J2,1),#REF!,1)),ISNUMBER(FIND(MID(J2,2,1),#REF!,1)),ISNUMBER(FIND(MID(J2,3,1),#REF!,1)))</f>
        <v>0</v>
      </c>
      <c r="P27" s="8" t="b">
        <f ca="1">OR(AND(LEFT(J2,1)=MID(J2,2,1),MID(J2,2,1)&lt;&gt;MID(J2,3,1)),AND(LEFT(J2,1)&lt;&gt;MID(J2,2,1),MID(J2,2,1)=MID(J2,3,1)),AND(MID(J2,3,1)=LEFT(J2,1),LEFT(J2,1)&lt;&gt;MID(J2,2,1)))</f>
        <v>0</v>
      </c>
    </row>
    <row r="28" spans="1:21" s="6" customFormat="1" ht="13.5" customHeight="1" x14ac:dyDescent="0.15">
      <c r="A28" s="8">
        <v>36</v>
      </c>
      <c r="B28" s="8"/>
      <c r="C28" s="8"/>
      <c r="D28" s="18" t="s">
        <v>34</v>
      </c>
      <c r="E28" s="18" t="s">
        <v>39</v>
      </c>
      <c r="F28" s="12"/>
      <c r="G28" s="8">
        <f t="shared" ca="1" si="1"/>
        <v>9</v>
      </c>
      <c r="H28" s="8">
        <f t="shared" ca="1" si="2"/>
        <v>1</v>
      </c>
      <c r="I28" s="18">
        <f t="shared" ca="1" si="0"/>
        <v>0</v>
      </c>
      <c r="J28" s="21" t="str">
        <f ca="1">Sheet2!K$2</f>
        <v>41775</v>
      </c>
      <c r="K28" s="8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18" t="e">
        <f t="shared" ca="1" si="5"/>
        <v>#REF!</v>
      </c>
      <c r="M28" s="8"/>
      <c r="N28" s="8">
        <v>653.33000000000004</v>
      </c>
      <c r="O28" s="8"/>
      <c r="P28" s="8" t="b">
        <f ca="1">OR(AND(LEFT(J2,1)=MID(J2,2,1),MID(J2,2,1)&lt;&gt;MID(J2,3,1)),AND(LEFT(J2,1)&lt;&gt;MID(J2,2,1),MID(J2,2,1)=MID(J2,3,1)),AND(MID(J2,3,1)=LEFT(J2,1),LEFT(J2,1)&lt;&gt;MID(J2,2,1)))</f>
        <v>0</v>
      </c>
      <c r="Q28" s="8"/>
      <c r="R28" s="8"/>
      <c r="S28" s="8"/>
      <c r="T28" s="8"/>
      <c r="U28" s="8"/>
    </row>
    <row r="29" spans="1:21" s="6" customFormat="1" ht="13.5" customHeight="1" x14ac:dyDescent="0.15">
      <c r="A29" s="8">
        <v>37</v>
      </c>
      <c r="B29" s="8"/>
      <c r="C29" s="8"/>
      <c r="D29" s="18" t="s">
        <v>34</v>
      </c>
      <c r="E29" s="18" t="s">
        <v>40</v>
      </c>
      <c r="F29" s="12"/>
      <c r="G29" s="8">
        <f t="shared" ca="1" si="1"/>
        <v>6</v>
      </c>
      <c r="H29" s="8">
        <f t="shared" ca="1" si="2"/>
        <v>1</v>
      </c>
      <c r="I29" s="18">
        <f t="shared" ca="1" si="0"/>
        <v>0</v>
      </c>
      <c r="J29" s="21" t="str">
        <f ca="1">Sheet2!K$2</f>
        <v>41775</v>
      </c>
      <c r="K29" s="8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18" t="e">
        <f t="shared" ca="1" si="5"/>
        <v>#REF!</v>
      </c>
      <c r="M29" s="8"/>
      <c r="N29" s="8">
        <v>326.66000000000003</v>
      </c>
      <c r="O29" s="8"/>
      <c r="P29" s="8" t="b">
        <f ca="1">OR(AND(LEFT(J2,1)=MID(J2,2,1),MID(J2,2,1)&lt;&gt;MID(J2,3,1)),AND(LEFT(J2,1)&lt;&gt;MID(J2,2,1),MID(J2,2,1)=MID(J2,3,1)),AND(MID(J2,3,1)=LEFT(J2,1),LEFT(J2,1)&lt;&gt;MID(J2,2,1)))</f>
        <v>0</v>
      </c>
      <c r="Q29" s="8"/>
      <c r="R29" s="8"/>
      <c r="S29" s="8"/>
      <c r="T29" s="8"/>
      <c r="U29" s="8"/>
    </row>
    <row r="30" spans="1:21" x14ac:dyDescent="0.15">
      <c r="A30" s="8">
        <v>38</v>
      </c>
      <c r="D30" s="18" t="s">
        <v>34</v>
      </c>
      <c r="E30" s="18" t="s">
        <v>42</v>
      </c>
      <c r="F30" s="12"/>
      <c r="G30" s="8">
        <f t="shared" ca="1" si="1"/>
        <v>8</v>
      </c>
      <c r="H30" s="8">
        <f t="shared" ca="1" si="2"/>
        <v>5</v>
      </c>
      <c r="I30" s="18">
        <f t="shared" ca="1" si="0"/>
        <v>0</v>
      </c>
      <c r="J30" s="21" t="str">
        <f ca="1">Sheet2!K$2</f>
        <v>41775</v>
      </c>
      <c r="K30" s="8">
        <f ca="1">IF(OR(ISNUMBER(FIND(LEFT(J2,1),#REF!,1)),ISNUMBER(FIND(MID(J2,2,1),#REF!,1)),ISNUMBER(FIND(MID(J2,3,1),#REF!,1))),G2*N30,0)</f>
        <v>0</v>
      </c>
      <c r="L30" s="18" t="e">
        <f t="shared" ca="1" si="5"/>
        <v>#REF!</v>
      </c>
      <c r="M30" s="8" t="s">
        <v>41</v>
      </c>
      <c r="N30" s="8">
        <v>7.23</v>
      </c>
      <c r="O30" s="8" t="b">
        <f ca="1">OR(ISNUMBER(FIND(LEFT(J2,1),#REF!,1)),ISNUMBER(FIND(MID(J2,2,1),#REF!,1)),ISNUMBER(FIND(MID(J2,3,1),#REF!,1)))</f>
        <v>0</v>
      </c>
    </row>
    <row r="31" spans="1:21" x14ac:dyDescent="0.15">
      <c r="A31" s="8">
        <v>39</v>
      </c>
      <c r="D31" s="18" t="s">
        <v>34</v>
      </c>
      <c r="E31" s="18" t="s">
        <v>43</v>
      </c>
      <c r="F31" s="12"/>
      <c r="G31" s="8">
        <f t="shared" ca="1" si="1"/>
        <v>5</v>
      </c>
      <c r="H31" s="8">
        <f t="shared" ca="1" si="2"/>
        <v>4</v>
      </c>
      <c r="I31" s="18">
        <f t="shared" ca="1" si="0"/>
        <v>0</v>
      </c>
      <c r="J31" s="21" t="str">
        <f ca="1">Sheet2!K$2</f>
        <v>41775</v>
      </c>
      <c r="K31" s="8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18" t="e">
        <f t="shared" ca="1" si="5"/>
        <v>#REF!</v>
      </c>
      <c r="N31" s="8">
        <v>36.29</v>
      </c>
      <c r="O31" s="8" t="b">
        <f ca="1">OR(AND(ISNUMBER(FIND(LEFT(J2,1),#REF!,1)),ISNUMBER(FIND(MID(J2,2,1),#REF!,1))),AND(ISNUMBER(FIND(MID(J2,3,1),#REF!,1)),ISNUMBER(FIND(MID(J2,2,1),#REF!,1))),AND(ISNUMBER(FIND(LEFT(J2,1),#REF!,1)),ISNUMBER(FIND(MID(J2,3,1),#REF!,1))))</f>
        <v>0</v>
      </c>
    </row>
    <row r="32" spans="1:21" ht="13.5" customHeight="1" x14ac:dyDescent="0.15">
      <c r="A32" s="8">
        <v>40</v>
      </c>
      <c r="D32" s="18" t="s">
        <v>44</v>
      </c>
      <c r="E32" s="18" t="s">
        <v>5</v>
      </c>
      <c r="F32" s="12"/>
      <c r="G32" s="8">
        <f t="shared" ca="1" si="1"/>
        <v>9</v>
      </c>
      <c r="H32" s="8">
        <f t="shared" ca="1" si="2"/>
        <v>1</v>
      </c>
      <c r="I32" s="18">
        <f t="shared" ca="1" si="0"/>
        <v>0</v>
      </c>
      <c r="J32" s="21" t="str">
        <f ca="1">Sheet2!K$2</f>
        <v>41775</v>
      </c>
      <c r="K32" s="8">
        <f ca="1">IF(AND(ISNUMBER(FIND(MID(J2,2,1),#REF!,1)),ISNUMBER(FIND(MID(J2,3,1),#REF!,1)),ISNUMBER(FIND(MID(J2,4,1),#REF!,1))),G2*N32,0)</f>
        <v>0</v>
      </c>
      <c r="L32" s="18" t="e">
        <f t="shared" ca="1" si="5"/>
        <v>#REF!</v>
      </c>
      <c r="M32" s="8" t="s">
        <v>20</v>
      </c>
      <c r="N32" s="8">
        <v>1960</v>
      </c>
      <c r="O32" s="8" t="b">
        <f ca="1">ISNUMBER(FIND(MID(J2,2,1),#REF!,1))</f>
        <v>0</v>
      </c>
      <c r="Q32" s="18"/>
    </row>
    <row r="33" spans="1:21" s="6" customFormat="1" ht="13.5" customHeight="1" x14ac:dyDescent="0.15">
      <c r="A33" s="8">
        <v>43</v>
      </c>
      <c r="B33" s="8"/>
      <c r="C33" s="8"/>
      <c r="D33" s="18" t="s">
        <v>44</v>
      </c>
      <c r="E33" s="18" t="s">
        <v>35</v>
      </c>
      <c r="F33" s="12"/>
      <c r="G33" s="8">
        <f t="shared" ca="1" si="1"/>
        <v>1</v>
      </c>
      <c r="H33" s="8">
        <f t="shared" ca="1" si="2"/>
        <v>8</v>
      </c>
      <c r="I33" s="18" t="e">
        <f t="shared" ca="1" si="0"/>
        <v>#VALUE!</v>
      </c>
      <c r="J33" s="21" t="str">
        <f ca="1">Sheet2!K$2</f>
        <v>41775</v>
      </c>
      <c r="K33" s="8">
        <f ca="1">IF(ISNUMBER(FIND(","&amp;MID(J2,2,3)&amp;",",#REF!,1)),G2*N33,0)</f>
        <v>0</v>
      </c>
      <c r="L33" s="18" t="e">
        <f ca="1">#REF!-$I33+$K33</f>
        <v>#REF!</v>
      </c>
      <c r="M33" s="8"/>
      <c r="N33" s="8">
        <v>1960</v>
      </c>
      <c r="O33" s="8" t="b">
        <f ca="1">ISNUMBER(FIND(","&amp;MID(J2,2,3)&amp;",",#REF!,1))</f>
        <v>0</v>
      </c>
      <c r="P33" s="8"/>
      <c r="Q33" s="8" t="e">
        <f>FINDNUMBER(#REF!,3)</f>
        <v>#VALUE!</v>
      </c>
      <c r="R33" s="8"/>
      <c r="S33" s="8"/>
      <c r="T33" s="8"/>
      <c r="U33" s="8"/>
    </row>
    <row r="34" spans="1:21" ht="18" customHeight="1" x14ac:dyDescent="0.15">
      <c r="A34" s="8">
        <v>44</v>
      </c>
      <c r="D34" s="18" t="s">
        <v>44</v>
      </c>
      <c r="E34" s="18" t="s">
        <v>24</v>
      </c>
      <c r="F34" s="12"/>
      <c r="G34" s="8">
        <f t="shared" ca="1" si="1"/>
        <v>9</v>
      </c>
      <c r="H34" s="8">
        <f t="shared" ca="1" si="2"/>
        <v>6</v>
      </c>
      <c r="I34" s="18">
        <f t="shared" ref="I34:I65" ca="1" si="6">Q34*G34*2</f>
        <v>0</v>
      </c>
      <c r="J34" s="21" t="str">
        <f ca="1">Sheet2!K$2</f>
        <v>41775</v>
      </c>
      <c r="K34" s="8">
        <f ca="1">IF(ISNUMBER(FIND(","&amp;SUM(MID(J2,2,1),MID(J2,3,1),MID(J2,4,1))&amp;",",#REF!,1)),G2*N21,0)</f>
        <v>0</v>
      </c>
      <c r="L34" s="18" t="e">
        <f t="shared" ref="L34:L45" ca="1" si="7">$L33-$I34+$K34</f>
        <v>#REF!</v>
      </c>
      <c r="N34" s="8">
        <v>1960</v>
      </c>
      <c r="O34" s="8" t="b">
        <f ca="1">ISNUMBER(FIND(","&amp;SUM(MID(J2,2,1),MID(J2,3,1),MID(J2,4,1))&amp;",",#REF!,1))</f>
        <v>0</v>
      </c>
    </row>
    <row r="35" spans="1:21" ht="13.5" customHeight="1" x14ac:dyDescent="0.15">
      <c r="A35" s="8">
        <v>45</v>
      </c>
      <c r="D35" s="18" t="s">
        <v>44</v>
      </c>
      <c r="E35" s="18" t="s">
        <v>26</v>
      </c>
      <c r="F35" s="12"/>
      <c r="G35" s="8">
        <f t="shared" ca="1" si="1"/>
        <v>8</v>
      </c>
      <c r="H35" s="8">
        <f t="shared" ca="1" si="2"/>
        <v>7</v>
      </c>
      <c r="I35" s="18">
        <f t="shared" ca="1" si="6"/>
        <v>0</v>
      </c>
      <c r="J35" s="21" t="str">
        <f ca="1">Sheet2!K$2</f>
        <v>41775</v>
      </c>
      <c r="K35" s="8">
        <f ca="1">IF(ISNUMBER(FIND(MAX(MID(J2,2,1),MID(J2,3,1),MID(J2,4,1))-MIN(MID(J2,2,1),MID(J2,3,1),MID(J2,4,1)),#REF!,1)),G2*N35*1,0)</f>
        <v>0</v>
      </c>
      <c r="L35" s="18" t="e">
        <f t="shared" ca="1" si="7"/>
        <v>#REF!</v>
      </c>
      <c r="N35" s="8">
        <v>1960</v>
      </c>
      <c r="O35" s="8" t="b">
        <f ca="1">ISNUMBER(FIND(MAX(MID(J2,2,1),MID(J2,3,1),MID(J2,4,1))-MIN(MID(J2,2,1),MID(J2,3,1),MID(J2,4,1)),#REF!,1))</f>
        <v>0</v>
      </c>
    </row>
    <row r="36" spans="1:21" ht="23.25" customHeight="1" x14ac:dyDescent="0.15">
      <c r="A36" s="8">
        <v>46</v>
      </c>
      <c r="D36" s="18" t="s">
        <v>44</v>
      </c>
      <c r="E36" s="18" t="s">
        <v>30</v>
      </c>
      <c r="F36" s="12"/>
      <c r="G36" s="8">
        <f t="shared" ca="1" si="1"/>
        <v>9</v>
      </c>
      <c r="H36" s="8">
        <f t="shared" ca="1" si="2"/>
        <v>4</v>
      </c>
      <c r="I36" s="18">
        <f t="shared" ca="1" si="6"/>
        <v>0</v>
      </c>
      <c r="J36" s="21" t="str">
        <f ca="1">Sheet2!K$2</f>
        <v>41775</v>
      </c>
      <c r="K36" s="8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18" t="e">
        <f t="shared" ca="1" si="7"/>
        <v>#REF!</v>
      </c>
      <c r="M36" s="8" t="s">
        <v>27</v>
      </c>
      <c r="N36" s="8">
        <v>326.66500000000002</v>
      </c>
      <c r="P36" s="8" t="b">
        <f ca="1">OR(AND(MID(J2,2,1)=MID(J2,3,1),MID(J2,3,1)&lt;&gt;MID(J2,4,1)),AND(MID(J2,2,1)&lt;&gt;MID(J2,3,1),MID(J2,3,1)=MID(J2,4,1)),AND(MID(J2,4,1)=MID(J2,2,1),MID(J2,2,1)&lt;&gt;MID(J2,3,1)))</f>
        <v>1</v>
      </c>
    </row>
    <row r="37" spans="1:21" ht="13.5" customHeight="1" x14ac:dyDescent="0.15">
      <c r="A37" s="8">
        <v>47</v>
      </c>
      <c r="D37" s="18" t="s">
        <v>44</v>
      </c>
      <c r="E37" s="18" t="s">
        <v>36</v>
      </c>
      <c r="F37" s="12"/>
      <c r="G37" s="8">
        <f t="shared" ca="1" si="1"/>
        <v>5</v>
      </c>
      <c r="H37" s="8">
        <f t="shared" ca="1" si="2"/>
        <v>8</v>
      </c>
      <c r="I37" s="18">
        <f t="shared" ca="1" si="6"/>
        <v>0</v>
      </c>
      <c r="J37" s="21" t="str">
        <f ca="1">Sheet2!K$2</f>
        <v>41775</v>
      </c>
      <c r="K37" s="8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18" t="e">
        <f t="shared" ca="1" si="7"/>
        <v>#REF!</v>
      </c>
      <c r="N37" s="8">
        <v>653.33000000000004</v>
      </c>
      <c r="O37" s="8" t="b">
        <f ca="1">AND(ISNUMBER(FIND(MID(J2,2,1),#REF!,1)),ISNUMBER(FIND(MID(J2,3,1),#REF!,1)),ISNUMBER(FIND(MID(J2,4,1),#REF!,1)),P37)</f>
        <v>0</v>
      </c>
      <c r="P37" s="8" t="b">
        <f ca="1">OR(AND(MID(J2,2,1)=MID(J2,3,1),MID(J2,3,1)&lt;&gt;MID(J2,4,1)),AND(MID(J2,2,1)&lt;&gt;MID(J2,3,1),MID(J2,3,1)=MID(J2,4,1)),AND(MID(J2,4,1)=MID(J2,2,1),MID(J2,2,1)&lt;&gt;MID(J2,3,1)))</f>
        <v>1</v>
      </c>
    </row>
    <row r="38" spans="1:21" ht="13.5" customHeight="1" x14ac:dyDescent="0.15">
      <c r="A38" s="8">
        <v>48</v>
      </c>
      <c r="D38" s="18" t="s">
        <v>44</v>
      </c>
      <c r="E38" s="18" t="s">
        <v>37</v>
      </c>
      <c r="F38" s="12"/>
      <c r="G38" s="8">
        <f t="shared" ca="1" si="1"/>
        <v>6</v>
      </c>
      <c r="H38" s="8">
        <f t="shared" ca="1" si="2"/>
        <v>3</v>
      </c>
      <c r="I38" s="18">
        <f t="shared" ca="1" si="6"/>
        <v>0</v>
      </c>
      <c r="J38" s="21" t="str">
        <f ca="1">Sheet2!K$2</f>
        <v>41775</v>
      </c>
      <c r="K38" s="8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18" t="e">
        <f t="shared" ca="1" si="7"/>
        <v>#REF!</v>
      </c>
      <c r="N38" s="8">
        <v>326.66000000000003</v>
      </c>
      <c r="P38" s="8" t="b">
        <f ca="1">OR(AND(MID(J2,2,1)=MID(J2,3,1),MID(J2,3,1)&lt;&gt;MID(J2,4,1)),AND(MID(J2,2,1)&lt;&gt;MID(J2,3,1),MID(J2,3,1)=MID(J2,4,1)),AND(MID(J2,4,1)=MID(J2,2,1),MID(J2,2,1)&lt;&gt;MID(J2,3,1)))</f>
        <v>1</v>
      </c>
    </row>
    <row r="39" spans="1:21" s="6" customFormat="1" ht="13.5" customHeight="1" x14ac:dyDescent="0.15">
      <c r="A39" s="8">
        <v>49</v>
      </c>
      <c r="B39" s="8"/>
      <c r="C39" s="8"/>
      <c r="D39" s="18" t="s">
        <v>44</v>
      </c>
      <c r="E39" s="18" t="s">
        <v>38</v>
      </c>
      <c r="F39" s="12"/>
      <c r="G39" s="8">
        <f t="shared" ca="1" si="1"/>
        <v>3</v>
      </c>
      <c r="H39" s="8">
        <f t="shared" ca="1" si="2"/>
        <v>7</v>
      </c>
      <c r="I39" s="18">
        <f t="shared" ca="1" si="6"/>
        <v>0</v>
      </c>
      <c r="J39" s="21" t="str">
        <f ca="1">Sheet2!K$2</f>
        <v>41775</v>
      </c>
      <c r="K39" s="8">
        <f ca="1">IF(AND(OR(ISNUMBER(FIND(","&amp;MID(J2,2,3),#REF!,1)),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ISNUMBER(FIND(","&amp;MID(J2,4,1)&amp;MID(J2,3,1)&amp;MID(J2,2,1),#REF!,1))),
  AND(MID(J2,2,1)+MID(J2,3,1)+MID(J2,4,1)&lt;&gt;MID(J2,3,1)*3)),
 IF(OR(AND(MID(J2,2,1)=MID(J2,3,1),MID(J2,3,1)&lt;&gt;MID(J2,4,1)),AND(MID(J2,2,1)&lt;&gt;MID(J2,3,1),MID(J2,3,1)=MID(J2,4,1)),AND(MID(J2,4,1)=MID(J2,2,1),MID(J2,2,1)&lt;&gt;MID(J2,3,1))),
  G2*N39*2,G2*N39
 ),0
)</f>
        <v>0</v>
      </c>
      <c r="L39" s="18" t="e">
        <f t="shared" ca="1" si="7"/>
        <v>#REF!</v>
      </c>
      <c r="M39" s="8"/>
      <c r="N39" s="8">
        <v>326.66500000000002</v>
      </c>
      <c r="O39" s="8"/>
      <c r="P39" s="8" t="b">
        <f ca="1">OR(AND(MID(J2,2,1)=MID(J2,3,1),MID(J2,3,1)&lt;&gt;MID(J2,4,1)),AND(MID(J2,2,1)&lt;&gt;MID(J2,3,1),MID(J2,3,1)=MID(J2,4,1)),AND(MID(J2,4,1)=MID(J2,2,1),MID(J2,2,1)&lt;&gt;MID(J2,3,1)))</f>
        <v>1</v>
      </c>
      <c r="Q39" s="8"/>
      <c r="R39" s="8"/>
      <c r="S39" s="8"/>
      <c r="T39" s="8"/>
      <c r="U39" s="8"/>
    </row>
    <row r="40" spans="1:21" ht="13.5" customHeight="1" x14ac:dyDescent="0.15">
      <c r="A40" s="8">
        <v>50</v>
      </c>
      <c r="D40" s="18" t="s">
        <v>44</v>
      </c>
      <c r="E40" s="18" t="s">
        <v>31</v>
      </c>
      <c r="F40" s="12"/>
      <c r="G40" s="8">
        <f t="shared" ca="1" si="1"/>
        <v>5</v>
      </c>
      <c r="H40" s="8">
        <f t="shared" ca="1" si="2"/>
        <v>2</v>
      </c>
      <c r="I40" s="18">
        <f t="shared" ca="1" si="6"/>
        <v>0</v>
      </c>
      <c r="J40" s="21" t="str">
        <f ca="1">Sheet2!K$2</f>
        <v>41775</v>
      </c>
      <c r="K40" s="8">
        <f ca="1">IF(OR(ISNUMBER(FIND(MID(J2,2,1),#REF!,1)),ISNUMBER(FIND(MID(J2,3,1),#REF!,1)),ISNUMBER(FIND(MID(J2,4,1),#REF!,1))),IF(OR(AND(MID(J2,2,1)=MID(J2,3,1),MID(J2,3,1)&lt;&gt;MID(J2,4,1)),AND(MID(J2,2,1)&lt;&gt;MID(J2,3,1),MID(J2,3,1)=MID(J2,4,1)),AND(MID(J2,4,1)=MID(J2,2,1),MID(J2,2,1)&lt;&gt;MID(J2,3,1))),G2*N40*2,G2*N40),0)</f>
        <v>0</v>
      </c>
      <c r="L40" s="18" t="e">
        <f t="shared" ca="1" si="7"/>
        <v>#REF!</v>
      </c>
      <c r="N40" s="8">
        <v>326.66500000000002</v>
      </c>
      <c r="P40" s="8" t="b">
        <f ca="1">OR(AND(MID(J2,2,1)=MID(J2,3,1),MID(J2,3,1)&lt;&gt;MID(J2,4,1)),AND(MID(J2,2,1)&lt;&gt;MID(J2,3,1),MID(J2,3,1)=MID(J2,4,1)),AND(MID(J2,4,1)=MID(J2,2,1),MID(J2,2,1)&lt;&gt;MID(J2,3,1)))</f>
        <v>1</v>
      </c>
    </row>
    <row r="41" spans="1:21" s="6" customFormat="1" ht="13.5" customHeight="1" x14ac:dyDescent="0.15">
      <c r="A41" s="8">
        <v>51</v>
      </c>
      <c r="B41" s="8"/>
      <c r="C41" s="8"/>
      <c r="D41" s="18" t="s">
        <v>44</v>
      </c>
      <c r="E41" s="18" t="s">
        <v>39</v>
      </c>
      <c r="F41" s="12"/>
      <c r="G41" s="8">
        <f t="shared" ca="1" si="1"/>
        <v>7</v>
      </c>
      <c r="H41" s="8">
        <f t="shared" ca="1" si="2"/>
        <v>7</v>
      </c>
      <c r="I41" s="18">
        <f t="shared" ca="1" si="6"/>
        <v>0</v>
      </c>
      <c r="J41" s="21" t="str">
        <f ca="1">Sheet2!K$2</f>
        <v>41775</v>
      </c>
      <c r="K41" s="8">
        <f ca="1">IF(AND(
 OR(ISNUMBER(FIND(","&amp;MID(J2,2,3),#REF!,1)),
 ISNUMBER(FIND(","&amp;MID(J2,2,1)&amp;MID(J2,4,1)&amp;MID(J2,3,1),#REF!,1)),
 ISNUMBER(FIND(","&amp;MID(J2,3,1)&amp;MID(J2,2,1)&amp;MID(J2,4,1),#REF!,1)),
 ISNUMBER(FIND(","&amp;MID(J2,3,2)&amp;MID(J2,2,1),#REF!,1)),
 ISNUMBER(FIND(","&amp;MID(J2,4,1)&amp;MID(J2,2,2),#REF!,1)),
 ISNUMBER(FIND(","&amp;MID(J2,4,1)&amp;MID(J2,3,1)&amp;MID(J2,2,1),#REF!,1))),
 OR(AND(MID(J2,2,1)=MID(J2,3,1),MID(J2,3,1)&lt;&gt;MID(J2,4,1)),AND(MID(J2,2,1)&lt;&gt;MID(J2,3,1),MID(J2,3,1)=MID(J2,4,1)),AND(MID(J2,4,1)=MID(J2,2,1),MID(J2,2,1)&lt;&gt;MID(J2,3,1)))),
 G2*N41,0
)</f>
        <v>0</v>
      </c>
      <c r="L41" s="18" t="e">
        <f t="shared" ca="1" si="7"/>
        <v>#REF!</v>
      </c>
      <c r="M41" s="8"/>
      <c r="N41" s="8">
        <v>653.33000000000004</v>
      </c>
      <c r="O41" s="8"/>
      <c r="P41" s="8"/>
      <c r="Q41" s="8"/>
      <c r="R41" s="8"/>
      <c r="S41" s="8"/>
      <c r="T41" s="8"/>
      <c r="U41" s="8"/>
    </row>
    <row r="42" spans="1:21" s="6" customFormat="1" ht="13.5" customHeight="1" x14ac:dyDescent="0.15">
      <c r="A42" s="8">
        <v>52</v>
      </c>
      <c r="B42" s="8"/>
      <c r="C42" s="8"/>
      <c r="D42" s="18" t="s">
        <v>44</v>
      </c>
      <c r="E42" s="18" t="s">
        <v>40</v>
      </c>
      <c r="F42" s="12"/>
      <c r="G42" s="8">
        <f t="shared" ca="1" si="1"/>
        <v>2</v>
      </c>
      <c r="H42" s="8">
        <f t="shared" ca="1" si="2"/>
        <v>5</v>
      </c>
      <c r="I42" s="18">
        <f t="shared" ca="1" si="6"/>
        <v>0</v>
      </c>
      <c r="J42" s="21" t="str">
        <f ca="1">Sheet2!K$2</f>
        <v>41775</v>
      </c>
      <c r="K42" s="8">
        <f ca="1">IF(AND(AND(MID(J2,2,1)&lt;&gt;MID(J2,3,1),MID(J2,3,1)&lt;&gt;MID(J2,4,1),MID(J2,2,1)&lt;&gt;MID(J2,4,1)),
  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ISNUMBER(FIND(","&amp;MID(J2,4,1)&amp;MID(J2,3,1)&amp;MID(J2,2,1),#REF!,1)))),
  G2*N42,0)</f>
        <v>0</v>
      </c>
      <c r="L42" s="18" t="e">
        <f t="shared" ca="1" si="7"/>
        <v>#REF!</v>
      </c>
      <c r="M42" s="8"/>
      <c r="N42" s="8">
        <v>326.66000000000003</v>
      </c>
      <c r="O42" s="8"/>
      <c r="P42" s="8"/>
      <c r="Q42" s="8"/>
      <c r="R42" s="8"/>
      <c r="S42" s="8"/>
      <c r="T42" s="8"/>
      <c r="U42" s="8"/>
    </row>
    <row r="43" spans="1:21" x14ac:dyDescent="0.15">
      <c r="A43" s="8">
        <v>53</v>
      </c>
      <c r="D43" s="18" t="s">
        <v>44</v>
      </c>
      <c r="E43" s="18" t="s">
        <v>42</v>
      </c>
      <c r="F43" s="12"/>
      <c r="G43" s="8">
        <f t="shared" ca="1" si="1"/>
        <v>3</v>
      </c>
      <c r="H43" s="8">
        <f t="shared" ca="1" si="2"/>
        <v>1</v>
      </c>
      <c r="I43" s="18">
        <f t="shared" ca="1" si="6"/>
        <v>0</v>
      </c>
      <c r="J43" s="21" t="str">
        <f ca="1">Sheet2!K$2</f>
        <v>41775</v>
      </c>
      <c r="K43" s="8">
        <f ca="1">IF(OR(ISNUMBER(FIND(MID(J2,2,1),#REF!,1)),ISNUMBER(FIND(MID(J2,3,1),#REF!,1)),ISNUMBER(FIND(MID(J2,4,1),#REF!,1))),G2*N43,0)</f>
        <v>0</v>
      </c>
      <c r="L43" s="18" t="e">
        <f t="shared" ca="1" si="7"/>
        <v>#REF!</v>
      </c>
      <c r="M43" s="8" t="s">
        <v>41</v>
      </c>
      <c r="N43" s="8">
        <v>7.23</v>
      </c>
    </row>
    <row r="44" spans="1:21" x14ac:dyDescent="0.15">
      <c r="A44" s="8">
        <v>54</v>
      </c>
      <c r="D44" s="18" t="s">
        <v>44</v>
      </c>
      <c r="E44" s="18" t="s">
        <v>43</v>
      </c>
      <c r="F44" s="12"/>
      <c r="G44" s="8">
        <f t="shared" ca="1" si="1"/>
        <v>2</v>
      </c>
      <c r="H44" s="8">
        <f t="shared" ca="1" si="2"/>
        <v>6</v>
      </c>
      <c r="I44" s="18">
        <f t="shared" ca="1" si="6"/>
        <v>0</v>
      </c>
      <c r="J44" s="21" t="str">
        <f ca="1">Sheet2!K$2</f>
        <v>41775</v>
      </c>
      <c r="K44" s="8">
        <f ca="1">IF(OR(AND(ISNUMBER(FIND(MID(J2,2,1),#REF!,1)),ISNUMBER(FIND(MID(J2,3,1),#REF!,1))),AND(ISNUMBER(FIND(MID(J2,4,1),#REF!,1)),ISNUMBER(FIND(MID(J2,3,1),#REF!,1))),AND(ISNUMBER(FIND(MID(J2,2,1),#REF!,1)),ISNUMBER(FIND(MID(J2,4,1),#REF!,1)))),G2*N44,0)</f>
        <v>0</v>
      </c>
      <c r="L44" s="18" t="e">
        <f t="shared" ca="1" si="7"/>
        <v>#REF!</v>
      </c>
      <c r="N44" s="8">
        <v>36.29</v>
      </c>
    </row>
    <row r="45" spans="1:21" x14ac:dyDescent="0.15">
      <c r="A45" s="8">
        <v>55</v>
      </c>
      <c r="D45" s="18" t="s">
        <v>45</v>
      </c>
      <c r="E45" s="18" t="s">
        <v>5</v>
      </c>
      <c r="F45" s="12"/>
      <c r="G45" s="8">
        <f t="shared" ca="1" si="1"/>
        <v>9</v>
      </c>
      <c r="H45" s="8">
        <f t="shared" ca="1" si="2"/>
        <v>5</v>
      </c>
      <c r="I45" s="18">
        <f t="shared" ca="1" si="6"/>
        <v>0</v>
      </c>
      <c r="J45" s="21" t="str">
        <f ca="1">Sheet2!K$2</f>
        <v>41775</v>
      </c>
      <c r="K45" s="8">
        <f ca="1">IF(AND(ISNUMBER(FIND(MID(J2,3,1),#REF!,1)),ISNUMBER(FIND(MID(J2,4,1),#REF!,1)),ISNUMBER(FIND(MID(J2,5,1),#REF!,1))),G2*N45,0)</f>
        <v>0</v>
      </c>
      <c r="L45" s="18" t="e">
        <f t="shared" ca="1" si="7"/>
        <v>#REF!</v>
      </c>
      <c r="M45" s="8" t="s">
        <v>20</v>
      </c>
      <c r="N45" s="8">
        <v>1960</v>
      </c>
      <c r="Q45" s="18"/>
    </row>
    <row r="46" spans="1:21" s="6" customFormat="1" x14ac:dyDescent="0.15">
      <c r="A46" s="8">
        <v>58</v>
      </c>
      <c r="B46" s="8"/>
      <c r="C46" s="8"/>
      <c r="D46" s="18" t="s">
        <v>45</v>
      </c>
      <c r="E46" s="18" t="s">
        <v>35</v>
      </c>
      <c r="F46" s="12"/>
      <c r="G46" s="8">
        <f t="shared" ca="1" si="1"/>
        <v>8</v>
      </c>
      <c r="H46" s="8">
        <f t="shared" ca="1" si="2"/>
        <v>4</v>
      </c>
      <c r="I46" s="18" t="e">
        <f t="shared" ca="1" si="6"/>
        <v>#VALUE!</v>
      </c>
      <c r="J46" s="21" t="str">
        <f ca="1">Sheet2!K$2</f>
        <v>41775</v>
      </c>
      <c r="K46" s="8">
        <f ca="1">IF(ISNUMBER(FIND(","&amp;MID(J2,3,3)&amp;",",#REF!,1)),G2*N46,0)</f>
        <v>0</v>
      </c>
      <c r="L46" s="18" t="e">
        <f ca="1">#REF!-$I46+$K46</f>
        <v>#REF!</v>
      </c>
      <c r="M46" s="8"/>
      <c r="N46" s="8">
        <v>1960</v>
      </c>
      <c r="O46" s="8"/>
      <c r="P46" s="8"/>
      <c r="Q46" s="8" t="e">
        <f>FINDNUMBER(#REF!,3)</f>
        <v>#VALUE!</v>
      </c>
      <c r="R46" s="8"/>
      <c r="S46" s="8"/>
      <c r="T46" s="8"/>
      <c r="U46" s="8"/>
    </row>
    <row r="47" spans="1:21" ht="15" customHeight="1" x14ac:dyDescent="0.15">
      <c r="A47" s="8">
        <v>59</v>
      </c>
      <c r="D47" s="18" t="s">
        <v>45</v>
      </c>
      <c r="E47" s="18" t="s">
        <v>24</v>
      </c>
      <c r="F47" s="12"/>
      <c r="G47" s="8">
        <f t="shared" ca="1" si="1"/>
        <v>5</v>
      </c>
      <c r="H47" s="8">
        <f t="shared" ca="1" si="2"/>
        <v>7</v>
      </c>
      <c r="I47" s="18">
        <f t="shared" ca="1" si="6"/>
        <v>0</v>
      </c>
      <c r="J47" s="21" t="str">
        <f ca="1">Sheet2!K$2</f>
        <v>41775</v>
      </c>
      <c r="K47" s="8">
        <f ca="1">IF(ISNUMBER(FIND(","&amp;SUM(MID(J2,3,1),MID(J2,4,1),MID(J2,5,1))&amp;",",#REF!,1)),G2*N47,0)</f>
        <v>0</v>
      </c>
      <c r="L47" s="18" t="e">
        <f t="shared" ref="L47:L58" ca="1" si="8">$L46-$I47+$K47</f>
        <v>#REF!</v>
      </c>
      <c r="N47" s="8">
        <v>1960</v>
      </c>
    </row>
    <row r="48" spans="1:21" x14ac:dyDescent="0.15">
      <c r="A48" s="8">
        <v>60</v>
      </c>
      <c r="D48" s="18" t="s">
        <v>45</v>
      </c>
      <c r="E48" s="18" t="s">
        <v>26</v>
      </c>
      <c r="F48" s="12"/>
      <c r="G48" s="8">
        <f t="shared" ca="1" si="1"/>
        <v>2</v>
      </c>
      <c r="H48" s="8">
        <f t="shared" ca="1" si="2"/>
        <v>7</v>
      </c>
      <c r="I48" s="18">
        <f t="shared" ca="1" si="6"/>
        <v>0</v>
      </c>
      <c r="J48" s="21" t="str">
        <f ca="1">Sheet2!K$2</f>
        <v>41775</v>
      </c>
      <c r="K48" s="8">
        <f ca="1">IF(ISNUMBER(FIND(MAX(MID(J2,3,1),MID(J2,4,1),MID(J2,5,1))-MIN(MID(J2,3,1),MID(J2,4,1),MID(J2,5,1)),#REF!,1)),G2*N48*1,0)</f>
        <v>0</v>
      </c>
      <c r="L48" s="18" t="e">
        <f t="shared" ca="1" si="8"/>
        <v>#REF!</v>
      </c>
      <c r="N48" s="8">
        <v>1960</v>
      </c>
    </row>
    <row r="49" spans="1:21" ht="24.75" customHeight="1" x14ac:dyDescent="0.15">
      <c r="A49" s="8">
        <v>61</v>
      </c>
      <c r="D49" s="18" t="s">
        <v>45</v>
      </c>
      <c r="E49" s="18" t="s">
        <v>30</v>
      </c>
      <c r="F49" s="12"/>
      <c r="G49" s="8">
        <f t="shared" ca="1" si="1"/>
        <v>3</v>
      </c>
      <c r="H49" s="8">
        <f t="shared" ca="1" si="2"/>
        <v>3</v>
      </c>
      <c r="I49" s="18">
        <f t="shared" ca="1" si="6"/>
        <v>0</v>
      </c>
      <c r="J49" s="21" t="str">
        <f ca="1">Sheet2!K$2</f>
        <v>41775</v>
      </c>
      <c r="K49" s="8">
        <f ca="1">IF(OR(AND(MID(J2,3,1)=MID(J2,4,1),MID(J2,4,1)&lt;&gt;MID(J2,5,1)),AND(MID(J2,3,1)&lt;&gt;MID(J2,4,1),MID(J2,4,1)=MID(J2,5,1)),AND(MID(J2,5,1)=MID(J2,3,1),MID(J2,3,1)&lt;&gt;MID(J2,4,1))),IF(ISNUMBER(FIND(","&amp;SUM(MID(J2,3,1),MID(J2,4,1),MID(J2,5,1))&amp;",",#REF!,1)),G2*N49*2,0),IF(MID(J2,3,1)&lt;&gt;MID(J2,4,1)&lt;&gt;MID(J2,5,1),IF(ISNUMBER(FIND(","&amp;SUM(MID(J2,3,1),MID(J2,4,1),MID(J2,5,1))&amp;",",#REF!,1)),G2*N49,0)))</f>
        <v>0</v>
      </c>
      <c r="L49" s="18" t="e">
        <f t="shared" ca="1" si="8"/>
        <v>#REF!</v>
      </c>
      <c r="M49" s="8" t="s">
        <v>27</v>
      </c>
      <c r="N49" s="8">
        <v>326.66500000000002</v>
      </c>
    </row>
    <row r="50" spans="1:21" x14ac:dyDescent="0.15">
      <c r="A50" s="8">
        <v>62</v>
      </c>
      <c r="D50" s="18" t="s">
        <v>45</v>
      </c>
      <c r="E50" s="18" t="s">
        <v>36</v>
      </c>
      <c r="F50" s="12"/>
      <c r="G50" s="8">
        <f t="shared" ca="1" si="1"/>
        <v>5</v>
      </c>
      <c r="H50" s="8">
        <f t="shared" ca="1" si="2"/>
        <v>3</v>
      </c>
      <c r="I50" s="18">
        <f t="shared" ca="1" si="6"/>
        <v>0</v>
      </c>
      <c r="J50" s="21" t="str">
        <f ca="1">Sheet2!K$2</f>
        <v>41775</v>
      </c>
      <c r="K50" s="8">
        <f ca="1">IF(OR(AND(MID(J2,3,1)=MID(J2,4,1),MID(J2,4,1)&lt;&gt;MID(J2,5,1)),AND(MID(J2,3,1)&lt;&gt;MID(J2,4,1),MID(J2,4,1)=MID(J2,5,1)),AND(MID(J2,5,1)=MID(J2,3,1),MID(J2,3,1)&lt;&gt;MID(J2,4,1))),IF(AND(ISNUMBER(FIND(MID(J2,3,1),#REF!,1)),ISNUMBER(FIND(MID(J2,4,1),#REF!,1)),ISNUMBER(FIND(MID(J2,5,1),#REF!,1))),G2*N50,0),0)</f>
        <v>0</v>
      </c>
      <c r="L50" s="18" t="e">
        <f t="shared" ca="1" si="8"/>
        <v>#REF!</v>
      </c>
      <c r="N50" s="8">
        <v>653.33000000000004</v>
      </c>
    </row>
    <row r="51" spans="1:21" x14ac:dyDescent="0.15">
      <c r="A51" s="8">
        <v>63</v>
      </c>
      <c r="D51" s="18" t="s">
        <v>45</v>
      </c>
      <c r="E51" s="18" t="s">
        <v>37</v>
      </c>
      <c r="F51" s="12"/>
      <c r="G51" s="8">
        <f t="shared" ca="1" si="1"/>
        <v>9</v>
      </c>
      <c r="H51" s="8">
        <f t="shared" ca="1" si="2"/>
        <v>7</v>
      </c>
      <c r="I51" s="18">
        <f t="shared" ca="1" si="6"/>
        <v>0</v>
      </c>
      <c r="J51" s="21" t="str">
        <f ca="1">Sheet2!K$2</f>
        <v>41775</v>
      </c>
      <c r="K51" s="8">
        <f ca="1">IF(OR(AND(MID(J2,3,1)=MID(J2,4,1),MID(J2,4,1)&lt;&gt;MID(J2,5,1)),AND(MID(J2,3,1)&lt;&gt;MID(J2,4,1),MID(J2,4,1)=MID(J2,5,1)),AND(MID(J2,5,1)=MID(J2,3,1),MID(J2,3,1)&lt;&gt;MID(J2,4,1))),0,IF(AND(ISNUMBER(FIND(MID(J2,3,1),#REF!,1)),ISNUMBER(FIND(MID(J2,4,1),#REF!,1)),ISNUMBER(FIND(MID(J2,5,1),#REF!,1))),G2*N51,0))</f>
        <v>0</v>
      </c>
      <c r="L51" s="18" t="e">
        <f t="shared" ca="1" si="8"/>
        <v>#REF!</v>
      </c>
      <c r="N51" s="8">
        <v>326.66000000000003</v>
      </c>
    </row>
    <row r="52" spans="1:21" s="6" customFormat="1" x14ac:dyDescent="0.15">
      <c r="A52" s="8">
        <v>64</v>
      </c>
      <c r="B52" s="8"/>
      <c r="C52" s="8"/>
      <c r="D52" s="18" t="s">
        <v>45</v>
      </c>
      <c r="E52" s="18" t="s">
        <v>38</v>
      </c>
      <c r="F52" s="12"/>
      <c r="G52" s="8">
        <f t="shared" ca="1" si="1"/>
        <v>8</v>
      </c>
      <c r="H52" s="8">
        <f t="shared" ca="1" si="2"/>
        <v>1</v>
      </c>
      <c r="I52" s="18">
        <f t="shared" ca="1" si="6"/>
        <v>0</v>
      </c>
      <c r="J52" s="21" t="str">
        <f ca="1">Sheet2!K$2</f>
        <v>41775</v>
      </c>
      <c r="K52" s="8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AND(MID(J2,3,1)+MID(J2,4,1)+MID(J2,5,1)&lt;&gt;MID(J2,3,1)*3)),
 IF(OR(AND(MID(J2,3,1)=MID(J2,4,1),MID(J2,4,1)&lt;&gt;MID(J2,5,1)),AND(MID(J2,3,1)&lt;&gt;MID(J2,4,1),MID(J2,4,1)=MID(J2,5,1)),AND(MID(J2,5,1)=MID(J2,3,1),MID(J2,3,1)&lt;&gt;MID(J2,4,1))),
  G2*N52*2,G2*N52
 ),0
)</f>
        <v>0</v>
      </c>
      <c r="L52" s="18" t="e">
        <f t="shared" ca="1" si="8"/>
        <v>#REF!</v>
      </c>
      <c r="M52" s="8"/>
      <c r="N52" s="8">
        <v>326.66500000000002</v>
      </c>
      <c r="O52" s="8"/>
      <c r="P52" s="8"/>
      <c r="Q52" s="8"/>
      <c r="R52" s="8"/>
      <c r="S52" s="8"/>
      <c r="T52" s="8"/>
      <c r="U52" s="8"/>
    </row>
    <row r="53" spans="1:21" x14ac:dyDescent="0.15">
      <c r="A53" s="8">
        <v>65</v>
      </c>
      <c r="D53" s="18" t="s">
        <v>45</v>
      </c>
      <c r="E53" s="18" t="s">
        <v>31</v>
      </c>
      <c r="F53" s="12"/>
      <c r="G53" s="8">
        <f t="shared" ca="1" si="1"/>
        <v>4</v>
      </c>
      <c r="H53" s="8">
        <f t="shared" ca="1" si="2"/>
        <v>7</v>
      </c>
      <c r="I53" s="18">
        <f t="shared" ca="1" si="6"/>
        <v>0</v>
      </c>
      <c r="J53" s="21" t="str">
        <f ca="1">Sheet2!K$2</f>
        <v>41775</v>
      </c>
      <c r="K53" s="8">
        <f ca="1">IF(OR(ISNUMBER(FIND(MID(J2,3,1),#REF!,1)),ISNUMBER(FIND(MID(J2,4,1),#REF!,1)),ISNUMBER(FIND(MID(J2,5,1),#REF!,1))),IF(OR(AND(MID(J2,3,1)=MID(J2,4,1),MID(J2,4,1)&lt;&gt;MID(J2,5,1)),AND(MID(J2,3,1)&lt;&gt;MID(J2,4,1),MID(J2,4,1)=MID(J2,5,1)),AND(MID(J2,5,1)=MID(J2,3,1),MID(J2,3,1)&lt;&gt;MID(J2,4,1))),#REF!*N53*2,G2*N53),0)</f>
        <v>0</v>
      </c>
      <c r="L53" s="18" t="e">
        <f t="shared" ca="1" si="8"/>
        <v>#REF!</v>
      </c>
      <c r="N53" s="8">
        <v>326.66500000000002</v>
      </c>
    </row>
    <row r="54" spans="1:21" s="6" customFormat="1" x14ac:dyDescent="0.15">
      <c r="A54" s="8">
        <v>66</v>
      </c>
      <c r="B54" s="8"/>
      <c r="C54" s="8"/>
      <c r="D54" s="18" t="s">
        <v>45</v>
      </c>
      <c r="E54" s="18" t="s">
        <v>39</v>
      </c>
      <c r="F54" s="12"/>
      <c r="G54" s="8">
        <f t="shared" ca="1" si="1"/>
        <v>5</v>
      </c>
      <c r="H54" s="8">
        <f t="shared" ca="1" si="2"/>
        <v>3</v>
      </c>
      <c r="I54" s="18">
        <f t="shared" ca="1" si="6"/>
        <v>0</v>
      </c>
      <c r="J54" s="21" t="str">
        <f ca="1">Sheet2!K$2</f>
        <v>41775</v>
      </c>
      <c r="K54" s="8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OR(AND(MID(J2,3,1)=MID(J2,4,1),MID(J2,4,1)&lt;&gt;MID(J2,5,1)),AND(MID(J2,3,1)&lt;&gt;MID(J2,4,1),MID(J2,4,1)=MID(J2,5,1)),AND(MID(J2,5,1)=MID(J2,3,1),MID(J2,3,1)&lt;&gt;MID(J2,4,1)))),
 G2*N54,0
)</f>
        <v>0</v>
      </c>
      <c r="L54" s="18" t="e">
        <f t="shared" ca="1" si="8"/>
        <v>#REF!</v>
      </c>
      <c r="M54" s="8"/>
      <c r="N54" s="8">
        <v>653.33000000000004</v>
      </c>
      <c r="O54" s="8"/>
      <c r="P54" s="8"/>
      <c r="Q54" s="8"/>
      <c r="R54" s="8"/>
      <c r="S54" s="8"/>
      <c r="T54" s="8"/>
      <c r="U54" s="8"/>
    </row>
    <row r="55" spans="1:21" s="6" customFormat="1" x14ac:dyDescent="0.15">
      <c r="A55" s="8">
        <v>67</v>
      </c>
      <c r="B55" s="8"/>
      <c r="C55" s="8"/>
      <c r="D55" s="18" t="s">
        <v>45</v>
      </c>
      <c r="E55" s="18" t="s">
        <v>40</v>
      </c>
      <c r="F55" s="12"/>
      <c r="G55" s="8">
        <f t="shared" ca="1" si="1"/>
        <v>7</v>
      </c>
      <c r="H55" s="8">
        <f t="shared" ca="1" si="2"/>
        <v>7</v>
      </c>
      <c r="I55" s="18">
        <f t="shared" ca="1" si="6"/>
        <v>0</v>
      </c>
      <c r="J55" s="21" t="str">
        <f ca="1">Sheet2!K$2</f>
        <v>41775</v>
      </c>
      <c r="K55" s="8">
        <f ca="1">IF(AND(AND(MID(J2,3,1)&lt;&gt;MID(J2,4,1),MID(J2,4,1)&lt;&gt;MID(J2,5,1),MID(J2,3,1)&lt;&gt;MID(J2,5,1)),
  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ISNUMBER(FIND(","&amp;MID(J2,5,1)&amp;MID(J2,4,1)&amp;MID(J2,3,1),#REF!,1)))),
  G2*N55,0)</f>
        <v>0</v>
      </c>
      <c r="L55" s="18" t="e">
        <f t="shared" ca="1" si="8"/>
        <v>#REF!</v>
      </c>
      <c r="M55" s="8"/>
      <c r="N55" s="8">
        <v>326.66000000000003</v>
      </c>
      <c r="O55" s="8"/>
      <c r="P55" s="8"/>
      <c r="Q55" s="8"/>
      <c r="R55" s="8"/>
      <c r="S55" s="8"/>
      <c r="T55" s="8"/>
      <c r="U55" s="8"/>
    </row>
    <row r="56" spans="1:21" x14ac:dyDescent="0.15">
      <c r="A56" s="8">
        <v>68</v>
      </c>
      <c r="D56" s="18" t="s">
        <v>45</v>
      </c>
      <c r="E56" s="18" t="s">
        <v>42</v>
      </c>
      <c r="F56" s="12"/>
      <c r="G56" s="8">
        <f t="shared" ca="1" si="1"/>
        <v>4</v>
      </c>
      <c r="H56" s="8">
        <f t="shared" ca="1" si="2"/>
        <v>3</v>
      </c>
      <c r="I56" s="18">
        <f t="shared" ca="1" si="6"/>
        <v>0</v>
      </c>
      <c r="J56" s="21" t="str">
        <f ca="1">Sheet2!K$2</f>
        <v>41775</v>
      </c>
      <c r="K56" s="8">
        <f ca="1">IF(OR(ISNUMBER(FIND(MID(J2,3,1),#REF!,1)),ISNUMBER(FIND(MID(J2,4,1),#REF!,1)),ISNUMBER(FIND(MID(J2,5,1),#REF!,1))),G2*N56,0)</f>
        <v>0</v>
      </c>
      <c r="L56" s="18" t="e">
        <f t="shared" ca="1" si="8"/>
        <v>#REF!</v>
      </c>
      <c r="M56" s="8" t="s">
        <v>41</v>
      </c>
      <c r="N56" s="8">
        <v>7.23</v>
      </c>
    </row>
    <row r="57" spans="1:21" x14ac:dyDescent="0.15">
      <c r="A57" s="8">
        <v>69</v>
      </c>
      <c r="D57" s="18" t="s">
        <v>45</v>
      </c>
      <c r="E57" s="18" t="s">
        <v>43</v>
      </c>
      <c r="F57" s="12"/>
      <c r="G57" s="8">
        <f t="shared" ca="1" si="1"/>
        <v>8</v>
      </c>
      <c r="H57" s="8">
        <f t="shared" ca="1" si="2"/>
        <v>7</v>
      </c>
      <c r="I57" s="18">
        <f t="shared" ca="1" si="6"/>
        <v>0</v>
      </c>
      <c r="J57" s="21" t="str">
        <f ca="1">Sheet2!K$2</f>
        <v>41775</v>
      </c>
      <c r="K57" s="8">
        <f ca="1">IF(OR(AND(ISNUMBER(FIND(MID(J2,3,1),#REF!,1)),ISNUMBER(FIND(MID(J2,4,1),#REF!,1))),AND(ISNUMBER(FIND(MID(J2,5,1),#REF!,1)),ISNUMBER(FIND(MID(J2,4,1),#REF!,1))),AND(ISNUMBER(FIND(MID(J2,3,1),#REF!,1)),ISNUMBER(FIND(MID(J2,5,1),#REF!,1)))),G2*N57,0)</f>
        <v>0</v>
      </c>
      <c r="L57" s="18" t="e">
        <f t="shared" ca="1" si="8"/>
        <v>#REF!</v>
      </c>
      <c r="N57" s="8">
        <v>36.29</v>
      </c>
    </row>
    <row r="58" spans="1:21" x14ac:dyDescent="0.15">
      <c r="A58" s="8">
        <v>70</v>
      </c>
      <c r="D58" s="18" t="s">
        <v>46</v>
      </c>
      <c r="E58" s="18" t="s">
        <v>48</v>
      </c>
      <c r="F58" s="12"/>
      <c r="G58" s="8">
        <f t="shared" ca="1" si="1"/>
        <v>8</v>
      </c>
      <c r="H58" s="8">
        <f t="shared" ca="1" si="2"/>
        <v>4</v>
      </c>
      <c r="I58" s="18">
        <f t="shared" ca="1" si="6"/>
        <v>0</v>
      </c>
      <c r="J58" s="21" t="str">
        <f ca="1">Sheet2!K$2</f>
        <v>41775</v>
      </c>
      <c r="K58" s="8">
        <f ca="1">IF(AND(ISNUMBER(FIND(MID(J2,2,1),#REF!,1)),ISNUMBER(FIND(MID(J2,3,1),#REF!,1)),ISNUMBER(FIND(MID(J2,4,1),#REF!,1)),ISNUMBER(FIND(RIGHT(J2,1),#REF!,1))),G2*N58,0)</f>
        <v>0</v>
      </c>
      <c r="L58" s="18" t="e">
        <f t="shared" ca="1" si="8"/>
        <v>#REF!</v>
      </c>
      <c r="M58" s="8" t="s">
        <v>47</v>
      </c>
      <c r="N58" s="8">
        <v>19600</v>
      </c>
      <c r="O58" s="8" t="b">
        <f ca="1">ISNUMBER(FIND(MID(J2,2,1),#REF!,1))</f>
        <v>0</v>
      </c>
      <c r="Q58" s="18"/>
    </row>
    <row r="59" spans="1:21" s="6" customFormat="1" x14ac:dyDescent="0.15">
      <c r="A59" s="8">
        <v>74</v>
      </c>
      <c r="B59" s="8"/>
      <c r="C59" s="8"/>
      <c r="D59" s="18" t="s">
        <v>46</v>
      </c>
      <c r="E59" s="18" t="s">
        <v>49</v>
      </c>
      <c r="F59" s="12"/>
      <c r="G59" s="8">
        <f t="shared" ref="G59:G87" ca="1" si="9">RANDBETWEEN(1,9)</f>
        <v>5</v>
      </c>
      <c r="H59" s="8">
        <f t="shared" ref="H59:H87" ca="1" si="10">RANDBETWEEN(1,9)</f>
        <v>2</v>
      </c>
      <c r="I59" s="18" t="e">
        <f t="shared" ca="1" si="6"/>
        <v>#VALUE!</v>
      </c>
      <c r="J59" s="21" t="str">
        <f ca="1">Sheet2!K$2</f>
        <v>41775</v>
      </c>
      <c r="K59" s="8">
        <f ca="1">IF(ISNUMBER(FIND(","&amp;RIGHT(J2,4)&amp;",",#REF!,1)),G2*N59,0)</f>
        <v>0</v>
      </c>
      <c r="L59" s="18" t="e">
        <f ca="1">#REF!-$I59+$K59</f>
        <v>#REF!</v>
      </c>
      <c r="M59" s="8"/>
      <c r="N59" s="8">
        <v>19600</v>
      </c>
      <c r="O59" s="8" t="b">
        <f ca="1">ISNUMBER(FIND(","&amp;RIGHT(J2,4)&amp;",",#REF!,1))</f>
        <v>0</v>
      </c>
      <c r="P59" s="8"/>
      <c r="Q59" s="8" t="e">
        <f>FINDNUMBER(#REF!,4)</f>
        <v>#VALUE!</v>
      </c>
      <c r="R59" s="8"/>
      <c r="S59" s="8"/>
      <c r="T59" s="8"/>
      <c r="U59" s="8"/>
    </row>
    <row r="60" spans="1:21" x14ac:dyDescent="0.15">
      <c r="A60" s="8">
        <v>75</v>
      </c>
      <c r="D60" s="18" t="s">
        <v>46</v>
      </c>
      <c r="E60" s="18" t="s">
        <v>52</v>
      </c>
      <c r="F60" s="12"/>
      <c r="G60" s="8">
        <f t="shared" ca="1" si="9"/>
        <v>7</v>
      </c>
      <c r="H60" s="8">
        <f t="shared" ca="1" si="10"/>
        <v>7</v>
      </c>
      <c r="I60" s="18">
        <f t="shared" ca="1" si="6"/>
        <v>0</v>
      </c>
      <c r="J60" s="21" t="str">
        <f ca="1">Sheet2!K$2</f>
        <v>41775</v>
      </c>
      <c r="K60" s="8">
        <f ca="1">IF(AND(ISNUMBER(FIND(MID(J2,2,1),#REF!,1)),ISNUMBER(FIND(MID(J2,3,1),#REF!,1)),ISNUMBER(FIND(MID(J2,4,1),#REF!,1)),ISNUMBER(FIND(MID(J2,5,1),#REF!,1))),G2*N60,0)</f>
        <v>0</v>
      </c>
      <c r="L60" s="18" t="e">
        <f ca="1">$L59-$I60+$K60</f>
        <v>#REF!</v>
      </c>
      <c r="M60" s="8" t="s">
        <v>51</v>
      </c>
      <c r="N60" s="8">
        <v>816.66</v>
      </c>
      <c r="O60" s="8" t="b">
        <f ca="1">AND(ISNUMBER(FIND(MID(J2,2,1),#REF!,1)),ISNUMBER(FIND(MID(J2,3,1),#REF!,1)),ISNUMBER(FIND(MID(J2,4,1),#REF!,1)),ISNUMBER(FIND(MID(J2,5,1),#REF!,1)))</f>
        <v>0</v>
      </c>
    </row>
    <row r="61" spans="1:21" x14ac:dyDescent="0.15">
      <c r="A61" s="8">
        <v>76</v>
      </c>
      <c r="D61" s="18" t="s">
        <v>46</v>
      </c>
      <c r="E61" s="18" t="s">
        <v>53</v>
      </c>
      <c r="F61" s="12"/>
      <c r="G61" s="8">
        <f t="shared" ca="1" si="9"/>
        <v>6</v>
      </c>
      <c r="H61" s="8">
        <f t="shared" ca="1" si="10"/>
        <v>7</v>
      </c>
      <c r="I61" s="18">
        <f t="shared" ca="1" si="6"/>
        <v>0</v>
      </c>
      <c r="J61" s="21" t="str">
        <f ca="1">Sheet2!K$2</f>
        <v>41775</v>
      </c>
      <c r="K61" s="8">
        <f ca="1">IF(
 EXACT(SUM(DELTA(MID(J2,2,1),MID(J2,3,1)),DELTA(MID(J2,2,1),MID(J2,4,1)),DELTA(MID(J2,2,1),MID(J2,5,1)),DELTA(MID(J2,3,1),MID(J2,4,1)),DELTA(MID(J2,3,1),MID(J2,5,1)),DELTA(MID(J2,4,1),MID(J2,5,1))),1),
  IF(
   AND(FIND(1,DELTA(MID(J2,2,1),MID(J2,3,1))&amp;DELTA(MID(J2,2,1),MID(J2,4,1))&amp;DELTA(MID(J2,2,1),MID(J2,5,1))&amp;DELTA(MID(J2,3,1),MID(J2,4,1))&amp;DELTA(MID(J2,3,1),MID(J2,5,1))&amp;DELTA(MID(J2,4,1),MID(J2,5,1)),1)=1,
    ISNUMBER(FIND(MID(J2,2,1),#REF!,1)),
    ISNUMBER(FIND(MID(J2,4,1),#REF!,1)),
    ISNUMBER(FIND(MID(J2,5,1),#REF!,1))
   ),G2*N61,
   IF(
    AND(FIND(1,DELTA(MID(J2,2,1),MID(J2,3,1))&amp;DELTA(MID(J2,2,1),MID(J2,4,1))&amp;DELTA(MID(J2,2,1),MID(J2,5,1))&amp;DELTA(MID(J2,3,1),MID(J2,4,1))&amp;DELTA(MID(J2,3,1),MID(J2,5,1))&amp;DELTA(MID(J2,4,1),MID(J2,5,1)),1)=2,
    ISNUMBER(FIND(MID(J2,2,1),#REF!,1)),
    ISNUMBER(FIND(MID(J2,3,1),#REF!,1)),
    ISNUMBER(FIND(MID(J2,5,1),#REF!,1))
    ),G2*N61,
    IF(
     AND(FIND(1,DELTA(MID(J2,2,1),MID(J2,3,1))&amp;DELTA(MID(J2,2,1),MID(J2,4,1))&amp;DELTA(MID(J2,2,1),MID(J2,5,1))&amp;DELTA(MID(J2,3,1),MID(J2,4,1))&amp;DELTA(MID(J2,3,1),MID(J2,5,1))&amp;DELTA(MID(J2,4,1),MID(J2,5,1)),1)=3,
     ISNUMBER(FIND(MID(J2,2,1),#REF!,1)),
     ISNUMBER(FIND(MID(J2,3,1),#REF!,1)),
     ISNUMBER(FIND(MID(J2,4,1),#REF!,1))
     ),G2*N61,
     IF(
      AND(FIND(1,DELTA(MID(J2,2,1),MID(J2,3,1))&amp;DELTA(MID(J2,2,1),MID(J2,4,1))&amp;DELTA(MID(J2,2,1),MID(J2,5,1))&amp;DELTA(MID(J2,3,1),MID(J2,4,1))&amp;DELTA(MID(J2,3,1),MID(J2,5,1))&amp;DELTA(MID(J2,4,1),MID(J2,5,1)),1)=4,
      ISNUMBER(FIND(MID(J2,3,1),#REF!,1)),
      ISNUMBER(FIND(MID(J2,2,1),#REF!,1)),
      ISNUMBER(FIND(MID(J2,5,1),#REF!,1))
      ),G2*N61,
      IF(
       AND(FIND(1,DELTA(MID(J2,2,1),MID(J2,3,1))&amp;DELTA(MID(J2,2,1),MID(J2,4,1))&amp;DELTA(MID(J2,2,1),MID(J2,5,1))&amp;DELTA(MID(J2,3,1),MID(J2,4,1))&amp;DELTA(MID(J2,3,1),MID(J2,5,1))&amp;DELTA(MID(J2,4,1),MID(J2,5,1)),1)=5,
       ISNUMBER(FIND(MID(J2,3,1),#REF!,1)),
       ISNUMBER(FIND(MID(J2,2,1),#REF!,1)),
       ISNUMBER(FIND(MID(J2,4,1),#REF!,1))
       ),G2*N61,
       IF(
        AND(FIND(1,DELTA(MID(J2,2,1),MID(J2,3,1))&amp;DELTA(MID(J2,2,1),MID(J2,4,1))&amp;DELTA(MID(J2,2,1),MID(J2,5,1))&amp;DELTA(MID(J2,3,1),MID(J2,4,1))&amp;DELTA(MID(J2,3,1),MID(J2,5,1))&amp;DELTA(MID(J2,4,1),MID(J2,5,1)),1)=6,
        ISNUMBER(FIND(MID(J2,4,1),#REF!,1)),
        ISNUMBER(FIND(MID(J2,2,1),#REF!,1)),
        ISNUMBER(FIND(MID(J2,3,1),#REF!,1))
        ),G2*N61,0
       )
      )
     )
    )
   )
  ),0
 )</f>
        <v>0</v>
      </c>
      <c r="L61" s="18" t="e">
        <f ca="1">$L60-$I61+$K61</f>
        <v>#REF!</v>
      </c>
      <c r="N61" s="8">
        <v>1633.33</v>
      </c>
      <c r="P61" s="18" t="b">
        <f ca="1">EXACT(SUM(DELTA(MID(J2,2,1),MID(J2,3,1)),DELTA(MID(J2,2,1),MID(J2,4,1)),DELTA(MID(J2,2,1),MID(J2,5,1)),DELTA(MID(J2,3,1),MID(J2,4,1)),DELTA(MID(J2,3,1),MID(J2,5,1)),DELTA(MID(J2,4,1),MID(J2,5,1))),1)</f>
        <v>1</v>
      </c>
      <c r="Q61" s="18"/>
      <c r="R61" s="8" t="e">
        <f t="array" ref="R6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2" spans="1:21" x14ac:dyDescent="0.15">
      <c r="A62" s="8">
        <v>78</v>
      </c>
      <c r="D62" s="18" t="s">
        <v>46</v>
      </c>
      <c r="E62" s="18" t="s">
        <v>56</v>
      </c>
      <c r="F62" s="12"/>
      <c r="G62" s="8">
        <f t="shared" ca="1" si="9"/>
        <v>7</v>
      </c>
      <c r="H62" s="8">
        <f t="shared" ca="1" si="10"/>
        <v>7</v>
      </c>
      <c r="I62" s="18">
        <f t="shared" ca="1" si="6"/>
        <v>0</v>
      </c>
      <c r="J62" s="21" t="str">
        <f ca="1">Sheet2!K$2</f>
        <v>41775</v>
      </c>
      <c r="K62" s="8">
        <f ca="1">IF(
 OR(
  AND(EXACT(MID(J2,2,1),MID(J2,3,1)),EXACT(MID(J2,4,1),MID(J2,5,1)),MID(J2,2,1)&lt;&gt;MID(J2,4,1)),
  AND(EXACT(MID(J2,2,1),MID(J2,4,1)),EXACT(MID(J2,3,1),MID(J2,5,1)),MID(J2,2,1)&lt;&gt;MID(J2,3,1)),
  AND(EXACT(MID(J2,3,1),MID(J2,4,1)),EXACT(MID(J2,2,1),MID(J2,5,1)),MID(J2,3,1)&lt;&gt;MID(J2,2,1))
 ),
 IF(AND(
  ISNUMBER(FIND(MID(J2,2,1),#REF!,1)),
  ISNUMBER(FIND(MID(J2,3,1),#REF!,1)),
  ISNUMBER(FIND(MID(J2,4,1),#REF!,1))
  ),G2*N62,0
 ),0
)</f>
        <v>0</v>
      </c>
      <c r="L62" s="18" t="e">
        <f ca="1">#REF!-$I62+$K62</f>
        <v>#REF!</v>
      </c>
      <c r="N62" s="8">
        <v>3266.66</v>
      </c>
    </row>
    <row r="63" spans="1:21" x14ac:dyDescent="0.15">
      <c r="A63" s="8">
        <v>79</v>
      </c>
      <c r="D63" s="18" t="s">
        <v>46</v>
      </c>
      <c r="E63" s="18" t="s">
        <v>57</v>
      </c>
      <c r="F63" s="12"/>
      <c r="G63" s="8">
        <f t="shared" ca="1" si="9"/>
        <v>2</v>
      </c>
      <c r="H63" s="8">
        <f t="shared" ca="1" si="10"/>
        <v>9</v>
      </c>
      <c r="I63" s="18">
        <f t="shared" ca="1" si="6"/>
        <v>0</v>
      </c>
      <c r="J63" s="21" t="str">
        <f ca="1">Sheet2!K$2</f>
        <v>41775</v>
      </c>
      <c r="K63" s="8">
        <f ca="1">IF(
 OR(
  AND(MID(J2,2,1)=MID(J2,3,1),MID(J2,3,1)=MID(J2,4,1),MID(J2,4,1)&lt;&gt;MID(J2,5,1)),
  AND(MID(J2,2,1)=MID(J2,3,1),MID(J2,3,1)=MID(J2,5,1),MID(J2,4,1)&lt;&gt;MID(J2,5,1)),
  AND(MID(J2,2,1)=MID(J2,4,1),MID(J2,4,1)=MID(J2,5,1),MID(J2,3,1)&lt;&gt;MID(J2,4,1)),
  AND(MID(J2,3,1)=MID(J2,4,1),MID(J2,3,1)=MID(J2,5,1),MID(J2,2,1)&lt;&gt;MID(J2,3,1))
 ),
 IF(
  OR(
   AND(ISNUMBER(FIND(MID(J2,5,1),#REF!,1)),ISNUMBER(FIND(MID(J2,4,1),#REF!,1))),
   AND(ISNUMBER(FIND(MID(J2,4,1),#REF!,1)),ISNUMBER(FIND(MID(J2,5,1),#REF!,1))),
   AND(ISNUMBER(FIND(MID(J2,2,1),#REF!,1)),ISNUMBER(FIND(MID(J2,3,1),#REF!,1))),
   AND(ISNUMBER(FIND(MID(J2,3,1),#REF!,1)),ISNUMBER(FIND(MID(J2,2,1),#REF!,1)))
  ),G2*N63,0
 ),0
)</f>
        <v>0</v>
      </c>
      <c r="L63" s="18" t="e">
        <f ca="1">$L62-$I63+$K63</f>
        <v>#REF!</v>
      </c>
      <c r="N63" s="8">
        <v>4900</v>
      </c>
      <c r="Q63" s="18"/>
      <c r="R63" s="8" t="e">
        <f t="array" ref="R6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4" spans="1:21" x14ac:dyDescent="0.15">
      <c r="D64" s="18" t="s">
        <v>46</v>
      </c>
      <c r="E64" s="18" t="s">
        <v>61</v>
      </c>
      <c r="F64" s="12"/>
      <c r="G64" s="8">
        <f t="shared" ca="1" si="9"/>
        <v>9</v>
      </c>
      <c r="H64" s="8">
        <f t="shared" ca="1" si="10"/>
        <v>9</v>
      </c>
      <c r="I64" s="18">
        <f t="shared" ca="1" si="6"/>
        <v>0</v>
      </c>
      <c r="J64" s="21" t="str">
        <f ca="1">Sheet2!K$2</f>
        <v>41775</v>
      </c>
      <c r="K64" s="8">
        <f ca="1">IF(OR(ISNUMBER(FIND(MID(J2,2,1),#REF!,1)),ISNUMBER(FIND(MID(J2,3,1),#REF!,1)),ISNUMBER(FIND(MID(J2,4,1),#REF!,1)),ISNUMBER(FIND(MID(J2,5,1),#REF!,1))),G2*N64,0)</f>
        <v>0</v>
      </c>
      <c r="L64" s="18" t="e">
        <f ca="1">#REF!-$I64+$K64</f>
        <v>#REF!</v>
      </c>
      <c r="M64" s="8" t="s">
        <v>60</v>
      </c>
      <c r="N64" s="8">
        <v>5.69</v>
      </c>
    </row>
    <row r="65" spans="1:21" x14ac:dyDescent="0.15">
      <c r="D65" s="18" t="s">
        <v>46</v>
      </c>
      <c r="E65" s="18" t="s">
        <v>62</v>
      </c>
      <c r="F65" s="12"/>
      <c r="G65" s="8">
        <f t="shared" ca="1" si="9"/>
        <v>5</v>
      </c>
      <c r="H65" s="8">
        <f t="shared" ca="1" si="10"/>
        <v>2</v>
      </c>
      <c r="I65" s="18">
        <f t="shared" ca="1" si="6"/>
        <v>0</v>
      </c>
      <c r="J65" s="21" t="str">
        <f ca="1">Sheet2!K$2</f>
        <v>41775</v>
      </c>
      <c r="K65" s="8">
        <f ca="1">IF(
 OR(
  AND(ISNUMBER(FIND(MID(J2,2,1),#REF!,1)),ISNUMBER(FIND(MID(J2,3,1),#REF!,1))),
  AND(ISNUMBER(FIND(MID(J2,2,1),#REF!,1)),ISNUMBER(FIND(MID(J2,4,1),#REF!,1))),
  AND(ISNUMBER(FIND(MID(J2,2,1),#REF!,1)),ISNUMBER(FIND(MID(J2,5,1),#REF!,1))),
  AND(ISNUMBER(FIND(MID(J2,3,1),#REF!,1)),ISNUMBER(FIND(MID(J2,4,1),#REF!,1))),
  AND(ISNUMBER(FIND(MID(J2,3,1),#REF!,1)),ISNUMBER(FIND(MID(J2,5,1),#REF!,1))),
  AND(ISNUMBER(FIND(MID(J2,4,1),#REF!,1)),ISNUMBER(FIND(MID(J2,5,1),#REF!,1)))
 ),G2*N57,0
)</f>
        <v>0</v>
      </c>
      <c r="L65" s="18" t="e">
        <f ca="1">$L64-$I65+$K65</f>
        <v>#REF!</v>
      </c>
      <c r="N65" s="8">
        <v>20.12</v>
      </c>
    </row>
    <row r="66" spans="1:21" x14ac:dyDescent="0.15">
      <c r="D66" s="18" t="s">
        <v>64</v>
      </c>
      <c r="E66" s="18" t="s">
        <v>66</v>
      </c>
      <c r="F66" s="12"/>
      <c r="G66" s="8">
        <f t="shared" ca="1" si="9"/>
        <v>8</v>
      </c>
      <c r="H66" s="8">
        <f t="shared" ca="1" si="10"/>
        <v>8</v>
      </c>
      <c r="I66" s="18">
        <f t="shared" ref="I66:I87" ca="1" si="11">Q66*G66*2</f>
        <v>0</v>
      </c>
      <c r="J66" s="21" t="str">
        <f ca="1">Sheet2!K$2</f>
        <v>41775</v>
      </c>
      <c r="K66" s="8">
        <f ca="1">IF(AND(ISNUMBER(FIND(LEFT(J2,1),#REF!,1)),ISNUMBER(FIND(MID(J2,2,1),#REF!,1)),ISNUMBER(FIND(MID(J2,3,1),#REF!,1)),ISNUMBER(FIND(MID(J2,4,1),#REF!,1)),ISNUMBER(FIND(RIGHT(J2,1),#REF!,1))),G2*N66,0)</f>
        <v>0</v>
      </c>
      <c r="L66" s="18" t="e">
        <f ca="1">$L65-$I66+$K66</f>
        <v>#REF!</v>
      </c>
      <c r="M66" s="8" t="s">
        <v>65</v>
      </c>
      <c r="N66" s="8">
        <v>196000</v>
      </c>
      <c r="Q66" s="18"/>
    </row>
    <row r="67" spans="1:21" s="6" customFormat="1" x14ac:dyDescent="0.15">
      <c r="A67" s="8"/>
      <c r="B67" s="8"/>
      <c r="C67" s="8"/>
      <c r="D67" s="18" t="s">
        <v>64</v>
      </c>
      <c r="E67" s="18" t="s">
        <v>67</v>
      </c>
      <c r="F67" s="12"/>
      <c r="G67" s="8">
        <f t="shared" ca="1" si="9"/>
        <v>3</v>
      </c>
      <c r="H67" s="8">
        <f t="shared" ca="1" si="10"/>
        <v>6</v>
      </c>
      <c r="I67" s="18" t="e">
        <f t="shared" ca="1" si="11"/>
        <v>#VALUE!</v>
      </c>
      <c r="J67" s="21" t="str">
        <f ca="1">Sheet2!K$2</f>
        <v>41775</v>
      </c>
      <c r="K67" s="8">
        <f ca="1">IF(ISNUMBER(FIND(","&amp;J2&amp;",",#REF!,1)),G2*N67,0)</f>
        <v>0</v>
      </c>
      <c r="L67" s="18" t="e">
        <f ca="1">#REF!-$I67+$K67</f>
        <v>#REF!</v>
      </c>
      <c r="M67" s="8"/>
      <c r="N67" s="8">
        <v>196000</v>
      </c>
      <c r="O67" s="8"/>
      <c r="P67" s="8"/>
      <c r="Q67" s="8" t="e">
        <f>FINDNUMBER(#REF!,5)</f>
        <v>#VALUE!</v>
      </c>
      <c r="R67" s="8"/>
      <c r="S67" s="8"/>
      <c r="T67" s="8"/>
      <c r="U67" s="8"/>
    </row>
    <row r="68" spans="1:21" x14ac:dyDescent="0.15">
      <c r="D68" s="18" t="s">
        <v>64</v>
      </c>
      <c r="E68" s="18" t="s">
        <v>70</v>
      </c>
      <c r="F68" s="12"/>
      <c r="G68" s="8">
        <f t="shared" ca="1" si="9"/>
        <v>7</v>
      </c>
      <c r="H68" s="8">
        <f t="shared" ca="1" si="10"/>
        <v>4</v>
      </c>
      <c r="I68" s="18">
        <f t="shared" ca="1" si="11"/>
        <v>0</v>
      </c>
      <c r="J68" s="21" t="str">
        <f ca="1">Sheet2!K$2</f>
        <v>41775</v>
      </c>
      <c r="K68" s="8">
        <f ca="1">IF(AND(ISNUMBER(FIND(LEFT(J2,1),#REF!,1)),ISNUMBER(FIND(MID(J2,2,1),#REF!,1)),ISNUMBER(FIND(MID(J2,3,1),#REF!,1)),ISNUMBER(FIND(MID(J2,4,1),#REF!,1)),ISNUMBER(FIND(MID(J2,5,1),#REF!,1))),G2*N68,0)</f>
        <v>0</v>
      </c>
      <c r="L68" s="18" t="e">
        <f ca="1">$L67-$I68+$K68</f>
        <v>#REF!</v>
      </c>
      <c r="M68" s="8" t="s">
        <v>69</v>
      </c>
      <c r="N68" s="8">
        <v>1633.33</v>
      </c>
    </row>
    <row r="69" spans="1:21" x14ac:dyDescent="0.15">
      <c r="D69" s="18" t="s">
        <v>64</v>
      </c>
      <c r="E69" s="18" t="s">
        <v>237</v>
      </c>
      <c r="F69" s="12"/>
      <c r="G69" s="8">
        <f t="shared" ca="1" si="9"/>
        <v>6</v>
      </c>
      <c r="H69" s="8">
        <f t="shared" ca="1" si="10"/>
        <v>4</v>
      </c>
      <c r="I69" s="18">
        <f t="shared" ca="1" si="11"/>
        <v>0</v>
      </c>
      <c r="J69" s="21" t="str">
        <f ca="1">Sheet2!K$2</f>
        <v>41775</v>
      </c>
      <c r="K69" s="8">
        <f ca="1">IF(
 AND(LOOKUP(SUM(LEN(SUBSTITUTE(J2,MID(J2,{1,2,3,4,5},1),))),{8,12,14,16,18,20;5,10,20,30,60,120})=60,
 ISNUMBER(FIND(MID(SUBSTITUTE(J2,_xlfn.MODE.SNGL(INT(LEFT(J2,1)),INT(MID(J2,2,1)),INT(MID(J2,3,1)),INT(MID(J2,4,1)),INT(MID(J2,5,1))),),1,1),#REF!,1)),
 ISNUMBER(FIND(MID(SUBSTITUTE(J2,_xlfn.MODE.SNGL(INT(LEFT(J2,1)),INT(MID(J2,2,1)),INT(MID(J2,3,1)),INT(MID(J2,4,1)),INT(MID(J2,5,1))),),2,1),#REF!,1)),
 ISNUMBER(FIND(MID(SUBSTITUTE(J2,_xlfn.MODE.SNGL(INT(LEFT(J2,1)),INT(MID(J2,2,1)),INT(MID(J2,3,1)),INT(MID(J2,4,1)),INT(MID(J2,5,1))),),3,1),#REF!,1)),
 ISNUMBER(FIND(_xlfn.MODE.SNGL(INT(LEFT(J2,1)),INT(MID(J2,2,1)),INT(MID(J2,3,1)),INT(MID(J2,4,1)),INT(MID(J2,5,1))),#REF!,1))),G2*N69,0
)</f>
        <v>0</v>
      </c>
      <c r="L69" s="18" t="e">
        <f ca="1">$L68-$I69+$K69</f>
        <v>#REF!</v>
      </c>
      <c r="N69" s="8">
        <v>3266.66</v>
      </c>
      <c r="O69" s="8" t="b">
        <f ca="1">AND(SUMPRODUCT(N(ISNUMBER(FIND(ROW($1:$5)-1,J2))))=4,ISNUMBER(FIND(_xlfn.MODE.SNGL(INT(LEFT(J2,1)),INT(MID(J2,2,1)),INT(MID(J2,3,1)),INT(MID(J2,4,1)),INT(MID(J2,5,1))),#REF!,1)))</f>
        <v>0</v>
      </c>
      <c r="Q69" s="18"/>
      <c r="R69" s="8" t="e">
        <f t="array" ref="R69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0" spans="1:21" x14ac:dyDescent="0.15">
      <c r="D70" s="18" t="s">
        <v>64</v>
      </c>
      <c r="E70" s="18" t="s">
        <v>71</v>
      </c>
      <c r="F70" s="12"/>
      <c r="G70" s="8">
        <f t="shared" ca="1" si="9"/>
        <v>6</v>
      </c>
      <c r="H70" s="8">
        <f t="shared" ca="1" si="10"/>
        <v>8</v>
      </c>
      <c r="I70" s="18">
        <f t="shared" ca="1" si="11"/>
        <v>0</v>
      </c>
      <c r="J70" s="21" t="str">
        <f ca="1">Sheet2!K$2</f>
        <v>41775</v>
      </c>
      <c r="K70" s="8">
        <f ca="1">IF(
 LOOKUP(SUM(LEN(SUBSTITUTE(J2,MID(J2,{1,2,3,4,5},1),))),{8,12,14,16,18,20;5,10,20,30,60,120})=30,
 IF(AND(
   ISNUMBER(FIND(_xlfn.MODE.SNGL(INT(LEFT(J2,1)),INT(MID(J2,2,1)),INT(MID(J2,3,1)),INT(MID(J2,4,1)),INT(MID(J2,5,1))),#REF!,1)),
   ISNUMBER(FIND(_xlfn.MODE.SNGL(
         INT(LEFT(SUBSTITUTE(J2,_xlfn.MODE.SNGL(INT(LEFT(J2,1)),INT(MID(J2,2,1)),INT(MID(J2,3,1)),INT(MID(J2,4,1)),INT(MID(J2,5,1))),),1)),
         INT(MID(SUBSTITUTE(J2,_xlfn.MODE.SNGL(INT(LEFT(J2,1)),INT(MID(J2,2,1)),INT(MID(J2,3,1)),INT(MID(J2,4,1)),INT(MID(J2,5,1))),),2,1)),
         INT(MID(SUBSTITUTE(J2,_xlfn.MODE.SNGL(INT(LEFT(J2,1)),INT(MID(J2,2,1)),INT(MID(J2,3,1)),INT(MID(J2,4,1)),INT(MID(J2,5,1))),),3,1))),#REF!,1)),
   ISNUMBER(FIND(SUBSTITUTE(SUBSTITUTE(J2,_xlfn.MODE.SNGL(INT(LEFT(J2,1)),INT(MID(J2,2,1)),INT(MID(J2,3,1)),INT(MID(J2,4,1)),INT(MID(J2,5,1))),),
      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INT(MID(SUBSTITUTE(J2,_xlfn.MODE.SNGL(INT(LEFT(J2,1)),INT(MID(J2,2,1)),INT(MID(J2,3,1)),INT(MID(J2,4,1)),INT(MID(J2,5,1))),),3,1))),),#REF!,1))
  ),G2*N70,0
 ),0
)</f>
        <v>0</v>
      </c>
      <c r="L70" s="18" t="e">
        <f ca="1">#REF!-$I70+$K70</f>
        <v>#REF!</v>
      </c>
      <c r="N70" s="8">
        <v>6533.33</v>
      </c>
      <c r="O70" s="8" t="e">
        <f ca="1">AND(SUMPRODUCT(N(ISNUMBER(FIND(ROW($1:$5)-1,J2))))=3,AND(ISNUMBER(FIND(S69,#REF!,1)),ISNUMBER(FIND(#REF!,#REF!,1))),S69&lt;&gt;#REF!)</f>
        <v>#REF!</v>
      </c>
      <c r="Q70" s="18"/>
      <c r="R70" s="8" t="e">
        <f t="array" ref="R70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1" spans="1:21" x14ac:dyDescent="0.15">
      <c r="D71" s="18" t="s">
        <v>64</v>
      </c>
      <c r="E71" s="18" t="s">
        <v>238</v>
      </c>
      <c r="F71" s="12"/>
      <c r="G71" s="8">
        <f t="shared" ca="1" si="9"/>
        <v>5</v>
      </c>
      <c r="H71" s="8">
        <f t="shared" ca="1" si="10"/>
        <v>4</v>
      </c>
      <c r="I71" s="18">
        <f t="shared" ca="1" si="11"/>
        <v>0</v>
      </c>
      <c r="J71" s="21" t="str">
        <f ca="1">Sheet2!K$2</f>
        <v>41775</v>
      </c>
      <c r="K71" s="8">
        <f ca="1">IF(
 LOOKUP(SUM(LEN(SUBSTITUTE(J2,MID(J2,{1,2,3,4,5},1),))),{8,12,14,16,18,20;5,10,20,30,60,120})=20,
 IF(
  AND(ISNUMBER(FIND(_xlfn.MODE.SNGL(INT(LEFT(J2,1)),INT(MID(J2,2,1)),INT(MID(J2,3,1)),INT(MID(J2,4,1)),INT(MID(J2,5,1))),#REF!,1)),
   ISNUMBER(FIND(LEFT(SUBSTITUTE(J2,_xlfn.MODE.SNGL(INT(LEFT(J2,1)),INT(MID(J2,2,1)),INT(MID(J2,3,1)),INT(MID(J2,4,1)),INT(MID(J2,5,1))),),1),#REF!,1)),
   ISNUMBER(FIND(RIGHT(SUBSTITUTE(J2,_xlfn.MODE.SNGL(INT(LEFT(J2,1)),INT(MID(J2,2,1)),INT(MID(J2,3,1)),INT(MID(J2,4,1)),INT(MID(J2,5,1))),),1),#REF!,1))
  ),G2*N71,0
 ),0
)</f>
        <v>0</v>
      </c>
      <c r="L71" s="18" t="e">
        <f ca="1">#REF!-$I71+$K71</f>
        <v>#REF!</v>
      </c>
      <c r="N71" s="8">
        <v>9800</v>
      </c>
      <c r="O71" s="8" t="e">
        <f ca="1">AND(SUMPRODUCT(N(ISNUMBER(FIND(ROW($1:$5)-1,J2))))=3,ISNUMBER(FIND(S69,#REF!,1)),S69=#REF!)</f>
        <v>#REF!</v>
      </c>
      <c r="Q71" s="18"/>
      <c r="R71" s="8" t="e">
        <f t="array" ref="R7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2" spans="1:21" x14ac:dyDescent="0.15">
      <c r="D72" s="18" t="s">
        <v>64</v>
      </c>
      <c r="E72" s="18" t="s">
        <v>239</v>
      </c>
      <c r="F72" s="12"/>
      <c r="G72" s="8">
        <f t="shared" ca="1" si="9"/>
        <v>8</v>
      </c>
      <c r="H72" s="8">
        <f t="shared" ca="1" si="10"/>
        <v>2</v>
      </c>
      <c r="I72" s="18">
        <f t="shared" ca="1" si="11"/>
        <v>0</v>
      </c>
      <c r="J72" s="21" t="str">
        <f ca="1">Sheet2!K$2</f>
        <v>41775</v>
      </c>
      <c r="K72" s="8">
        <f ca="1">IF(
 LOOKUP(SUM(LEN(SUBSTITUTE(J2,MID(J2,{1,2,3,4,5},1),))),{8,12,14,16,18,20;5,10,20,30,60,120})=10,
 IF(
  AND(
   ISNUMBER(FIND(_xlfn.MODE.SNGL(INT(LEFT(J2,1)),INT(MID(J2,2,1)),INT(MID(J2,3,1)),INT(MID(J2,4,1)),INT(MID(J2,5,1))),#REF!,1)),
   ISNUMBER(FIND(LEFT(SUBSTITUTE(J2,_xlfn.MODE.SNGL(INT(LEFT(J2,1)),INT(MID(J2,2,1)),INT(MID(J2,3,1)),INT(MID(J2,4,1)),INT(MID(J2,5,1))),),1),#REF!,1))
  ),G2*N72,0
 ),0
)</f>
        <v>0</v>
      </c>
      <c r="L72" s="18" t="e">
        <f ca="1">#REF!-$I72+$K72</f>
        <v>#REF!</v>
      </c>
      <c r="N72" s="8">
        <v>19600</v>
      </c>
      <c r="Q72" s="18"/>
      <c r="R72" s="8" t="e">
        <f t="array" ref="R72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3" spans="1:21" x14ac:dyDescent="0.15">
      <c r="D73" s="18" t="s">
        <v>64</v>
      </c>
      <c r="E73" s="18" t="s">
        <v>72</v>
      </c>
      <c r="F73" s="12"/>
      <c r="G73" s="8">
        <f t="shared" ca="1" si="9"/>
        <v>4</v>
      </c>
      <c r="H73" s="8">
        <f t="shared" ca="1" si="10"/>
        <v>5</v>
      </c>
      <c r="I73" s="18">
        <f t="shared" ca="1" si="11"/>
        <v>0</v>
      </c>
      <c r="J73" s="21" t="str">
        <f ca="1">Sheet2!K$2</f>
        <v>41775</v>
      </c>
      <c r="K73" s="8">
        <f ca="1">IF(
 LOOKUP(SUM(LEN(SUBSTITUTE(J2,MID(J2,{1,2,3,4,5},1),))),{8,12,14,16,18,20;5,10,20,30,60,120})=5,
 IF(
  AND(
   ISNUMBER(FIND(_xlfn.MODE.SNGL(INT(LEFT(J2,1)),INT(MID(J2,2,1)),INT(MID(J2,3,1)),INT(MID(J2,4,1)),INT(MID(J2,5,1))),#REF!,1)),
   ISNUMBER(FIND(SUBSTITUTE(J2,_xlfn.MODE.SNGL(INT(LEFT(J2,1)),INT(MID(J2,2,1)),INT(MID(J2,3,1)),INT(MID(J2,4,1)),INT(MID(J2,5,1))),),#REF!,1))
  ),G2*N73,0
 ),0
)</f>
        <v>0</v>
      </c>
      <c r="L73" s="18" t="e">
        <f ca="1">#REF!-$I73+$K73</f>
        <v>#REF!</v>
      </c>
      <c r="N73" s="8">
        <v>39200</v>
      </c>
      <c r="Q73" s="18"/>
      <c r="R73" s="8" t="e">
        <f t="array" ref="R7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4" spans="1:21" x14ac:dyDescent="0.15">
      <c r="D74" s="18" t="s">
        <v>64</v>
      </c>
      <c r="E74" s="18" t="s">
        <v>79</v>
      </c>
      <c r="F74" s="12"/>
      <c r="G74" s="8">
        <f t="shared" ca="1" si="9"/>
        <v>8</v>
      </c>
      <c r="H74" s="8">
        <f t="shared" ca="1" si="10"/>
        <v>7</v>
      </c>
      <c r="I74" s="18">
        <f t="shared" ca="1" si="11"/>
        <v>0</v>
      </c>
      <c r="J74" s="21" t="str">
        <f ca="1">Sheet2!K$2</f>
        <v>41775</v>
      </c>
      <c r="K74" s="8">
        <f ca="1">IF(OR(ISNUMBER(FIND(MID(J2,1,1),#REF!,1)),ISNUMBER(FIND(MID(J2,2,1),#REF!,1)),ISNUMBER(FIND(MID(J2,3,1),#REF!,1)),ISNUMBER(FIND(MID(J2,4,1),#REF!,1)),ISNUMBER(FIND(MID(J2,5,1),#REF!,1))),G2*N74,0)</f>
        <v>0</v>
      </c>
      <c r="L74" s="18" t="e">
        <f ca="1">#REF!-$I74+$K74</f>
        <v>#REF!</v>
      </c>
      <c r="M74" s="8" t="s">
        <v>60</v>
      </c>
      <c r="N74" s="8">
        <v>4.78</v>
      </c>
      <c r="R74" s="8">
        <f ca="1">_xlfn.MODE.SNGL(INT(LEFT(J2,1)),INT(MID(J2,2,1)),INT(MID(J2,3,1)),INT(MID(J2,4,1)),INT(MID(J2,5,1)))</f>
        <v>7</v>
      </c>
    </row>
    <row r="75" spans="1:21" x14ac:dyDescent="0.15">
      <c r="D75" s="18" t="s">
        <v>64</v>
      </c>
      <c r="E75" s="18" t="s">
        <v>80</v>
      </c>
      <c r="F75" s="12"/>
      <c r="G75" s="8">
        <f t="shared" ca="1" si="9"/>
        <v>4</v>
      </c>
      <c r="H75" s="8">
        <f t="shared" ca="1" si="10"/>
        <v>2</v>
      </c>
      <c r="I75" s="18">
        <f t="shared" ca="1" si="11"/>
        <v>0</v>
      </c>
      <c r="J75" s="21" t="str">
        <f ca="1">Sheet2!K$2</f>
        <v>41775</v>
      </c>
      <c r="K75" s="8">
        <f ca="1">IF(R76=120,
  IF(SUM(N(ISNUMBER(FIND(MID(J2,1,1),#REF!,1))),
    N(ISNUMBER(FIND(MID(J2,2,1),#REF!,1))),
    N(ISNUMBER(FIND(MID(J2,3,1),#REF!,1))),
    N(ISNUMBER(FIND(MID(J2,4,1),#REF!,1))),
    N(ISNUMBER(FIND(MID(J2,5,1),#REF!,1))))&gt;=2,
   G2*N75*COMBIN(SUM(N(ISNUMBER(FIND(MID(J2,1,1),#REF!,1))),
        N(ISNUMBER(FIND(MID(J2,2,1),#REF!,1))),
        N(ISNUMBER(FIND(MID(J2,3,1),#REF!,1))),
        N(ISNUMBER(FIND(MID(J2,4,1),#REF!,1))),
        N(ISNUMBER(FIND(MID(J2,5,1),#REF!,1)))),2),0),
  IF(R76=60,
   IF(SUM(N(ISNUMBER(FIND(R74,#REF!,1))),
     N(ISNUMBER(FIND(MID(SUBSTITUTE(J2,R74,),1,1),#REF!,1))),
     N(ISNUMBER(FIND(MID(SUBSTITUTE(J2,R74,),2,1),#REF!,1))),
     N(ISNUMBER(FIND(MID(SUBSTITUTE(J2,R74,),3,1),#REF!,1)))
    )&gt;=2,G2*N75*COMBIN(SUM(N(ISNUMBER(FIND(R74,#REF!,1))),
          N(ISNUMBER(FIND(MID(SUBSTITUTE(J2,R74,),1,1),#REF!,1))),
          N(ISNUMBER(FIND(MID(SUBSTITUTE(J2,R74,),2,1),#REF!,1))),
          N(ISNUMBER(FIND(MID(SUBSTITUTE(J2,R74,),3,1),#REF!,1)))),2),0),
   IF(R76=30,
    IF(SUM(N(ISNUMBER(FIND(R74,#REF!,1))),
      N(ISNUMBER(FIND(R75,#REF!,1))),
      N(ISNUMBER(FIND(SUBSTITUTE(SUBSTITUTE(J2,R74,),R75,),#REF!,1)))
     )&gt;=2,G2*N75*COMBIN(SUM(N(ISNUMBER(FIND(R74,#REF!,1))),
           N(ISNUMBER(FIND(R75,#REF!,1))),
           N(ISNUMBER(FIND(SUBSTITUTE(SUBSTITUTE(J2,R74,),R75,),#REF!,1)))),2),0),
    IF(R76=20,
     IF(SUM(N(ISNUMBER(FIND(R74,#REF!,1))),
       N(ISNUMBER(FIND(MID(SUBSTITUTE(J2,R74,),1,1),#REF!,1))),
       N(ISNUMBER(FIND(MID(SUBSTITUTE(J2,R74,),2,1),#REF!,1)))
      )&gt;=2,G2*N75*COMBIN(SUM(N(ISNUMBER(FIND(R74,#REF!,1))),
            N(ISNUMBER(FIND(MID(SUBSTITUTE(J2,R74,),1,1),#REF!,1))),
            N(ISNUMBER(FIND(MID(SUBSTITUTE(J2,R74,),2,1),#REF!,1)))),2),0),
     IF(AND(N(ISNUMBER(FIND(R74,#REF!,1))),
       N(ISNUMBER(FIND(SUBSTITUTE(J2,R74,),#REF!,1)))),
      G2*N75,0)))))</f>
        <v>0</v>
      </c>
      <c r="L75" s="18" t="e">
        <f t="shared" ref="L75:L81" ca="1" si="12">$L74-$I75+$K75</f>
        <v>#REF!</v>
      </c>
      <c r="N75" s="8">
        <v>13.36</v>
      </c>
      <c r="R75" s="8" t="e">
        <f ca="1">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</f>
        <v>#N/A</v>
      </c>
      <c r="S75" s="8" t="s">
        <v>229</v>
      </c>
    </row>
    <row r="76" spans="1:21" x14ac:dyDescent="0.15">
      <c r="D76" s="18" t="s">
        <v>64</v>
      </c>
      <c r="E76" s="18" t="s">
        <v>81</v>
      </c>
      <c r="F76" s="12"/>
      <c r="G76" s="8">
        <f t="shared" ca="1" si="9"/>
        <v>9</v>
      </c>
      <c r="H76" s="8">
        <f t="shared" ca="1" si="10"/>
        <v>5</v>
      </c>
      <c r="I76" s="18">
        <f t="shared" ca="1" si="11"/>
        <v>0</v>
      </c>
      <c r="J76" s="21" t="str">
        <f ca="1">Sheet2!K$2</f>
        <v>41775</v>
      </c>
      <c r="K76" s="8">
        <f ca="1">IF(R76=120,
 IF(SUM(N(ISNUMBER(FIND(MID(J2,1,1),#REF!,1))),
   N(ISNUMBER(FIND(MID(J2,2,1),#REF!,1))),
   N(ISNUMBER(FIND(MID(J2,3,1),#REF!,1))),
   N(ISNUMBER(FIND(MID(J2,4,1),#REF!,1))),
   N(ISNUMBER(FIND(MID(J2,5,1),#REF!,1))))&gt;=3,
  G2*N76*COMBIN(SUM(N(ISNUMBER(FIND(MID(J2,1,1),#REF!,1))),
       N(ISNUMBER(FIND(MID(J2,2,1),#REF!,1))),
       N(ISNUMBER(FIND(MID(J2,3,1),#REF!,1))),
       N(ISNUMBER(FIND(MID(J2,4,1),#REF!,1))),
       N(ISNUMBER(FIND(MID(J2,5,1),#REF!,1)))),3),0),
 IF(R76=60,
  IF(SUM(N(ISNUMBER(FIND(R74,#REF!,1))),
    N(ISNUMBER(FIND(MID(SUBSTITUTE(J2,R74,),1,1),#REF!,1))),
    N(ISNUMBER(FIND(MID(SUBSTITUTE(J2,R74,),2,1),#REF!,1))),
    N(ISNUMBER(FIND(MID(SUBSTITUTE(J2,R74,),3,1),#REF!,1)))
   )&gt;=3,G2*N76*COMBIN(SUM(N(ISNUMBER(FIND(R74,#REF!,1))),
         N(ISNUMBER(FIND(MID(SUBSTITUTE(J2,R74,),1,1),#REF!,1))),
         N(ISNUMBER(FIND(MID(SUBSTITUTE(J2,R74,),2,1),#REF!,1))),
         N(ISNUMBER(FIND(MID(SUBSTITUTE(J2,R74,),3,1),#REF!,1)))),3),0),
  IF(R76=30,
   IF(SUM(N(ISNUMBER(FIND(R74,#REF!,1))),
     N(ISNUMBER(FIND(R75,#REF!,1))),
     N(ISNUMBER(FIND(SUBSTITUTE(SUBSTITUTE(J2,R74,),R75,),#REF!,1))))=3,G2*N76,0),
   IF(R76=20,
    IF(SUM(N(ISNUMBER(FIND(R74,#REF!,1))),
      N(ISNUMBER(FIND(LEFT(SUBSTITUTE(J2,R74,),1),#REF!,1))),
      N(ISNUMBER(FIND(RIGHT(SUBSTITUTE(J2,R74,),1),#REF!,1))))=3,G2*N76,0),0))))</f>
        <v>0</v>
      </c>
      <c r="L76" s="18" t="e">
        <f t="shared" ca="1" si="12"/>
        <v>#REF!</v>
      </c>
      <c r="N76" s="8">
        <v>45.05</v>
      </c>
      <c r="R76" s="8">
        <f ca="1">LOOKUP(SUM(LEN(SUBSTITUTE(J2,MID(J2,{1,2,3,4,5},1),))),{8,12,14,16,18,20;5,10,20,30,60,120})</f>
        <v>60</v>
      </c>
    </row>
    <row r="77" spans="1:21" x14ac:dyDescent="0.15">
      <c r="D77" s="18" t="s">
        <v>64</v>
      </c>
      <c r="E77" s="18" t="s">
        <v>84</v>
      </c>
      <c r="F77" s="12"/>
      <c r="G77" s="8">
        <f t="shared" ca="1" si="9"/>
        <v>4</v>
      </c>
      <c r="H77" s="8">
        <f t="shared" ca="1" si="10"/>
        <v>6</v>
      </c>
      <c r="I77" s="18">
        <f t="shared" ca="1" si="11"/>
        <v>0</v>
      </c>
      <c r="J77" s="21" t="str">
        <f ca="1">Sheet2!K$2</f>
        <v>41775</v>
      </c>
      <c r="K77" s="8">
        <f ca="1">IF(OR(ISNUMBER(FIND(MID(J2,1,1),#REF!,1)),ISNUMBER(FIND(MID(J2,2,1),#REF!,1)),ISNUMBER(FIND(MID(J2,3,1),#REF!,1)),ISNUMBER(FIND(MID(J2,4,1),#REF!,1)),ISNUMBER(FIND(MID(J2,5,1),#REF!,1))),G2*N77,0)</f>
        <v>0</v>
      </c>
      <c r="L77" s="18" t="e">
        <f t="shared" ca="1" si="12"/>
        <v>#REF!</v>
      </c>
      <c r="M77" s="8" t="s">
        <v>83</v>
      </c>
      <c r="N77" s="8">
        <v>4.78</v>
      </c>
    </row>
    <row r="78" spans="1:21" x14ac:dyDescent="0.15">
      <c r="D78" s="18" t="s">
        <v>64</v>
      </c>
      <c r="E78" s="18" t="s">
        <v>85</v>
      </c>
      <c r="F78" s="12"/>
      <c r="G78" s="8">
        <f t="shared" ca="1" si="9"/>
        <v>7</v>
      </c>
      <c r="H78" s="8">
        <f t="shared" ca="1" si="10"/>
        <v>3</v>
      </c>
      <c r="I78" s="18">
        <f t="shared" ca="1" si="11"/>
        <v>0</v>
      </c>
      <c r="J78" s="21" t="str">
        <f ca="1">Sheet2!K$2</f>
        <v>41775</v>
      </c>
      <c r="K78" s="8">
        <f ca="1">IF(AND(LOOKUP(SUM(LEN(SUBSTITUTE(J2,MID(J2,{1,2,3,4,5},1),))),{8,12,14,16,18,20;5,10,20,30,60,120})=60,
 ISNUMBER(FIND(_xlfn.MODE.SNGL(INT(LEFT(J2,1)),INT(MID(J2,2,1)),INT(MID(J2,3,1)),INT(MID(J2,4,1)),INT(MID(J2,5,1))),#REF!,1))),
 G2*N78,
 IF(AND(LOOKUP(SUM(LEN(SUBSTITUTE(J2,MID(J2,{1,2,3,4,5},1),))),{8,12,14,16,18,20;5,10,20,30,60,120})=30,
   OR(ISNUMBER(FIND(_xlfn.MODE.SNGL(INT(LEFT(J2,1)),INT(MID(J2,2,1)),INT(MID(J2,3,1)),INT(MID(J2,4,1)),INT(MID(J2,5,1))),#REF!,1)),
      ISNUMBER(FIND(_xlfn.MODE.SNGL(INT(LEFT(SUBSTITUTE(J2,_xlfn.MODE.SNGL(INT(LEFT(J2,1)),INT(MID(J2,2,1)),INT(MID(J2,3,1)),INT(MID(J2,4,1)),INT(MID(J2,5,1))),),1)),
            INT(MID(SUBSTITUTE(J2,_xlfn.MODE.SNGL(INT(LEFT(J2,1)),INT(MID(J2,2,1)),INT(MID(J2,3,1)),INT(MID(J2,4,1)),INT(MID(J2,5,1))),),2,1)),
            INT(MID(SUBSTITUTE(J2,_xlfn.MODE.SNGL(INT(LEFT(J2,1)),INT(MID(J2,2,1)),INT(MID(J2,3,1)),INT(MID(J2,4,1)),INT(MID(J2,5,1))),),3,1))),#REF!,1))
   )
  ),G2*N78,
  IF(AND(LOOKUP(SUM(LEN(SUBSTITUTE(J2,MID(J2,{1,2,3,4,5},1),))),{8,12,14,16,18,20;5,10,20,30,60,120})=10,
   ISNUMBER(FIND((SUM(MID(J2,{1,2,3,4,5},1)*1)-_xlfn.MODE.SNGL(INT(LEFT(J2,1)),INT(MID(J2,2,1)),INT(MID(J2,3,1)),INT(MID(J2,4,1)),INT(MID(J2,5,1)))*3)/2,#REF!,1))),
   G2*N78,0
  )
 )
)</f>
        <v>0</v>
      </c>
      <c r="L78" s="18" t="e">
        <f t="shared" ca="1" si="12"/>
        <v>#REF!</v>
      </c>
      <c r="N78" s="8">
        <v>24.06</v>
      </c>
    </row>
    <row r="79" spans="1:21" x14ac:dyDescent="0.15">
      <c r="D79" s="18" t="s">
        <v>64</v>
      </c>
      <c r="E79" s="18" t="s">
        <v>86</v>
      </c>
      <c r="F79" s="12"/>
      <c r="G79" s="8">
        <f t="shared" ca="1" si="9"/>
        <v>7</v>
      </c>
      <c r="H79" s="8">
        <f t="shared" ca="1" si="10"/>
        <v>5</v>
      </c>
      <c r="I79" s="18">
        <f t="shared" ca="1" si="11"/>
        <v>0</v>
      </c>
      <c r="J79" s="21" t="str">
        <f ca="1">Sheet2!K$2</f>
        <v>41775</v>
      </c>
      <c r="K79" s="8">
        <f ca="1">IF(OR(LOOKUP(SUM(LEN(SUBSTITUTE(J2,MID(J2,{1,2,3,4,5},1),))),{8,12,14,16,18,20;5,10,20,30,60,120})=20,
LOOKUP(SUM(LEN(SUBSTITUTE(J2,MID(J2,{1,2,3,4,5},1),))),{8,12,14,16,18,20;5,10,20,30,60,120})=10),
IF(ISNUMBER(FIND(_xlfn.MODE.SNGL(INT(LEFT(J2,1)),INT(MID(J2,2,1)),INT(MID(J2,3,1)),INT(MID(J2,4,1)),INT(MID(J2,5,1))),#REF!,1)),G2*N79,0),0)</f>
        <v>0</v>
      </c>
      <c r="L79" s="18" t="e">
        <f t="shared" ca="1" si="12"/>
        <v>#REF!</v>
      </c>
      <c r="N79" s="8">
        <v>228.97</v>
      </c>
    </row>
    <row r="80" spans="1:21" x14ac:dyDescent="0.15">
      <c r="D80" s="18" t="s">
        <v>64</v>
      </c>
      <c r="E80" s="18" t="s">
        <v>87</v>
      </c>
      <c r="F80" s="12"/>
      <c r="G80" s="8">
        <f t="shared" ca="1" si="9"/>
        <v>5</v>
      </c>
      <c r="H80" s="8">
        <f t="shared" ca="1" si="10"/>
        <v>8</v>
      </c>
      <c r="I80" s="18">
        <f t="shared" ca="1" si="11"/>
        <v>0</v>
      </c>
      <c r="J80" s="21" t="str">
        <f ca="1">Sheet2!K$2</f>
        <v>41775</v>
      </c>
      <c r="K80" s="8">
        <f ca="1">IF(LOOKUP(SUM(LEN(SUBSTITUTE(J2,MID(J2,{1,2,3,4,5},1),))),{8,12,14,16,18,20;5,10,20,30,60,120})=5,
 IF(ISNUMBER(FIND(_xlfn.MODE.SNGL(INT(LEFT(J2,1)),INT(MID(J2,2,1)),INT(MID(J2,3,1)),INT(MID(J2,4,1)),INT(MID(J2,5,1))),#REF!,1)),G2*N80,0
 ),0)</f>
        <v>0</v>
      </c>
      <c r="L80" s="18" t="e">
        <f t="shared" ca="1" si="12"/>
        <v>#REF!</v>
      </c>
      <c r="N80" s="8">
        <v>4260.8599999999997</v>
      </c>
    </row>
    <row r="81" spans="4:17" x14ac:dyDescent="0.15">
      <c r="D81" s="18" t="s">
        <v>88</v>
      </c>
      <c r="E81" s="18" t="s">
        <v>90</v>
      </c>
      <c r="F81" s="12"/>
      <c r="G81" s="8">
        <f t="shared" ca="1" si="9"/>
        <v>5</v>
      </c>
      <c r="H81" s="8">
        <f t="shared" ca="1" si="10"/>
        <v>5</v>
      </c>
      <c r="I81" s="18">
        <f t="shared" ca="1" si="11"/>
        <v>0</v>
      </c>
      <c r="J81" s="21" t="str">
        <f ca="1">Sheet2!K$2</f>
        <v>41775</v>
      </c>
      <c r="K81" s="8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)=2,G2*N81,0)</f>
        <v>0</v>
      </c>
      <c r="L81" s="18" t="e">
        <f t="shared" ca="1" si="12"/>
        <v>#REF!</v>
      </c>
      <c r="M81" s="8" t="s">
        <v>89</v>
      </c>
      <c r="N81" s="8">
        <v>7.84</v>
      </c>
      <c r="O81" s="8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1" s="18"/>
    </row>
    <row r="82" spans="4:17" x14ac:dyDescent="0.15">
      <c r="D82" s="18" t="s">
        <v>88</v>
      </c>
      <c r="E82" s="18" t="s">
        <v>94</v>
      </c>
      <c r="F82" s="12"/>
      <c r="G82" s="8">
        <f t="shared" ca="1" si="9"/>
        <v>5</v>
      </c>
      <c r="H82" s="8">
        <f t="shared" ca="1" si="10"/>
        <v>1</v>
      </c>
      <c r="I82" s="18">
        <f t="shared" ca="1" si="11"/>
        <v>0</v>
      </c>
      <c r="J82" s="21" t="str">
        <f ca="1">Sheet2!K$2</f>
        <v>41775</v>
      </c>
      <c r="K82" s="8">
        <f ca="1">IF(IF(INT(MID(J2,4,1))&lt;5,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)=2,G2*N82,0)</f>
        <v>0</v>
      </c>
      <c r="L82" s="18" t="e">
        <f ca="1">#REF!-$I82+$K82</f>
        <v>#REF!</v>
      </c>
      <c r="N82" s="8">
        <v>7.84</v>
      </c>
      <c r="O82" s="8" t="b">
        <f ca="1">IF(INT(MID(J2,4,1))&lt;5,
 IF(MOD(MID(J2,4,1),2)=1,
  IF(OR(ISNUMBER(FIND("小",#REF!,1)),ISNUMBER(FIND("单",#REF!,1))),TRUE,FALSE),
   IF(OR(ISNUMBER(FIND("小",#REF!,1)),ISNUMBER(FIND("双",#REF!,1))),TRUE,FALSE)),
 IF(MOD(MID(J2,4,1),2)=1,
  IF(OR(ISNUMBER(FIND("大",#REF!,1)),ISNUMBER(FIND("单",#REF!,1))),TRUE,FALSE),
   IF(OR(ISNUMBER(FIND("大",#REF!,1)),ISNUMBER(FIND("双",#REF!,1))),TRUE,FALSE))
)</f>
        <v>0</v>
      </c>
      <c r="Q82" s="18"/>
    </row>
    <row r="83" spans="4:17" x14ac:dyDescent="0.15">
      <c r="D83" s="18" t="s">
        <v>88</v>
      </c>
      <c r="E83" s="18" t="s">
        <v>97</v>
      </c>
      <c r="F83" s="12"/>
      <c r="G83" s="8">
        <f t="shared" ca="1" si="9"/>
        <v>2</v>
      </c>
      <c r="H83" s="8">
        <f t="shared" ca="1" si="10"/>
        <v>9</v>
      </c>
      <c r="I83" s="18">
        <f t="shared" ca="1" si="11"/>
        <v>0</v>
      </c>
      <c r="J83" s="21" t="str">
        <f ca="1">Sheet2!K$2</f>
        <v>41775</v>
      </c>
      <c r="K83" s="8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)+IF(INT(MID(J2,3,1))&lt;5,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)=3,G2*N83,0)</f>
        <v>0</v>
      </c>
      <c r="L83" s="18" t="e">
        <f ca="1">#REF!-$I83+$K83</f>
        <v>#REF!</v>
      </c>
      <c r="N83" s="8">
        <v>15.68</v>
      </c>
      <c r="O83" s="8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3" s="18"/>
    </row>
    <row r="84" spans="4:17" x14ac:dyDescent="0.15">
      <c r="D84" s="18" t="s">
        <v>88</v>
      </c>
      <c r="E84" s="18" t="s">
        <v>45</v>
      </c>
      <c r="F84" s="12"/>
      <c r="G84" s="8">
        <f t="shared" ca="1" si="9"/>
        <v>9</v>
      </c>
      <c r="H84" s="8">
        <f t="shared" ca="1" si="10"/>
        <v>9</v>
      </c>
      <c r="I84" s="18">
        <f t="shared" ca="1" si="11"/>
        <v>0</v>
      </c>
      <c r="J84" s="21" t="str">
        <f ca="1">Sheet2!K$2</f>
        <v>41775</v>
      </c>
      <c r="K84" s="8">
        <f ca="1">IF(IF(INT(MID(J2,3,1))&lt;5,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)+IF(INT(MID(J2,4,1))&lt;5,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)=3,G2*N84,0)</f>
        <v>0</v>
      </c>
      <c r="L84" s="18" t="e">
        <f ca="1">#REF!-$I84+$K84</f>
        <v>#REF!</v>
      </c>
      <c r="N84" s="8">
        <v>15.68</v>
      </c>
      <c r="O84" s="8" t="b">
        <f ca="1">IF(INT(MID(J2,3,1))&lt;5,
 IF(MOD(MID(J2,3,1),2)=1,
  IF(OR(ISNUMBER(FIND("小",#REF!,1)),ISNUMBER(FIND("单",#REF!,1))),TRUE,FALSE),
   IF(OR(ISNUMBER(FIND("小",#REF!,1)),ISNUMBER(FIND("双",#REF!,1))),TRUE,FALSE)),
 IF(MOD(MID(J2,3,1),2)=1,
  IF(OR(ISNUMBER(FIND("大",#REF!,1)),ISNUMBER(FIND("单",#REF!,1))),TRUE,FALSE),
   IF(OR(ISNUMBER(FIND("大",#REF!,1)),ISNUMBER(FIND("双",#REF!,1))),TRUE,FALSE))
)</f>
        <v>0</v>
      </c>
      <c r="Q84" s="18"/>
    </row>
    <row r="85" spans="4:17" x14ac:dyDescent="0.15">
      <c r="D85" s="18" t="s">
        <v>102</v>
      </c>
      <c r="E85" s="18" t="s">
        <v>102</v>
      </c>
      <c r="F85" s="12"/>
      <c r="G85" s="8">
        <f t="shared" ca="1" si="9"/>
        <v>6</v>
      </c>
      <c r="H85" s="8">
        <f t="shared" ca="1" si="10"/>
        <v>8</v>
      </c>
      <c r="I85" s="18">
        <f t="shared" ca="1" si="11"/>
        <v>0</v>
      </c>
      <c r="J85" s="21" t="str">
        <f ca="1">Sheet2!K$2</f>
        <v>41775</v>
      </c>
      <c r="K85" s="8">
        <f ca="1">IF(SUM(O85:O85)&gt;0,SUM(O85:O85)*G2*N85,0)</f>
        <v>0</v>
      </c>
      <c r="L85" s="18" t="e">
        <f ca="1">#REF!-$I85+$K85</f>
        <v>#REF!</v>
      </c>
      <c r="M85" s="8" t="s">
        <v>107</v>
      </c>
      <c r="N85" s="8">
        <v>1.96</v>
      </c>
      <c r="O85" s="8">
        <f ca="1">IF(SUM(MID(J2,1,1),MID(J2,2,1),MID(J2,3,1),MID(J2,4,1),MID(J2,5,1))&lt;23,
 IF(MOD(SUM(MID(J2,1,1),MID(J2,2,1),MID(J2,3,1),MID(J2,4,1),MID(J2,5,1)),2)=1,
  IF(OR(ISNUMBER(FIND("和小",#REF!,1)),ISNUMBER(FIND("和单",#REF!,1))),1,0),
  IF(OR(ISNUMBER(FIND("和小",#REF!,1)),ISNUMBER(FIND("和双",#REF!,1))),1,0)),
 IF(MOD(SUM(MID(J2,1,1),MID(J2,2,1),MID(J2,3,1),MID(J2,4,1),MID(J2,5,1)),2)=1,
  IF(OR(ISNUMBER(FIND("和大",#REF!,1)),ISNUMBER(FIND("和单",#REF!,1))),1,0),
  IF(OR(ISNUMBER(FIND("和大",#REF!,1)),ISNUMBER(FIND("和双",#REF!,1))),1,0))
)</f>
        <v>0</v>
      </c>
      <c r="P85" s="18"/>
      <c r="Q85" s="18"/>
    </row>
    <row r="86" spans="4:17" x14ac:dyDescent="0.15">
      <c r="D86" s="18" t="s">
        <v>106</v>
      </c>
      <c r="E86" s="18" t="s">
        <v>109</v>
      </c>
      <c r="F86" s="12"/>
      <c r="G86" s="8">
        <f t="shared" ca="1" si="9"/>
        <v>5</v>
      </c>
      <c r="H86" s="8">
        <f t="shared" ca="1" si="10"/>
        <v>3</v>
      </c>
      <c r="I86" s="18">
        <f t="shared" ca="1" si="11"/>
        <v>0</v>
      </c>
      <c r="J86" s="21" t="str">
        <f ca="1">Sheet2!K$2</f>
        <v>41775</v>
      </c>
      <c r="K86" s="8">
        <f ca="1">IF(SUM(O86:O86)&gt;0,IF(SUM(O86:O86)=1000,G2*#REF!*10,IF(SUM(O86:O86)&gt;=100,LEFT(SUM(O86:O86),1)*G2*#REF!+RIGHT(SUM(O86:O86),1)*G2*N86,SUM(O86:O86)*N86*G2)),0)</f>
        <v>0</v>
      </c>
      <c r="L86" s="18" t="e">
        <f ca="1">#REF!-$I86+$K86</f>
        <v>#REF!</v>
      </c>
      <c r="M86" s="8" t="s">
        <v>108</v>
      </c>
      <c r="N86" s="8">
        <v>2.177</v>
      </c>
      <c r="O86" s="8">
        <f ca="1">IF(LEFT(J2,1)=MID(J2,2,1),IF(ISNUMBER(FIND("和",#REF!,1)),100,0),IF(LEFT(J2,1)&gt;MID(J2,2,1),IF(ISNUMBER(FIND("龙",#REF!,1)),1,0),IF(ISNUMBER(FIND("虎",#REF!,1)),1,0)))</f>
        <v>0</v>
      </c>
      <c r="Q86" s="18"/>
    </row>
    <row r="87" spans="4:17" x14ac:dyDescent="0.15">
      <c r="D87" s="18" t="s">
        <v>120</v>
      </c>
      <c r="E87" s="18" t="s">
        <v>121</v>
      </c>
      <c r="F87" s="12"/>
      <c r="G87" s="8">
        <f t="shared" ca="1" si="9"/>
        <v>9</v>
      </c>
      <c r="H87" s="8">
        <f t="shared" ca="1" si="10"/>
        <v>7</v>
      </c>
      <c r="I87" s="18">
        <f t="shared" ca="1" si="11"/>
        <v>0</v>
      </c>
      <c r="J87" s="21" t="str">
        <f ca="1">Sheet2!K$2</f>
        <v>41775</v>
      </c>
      <c r="K87" s="8">
        <f ca="1">IF(SUM(LEFT(J2,1),MID(J2,2,1),MID(J2,3,1),MID(J2,4,1),MID(J2,5,1))=LEFT(J2,1)*5,G2*N87,0)</f>
        <v>0</v>
      </c>
      <c r="L87" s="18" t="e">
        <f ca="1">#REF!-$I87+$K87</f>
        <v>#REF!</v>
      </c>
      <c r="M87" s="8" t="s">
        <v>103</v>
      </c>
      <c r="N87" s="8">
        <v>98000</v>
      </c>
    </row>
    <row r="88" spans="4:17" x14ac:dyDescent="0.15">
      <c r="J88" s="22"/>
    </row>
  </sheetData>
  <autoFilter ref="A1:U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33"/>
  <sheetViews>
    <sheetView topLeftCell="A19" workbookViewId="0">
      <selection activeCell="C26" sqref="C26"/>
    </sheetView>
  </sheetViews>
  <sheetFormatPr defaultRowHeight="20.100000000000001" customHeight="1" x14ac:dyDescent="0.15"/>
  <cols>
    <col min="1" max="1" width="13.75" style="2" customWidth="1"/>
    <col min="2" max="2" width="10.25" style="2" customWidth="1"/>
    <col min="3" max="4" width="9" style="2" bestFit="1" customWidth="1"/>
    <col min="5" max="5" width="5.25" style="4" customWidth="1"/>
    <col min="6" max="6" width="6.5" style="2" bestFit="1" customWidth="1"/>
    <col min="7" max="7" width="9.5" style="8" bestFit="1" customWidth="1"/>
    <col min="8" max="8" width="12.125" style="8" customWidth="1"/>
    <col min="9" max="9" width="9.875" style="8" customWidth="1"/>
    <col min="10" max="10" width="30.875" style="7" customWidth="1"/>
    <col min="11" max="11" width="12.75" style="8" bestFit="1" customWidth="1"/>
    <col min="12" max="12" width="9" style="10"/>
    <col min="13" max="13" width="9" style="2"/>
    <col min="14" max="14" width="28.625" style="12" customWidth="1"/>
    <col min="15" max="16384" width="9" style="2"/>
  </cols>
  <sheetData>
    <row r="1" spans="1:14" ht="20.100000000000001" customHeight="1" x14ac:dyDescent="0.15">
      <c r="A1" s="3" t="s">
        <v>163</v>
      </c>
      <c r="B1" s="3" t="s">
        <v>165</v>
      </c>
      <c r="C1" s="3" t="s">
        <v>281</v>
      </c>
      <c r="D1" s="3" t="s">
        <v>282</v>
      </c>
      <c r="E1" s="5" t="s">
        <v>283</v>
      </c>
      <c r="F1" s="3" t="s">
        <v>166</v>
      </c>
      <c r="G1" s="8" t="s">
        <v>0</v>
      </c>
      <c r="H1" s="8" t="s">
        <v>1</v>
      </c>
      <c r="I1" s="8" t="s">
        <v>2</v>
      </c>
      <c r="J1" s="12" t="s">
        <v>3</v>
      </c>
      <c r="K1" s="22" t="s">
        <v>295</v>
      </c>
    </row>
    <row r="2" spans="1:14" ht="20.100000000000001" customHeight="1" x14ac:dyDescent="0.15">
      <c r="A2" s="27" t="s">
        <v>164</v>
      </c>
      <c r="B2" s="3" t="s">
        <v>173</v>
      </c>
      <c r="C2" s="2">
        <f>IF(ISNUMBER(FIND($B2,$J$10,1)),$F2,0)</f>
        <v>0</v>
      </c>
      <c r="E2" s="2">
        <f>IF(ISNUMBER(FIND($B2,J$19,1)),$F2,0)</f>
        <v>1</v>
      </c>
      <c r="F2" s="2">
        <v>1</v>
      </c>
      <c r="G2" s="25" t="s">
        <v>4</v>
      </c>
      <c r="H2" s="25" t="s">
        <v>5</v>
      </c>
      <c r="I2" s="8" t="s">
        <v>6</v>
      </c>
      <c r="J2" s="13" t="s">
        <v>259</v>
      </c>
      <c r="K2" s="25" t="str">
        <f ca="1">RANDBETWEEN(0,9)&amp;RANDBETWEEN(0,9)&amp;RANDBETWEEN(0,9)&amp;RANDBETWEEN(0,9)&amp;RANDBETWEEN(0,9)</f>
        <v>41775</v>
      </c>
      <c r="L2" s="11">
        <f ca="1">IF(AND(ISNUMBER(FIND(LEFT($K$2,1),J2,1)),LEN($K$2)&lt;&gt;0),1,0)</f>
        <v>1</v>
      </c>
      <c r="M2" s="25">
        <f ca="1">SUM(L2:L6)</f>
        <v>2</v>
      </c>
      <c r="N2" s="26" t="str">
        <f>IF(LEN(Sheet2!J2)=0,"-",SUBSTITUTE(Sheet2!J2,","," "))&amp;","&amp;IF(LEN(Sheet2!J3)=0,"-",SUBSTITUTE(Sheet2!J3,","," "))&amp;","&amp;IF(LEN(Sheet2!J4)=0,"-",SUBSTITUTE(Sheet2!J4,","," "))&amp;","&amp;IF(LEN(Sheet2!J5)=0,"-",SUBSTITUTE(Sheet2!J5,","," "))&amp;","&amp;IF(LEN(Sheet2!J6)=0,"-",SUBSTITUTE(Sheet2!J6,","," "))</f>
        <v xml:space="preserve"> 0 1 4 5 , 0 1 2 , 1 9 , 2 5 , 3 6 </v>
      </c>
    </row>
    <row r="3" spans="1:14" ht="20.100000000000001" customHeight="1" x14ac:dyDescent="0.15">
      <c r="A3" s="27"/>
      <c r="B3" s="3" t="s">
        <v>174</v>
      </c>
      <c r="C3" s="18">
        <f t="shared" ref="C3:C20" si="0">IF(ISNUMBER(FIND($B3,$J$10,1)),$F3,0)</f>
        <v>2</v>
      </c>
      <c r="E3" s="18">
        <f t="shared" ref="E3:E20" si="1">IF(ISNUMBER(FIND($B3,J$19,1)),$F3,0)</f>
        <v>2</v>
      </c>
      <c r="F3" s="2">
        <v>2</v>
      </c>
      <c r="G3" s="25"/>
      <c r="H3" s="25"/>
      <c r="I3" s="8" t="s">
        <v>7</v>
      </c>
      <c r="J3" s="13" t="s">
        <v>260</v>
      </c>
      <c r="K3" s="25"/>
      <c r="L3" s="11">
        <f ca="1">IF(AND(ISNUMBER(FIND(MID($K$2,2,1),J3,1)),LEN($K$2)&lt;&gt;0),1,0)</f>
        <v>1</v>
      </c>
      <c r="M3" s="25"/>
      <c r="N3" s="26"/>
    </row>
    <row r="4" spans="1:14" ht="20.100000000000001" customHeight="1" x14ac:dyDescent="0.15">
      <c r="A4" s="27"/>
      <c r="B4" s="3" t="s">
        <v>175</v>
      </c>
      <c r="C4" s="18">
        <f t="shared" si="0"/>
        <v>0</v>
      </c>
      <c r="E4" s="18">
        <f t="shared" si="1"/>
        <v>0</v>
      </c>
      <c r="F4" s="2">
        <v>3</v>
      </c>
      <c r="G4" s="25"/>
      <c r="H4" s="25"/>
      <c r="I4" s="8" t="s">
        <v>8</v>
      </c>
      <c r="J4" s="13" t="s">
        <v>261</v>
      </c>
      <c r="K4" s="25"/>
      <c r="L4" s="11">
        <f ca="1">IF(AND(ISNUMBER(FIND(MID($K$2,3,1),J4,1)),LEN($K$2)&lt;&gt;0),1,0)</f>
        <v>0</v>
      </c>
      <c r="M4" s="25"/>
      <c r="N4" s="26"/>
    </row>
    <row r="5" spans="1:14" ht="20.100000000000001" customHeight="1" x14ac:dyDescent="0.15">
      <c r="A5" s="27"/>
      <c r="B5" s="3" t="s">
        <v>176</v>
      </c>
      <c r="C5" s="18">
        <f t="shared" si="0"/>
        <v>0</v>
      </c>
      <c r="E5" s="18">
        <f t="shared" si="1"/>
        <v>0</v>
      </c>
      <c r="F5" s="2">
        <v>4</v>
      </c>
      <c r="G5" s="25"/>
      <c r="H5" s="25"/>
      <c r="I5" s="8" t="s">
        <v>17</v>
      </c>
      <c r="J5" s="13" t="s">
        <v>262</v>
      </c>
      <c r="K5" s="25"/>
      <c r="L5" s="11">
        <f ca="1">IF(AND(ISNUMBER(FIND(MID($K$2,4,1),J5,1)),LEN($K$2)&lt;&gt;0),1,0)</f>
        <v>0</v>
      </c>
      <c r="M5" s="25"/>
      <c r="N5" s="26"/>
    </row>
    <row r="6" spans="1:14" ht="20.100000000000001" customHeight="1" x14ac:dyDescent="0.15">
      <c r="A6" s="27"/>
      <c r="B6" s="3" t="s">
        <v>177</v>
      </c>
      <c r="C6" s="18">
        <f t="shared" si="0"/>
        <v>0</v>
      </c>
      <c r="E6" s="18">
        <f t="shared" si="1"/>
        <v>0</v>
      </c>
      <c r="F6" s="2">
        <v>5</v>
      </c>
      <c r="G6" s="25"/>
      <c r="H6" s="25"/>
      <c r="I6" s="8" t="s">
        <v>18</v>
      </c>
      <c r="J6" s="13" t="s">
        <v>263</v>
      </c>
      <c r="K6" s="25"/>
      <c r="L6" s="11">
        <f ca="1">IF(AND(ISNUMBER(FIND(RIGHT($K$2,1),J6,1)),LEN($K$2)&lt;&gt;0),1,0)</f>
        <v>0</v>
      </c>
      <c r="M6" s="25"/>
      <c r="N6" s="26"/>
    </row>
    <row r="7" spans="1:14" ht="20.100000000000001" customHeight="1" x14ac:dyDescent="0.15">
      <c r="A7" s="27"/>
      <c r="B7" s="3" t="s">
        <v>178</v>
      </c>
      <c r="C7" s="18">
        <f t="shared" si="0"/>
        <v>6</v>
      </c>
      <c r="E7" s="18">
        <f t="shared" si="1"/>
        <v>0</v>
      </c>
      <c r="F7" s="2">
        <v>6</v>
      </c>
      <c r="G7" s="25" t="s">
        <v>19</v>
      </c>
      <c r="H7" s="25" t="s">
        <v>21</v>
      </c>
      <c r="I7" s="8" t="s">
        <v>6</v>
      </c>
      <c r="J7" s="13" t="s">
        <v>260</v>
      </c>
      <c r="K7" s="25"/>
      <c r="L7" s="11">
        <f ca="1">IF(AND(ISNUMBER(FIND(LEFT($K$2,1),J7,1)),LEN($K$2)&lt;&gt;0),1,0)</f>
        <v>0</v>
      </c>
      <c r="M7" s="25">
        <f ca="1">IF(SUM(L7:L8)=2,1,0)</f>
        <v>0</v>
      </c>
      <c r="N7" s="26" t="str">
        <f>IF(LEN($J7)=0,"-",SUBSTITUTE($J7,","," "))&amp;","&amp;IF(LEN($J8)=0,"-",SUBSTITUTE($J8,","," "))</f>
        <v xml:space="preserve"> 0 1 2 , 3 4 5 6 </v>
      </c>
    </row>
    <row r="8" spans="1:14" ht="20.100000000000001" customHeight="1" x14ac:dyDescent="0.15">
      <c r="A8" s="27"/>
      <c r="B8" s="3" t="s">
        <v>179</v>
      </c>
      <c r="C8" s="18">
        <f t="shared" si="0"/>
        <v>0</v>
      </c>
      <c r="E8" s="18">
        <f t="shared" si="1"/>
        <v>7</v>
      </c>
      <c r="F8" s="2">
        <v>7</v>
      </c>
      <c r="G8" s="25"/>
      <c r="H8" s="25"/>
      <c r="I8" s="8" t="s">
        <v>7</v>
      </c>
      <c r="J8" s="13" t="s">
        <v>264</v>
      </c>
      <c r="K8" s="25"/>
      <c r="L8" s="10">
        <f ca="1">IF(AND(ISNUMBER(FIND(MID($K$2,2,1),J8,1)),LEN($K$2)&lt;&gt;0),1,0)</f>
        <v>0</v>
      </c>
      <c r="M8" s="25"/>
      <c r="N8" s="26"/>
    </row>
    <row r="9" spans="1:14" ht="20.100000000000001" customHeight="1" x14ac:dyDescent="0.15">
      <c r="A9" s="27"/>
      <c r="B9" s="3" t="s">
        <v>180</v>
      </c>
      <c r="C9" s="18">
        <f t="shared" si="0"/>
        <v>0</v>
      </c>
      <c r="E9" s="18">
        <f t="shared" si="1"/>
        <v>8</v>
      </c>
      <c r="F9" s="2">
        <v>8</v>
      </c>
      <c r="G9" s="25"/>
      <c r="H9" s="8" t="s">
        <v>22</v>
      </c>
      <c r="I9" s="8" t="s">
        <v>23</v>
      </c>
      <c r="J9" s="13" t="s">
        <v>265</v>
      </c>
      <c r="K9" s="25"/>
      <c r="L9" s="10" t="b">
        <f ca="1">ISNUMBER(FIND(","&amp;LEFT(K$2,2),J9))</f>
        <v>0</v>
      </c>
      <c r="M9" s="2">
        <f ca="1">N(L9)</f>
        <v>0</v>
      </c>
      <c r="N9" s="12" t="str">
        <f>IF(LEN($J9)=0,"-",SUBSTITUTE($J9,","," "))</f>
        <v xml:space="preserve"> 23 98 47</v>
      </c>
    </row>
    <row r="10" spans="1:14" ht="20.100000000000001" customHeight="1" x14ac:dyDescent="0.15">
      <c r="A10" s="27"/>
      <c r="B10" s="3" t="s">
        <v>181</v>
      </c>
      <c r="C10" s="18">
        <f t="shared" si="0"/>
        <v>9</v>
      </c>
      <c r="E10" s="18">
        <f t="shared" si="1"/>
        <v>0</v>
      </c>
      <c r="F10" s="2">
        <v>9</v>
      </c>
      <c r="G10" s="25"/>
      <c r="H10" s="8" t="s">
        <v>24</v>
      </c>
      <c r="I10" s="8" t="s">
        <v>25</v>
      </c>
      <c r="J10" s="13" t="s">
        <v>280</v>
      </c>
      <c r="K10" s="25"/>
      <c r="L10" s="10" t="b">
        <f ca="1">ISNUMBER(FIND(","&amp;SUM(MID(K$2,1,1),MID(K$2,2,1)),J10,1))</f>
        <v>1</v>
      </c>
      <c r="M10" s="10">
        <f ca="1">N(L10)</f>
        <v>1</v>
      </c>
      <c r="N10" s="14" t="str">
        <f t="shared" ref="N10:N70" si="2">IF(LEN($J10)=0,"-",SUBSTITUTE($J10,","," "))</f>
        <v xml:space="preserve"> 1 5 8 14 15 18 </v>
      </c>
    </row>
    <row r="11" spans="1:14" ht="20.100000000000001" customHeight="1" x14ac:dyDescent="0.15">
      <c r="A11" s="27"/>
      <c r="B11" s="3" t="s">
        <v>182</v>
      </c>
      <c r="C11" s="18">
        <f t="shared" si="0"/>
        <v>0</v>
      </c>
      <c r="E11" s="18">
        <f t="shared" si="1"/>
        <v>0</v>
      </c>
      <c r="F11" s="2">
        <v>10</v>
      </c>
      <c r="G11" s="25"/>
      <c r="H11" s="8" t="s">
        <v>26</v>
      </c>
      <c r="I11" s="8" t="s">
        <v>26</v>
      </c>
      <c r="J11" s="12" t="s">
        <v>172</v>
      </c>
      <c r="K11" s="25"/>
      <c r="L11" s="11" t="b">
        <f ca="1">ISNUMBER(FIND(MAX(LEFT(K$2,1),MID(K$2,2,1))-MIN(LEFT(K$2,1),MID(K$2,2,1)),J11,1))</f>
        <v>0</v>
      </c>
      <c r="M11" s="10">
        <f ca="1">N(L11)</f>
        <v>0</v>
      </c>
      <c r="N11" s="14" t="str">
        <f t="shared" si="2"/>
        <v xml:space="preserve"> 0 1 2 7 8 9 </v>
      </c>
    </row>
    <row r="12" spans="1:14" ht="20.100000000000001" customHeight="1" x14ac:dyDescent="0.15">
      <c r="A12" s="27"/>
      <c r="B12" s="3" t="s">
        <v>183</v>
      </c>
      <c r="C12" s="18">
        <f t="shared" si="0"/>
        <v>0</v>
      </c>
      <c r="E12" s="18">
        <f t="shared" si="1"/>
        <v>9</v>
      </c>
      <c r="F12" s="2">
        <v>9</v>
      </c>
      <c r="G12" s="25"/>
      <c r="H12" s="8" t="s">
        <v>28</v>
      </c>
      <c r="I12" s="8" t="s">
        <v>27</v>
      </c>
      <c r="J12" s="12" t="s">
        <v>223</v>
      </c>
      <c r="K12" s="25"/>
      <c r="N12" s="14" t="str">
        <f t="shared" si="2"/>
        <v xml:space="preserve"> 0 1 2 7 8 9 </v>
      </c>
    </row>
    <row r="13" spans="1:14" ht="20.100000000000001" customHeight="1" x14ac:dyDescent="0.15">
      <c r="A13" s="27"/>
      <c r="B13" s="3" t="s">
        <v>184</v>
      </c>
      <c r="C13" s="18">
        <f t="shared" si="0"/>
        <v>0</v>
      </c>
      <c r="E13" s="18">
        <f t="shared" si="1"/>
        <v>8</v>
      </c>
      <c r="F13" s="2">
        <v>8</v>
      </c>
      <c r="G13" s="25"/>
      <c r="H13" s="8" t="s">
        <v>29</v>
      </c>
      <c r="I13" s="8" t="s">
        <v>23</v>
      </c>
      <c r="J13" s="13" t="s">
        <v>248</v>
      </c>
      <c r="K13" s="25"/>
      <c r="N13" s="14" t="str">
        <f t="shared" si="2"/>
        <v xml:space="preserve"> 01 02 03 </v>
      </c>
    </row>
    <row r="14" spans="1:14" ht="20.100000000000001" customHeight="1" x14ac:dyDescent="0.15">
      <c r="A14" s="27"/>
      <c r="B14" s="3" t="s">
        <v>185</v>
      </c>
      <c r="C14" s="18">
        <f t="shared" si="0"/>
        <v>0</v>
      </c>
      <c r="E14" s="18">
        <f t="shared" si="1"/>
        <v>0</v>
      </c>
      <c r="F14" s="2">
        <v>7</v>
      </c>
      <c r="G14" s="25"/>
      <c r="H14" s="8" t="s">
        <v>30</v>
      </c>
      <c r="I14" s="8" t="s">
        <v>25</v>
      </c>
      <c r="J14" s="13" t="s">
        <v>249</v>
      </c>
      <c r="K14" s="25"/>
      <c r="N14" s="14" t="str">
        <f t="shared" si="2"/>
        <v xml:space="preserve"> 1 2 3 8 14 15 </v>
      </c>
    </row>
    <row r="15" spans="1:14" ht="20.100000000000001" customHeight="1" x14ac:dyDescent="0.15">
      <c r="A15" s="27"/>
      <c r="B15" s="3" t="s">
        <v>186</v>
      </c>
      <c r="C15" s="18">
        <f t="shared" si="0"/>
        <v>0</v>
      </c>
      <c r="E15" s="18">
        <f t="shared" si="1"/>
        <v>0</v>
      </c>
      <c r="F15" s="2">
        <v>6</v>
      </c>
      <c r="G15" s="25"/>
      <c r="H15" s="8" t="s">
        <v>31</v>
      </c>
      <c r="I15" s="8" t="s">
        <v>32</v>
      </c>
      <c r="J15" s="12" t="s">
        <v>224</v>
      </c>
      <c r="K15" s="25"/>
      <c r="N15" s="14" t="str">
        <f t="shared" si="2"/>
        <v xml:space="preserve">0 1 3 5 6 </v>
      </c>
    </row>
    <row r="16" spans="1:14" ht="20.100000000000001" customHeight="1" x14ac:dyDescent="0.15">
      <c r="A16" s="27"/>
      <c r="B16" s="3" t="s">
        <v>187</v>
      </c>
      <c r="C16" s="18">
        <f t="shared" si="0"/>
        <v>5</v>
      </c>
      <c r="E16" s="18">
        <f t="shared" si="1"/>
        <v>0</v>
      </c>
      <c r="F16" s="2">
        <v>5</v>
      </c>
      <c r="G16" s="25" t="s">
        <v>33</v>
      </c>
      <c r="H16" s="25" t="s">
        <v>21</v>
      </c>
      <c r="I16" s="8" t="s">
        <v>123</v>
      </c>
      <c r="J16" s="13" t="s">
        <v>250</v>
      </c>
      <c r="K16" s="25"/>
      <c r="N16" s="26" t="str">
        <f>IF(LEN($J16)=0,"-",SUBSTITUTE($J16,","," "))&amp;","&amp;IF(LEN($J17)=0,"-",SUBSTITUTE($J17,","," "))</f>
        <v xml:space="preserve"> 1 2 8 9, 2 3 4 </v>
      </c>
    </row>
    <row r="17" spans="1:14" ht="20.100000000000001" customHeight="1" x14ac:dyDescent="0.15">
      <c r="A17" s="27"/>
      <c r="B17" s="3" t="s">
        <v>188</v>
      </c>
      <c r="C17" s="18">
        <f t="shared" si="0"/>
        <v>4</v>
      </c>
      <c r="E17" s="18">
        <f t="shared" si="1"/>
        <v>0</v>
      </c>
      <c r="F17" s="2">
        <v>4</v>
      </c>
      <c r="G17" s="25"/>
      <c r="H17" s="25"/>
      <c r="I17" s="8" t="s">
        <v>124</v>
      </c>
      <c r="J17" s="13" t="s">
        <v>266</v>
      </c>
      <c r="K17" s="25"/>
      <c r="N17" s="26"/>
    </row>
    <row r="18" spans="1:14" ht="20.100000000000001" customHeight="1" x14ac:dyDescent="0.15">
      <c r="A18" s="27"/>
      <c r="B18" s="3" t="s">
        <v>189</v>
      </c>
      <c r="C18" s="18">
        <f t="shared" si="0"/>
        <v>0</v>
      </c>
      <c r="E18" s="18">
        <f t="shared" si="1"/>
        <v>0</v>
      </c>
      <c r="F18" s="2">
        <v>3</v>
      </c>
      <c r="G18" s="25"/>
      <c r="H18" s="8" t="s">
        <v>22</v>
      </c>
      <c r="I18" s="8" t="s">
        <v>23</v>
      </c>
      <c r="J18" s="20" t="s">
        <v>267</v>
      </c>
      <c r="K18" s="25"/>
      <c r="N18" s="14" t="str">
        <f t="shared" si="2"/>
        <v xml:space="preserve"> 12 12 13 21 31 </v>
      </c>
    </row>
    <row r="19" spans="1:14" ht="20.100000000000001" customHeight="1" x14ac:dyDescent="0.15">
      <c r="A19" s="27"/>
      <c r="B19" s="3" t="s">
        <v>190</v>
      </c>
      <c r="C19" s="18">
        <f t="shared" si="0"/>
        <v>0</v>
      </c>
      <c r="E19" s="18">
        <f t="shared" si="1"/>
        <v>2</v>
      </c>
      <c r="F19" s="2">
        <v>2</v>
      </c>
      <c r="G19" s="25"/>
      <c r="H19" s="8" t="s">
        <v>24</v>
      </c>
      <c r="I19" s="8" t="s">
        <v>25</v>
      </c>
      <c r="J19" s="13" t="s">
        <v>251</v>
      </c>
      <c r="K19" s="25"/>
      <c r="N19" s="14" t="str">
        <f t="shared" si="2"/>
        <v xml:space="preserve"> 0 1 6 7 10 11 17 </v>
      </c>
    </row>
    <row r="20" spans="1:14" ht="20.100000000000001" customHeight="1" x14ac:dyDescent="0.15">
      <c r="A20" s="27"/>
      <c r="B20" s="3" t="s">
        <v>191</v>
      </c>
      <c r="C20" s="18">
        <f t="shared" si="0"/>
        <v>1</v>
      </c>
      <c r="E20" s="18">
        <f t="shared" si="1"/>
        <v>0</v>
      </c>
      <c r="F20" s="2">
        <v>1</v>
      </c>
      <c r="G20" s="25"/>
      <c r="H20" s="8" t="s">
        <v>26</v>
      </c>
      <c r="I20" s="8" t="s">
        <v>26</v>
      </c>
      <c r="J20" s="20" t="s">
        <v>268</v>
      </c>
      <c r="K20" s="25"/>
      <c r="N20" s="14" t="str">
        <f t="shared" si="2"/>
        <v xml:space="preserve"> 0 2 3 5 6 7 9 </v>
      </c>
    </row>
    <row r="21" spans="1:14" ht="20.100000000000001" customHeight="1" x14ac:dyDescent="0.15">
      <c r="A21" s="27" t="s">
        <v>167</v>
      </c>
      <c r="B21" s="3" t="s">
        <v>192</v>
      </c>
      <c r="C21" s="21">
        <f>IF(ISNUMBER(FIND($B21,$J$11,1)),$F21,0)</f>
        <v>10</v>
      </c>
      <c r="E21" s="21">
        <f>IF(ISNUMBER(FIND($B21,J$20,1)),$F21,0)</f>
        <v>10</v>
      </c>
      <c r="F21" s="2">
        <v>10</v>
      </c>
      <c r="G21" s="25"/>
      <c r="H21" s="8" t="s">
        <v>28</v>
      </c>
      <c r="I21" s="8" t="s">
        <v>27</v>
      </c>
      <c r="J21" s="20" t="s">
        <v>269</v>
      </c>
      <c r="K21" s="25"/>
      <c r="N21" s="14" t="str">
        <f t="shared" si="2"/>
        <v xml:space="preserve"> 0 1 2 7 8 9 </v>
      </c>
    </row>
    <row r="22" spans="1:14" ht="20.100000000000001" customHeight="1" x14ac:dyDescent="0.15">
      <c r="A22" s="27"/>
      <c r="B22" s="3" t="s">
        <v>193</v>
      </c>
      <c r="C22" s="21">
        <f t="shared" ref="C22:C30" si="3">IF(ISNUMBER(FIND($B22,$J$11,1)),$F22,0)</f>
        <v>18</v>
      </c>
      <c r="E22" s="21">
        <f t="shared" ref="E22:E30" si="4">IF(ISNUMBER(FIND($B22,J$20,1)),$F22,0)</f>
        <v>0</v>
      </c>
      <c r="F22" s="2">
        <v>18</v>
      </c>
      <c r="G22" s="25"/>
      <c r="H22" s="8" t="s">
        <v>29</v>
      </c>
      <c r="I22" s="8" t="s">
        <v>23</v>
      </c>
      <c r="J22" s="12"/>
      <c r="K22" s="25"/>
      <c r="N22" s="14" t="str">
        <f t="shared" si="2"/>
        <v>-</v>
      </c>
    </row>
    <row r="23" spans="1:14" ht="20.100000000000001" customHeight="1" x14ac:dyDescent="0.15">
      <c r="A23" s="27"/>
      <c r="B23" s="3" t="s">
        <v>194</v>
      </c>
      <c r="C23" s="21">
        <f t="shared" si="3"/>
        <v>16</v>
      </c>
      <c r="E23" s="21">
        <f t="shared" si="4"/>
        <v>16</v>
      </c>
      <c r="F23" s="2">
        <v>16</v>
      </c>
      <c r="G23" s="25"/>
      <c r="H23" s="8" t="s">
        <v>30</v>
      </c>
      <c r="I23" s="8" t="s">
        <v>25</v>
      </c>
      <c r="J23" s="20" t="s">
        <v>270</v>
      </c>
      <c r="K23" s="25"/>
      <c r="N23" s="14" t="str">
        <f t="shared" si="2"/>
        <v xml:space="preserve"> 1 2 3 7 8 9 17 </v>
      </c>
    </row>
    <row r="24" spans="1:14" ht="20.100000000000001" customHeight="1" x14ac:dyDescent="0.15">
      <c r="A24" s="27"/>
      <c r="B24" s="3" t="s">
        <v>195</v>
      </c>
      <c r="C24" s="21">
        <f t="shared" si="3"/>
        <v>0</v>
      </c>
      <c r="E24" s="21">
        <f t="shared" si="4"/>
        <v>14</v>
      </c>
      <c r="F24" s="2">
        <v>14</v>
      </c>
      <c r="G24" s="25"/>
      <c r="H24" s="8" t="s">
        <v>31</v>
      </c>
      <c r="I24" s="8" t="s">
        <v>32</v>
      </c>
      <c r="J24" s="20" t="s">
        <v>271</v>
      </c>
      <c r="K24" s="25"/>
      <c r="N24" s="14" t="str">
        <f t="shared" si="2"/>
        <v xml:space="preserve"> 0 1 4 5 6 </v>
      </c>
    </row>
    <row r="25" spans="1:14" ht="20.100000000000001" customHeight="1" x14ac:dyDescent="0.15">
      <c r="A25" s="27"/>
      <c r="B25" s="3" t="s">
        <v>196</v>
      </c>
      <c r="C25" s="21">
        <f t="shared" si="3"/>
        <v>0</v>
      </c>
      <c r="E25" s="21">
        <f t="shared" si="4"/>
        <v>0</v>
      </c>
      <c r="F25" s="2">
        <v>12</v>
      </c>
      <c r="G25" s="26" t="s">
        <v>34</v>
      </c>
      <c r="H25" s="25" t="s">
        <v>5</v>
      </c>
      <c r="I25" s="8" t="s">
        <v>6</v>
      </c>
      <c r="J25" s="13" t="s">
        <v>272</v>
      </c>
      <c r="K25" s="25"/>
      <c r="N25" s="28" t="str">
        <f>IF(LEN($J25)=0,"-",SUBSTITUTE($J25,","," "))&amp;","&amp;IF(LEN($J26)=0,"-",SUBSTITUTE($J26,","," "))&amp;","&amp;IF(LEN($J27)=0,"-",SUBSTITUTE($J27,","," "))</f>
        <v xml:space="preserve"> 0 3 4 7 8 9 , 5 6 7 8 9 , 1 2 3 4 7 </v>
      </c>
    </row>
    <row r="26" spans="1:14" ht="20.100000000000001" customHeight="1" x14ac:dyDescent="0.15">
      <c r="A26" s="27"/>
      <c r="B26" s="3" t="s">
        <v>197</v>
      </c>
      <c r="C26" s="21">
        <f t="shared" si="3"/>
        <v>0</v>
      </c>
      <c r="E26" s="21">
        <f t="shared" si="4"/>
        <v>10</v>
      </c>
      <c r="F26" s="2">
        <v>10</v>
      </c>
      <c r="G26" s="26"/>
      <c r="H26" s="25"/>
      <c r="I26" s="8" t="s">
        <v>7</v>
      </c>
      <c r="J26" s="13" t="s">
        <v>273</v>
      </c>
      <c r="K26" s="25"/>
      <c r="N26" s="26"/>
    </row>
    <row r="27" spans="1:14" ht="20.100000000000001" customHeight="1" x14ac:dyDescent="0.15">
      <c r="A27" s="27"/>
      <c r="B27" s="3" t="s">
        <v>198</v>
      </c>
      <c r="C27" s="21">
        <f t="shared" si="3"/>
        <v>0</v>
      </c>
      <c r="E27" s="21">
        <f t="shared" si="4"/>
        <v>8</v>
      </c>
      <c r="F27" s="2">
        <v>8</v>
      </c>
      <c r="G27" s="26"/>
      <c r="H27" s="25"/>
      <c r="I27" s="8" t="s">
        <v>8</v>
      </c>
      <c r="J27" s="13" t="s">
        <v>274</v>
      </c>
      <c r="K27" s="25"/>
      <c r="N27" s="26"/>
    </row>
    <row r="28" spans="1:14" ht="20.100000000000001" customHeight="1" x14ac:dyDescent="0.15">
      <c r="A28" s="27"/>
      <c r="B28" s="3" t="s">
        <v>199</v>
      </c>
      <c r="C28" s="21">
        <f t="shared" si="3"/>
        <v>6</v>
      </c>
      <c r="E28" s="21">
        <f t="shared" si="4"/>
        <v>6</v>
      </c>
      <c r="F28" s="2">
        <v>6</v>
      </c>
      <c r="G28" s="26"/>
      <c r="H28" s="8" t="s">
        <v>35</v>
      </c>
      <c r="I28" s="8" t="s">
        <v>23</v>
      </c>
      <c r="J28" s="20" t="s">
        <v>275</v>
      </c>
      <c r="K28" s="25"/>
      <c r="N28" s="14" t="str">
        <f t="shared" si="2"/>
        <v xml:space="preserve"> 123 123 321 </v>
      </c>
    </row>
    <row r="29" spans="1:14" ht="33" customHeight="1" x14ac:dyDescent="0.15">
      <c r="A29" s="27"/>
      <c r="B29" s="3" t="s">
        <v>200</v>
      </c>
      <c r="C29" s="21">
        <f t="shared" si="3"/>
        <v>4</v>
      </c>
      <c r="E29" s="21">
        <f t="shared" si="4"/>
        <v>0</v>
      </c>
      <c r="F29" s="2">
        <v>4</v>
      </c>
      <c r="G29" s="26"/>
      <c r="H29" s="8" t="s">
        <v>24</v>
      </c>
      <c r="I29" s="8" t="s">
        <v>25</v>
      </c>
      <c r="J29" s="13" t="s">
        <v>276</v>
      </c>
      <c r="K29" s="25"/>
      <c r="N29" s="14" t="str">
        <f>IF(LEN($J29)=0,"-",SUBSTITUTE($J29,","," "))</f>
        <v xml:space="preserve"> 1 2 3 4 6 10 11 16 17 18 </v>
      </c>
    </row>
    <row r="30" spans="1:14" ht="20.100000000000001" customHeight="1" x14ac:dyDescent="0.15">
      <c r="A30" s="27"/>
      <c r="B30" s="3" t="s">
        <v>201</v>
      </c>
      <c r="C30" s="21">
        <f t="shared" si="3"/>
        <v>2</v>
      </c>
      <c r="E30" s="21">
        <f t="shared" si="4"/>
        <v>2</v>
      </c>
      <c r="F30" s="2">
        <v>2</v>
      </c>
      <c r="G30" s="26"/>
      <c r="H30" s="8" t="s">
        <v>26</v>
      </c>
      <c r="I30" s="8" t="s">
        <v>26</v>
      </c>
      <c r="J30" s="20" t="s">
        <v>277</v>
      </c>
      <c r="K30" s="25"/>
      <c r="N30" s="14" t="str">
        <f t="shared" si="2"/>
        <v xml:space="preserve"> 0 3 4 5 6 9 </v>
      </c>
    </row>
    <row r="31" spans="1:14" ht="20.100000000000001" customHeight="1" x14ac:dyDescent="0.15">
      <c r="A31" s="27" t="s">
        <v>168</v>
      </c>
      <c r="B31" s="3" t="s">
        <v>202</v>
      </c>
      <c r="C31" s="2">
        <f>IF(ISNUMBER(FIND($B31,Sheet1!#REF!,1)),$F31,0)</f>
        <v>0</v>
      </c>
      <c r="E31" s="4">
        <f>IF(ISNUMBER(FIND($B31,Sheet1!#REF!,1)),$F31,0)</f>
        <v>0</v>
      </c>
      <c r="F31" s="2">
        <v>1</v>
      </c>
      <c r="G31" s="26"/>
      <c r="H31" s="8" t="s">
        <v>30</v>
      </c>
      <c r="I31" s="8" t="s">
        <v>25</v>
      </c>
      <c r="J31" s="13" t="s">
        <v>252</v>
      </c>
      <c r="K31" s="25"/>
      <c r="N31" s="14" t="str">
        <f t="shared" si="2"/>
        <v xml:space="preserve"> 1 3 4 6 15 16 24 25 26 </v>
      </c>
    </row>
    <row r="32" spans="1:14" ht="20.100000000000001" customHeight="1" x14ac:dyDescent="0.15">
      <c r="A32" s="27"/>
      <c r="B32" s="3" t="s">
        <v>194</v>
      </c>
      <c r="C32" s="4">
        <f>IF(ISNUMBER(FIND($B32,Sheet1!#REF!,1)),$F32,0)</f>
        <v>0</v>
      </c>
      <c r="E32" s="4">
        <f>IF(ISNUMBER(FIND($B32,Sheet1!#REF!,1)),$F32,0)</f>
        <v>0</v>
      </c>
      <c r="F32" s="2">
        <v>1</v>
      </c>
      <c r="G32" s="26"/>
      <c r="H32" s="8" t="s">
        <v>36</v>
      </c>
      <c r="I32" s="8" t="s">
        <v>36</v>
      </c>
      <c r="J32" s="20" t="s">
        <v>278</v>
      </c>
      <c r="K32" s="25"/>
      <c r="N32" s="14" t="str">
        <f t="shared" si="2"/>
        <v xml:space="preserve"> 0 2 3 6 7 9 </v>
      </c>
    </row>
    <row r="33" spans="1:14" ht="20.100000000000001" customHeight="1" x14ac:dyDescent="0.15">
      <c r="A33" s="27"/>
      <c r="B33" s="3" t="s">
        <v>195</v>
      </c>
      <c r="C33" s="4">
        <f>IF(ISNUMBER(FIND($B33,Sheet1!#REF!,1)),$F33,0)</f>
        <v>0</v>
      </c>
      <c r="E33" s="4">
        <f>IF(ISNUMBER(FIND($B33,Sheet1!#REF!,1)),$F33,0)</f>
        <v>0</v>
      </c>
      <c r="F33" s="2">
        <v>2</v>
      </c>
      <c r="G33" s="26"/>
      <c r="H33" s="8" t="s">
        <v>37</v>
      </c>
      <c r="I33" s="8" t="s">
        <v>37</v>
      </c>
      <c r="J33" s="20" t="s">
        <v>279</v>
      </c>
      <c r="K33" s="25"/>
      <c r="N33" s="14" t="str">
        <f t="shared" si="2"/>
        <v xml:space="preserve"> 0 1 2 7 8 9 </v>
      </c>
    </row>
    <row r="34" spans="1:14" ht="20.100000000000001" customHeight="1" x14ac:dyDescent="0.15">
      <c r="A34" s="27"/>
      <c r="B34" s="3" t="s">
        <v>196</v>
      </c>
      <c r="C34" s="4">
        <f>IF(ISNUMBER(FIND($B34,Sheet1!#REF!,1)),$F34,0)</f>
        <v>0</v>
      </c>
      <c r="E34" s="4">
        <f>IF(ISNUMBER(FIND($B34,Sheet1!#REF!,1)),$F34,0)</f>
        <v>0</v>
      </c>
      <c r="F34" s="2">
        <v>2</v>
      </c>
      <c r="G34" s="26"/>
      <c r="H34" s="8" t="s">
        <v>38</v>
      </c>
      <c r="I34" s="8" t="s">
        <v>23</v>
      </c>
      <c r="J34" s="12" t="s">
        <v>232</v>
      </c>
      <c r="K34" s="25"/>
      <c r="N34" s="14" t="str">
        <f t="shared" si="2"/>
        <v xml:space="preserve"> 212 321 312 132 231</v>
      </c>
    </row>
    <row r="35" spans="1:14" ht="20.100000000000001" customHeight="1" x14ac:dyDescent="0.15">
      <c r="A35" s="27"/>
      <c r="B35" s="3" t="s">
        <v>197</v>
      </c>
      <c r="C35" s="4">
        <f>IF(ISNUMBER(FIND($B35,Sheet1!#REF!,1)),$F35,0)</f>
        <v>0</v>
      </c>
      <c r="E35" s="4">
        <f>IF(ISNUMBER(FIND($B35,Sheet1!#REF!,1)),$F35,0)</f>
        <v>0</v>
      </c>
      <c r="F35" s="2">
        <v>3</v>
      </c>
      <c r="G35" s="26"/>
      <c r="H35" s="8" t="s">
        <v>31</v>
      </c>
      <c r="I35" s="8" t="s">
        <v>32</v>
      </c>
      <c r="J35" s="12" t="s">
        <v>233</v>
      </c>
      <c r="K35" s="25"/>
      <c r="N35" s="14" t="str">
        <f t="shared" si="2"/>
        <v>0 1 3 7 8</v>
      </c>
    </row>
    <row r="36" spans="1:14" ht="20.100000000000001" customHeight="1" x14ac:dyDescent="0.15">
      <c r="A36" s="27"/>
      <c r="B36" s="3" t="s">
        <v>198</v>
      </c>
      <c r="C36" s="4">
        <f>IF(ISNUMBER(FIND($B36,Sheet1!#REF!,1)),$F36,0)</f>
        <v>0</v>
      </c>
      <c r="E36" s="4">
        <f>IF(ISNUMBER(FIND($B36,Sheet1!#REF!,1)),$F36,0)</f>
        <v>0</v>
      </c>
      <c r="F36" s="2">
        <v>3</v>
      </c>
      <c r="G36" s="26"/>
      <c r="H36" s="8" t="s">
        <v>39</v>
      </c>
      <c r="I36" s="8" t="s">
        <v>23</v>
      </c>
      <c r="J36" s="12" t="s">
        <v>234</v>
      </c>
      <c r="K36" s="25"/>
      <c r="N36" s="14" t="str">
        <f t="shared" si="2"/>
        <v xml:space="preserve"> 122</v>
      </c>
    </row>
    <row r="37" spans="1:14" ht="20.100000000000001" customHeight="1" x14ac:dyDescent="0.15">
      <c r="A37" s="27"/>
      <c r="B37" s="3" t="s">
        <v>199</v>
      </c>
      <c r="C37" s="4">
        <f>IF(ISNUMBER(FIND($B37,Sheet1!#REF!,1)),$F37,0)</f>
        <v>0</v>
      </c>
      <c r="E37" s="4">
        <f>IF(ISNUMBER(FIND($B37,Sheet1!#REF!,1)),$F37,0)</f>
        <v>0</v>
      </c>
      <c r="F37" s="2">
        <v>4</v>
      </c>
      <c r="G37" s="26"/>
      <c r="H37" s="8" t="s">
        <v>40</v>
      </c>
      <c r="I37" s="8" t="s">
        <v>23</v>
      </c>
      <c r="J37" s="12" t="s">
        <v>148</v>
      </c>
      <c r="K37" s="25"/>
      <c r="N37" s="14" t="str">
        <f t="shared" si="2"/>
        <v xml:space="preserve"> 132</v>
      </c>
    </row>
    <row r="38" spans="1:14" ht="20.100000000000001" customHeight="1" x14ac:dyDescent="0.15">
      <c r="A38" s="27"/>
      <c r="B38" s="3" t="s">
        <v>200</v>
      </c>
      <c r="C38" s="4">
        <f>IF(ISNUMBER(FIND($B38,Sheet1!#REF!,1)),$F38,0)</f>
        <v>0</v>
      </c>
      <c r="E38" s="4">
        <f>IF(ISNUMBER(FIND($B38,Sheet1!#REF!,1)),$F38,0)</f>
        <v>0</v>
      </c>
      <c r="F38" s="2">
        <v>4</v>
      </c>
      <c r="G38" s="26"/>
      <c r="H38" s="8" t="s">
        <v>42</v>
      </c>
      <c r="I38" s="8" t="s">
        <v>41</v>
      </c>
      <c r="J38" s="12" t="s">
        <v>16</v>
      </c>
      <c r="K38" s="25"/>
      <c r="N38" s="14" t="str">
        <f t="shared" si="2"/>
        <v>0 1 2 3 4 5 6 7 8 9</v>
      </c>
    </row>
    <row r="39" spans="1:14" ht="20.100000000000001" customHeight="1" x14ac:dyDescent="0.15">
      <c r="A39" s="27"/>
      <c r="B39" s="3" t="s">
        <v>201</v>
      </c>
      <c r="C39" s="4">
        <f>IF(ISNUMBER(FIND($B39,Sheet1!#REF!,1)),$F39,0)</f>
        <v>0</v>
      </c>
      <c r="E39" s="4">
        <f>IF(ISNUMBER(FIND($B39,Sheet1!#REF!,1)),$F39,0)</f>
        <v>0</v>
      </c>
      <c r="F39" s="2">
        <v>5</v>
      </c>
      <c r="G39" s="26"/>
      <c r="H39" s="8" t="s">
        <v>43</v>
      </c>
      <c r="I39" s="8" t="s">
        <v>41</v>
      </c>
      <c r="J39" s="12" t="s">
        <v>16</v>
      </c>
      <c r="K39" s="25"/>
      <c r="N39" s="14" t="str">
        <f t="shared" si="2"/>
        <v>0 1 2 3 4 5 6 7 8 9</v>
      </c>
    </row>
    <row r="40" spans="1:14" ht="20.100000000000001" customHeight="1" x14ac:dyDescent="0.15">
      <c r="A40" s="27"/>
      <c r="B40" s="3" t="s">
        <v>203</v>
      </c>
      <c r="C40" s="4">
        <f>IF(ISNUMBER(FIND($B40,Sheet1!#REF!,1)),$F40,0)</f>
        <v>0</v>
      </c>
      <c r="E40" s="4">
        <f>IF(ISNUMBER(FIND($B40,Sheet1!#REF!,1)),$F40,0)</f>
        <v>0</v>
      </c>
      <c r="F40" s="2">
        <v>4</v>
      </c>
      <c r="G40" s="25" t="s">
        <v>44</v>
      </c>
      <c r="H40" s="25" t="s">
        <v>5</v>
      </c>
      <c r="I40" s="8" t="s">
        <v>126</v>
      </c>
      <c r="J40" s="12" t="s">
        <v>129</v>
      </c>
      <c r="K40" s="25"/>
      <c r="N40" s="26" t="str">
        <f t="shared" si="2"/>
        <v>0 3 4 5 6 7 8 9</v>
      </c>
    </row>
    <row r="41" spans="1:14" ht="20.100000000000001" customHeight="1" x14ac:dyDescent="0.15">
      <c r="A41" s="27"/>
      <c r="B41" s="3" t="s">
        <v>204</v>
      </c>
      <c r="C41" s="4">
        <f>IF(ISNUMBER(FIND($B41,Sheet1!#REF!,1)),$F41,0)</f>
        <v>0</v>
      </c>
      <c r="E41" s="4">
        <f>IF(ISNUMBER(FIND($B41,Sheet1!#REF!,1)),$F41,0)</f>
        <v>0</v>
      </c>
      <c r="F41" s="2">
        <v>4</v>
      </c>
      <c r="G41" s="25"/>
      <c r="H41" s="25"/>
      <c r="I41" s="8" t="s">
        <v>127</v>
      </c>
      <c r="J41" s="12" t="s">
        <v>130</v>
      </c>
      <c r="K41" s="25"/>
      <c r="N41" s="26"/>
    </row>
    <row r="42" spans="1:14" ht="20.100000000000001" customHeight="1" x14ac:dyDescent="0.15">
      <c r="A42" s="27"/>
      <c r="B42" s="3" t="s">
        <v>205</v>
      </c>
      <c r="C42" s="4">
        <f>IF(ISNUMBER(FIND($B42,Sheet1!#REF!,1)),$F42,0)</f>
        <v>0</v>
      </c>
      <c r="E42" s="4">
        <f>IF(ISNUMBER(FIND($B42,Sheet1!#REF!,1)),$F42,0)</f>
        <v>0</v>
      </c>
      <c r="F42" s="2">
        <v>3</v>
      </c>
      <c r="G42" s="25"/>
      <c r="H42" s="25"/>
      <c r="I42" s="8" t="s">
        <v>128</v>
      </c>
      <c r="J42" s="12" t="s">
        <v>131</v>
      </c>
      <c r="K42" s="25"/>
      <c r="N42" s="26"/>
    </row>
    <row r="43" spans="1:14" ht="20.100000000000001" customHeight="1" x14ac:dyDescent="0.15">
      <c r="A43" s="27"/>
      <c r="B43" s="3" t="s">
        <v>206</v>
      </c>
      <c r="C43" s="4">
        <f>IF(ISNUMBER(FIND($B43,Sheet1!#REF!,1)),$F43,0)</f>
        <v>0</v>
      </c>
      <c r="E43" s="4">
        <f>IF(ISNUMBER(FIND($B43,Sheet1!#REF!,1)),$F43,0)</f>
        <v>0</v>
      </c>
      <c r="F43" s="2">
        <v>3</v>
      </c>
      <c r="G43" s="25"/>
      <c r="H43" s="8" t="s">
        <v>35</v>
      </c>
      <c r="I43" s="8" t="s">
        <v>23</v>
      </c>
      <c r="J43" s="12">
        <v>456</v>
      </c>
      <c r="K43" s="25"/>
      <c r="N43" s="14" t="str">
        <f t="shared" si="2"/>
        <v>456</v>
      </c>
    </row>
    <row r="44" spans="1:14" ht="20.100000000000001" customHeight="1" x14ac:dyDescent="0.15">
      <c r="A44" s="27"/>
      <c r="B44" s="3" t="s">
        <v>207</v>
      </c>
      <c r="C44" s="4">
        <f>IF(ISNUMBER(FIND($B44,Sheet1!#REF!,1)),$F44,0)</f>
        <v>0</v>
      </c>
      <c r="E44" s="4">
        <f>IF(ISNUMBER(FIND($B44,Sheet1!#REF!,1)),$F44,0)</f>
        <v>0</v>
      </c>
      <c r="F44" s="2">
        <v>2</v>
      </c>
      <c r="G44" s="25"/>
      <c r="H44" s="8" t="s">
        <v>24</v>
      </c>
      <c r="I44" s="8" t="s">
        <v>25</v>
      </c>
      <c r="J44" s="20" t="s">
        <v>258</v>
      </c>
      <c r="K44" s="25"/>
      <c r="N44" s="14" t="str">
        <f t="shared" si="2"/>
        <v xml:space="preserve"> 0 1 4 6 11 12 13 14 17 18 </v>
      </c>
    </row>
    <row r="45" spans="1:14" ht="20.100000000000001" customHeight="1" x14ac:dyDescent="0.15">
      <c r="A45" s="27"/>
      <c r="B45" s="3" t="s">
        <v>208</v>
      </c>
      <c r="C45" s="4">
        <f>IF(ISNUMBER(FIND($B45,Sheet1!#REF!,1)),$F45,0)</f>
        <v>0</v>
      </c>
      <c r="E45" s="4">
        <f>IF(ISNUMBER(FIND($B45,Sheet1!#REF!,1)),$F45,0)</f>
        <v>0</v>
      </c>
      <c r="F45" s="2">
        <v>2</v>
      </c>
      <c r="G45" s="25"/>
      <c r="H45" s="8" t="s">
        <v>26</v>
      </c>
      <c r="I45" s="8" t="s">
        <v>26</v>
      </c>
      <c r="J45" s="12" t="s">
        <v>132</v>
      </c>
      <c r="K45" s="25"/>
      <c r="N45" s="14" t="str">
        <f t="shared" si="2"/>
        <v>0 1 2 8 9</v>
      </c>
    </row>
    <row r="46" spans="1:14" ht="20.100000000000001" customHeight="1" x14ac:dyDescent="0.15">
      <c r="A46" s="27"/>
      <c r="B46" s="3" t="s">
        <v>209</v>
      </c>
      <c r="C46" s="4">
        <f>IF(ISNUMBER(FIND($B46,Sheet1!#REF!,1)),$F46,0)</f>
        <v>0</v>
      </c>
      <c r="E46" s="4">
        <f>IF(ISNUMBER(FIND($B46,Sheet1!#REF!,1)),$F46,0)</f>
        <v>0</v>
      </c>
      <c r="F46" s="2">
        <v>1</v>
      </c>
      <c r="G46" s="25"/>
      <c r="H46" s="8" t="s">
        <v>30</v>
      </c>
      <c r="I46" s="8" t="s">
        <v>25</v>
      </c>
      <c r="J46" s="20" t="s">
        <v>257</v>
      </c>
      <c r="K46" s="25"/>
      <c r="N46" s="14" t="str">
        <f t="shared" si="2"/>
        <v xml:space="preserve"> 1 7 8 13 14 16 18 20 25 26 </v>
      </c>
    </row>
    <row r="47" spans="1:14" ht="20.100000000000001" customHeight="1" x14ac:dyDescent="0.15">
      <c r="A47" s="27"/>
      <c r="B47" s="3" t="s">
        <v>210</v>
      </c>
      <c r="C47" s="4">
        <f>IF(ISNUMBER(FIND($B47,Sheet1!#REF!,1)),$F47,0)</f>
        <v>0</v>
      </c>
      <c r="E47" s="4">
        <f>IF(ISNUMBER(FIND($B47,Sheet1!#REF!,1)),$F47,0)</f>
        <v>0</v>
      </c>
      <c r="F47" s="2">
        <v>1</v>
      </c>
      <c r="G47" s="25"/>
      <c r="H47" s="8" t="s">
        <v>36</v>
      </c>
      <c r="I47" s="8" t="s">
        <v>36</v>
      </c>
      <c r="J47" s="12" t="s">
        <v>133</v>
      </c>
      <c r="K47" s="25"/>
      <c r="N47" s="14" t="str">
        <f t="shared" si="2"/>
        <v>0 1 2 3 4 5 6 7 8 9</v>
      </c>
    </row>
    <row r="48" spans="1:14" ht="20.100000000000001" customHeight="1" x14ac:dyDescent="0.15">
      <c r="A48" s="27" t="s">
        <v>169</v>
      </c>
      <c r="B48" s="3" t="s">
        <v>211</v>
      </c>
      <c r="C48" s="4">
        <f>IF(ISNUMBER(FIND($B48,Sheet1!#REF!,1)),$F48,0)</f>
        <v>0</v>
      </c>
      <c r="D48" s="4">
        <f>IF(ISNUMBER(FIND($B48,Sheet1!#REF!,1)),$F48,0)</f>
        <v>0</v>
      </c>
      <c r="E48" s="4">
        <f>IF(ISNUMBER(FIND($B48,Sheet1!#REF!,1)),$F48,0)</f>
        <v>0</v>
      </c>
      <c r="F48" s="2">
        <v>1</v>
      </c>
      <c r="G48" s="25"/>
      <c r="H48" s="8" t="s">
        <v>37</v>
      </c>
      <c r="I48" s="8" t="s">
        <v>37</v>
      </c>
      <c r="J48" s="12" t="s">
        <v>16</v>
      </c>
      <c r="K48" s="25"/>
      <c r="N48" s="14" t="str">
        <f t="shared" si="2"/>
        <v>0 1 2 3 4 5 6 7 8 9</v>
      </c>
    </row>
    <row r="49" spans="1:14" ht="20.100000000000001" customHeight="1" x14ac:dyDescent="0.15">
      <c r="A49" s="27"/>
      <c r="B49" s="3" t="s">
        <v>193</v>
      </c>
      <c r="C49" s="4">
        <f>IF(ISNUMBER(FIND($B49,Sheet1!#REF!,1)),$F49,0)</f>
        <v>0</v>
      </c>
      <c r="D49" s="4">
        <f>IF(ISNUMBER(FIND($B49,Sheet1!#REF!,1)),$F49,0)</f>
        <v>0</v>
      </c>
      <c r="E49" s="4">
        <f>IF(ISNUMBER(FIND($B49,Sheet1!#REF!,1)),$F49,0)</f>
        <v>0</v>
      </c>
      <c r="F49" s="2">
        <v>3</v>
      </c>
      <c r="G49" s="25"/>
      <c r="H49" s="8" t="s">
        <v>38</v>
      </c>
      <c r="I49" s="8" t="s">
        <v>23</v>
      </c>
      <c r="J49" s="12" t="s">
        <v>235</v>
      </c>
      <c r="K49" s="25"/>
      <c r="N49" s="14" t="str">
        <f t="shared" si="2"/>
        <v xml:space="preserve"> 122</v>
      </c>
    </row>
    <row r="50" spans="1:14" ht="20.100000000000001" customHeight="1" x14ac:dyDescent="0.15">
      <c r="A50" s="27"/>
      <c r="B50" s="3" t="s">
        <v>194</v>
      </c>
      <c r="C50" s="4">
        <f>IF(ISNUMBER(FIND($B50,Sheet1!#REF!,1)),$F50,0)</f>
        <v>0</v>
      </c>
      <c r="D50" s="4">
        <f>IF(ISNUMBER(FIND($B50,Sheet1!#REF!,1)),$F50,0)</f>
        <v>0</v>
      </c>
      <c r="E50" s="4">
        <f>IF(ISNUMBER(FIND($B50,Sheet1!#REF!,1)),$F50,0)</f>
        <v>0</v>
      </c>
      <c r="F50" s="2">
        <v>6</v>
      </c>
      <c r="G50" s="25"/>
      <c r="H50" s="8" t="s">
        <v>31</v>
      </c>
      <c r="I50" s="8" t="s">
        <v>32</v>
      </c>
      <c r="J50" s="12" t="s">
        <v>16</v>
      </c>
      <c r="K50" s="25"/>
      <c r="N50" s="14" t="str">
        <f t="shared" si="2"/>
        <v>0 1 2 3 4 5 6 7 8 9</v>
      </c>
    </row>
    <row r="51" spans="1:14" ht="20.100000000000001" customHeight="1" x14ac:dyDescent="0.15">
      <c r="A51" s="27"/>
      <c r="B51" s="3" t="s">
        <v>195</v>
      </c>
      <c r="C51" s="4">
        <f>IF(ISNUMBER(FIND($B51,Sheet1!#REF!,1)),$F51,0)</f>
        <v>0</v>
      </c>
      <c r="D51" s="4">
        <f>IF(ISNUMBER(FIND($B51,Sheet1!#REF!,1)),$F51,0)</f>
        <v>0</v>
      </c>
      <c r="E51" s="4">
        <f>IF(ISNUMBER(FIND($B51,Sheet1!#REF!,1)),$F51,0)</f>
        <v>0</v>
      </c>
      <c r="F51" s="2">
        <v>10</v>
      </c>
      <c r="G51" s="25"/>
      <c r="H51" s="8" t="s">
        <v>39</v>
      </c>
      <c r="I51" s="8" t="s">
        <v>23</v>
      </c>
      <c r="J51" s="12" t="s">
        <v>236</v>
      </c>
      <c r="K51" s="25"/>
      <c r="N51" s="14" t="str">
        <f t="shared" si="2"/>
        <v xml:space="preserve"> 121</v>
      </c>
    </row>
    <row r="52" spans="1:14" ht="20.100000000000001" customHeight="1" x14ac:dyDescent="0.15">
      <c r="A52" s="27"/>
      <c r="B52" s="3" t="s">
        <v>196</v>
      </c>
      <c r="C52" s="4">
        <f>IF(ISNUMBER(FIND($B52,Sheet1!#REF!,1)),$F52,0)</f>
        <v>0</v>
      </c>
      <c r="D52" s="4">
        <f>IF(ISNUMBER(FIND($B52,Sheet1!#REF!,1)),$F52,0)</f>
        <v>0</v>
      </c>
      <c r="E52" s="4">
        <f>IF(ISNUMBER(FIND($B52,Sheet1!#REF!,1)),$F52,0)</f>
        <v>0</v>
      </c>
      <c r="F52" s="2">
        <v>15</v>
      </c>
      <c r="G52" s="25"/>
      <c r="H52" s="8" t="s">
        <v>40</v>
      </c>
      <c r="I52" s="8" t="s">
        <v>23</v>
      </c>
      <c r="J52" s="12" t="s">
        <v>149</v>
      </c>
      <c r="K52" s="25"/>
      <c r="N52" s="14" t="str">
        <f t="shared" si="2"/>
        <v xml:space="preserve"> 214</v>
      </c>
    </row>
    <row r="53" spans="1:14" ht="20.100000000000001" customHeight="1" x14ac:dyDescent="0.15">
      <c r="A53" s="27"/>
      <c r="B53" s="3" t="s">
        <v>197</v>
      </c>
      <c r="C53" s="4">
        <f>IF(ISNUMBER(FIND($B53,Sheet1!#REF!,1)),$F53,0)</f>
        <v>0</v>
      </c>
      <c r="D53" s="4">
        <f>IF(ISNUMBER(FIND($B53,Sheet1!#REF!,1)),$F53,0)</f>
        <v>0</v>
      </c>
      <c r="E53" s="4">
        <f>IF(ISNUMBER(FIND($B53,Sheet1!#REF!,1)),$F53,0)</f>
        <v>0</v>
      </c>
      <c r="F53" s="2">
        <v>21</v>
      </c>
      <c r="G53" s="25"/>
      <c r="H53" s="8" t="s">
        <v>42</v>
      </c>
      <c r="I53" s="8" t="s">
        <v>41</v>
      </c>
      <c r="J53" s="12" t="s">
        <v>16</v>
      </c>
      <c r="K53" s="25"/>
      <c r="N53" s="14" t="str">
        <f t="shared" si="2"/>
        <v>0 1 2 3 4 5 6 7 8 9</v>
      </c>
    </row>
    <row r="54" spans="1:14" ht="20.100000000000001" customHeight="1" x14ac:dyDescent="0.15">
      <c r="A54" s="27"/>
      <c r="B54" s="3" t="s">
        <v>198</v>
      </c>
      <c r="C54" s="4">
        <f>IF(ISNUMBER(FIND($B54,Sheet1!#REF!,1)),$F54,0)</f>
        <v>0</v>
      </c>
      <c r="D54" s="4">
        <f>IF(ISNUMBER(FIND($B54,Sheet1!#REF!,1)),$F54,0)</f>
        <v>0</v>
      </c>
      <c r="E54" s="4">
        <f>IF(ISNUMBER(FIND($B54,Sheet1!#REF!,1)),$F54,0)</f>
        <v>0</v>
      </c>
      <c r="F54" s="2">
        <v>28</v>
      </c>
      <c r="G54" s="25"/>
      <c r="H54" s="8" t="s">
        <v>43</v>
      </c>
      <c r="I54" s="8" t="s">
        <v>41</v>
      </c>
      <c r="J54" s="12" t="s">
        <v>16</v>
      </c>
      <c r="K54" s="25"/>
      <c r="N54" s="14" t="str">
        <f t="shared" si="2"/>
        <v>0 1 2 3 4 5 6 7 8 9</v>
      </c>
    </row>
    <row r="55" spans="1:14" ht="20.100000000000001" customHeight="1" x14ac:dyDescent="0.15">
      <c r="A55" s="27"/>
      <c r="B55" s="3" t="s">
        <v>199</v>
      </c>
      <c r="C55" s="4">
        <f>IF(ISNUMBER(FIND($B55,Sheet1!#REF!,1)),$F55,0)</f>
        <v>0</v>
      </c>
      <c r="D55" s="4">
        <f>IF(ISNUMBER(FIND($B55,Sheet1!#REF!,1)),$F55,0)</f>
        <v>0</v>
      </c>
      <c r="E55" s="4">
        <f>IF(ISNUMBER(FIND($B55,Sheet1!#REF!,1)),$F55,0)</f>
        <v>0</v>
      </c>
      <c r="F55" s="2">
        <v>36</v>
      </c>
      <c r="G55" s="8" t="s">
        <v>45</v>
      </c>
      <c r="H55" s="25" t="s">
        <v>5</v>
      </c>
      <c r="I55" s="8" t="s">
        <v>134</v>
      </c>
      <c r="J55" s="12" t="s">
        <v>16</v>
      </c>
      <c r="K55" s="25"/>
      <c r="N55" s="26" t="str">
        <f t="shared" si="2"/>
        <v>0 1 2 3 4 5 6 7 8 9</v>
      </c>
    </row>
    <row r="56" spans="1:14" ht="20.100000000000001" customHeight="1" x14ac:dyDescent="0.15">
      <c r="A56" s="27"/>
      <c r="B56" s="3" t="s">
        <v>200</v>
      </c>
      <c r="C56" s="4">
        <f>IF(ISNUMBER(FIND($B56,Sheet1!#REF!,1)),$F56,0)</f>
        <v>0</v>
      </c>
      <c r="D56" s="4">
        <f>IF(ISNUMBER(FIND($B56,Sheet1!#REF!,1)),$F56,0)</f>
        <v>0</v>
      </c>
      <c r="E56" s="4">
        <f>IF(ISNUMBER(FIND($B56,Sheet1!#REF!,1)),$F56,0)</f>
        <v>0</v>
      </c>
      <c r="F56" s="2">
        <v>45</v>
      </c>
      <c r="H56" s="25"/>
      <c r="I56" s="8" t="s">
        <v>135</v>
      </c>
      <c r="J56" s="12" t="s">
        <v>16</v>
      </c>
      <c r="K56" s="25"/>
      <c r="N56" s="26"/>
    </row>
    <row r="57" spans="1:14" ht="20.100000000000001" customHeight="1" x14ac:dyDescent="0.15">
      <c r="A57" s="27"/>
      <c r="B57" s="3" t="s">
        <v>201</v>
      </c>
      <c r="C57" s="4">
        <f>IF(ISNUMBER(FIND($B57,Sheet1!#REF!,1)),$F57,0)</f>
        <v>0</v>
      </c>
      <c r="D57" s="4">
        <f>IF(ISNUMBER(FIND($B57,Sheet1!#REF!,1)),$F57,0)</f>
        <v>0</v>
      </c>
      <c r="E57" s="4">
        <f>IF(ISNUMBER(FIND($B57,Sheet1!#REF!,1)),$F57,0)</f>
        <v>0</v>
      </c>
      <c r="F57" s="2">
        <v>55</v>
      </c>
      <c r="H57" s="25"/>
      <c r="I57" s="8" t="s">
        <v>136</v>
      </c>
      <c r="J57" s="12" t="s">
        <v>16</v>
      </c>
      <c r="K57" s="25"/>
      <c r="N57" s="26"/>
    </row>
    <row r="58" spans="1:14" ht="20.100000000000001" customHeight="1" x14ac:dyDescent="0.15">
      <c r="A58" s="27"/>
      <c r="B58" s="3" t="s">
        <v>203</v>
      </c>
      <c r="C58" s="4">
        <f>IF(ISNUMBER(FIND($B58,Sheet1!#REF!,1)),$F58,0)</f>
        <v>0</v>
      </c>
      <c r="D58" s="4">
        <f>IF(ISNUMBER(FIND($B58,Sheet1!#REF!,1)),$F58,0)</f>
        <v>0</v>
      </c>
      <c r="E58" s="4">
        <f>IF(ISNUMBER(FIND($B58,Sheet1!#REF!,1)),$F58,0)</f>
        <v>0</v>
      </c>
      <c r="F58" s="2">
        <v>63</v>
      </c>
      <c r="H58" s="8" t="s">
        <v>35</v>
      </c>
      <c r="I58" s="8" t="s">
        <v>23</v>
      </c>
      <c r="J58" s="12"/>
      <c r="K58" s="25"/>
      <c r="N58" s="14" t="str">
        <f t="shared" si="2"/>
        <v>-</v>
      </c>
    </row>
    <row r="59" spans="1:14" ht="20.100000000000001" customHeight="1" x14ac:dyDescent="0.15">
      <c r="A59" s="27"/>
      <c r="B59" s="3" t="s">
        <v>204</v>
      </c>
      <c r="C59" s="4">
        <f>IF(ISNUMBER(FIND($B59,Sheet1!#REF!,1)),$F59,0)</f>
        <v>0</v>
      </c>
      <c r="D59" s="4">
        <f>IF(ISNUMBER(FIND($B59,Sheet1!#REF!,1)),$F59,0)</f>
        <v>0</v>
      </c>
      <c r="E59" s="4">
        <f>IF(ISNUMBER(FIND($B59,Sheet1!#REF!,1)),$F59,0)</f>
        <v>0</v>
      </c>
      <c r="F59" s="2">
        <v>69</v>
      </c>
      <c r="H59" s="8" t="s">
        <v>24</v>
      </c>
      <c r="I59" s="8" t="s">
        <v>25</v>
      </c>
      <c r="J59" s="13" t="s">
        <v>254</v>
      </c>
      <c r="K59" s="25"/>
      <c r="N59" s="14" t="str">
        <f t="shared" si="2"/>
        <v>1 2 3 9 10 11 12 13 14</v>
      </c>
    </row>
    <row r="60" spans="1:14" ht="20.100000000000001" customHeight="1" x14ac:dyDescent="0.15">
      <c r="A60" s="27"/>
      <c r="B60" s="3" t="s">
        <v>205</v>
      </c>
      <c r="C60" s="4">
        <f>IF(ISNUMBER(FIND($B60,Sheet1!#REF!,1)),$F60,0)</f>
        <v>0</v>
      </c>
      <c r="D60" s="4">
        <f>IF(ISNUMBER(FIND($B60,Sheet1!#REF!,1)),$F60,0)</f>
        <v>0</v>
      </c>
      <c r="E60" s="4">
        <f>IF(ISNUMBER(FIND($B60,Sheet1!#REF!,1)),$F60,0)</f>
        <v>0</v>
      </c>
      <c r="F60" s="2">
        <v>73</v>
      </c>
      <c r="H60" s="8" t="s">
        <v>26</v>
      </c>
      <c r="I60" s="8" t="s">
        <v>26</v>
      </c>
      <c r="J60" s="12" t="s">
        <v>16</v>
      </c>
      <c r="K60" s="25"/>
      <c r="N60" s="14" t="str">
        <f t="shared" si="2"/>
        <v>0 1 2 3 4 5 6 7 8 9</v>
      </c>
    </row>
    <row r="61" spans="1:14" ht="20.100000000000001" customHeight="1" x14ac:dyDescent="0.15">
      <c r="A61" s="27"/>
      <c r="B61" s="3" t="s">
        <v>206</v>
      </c>
      <c r="C61" s="4">
        <f>IF(ISNUMBER(FIND($B61,Sheet1!#REF!,1)),$F61,0)</f>
        <v>0</v>
      </c>
      <c r="D61" s="4">
        <f>IF(ISNUMBER(FIND($B61,Sheet1!#REF!,1)),$F61,0)</f>
        <v>0</v>
      </c>
      <c r="E61" s="4">
        <f>IF(ISNUMBER(FIND($B61,Sheet1!#REF!,1)),$F61,0)</f>
        <v>0</v>
      </c>
      <c r="F61" s="2">
        <v>75</v>
      </c>
      <c r="H61" s="8" t="s">
        <v>30</v>
      </c>
      <c r="I61" s="8" t="s">
        <v>25</v>
      </c>
      <c r="J61" s="13" t="s">
        <v>253</v>
      </c>
      <c r="K61" s="25"/>
      <c r="N61" s="14" t="str">
        <f t="shared" si="2"/>
        <v xml:space="preserve"> 1 2 3 4 6 7 25 26 </v>
      </c>
    </row>
    <row r="62" spans="1:14" ht="20.100000000000001" customHeight="1" x14ac:dyDescent="0.15">
      <c r="A62" s="27"/>
      <c r="B62" s="3" t="s">
        <v>207</v>
      </c>
      <c r="C62" s="4">
        <f>IF(ISNUMBER(FIND($B62,Sheet1!#REF!,1)),$F62,0)</f>
        <v>0</v>
      </c>
      <c r="D62" s="4">
        <f>IF(ISNUMBER(FIND($B62,Sheet1!#REF!,1)),$F62,0)</f>
        <v>0</v>
      </c>
      <c r="E62" s="4">
        <f>IF(ISNUMBER(FIND($B62,Sheet1!#REF!,1)),$F62,0)</f>
        <v>0</v>
      </c>
      <c r="F62" s="2">
        <v>75</v>
      </c>
      <c r="H62" s="8" t="s">
        <v>36</v>
      </c>
      <c r="I62" s="8" t="s">
        <v>36</v>
      </c>
      <c r="J62" s="12" t="s">
        <v>16</v>
      </c>
      <c r="K62" s="25"/>
      <c r="N62" s="14" t="str">
        <f t="shared" si="2"/>
        <v>0 1 2 3 4 5 6 7 8 9</v>
      </c>
    </row>
    <row r="63" spans="1:14" ht="20.100000000000001" customHeight="1" x14ac:dyDescent="0.15">
      <c r="A63" s="27"/>
      <c r="B63" s="3" t="s">
        <v>208</v>
      </c>
      <c r="C63" s="4">
        <f>IF(ISNUMBER(FIND($B63,Sheet1!#REF!,1)),$F63,0)</f>
        <v>0</v>
      </c>
      <c r="D63" s="4">
        <f>IF(ISNUMBER(FIND($B63,Sheet1!#REF!,1)),$F63,0)</f>
        <v>0</v>
      </c>
      <c r="E63" s="4">
        <f>IF(ISNUMBER(FIND($B63,Sheet1!#REF!,1)),$F63,0)</f>
        <v>0</v>
      </c>
      <c r="F63" s="2">
        <v>73</v>
      </c>
      <c r="H63" s="8" t="s">
        <v>37</v>
      </c>
      <c r="I63" s="8" t="s">
        <v>37</v>
      </c>
      <c r="J63" s="12" t="s">
        <v>16</v>
      </c>
      <c r="K63" s="25"/>
      <c r="N63" s="14" t="str">
        <f t="shared" si="2"/>
        <v>0 1 2 3 4 5 6 7 8 9</v>
      </c>
    </row>
    <row r="64" spans="1:14" ht="20.100000000000001" customHeight="1" x14ac:dyDescent="0.15">
      <c r="A64" s="27"/>
      <c r="B64" s="3" t="s">
        <v>209</v>
      </c>
      <c r="C64" s="4">
        <f>IF(ISNUMBER(FIND($B64,Sheet1!#REF!,1)),$F64,0)</f>
        <v>0</v>
      </c>
      <c r="D64" s="4">
        <f>IF(ISNUMBER(FIND($B64,Sheet1!#REF!,1)),$F64,0)</f>
        <v>0</v>
      </c>
      <c r="E64" s="4">
        <f>IF(ISNUMBER(FIND($B64,Sheet1!#REF!,1)),$F64,0)</f>
        <v>0</v>
      </c>
      <c r="F64" s="2">
        <v>69</v>
      </c>
      <c r="H64" s="8" t="s">
        <v>38</v>
      </c>
      <c r="I64" s="8" t="s">
        <v>23</v>
      </c>
      <c r="J64" s="12" t="s">
        <v>146</v>
      </c>
      <c r="K64" s="25"/>
      <c r="N64" s="14" t="str">
        <f t="shared" si="2"/>
        <v xml:space="preserve"> 222</v>
      </c>
    </row>
    <row r="65" spans="1:14" ht="20.100000000000001" customHeight="1" x14ac:dyDescent="0.15">
      <c r="A65" s="27"/>
      <c r="B65" s="3" t="s">
        <v>210</v>
      </c>
      <c r="C65" s="4">
        <f>IF(ISNUMBER(FIND($B65,Sheet1!#REF!,1)),$F65,0)</f>
        <v>0</v>
      </c>
      <c r="D65" s="4">
        <f>IF(ISNUMBER(FIND($B65,Sheet1!#REF!,1)),$F65,0)</f>
        <v>0</v>
      </c>
      <c r="E65" s="4">
        <f>IF(ISNUMBER(FIND($B65,Sheet1!#REF!,1)),$F65,0)</f>
        <v>0</v>
      </c>
      <c r="F65" s="2">
        <v>63</v>
      </c>
      <c r="H65" s="8" t="s">
        <v>31</v>
      </c>
      <c r="I65" s="8" t="s">
        <v>32</v>
      </c>
      <c r="J65" s="12" t="s">
        <v>16</v>
      </c>
      <c r="K65" s="25"/>
      <c r="N65" s="14" t="str">
        <f t="shared" si="2"/>
        <v>0 1 2 3 4 5 6 7 8 9</v>
      </c>
    </row>
    <row r="66" spans="1:14" ht="20.100000000000001" customHeight="1" x14ac:dyDescent="0.15">
      <c r="A66" s="27"/>
      <c r="B66" s="3" t="s">
        <v>212</v>
      </c>
      <c r="C66" s="4">
        <f>IF(ISNUMBER(FIND($B66,Sheet1!#REF!,1)),$F66,0)</f>
        <v>0</v>
      </c>
      <c r="D66" s="4">
        <f>IF(ISNUMBER(FIND($B66,Sheet1!#REF!,1)),$F66,0)</f>
        <v>0</v>
      </c>
      <c r="E66" s="4">
        <f>IF(ISNUMBER(FIND($B66,Sheet1!#REF!,1)),$F66,0)</f>
        <v>0</v>
      </c>
      <c r="F66" s="2">
        <v>55</v>
      </c>
      <c r="H66" s="8" t="s">
        <v>39</v>
      </c>
      <c r="I66" s="8" t="s">
        <v>23</v>
      </c>
      <c r="J66" s="12" t="s">
        <v>147</v>
      </c>
      <c r="K66" s="25"/>
      <c r="N66" s="14" t="str">
        <f t="shared" si="2"/>
        <v xml:space="preserve"> 122</v>
      </c>
    </row>
    <row r="67" spans="1:14" ht="20.100000000000001" customHeight="1" x14ac:dyDescent="0.15">
      <c r="A67" s="27"/>
      <c r="B67" s="3" t="s">
        <v>213</v>
      </c>
      <c r="C67" s="4">
        <f>IF(ISNUMBER(FIND($B67,Sheet1!#REF!,1)),$F67,0)</f>
        <v>0</v>
      </c>
      <c r="D67" s="4">
        <f>IF(ISNUMBER(FIND($B67,Sheet1!#REF!,1)),$F67,0)</f>
        <v>0</v>
      </c>
      <c r="E67" s="4">
        <f>IF(ISNUMBER(FIND($B67,Sheet1!#REF!,1)),$F67,0)</f>
        <v>0</v>
      </c>
      <c r="F67" s="2">
        <v>45</v>
      </c>
      <c r="H67" s="8" t="s">
        <v>40</v>
      </c>
      <c r="I67" s="8" t="s">
        <v>23</v>
      </c>
      <c r="J67" s="12" t="s">
        <v>150</v>
      </c>
      <c r="K67" s="25"/>
      <c r="N67" s="14" t="str">
        <f t="shared" si="2"/>
        <v xml:space="preserve"> 144</v>
      </c>
    </row>
    <row r="68" spans="1:14" ht="20.100000000000001" customHeight="1" x14ac:dyDescent="0.15">
      <c r="A68" s="27"/>
      <c r="B68" s="3" t="s">
        <v>214</v>
      </c>
      <c r="C68" s="4">
        <f>IF(ISNUMBER(FIND($B68,Sheet1!#REF!,1)),$F68,0)</f>
        <v>0</v>
      </c>
      <c r="D68" s="4">
        <f>IF(ISNUMBER(FIND($B68,Sheet1!#REF!,1)),$F68,0)</f>
        <v>0</v>
      </c>
      <c r="E68" s="4">
        <f>IF(ISNUMBER(FIND($B68,Sheet1!#REF!,1)),$F68,0)</f>
        <v>0</v>
      </c>
      <c r="F68" s="2">
        <v>36</v>
      </c>
      <c r="H68" s="8" t="s">
        <v>42</v>
      </c>
      <c r="I68" s="8" t="s">
        <v>41</v>
      </c>
      <c r="J68" s="12" t="s">
        <v>16</v>
      </c>
      <c r="K68" s="25"/>
      <c r="N68" s="14" t="str">
        <f t="shared" si="2"/>
        <v>0 1 2 3 4 5 6 7 8 9</v>
      </c>
    </row>
    <row r="69" spans="1:14" ht="20.100000000000001" customHeight="1" x14ac:dyDescent="0.15">
      <c r="A69" s="27"/>
      <c r="B69" s="3" t="s">
        <v>215</v>
      </c>
      <c r="C69" s="4">
        <f>IF(ISNUMBER(FIND($B69,Sheet1!#REF!,1)),$F69,0)</f>
        <v>0</v>
      </c>
      <c r="D69" s="4">
        <f>IF(ISNUMBER(FIND($B69,Sheet1!#REF!,1)),$F69,0)</f>
        <v>0</v>
      </c>
      <c r="E69" s="4">
        <f>IF(ISNUMBER(FIND($B69,Sheet1!#REF!,1)),$F69,0)</f>
        <v>0</v>
      </c>
      <c r="F69" s="2">
        <v>28</v>
      </c>
      <c r="H69" s="8" t="s">
        <v>43</v>
      </c>
      <c r="I69" s="8" t="s">
        <v>41</v>
      </c>
      <c r="J69" s="12" t="s">
        <v>16</v>
      </c>
      <c r="K69" s="25"/>
      <c r="N69" s="14" t="str">
        <f t="shared" si="2"/>
        <v>0 1 2 3 4 5 6 7 8 9</v>
      </c>
    </row>
    <row r="70" spans="1:14" ht="20.100000000000001" customHeight="1" x14ac:dyDescent="0.15">
      <c r="A70" s="27"/>
      <c r="B70" s="3" t="s">
        <v>216</v>
      </c>
      <c r="C70" s="4">
        <f>IF(ISNUMBER(FIND($B70,Sheet1!#REF!,1)),$F70,0)</f>
        <v>0</v>
      </c>
      <c r="D70" s="4">
        <f>IF(ISNUMBER(FIND($B70,Sheet1!#REF!,1)),$F70,0)</f>
        <v>0</v>
      </c>
      <c r="E70" s="4">
        <f>IF(ISNUMBER(FIND($B70,Sheet1!#REF!,1)),$F70,0)</f>
        <v>0</v>
      </c>
      <c r="F70" s="2">
        <v>21</v>
      </c>
      <c r="G70" s="8" t="s">
        <v>46</v>
      </c>
      <c r="H70" s="25" t="s">
        <v>48</v>
      </c>
      <c r="I70" s="8" t="s">
        <v>7</v>
      </c>
      <c r="J70" s="12" t="s">
        <v>140</v>
      </c>
      <c r="K70" s="25"/>
      <c r="N70" s="26" t="str">
        <f t="shared" si="2"/>
        <v>2 3 4 5 6 7 8 9</v>
      </c>
    </row>
    <row r="71" spans="1:14" ht="20.100000000000001" customHeight="1" x14ac:dyDescent="0.15">
      <c r="A71" s="27"/>
      <c r="B71" s="3" t="s">
        <v>217</v>
      </c>
      <c r="C71" s="4">
        <f>IF(ISNUMBER(FIND($B71,Sheet1!#REF!,1)),$F71,0)</f>
        <v>0</v>
      </c>
      <c r="D71" s="4">
        <f>IF(ISNUMBER(FIND($B71,Sheet1!#REF!,1)),$F71,0)</f>
        <v>0</v>
      </c>
      <c r="E71" s="4">
        <f>IF(ISNUMBER(FIND($B71,Sheet1!#REF!,1)),$F71,0)</f>
        <v>0</v>
      </c>
      <c r="F71" s="2">
        <v>15</v>
      </c>
      <c r="H71" s="25"/>
      <c r="I71" s="8" t="s">
        <v>8</v>
      </c>
      <c r="J71" s="12" t="s">
        <v>139</v>
      </c>
      <c r="K71" s="25"/>
      <c r="N71" s="26"/>
    </row>
    <row r="72" spans="1:14" ht="20.100000000000001" customHeight="1" x14ac:dyDescent="0.15">
      <c r="A72" s="27"/>
      <c r="B72" s="3" t="s">
        <v>218</v>
      </c>
      <c r="C72" s="4">
        <f>IF(ISNUMBER(FIND($B72,Sheet1!#REF!,1)),$F72,0)</f>
        <v>0</v>
      </c>
      <c r="D72" s="4">
        <f>IF(ISNUMBER(FIND($B72,Sheet1!#REF!,1)),$F72,0)</f>
        <v>0</v>
      </c>
      <c r="E72" s="4">
        <f>IF(ISNUMBER(FIND($B72,Sheet1!#REF!,1)),$F72,0)</f>
        <v>0</v>
      </c>
      <c r="F72" s="2">
        <v>10</v>
      </c>
      <c r="H72" s="25"/>
      <c r="I72" s="8" t="s">
        <v>17</v>
      </c>
      <c r="J72" s="12" t="s">
        <v>137</v>
      </c>
      <c r="K72" s="25"/>
      <c r="N72" s="26"/>
    </row>
    <row r="73" spans="1:14" ht="20.100000000000001" customHeight="1" x14ac:dyDescent="0.15">
      <c r="A73" s="27"/>
      <c r="B73" s="3" t="s">
        <v>219</v>
      </c>
      <c r="C73" s="4">
        <f>IF(ISNUMBER(FIND($B73,Sheet1!#REF!,1)),$F73,0)</f>
        <v>0</v>
      </c>
      <c r="D73" s="4">
        <f>IF(ISNUMBER(FIND($B73,Sheet1!#REF!,1)),$F73,0)</f>
        <v>0</v>
      </c>
      <c r="E73" s="4">
        <f>IF(ISNUMBER(FIND($B73,Sheet1!#REF!,1)),$F73,0)</f>
        <v>0</v>
      </c>
      <c r="F73" s="2">
        <v>6</v>
      </c>
      <c r="H73" s="25"/>
      <c r="I73" s="8" t="s">
        <v>18</v>
      </c>
      <c r="J73" s="12" t="s">
        <v>138</v>
      </c>
      <c r="K73" s="25"/>
      <c r="N73" s="26"/>
    </row>
    <row r="74" spans="1:14" ht="20.100000000000001" customHeight="1" x14ac:dyDescent="0.15">
      <c r="A74" s="27"/>
      <c r="B74" s="3" t="s">
        <v>220</v>
      </c>
      <c r="C74" s="4">
        <f>IF(ISNUMBER(FIND($B74,Sheet1!#REF!,1)),$F74,0)</f>
        <v>0</v>
      </c>
      <c r="D74" s="4">
        <f>IF(ISNUMBER(FIND($B74,Sheet1!#REF!,1)),$F74,0)</f>
        <v>0</v>
      </c>
      <c r="E74" s="4">
        <f>IF(ISNUMBER(FIND($B74,Sheet1!#REF!,1)),$F74,0)</f>
        <v>0</v>
      </c>
      <c r="F74" s="2">
        <v>3</v>
      </c>
      <c r="H74" s="8" t="s">
        <v>49</v>
      </c>
      <c r="I74" s="8" t="s">
        <v>50</v>
      </c>
      <c r="J74" s="12">
        <v>7113</v>
      </c>
      <c r="K74" s="25"/>
      <c r="N74" s="14" t="str">
        <f t="shared" ref="N74:N133" si="5">IF(LEN($J74)=0,"-",SUBSTITUTE($J74,","," "))</f>
        <v>7113</v>
      </c>
    </row>
    <row r="75" spans="1:14" ht="20.100000000000001" customHeight="1" x14ac:dyDescent="0.15">
      <c r="A75" s="27"/>
      <c r="B75" s="3" t="s">
        <v>221</v>
      </c>
      <c r="C75" s="4">
        <f>IF(ISNUMBER(FIND($B75,Sheet1!#REF!,1)),$F75,0)</f>
        <v>0</v>
      </c>
      <c r="D75" s="4">
        <f>IF(ISNUMBER(FIND($B75,Sheet1!#REF!,1)),$F75,0)</f>
        <v>0</v>
      </c>
      <c r="E75" s="4">
        <f>IF(ISNUMBER(FIND($B75,Sheet1!#REF!,1)),$F75,0)</f>
        <v>0</v>
      </c>
      <c r="F75" s="2">
        <v>1</v>
      </c>
      <c r="H75" s="8" t="s">
        <v>52</v>
      </c>
      <c r="I75" s="8" t="s">
        <v>52</v>
      </c>
      <c r="J75" s="12" t="s">
        <v>141</v>
      </c>
      <c r="K75" s="25"/>
      <c r="N75" s="14" t="str">
        <f t="shared" si="5"/>
        <v>0 1 2 4 5 6 8 9</v>
      </c>
    </row>
    <row r="76" spans="1:14" ht="20.100000000000001" customHeight="1" x14ac:dyDescent="0.15">
      <c r="A76" s="27" t="s">
        <v>170</v>
      </c>
      <c r="B76" s="3" t="s">
        <v>211</v>
      </c>
      <c r="C76" s="4">
        <f>IF(ISNUMBER(FIND($B76,Sheet1!#REF!,1)),$F76,0)</f>
        <v>0</v>
      </c>
      <c r="D76" s="4">
        <f>IF(ISNUMBER(FIND($B76,Sheet1!#REF!,1)),$F76,0)</f>
        <v>0</v>
      </c>
      <c r="E76" s="4">
        <f>IF(ISNUMBER(FIND($B76,Sheet1!#REF!,1)),$F76,0)</f>
        <v>0</v>
      </c>
      <c r="F76" s="2">
        <v>10</v>
      </c>
      <c r="H76" s="27" t="s">
        <v>255</v>
      </c>
      <c r="I76" s="8" t="s">
        <v>54</v>
      </c>
      <c r="J76" s="12" t="s">
        <v>159</v>
      </c>
      <c r="K76" s="25"/>
      <c r="N76" s="26" t="str">
        <f t="shared" si="5"/>
        <v>0 1 2 3 4 5 6 7 8 9</v>
      </c>
    </row>
    <row r="77" spans="1:14" ht="20.100000000000001" customHeight="1" x14ac:dyDescent="0.15">
      <c r="A77" s="27"/>
      <c r="B77" s="3" t="s">
        <v>193</v>
      </c>
      <c r="C77" s="4">
        <f>IF(ISNUMBER(FIND($B77,Sheet1!#REF!,1)),$F77,0)</f>
        <v>0</v>
      </c>
      <c r="D77" s="4">
        <f>IF(ISNUMBER(FIND($B77,Sheet1!#REF!,1)),$F77,0)</f>
        <v>0</v>
      </c>
      <c r="E77" s="4">
        <f>IF(ISNUMBER(FIND($B77,Sheet1!#REF!,1)),$F77,0)</f>
        <v>0</v>
      </c>
      <c r="F77" s="2">
        <v>54</v>
      </c>
      <c r="H77" s="25"/>
      <c r="I77" s="8" t="s">
        <v>55</v>
      </c>
      <c r="J77" s="12" t="s">
        <v>16</v>
      </c>
      <c r="K77" s="25"/>
      <c r="N77" s="26"/>
    </row>
    <row r="78" spans="1:14" ht="20.100000000000001" customHeight="1" x14ac:dyDescent="0.15">
      <c r="A78" s="27"/>
      <c r="B78" s="3" t="s">
        <v>194</v>
      </c>
      <c r="C78" s="4">
        <f>IF(ISNUMBER(FIND($B78,Sheet1!#REF!,1)),$F78,0)</f>
        <v>0</v>
      </c>
      <c r="D78" s="4">
        <f>IF(ISNUMBER(FIND($B78,Sheet1!#REF!,1)),$F78,0)</f>
        <v>0</v>
      </c>
      <c r="E78" s="4">
        <f>IF(ISNUMBER(FIND($B78,Sheet1!#REF!,1)),$F78,0)</f>
        <v>0</v>
      </c>
      <c r="F78" s="2">
        <v>96</v>
      </c>
      <c r="H78" s="11" t="s">
        <v>56</v>
      </c>
      <c r="I78" s="8" t="s">
        <v>54</v>
      </c>
      <c r="J78" s="12" t="s">
        <v>16</v>
      </c>
      <c r="K78" s="25"/>
      <c r="N78" s="14" t="str">
        <f t="shared" si="5"/>
        <v>0 1 2 3 4 5 6 7 8 9</v>
      </c>
    </row>
    <row r="79" spans="1:14" ht="20.100000000000001" customHeight="1" x14ac:dyDescent="0.15">
      <c r="A79" s="27"/>
      <c r="B79" s="3" t="s">
        <v>195</v>
      </c>
      <c r="C79" s="4">
        <f>IF(ISNUMBER(FIND($B79,Sheet1!#REF!,1)),$F79,0)</f>
        <v>0</v>
      </c>
      <c r="D79" s="4">
        <f>IF(ISNUMBER(FIND($B79,Sheet1!#REF!,1)),$F79,0)</f>
        <v>0</v>
      </c>
      <c r="E79" s="4">
        <f>IF(ISNUMBER(FIND($B79,Sheet1!#REF!,1)),$F79,0)</f>
        <v>0</v>
      </c>
      <c r="F79" s="2">
        <v>126</v>
      </c>
      <c r="H79" s="27" t="s">
        <v>256</v>
      </c>
      <c r="I79" s="8" t="s">
        <v>59</v>
      </c>
      <c r="J79" s="12" t="s">
        <v>161</v>
      </c>
      <c r="K79" s="25"/>
      <c r="N79" s="26" t="str">
        <f t="shared" si="5"/>
        <v xml:space="preserve">0 1 2 3 4 5 6 7 8 </v>
      </c>
    </row>
    <row r="80" spans="1:14" ht="20.100000000000001" customHeight="1" x14ac:dyDescent="0.15">
      <c r="A80" s="27"/>
      <c r="B80" s="3" t="s">
        <v>196</v>
      </c>
      <c r="C80" s="4">
        <f>IF(ISNUMBER(FIND($B80,Sheet1!#REF!,1)),$F80,0)</f>
        <v>0</v>
      </c>
      <c r="D80" s="4">
        <f>IF(ISNUMBER(FIND($B80,Sheet1!#REF!,1)),$F80,0)</f>
        <v>0</v>
      </c>
      <c r="E80" s="4">
        <f>IF(ISNUMBER(FIND($B80,Sheet1!#REF!,1)),$F80,0)</f>
        <v>0</v>
      </c>
      <c r="F80" s="2">
        <v>144</v>
      </c>
      <c r="H80" s="25"/>
      <c r="I80" s="8" t="s">
        <v>58</v>
      </c>
      <c r="J80" s="12" t="s">
        <v>16</v>
      </c>
      <c r="K80" s="25"/>
      <c r="N80" s="26"/>
    </row>
    <row r="81" spans="1:14" ht="20.100000000000001" customHeight="1" x14ac:dyDescent="0.15">
      <c r="A81" s="27"/>
      <c r="B81" s="3" t="s">
        <v>197</v>
      </c>
      <c r="C81" s="4">
        <f>IF(ISNUMBER(FIND($B81,Sheet1!#REF!,1)),$F81,0)</f>
        <v>0</v>
      </c>
      <c r="D81" s="4">
        <f>IF(ISNUMBER(FIND($B81,Sheet1!#REF!,1)),$F81,0)</f>
        <v>0</v>
      </c>
      <c r="E81" s="4">
        <f>IF(ISNUMBER(FIND($B81,Sheet1!#REF!,1)),$F81,0)</f>
        <v>0</v>
      </c>
      <c r="F81" s="2">
        <v>150</v>
      </c>
      <c r="H81" s="8" t="s">
        <v>61</v>
      </c>
      <c r="I81" s="8" t="s">
        <v>63</v>
      </c>
      <c r="J81" s="12" t="s">
        <v>16</v>
      </c>
      <c r="K81" s="25"/>
      <c r="N81" s="14" t="str">
        <f t="shared" si="5"/>
        <v>0 1 2 3 4 5 6 7 8 9</v>
      </c>
    </row>
    <row r="82" spans="1:14" ht="20.100000000000001" customHeight="1" x14ac:dyDescent="0.15">
      <c r="A82" s="27"/>
      <c r="B82" s="3" t="s">
        <v>198</v>
      </c>
      <c r="C82" s="4">
        <f>IF(ISNUMBER(FIND($B82,Sheet1!#REF!,1)),$F82,0)</f>
        <v>0</v>
      </c>
      <c r="D82" s="4">
        <f>IF(ISNUMBER(FIND($B82,Sheet1!#REF!,1)),$F82,0)</f>
        <v>0</v>
      </c>
      <c r="E82" s="4">
        <f>IF(ISNUMBER(FIND($B82,Sheet1!#REF!,1)),$F82,0)</f>
        <v>0</v>
      </c>
      <c r="F82" s="2">
        <v>144</v>
      </c>
      <c r="H82" s="8" t="s">
        <v>62</v>
      </c>
      <c r="I82" s="8" t="s">
        <v>60</v>
      </c>
      <c r="J82" s="12" t="s">
        <v>16</v>
      </c>
      <c r="K82" s="25"/>
      <c r="N82" s="14" t="str">
        <f t="shared" si="5"/>
        <v>0 1 2 3 4 5 6 7 8 9</v>
      </c>
    </row>
    <row r="83" spans="1:14" ht="20.100000000000001" customHeight="1" x14ac:dyDescent="0.15">
      <c r="A83" s="27"/>
      <c r="B83" s="3" t="s">
        <v>199</v>
      </c>
      <c r="C83" s="4">
        <f>IF(ISNUMBER(FIND($B83,Sheet1!#REF!,1)),$F83,0)</f>
        <v>0</v>
      </c>
      <c r="D83" s="4">
        <f>IF(ISNUMBER(FIND($B83,Sheet1!#REF!,1)),$F83,0)</f>
        <v>0</v>
      </c>
      <c r="E83" s="4">
        <f>IF(ISNUMBER(FIND($B83,Sheet1!#REF!,1)),$F83,0)</f>
        <v>0</v>
      </c>
      <c r="F83" s="2">
        <v>126</v>
      </c>
      <c r="G83" s="8" t="s">
        <v>64</v>
      </c>
      <c r="H83" s="25" t="s">
        <v>66</v>
      </c>
      <c r="I83" s="8" t="s">
        <v>6</v>
      </c>
      <c r="J83" s="12" t="s">
        <v>16</v>
      </c>
      <c r="K83" s="25"/>
      <c r="N83" s="26" t="str">
        <f t="shared" si="5"/>
        <v>0 1 2 3 4 5 6 7 8 9</v>
      </c>
    </row>
    <row r="84" spans="1:14" ht="20.100000000000001" customHeight="1" x14ac:dyDescent="0.15">
      <c r="A84" s="27"/>
      <c r="B84" s="3" t="s">
        <v>200</v>
      </c>
      <c r="C84" s="4">
        <f>IF(ISNUMBER(FIND($B84,Sheet1!#REF!,1)),$F84,0)</f>
        <v>0</v>
      </c>
      <c r="D84" s="4">
        <f>IF(ISNUMBER(FIND($B84,Sheet1!#REF!,1)),$F84,0)</f>
        <v>0</v>
      </c>
      <c r="E84" s="4">
        <f>IF(ISNUMBER(FIND($B84,Sheet1!#REF!,1)),$F84,0)</f>
        <v>0</v>
      </c>
      <c r="F84" s="2">
        <v>96</v>
      </c>
      <c r="H84" s="25"/>
      <c r="I84" s="8" t="s">
        <v>7</v>
      </c>
      <c r="J84" s="12" t="s">
        <v>16</v>
      </c>
      <c r="K84" s="25"/>
      <c r="N84" s="26"/>
    </row>
    <row r="85" spans="1:14" ht="20.100000000000001" customHeight="1" x14ac:dyDescent="0.15">
      <c r="A85" s="27"/>
      <c r="B85" s="3" t="s">
        <v>201</v>
      </c>
      <c r="C85" s="4">
        <f>IF(ISNUMBER(FIND($B85,Sheet1!#REF!,1)),$F85,0)</f>
        <v>0</v>
      </c>
      <c r="D85" s="4">
        <f>IF(ISNUMBER(FIND($B85,Sheet1!#REF!,1)),$F85,0)</f>
        <v>0</v>
      </c>
      <c r="E85" s="4">
        <f>IF(ISNUMBER(FIND($B85,Sheet1!#REF!,1)),$F85,0)</f>
        <v>0</v>
      </c>
      <c r="F85" s="2">
        <v>54</v>
      </c>
      <c r="H85" s="25"/>
      <c r="I85" s="8" t="s">
        <v>8</v>
      </c>
      <c r="J85" s="12" t="s">
        <v>16</v>
      </c>
      <c r="K85" s="25"/>
      <c r="N85" s="26"/>
    </row>
    <row r="86" spans="1:14" ht="20.100000000000001" customHeight="1" x14ac:dyDescent="0.15">
      <c r="A86" s="27" t="s">
        <v>171</v>
      </c>
      <c r="B86" s="3" t="s">
        <v>222</v>
      </c>
      <c r="C86" s="4">
        <f>IF(ISNUMBER(FIND($B86,Sheet1!#REF!,1)),$F86,0)</f>
        <v>0</v>
      </c>
      <c r="D86" s="4">
        <f>IF(ISNUMBER(FIND($B86,Sheet1!#REF!,1)),$F86,0)</f>
        <v>0</v>
      </c>
      <c r="E86" s="4">
        <f>IF(ISNUMBER(FIND($B86,Sheet1!#REF!,1)),$F86,0)</f>
        <v>0</v>
      </c>
      <c r="F86" s="2">
        <v>1</v>
      </c>
      <c r="H86" s="25"/>
      <c r="I86" s="8" t="s">
        <v>17</v>
      </c>
      <c r="J86" s="12" t="s">
        <v>16</v>
      </c>
      <c r="K86" s="25"/>
      <c r="N86" s="26"/>
    </row>
    <row r="87" spans="1:14" ht="20.100000000000001" customHeight="1" x14ac:dyDescent="0.15">
      <c r="A87" s="27"/>
      <c r="B87" s="3" t="s">
        <v>194</v>
      </c>
      <c r="C87" s="4">
        <f>IF(ISNUMBER(FIND($B87,Sheet1!#REF!,1)),$F87,0)</f>
        <v>0</v>
      </c>
      <c r="D87" s="4">
        <f>IF(ISNUMBER(FIND($B87,Sheet1!#REF!,1)),$F87,0)</f>
        <v>0</v>
      </c>
      <c r="E87" s="4">
        <f>IF(ISNUMBER(FIND($B87,Sheet1!#REF!,1)),$F87,0)</f>
        <v>0</v>
      </c>
      <c r="F87" s="2">
        <v>2</v>
      </c>
      <c r="H87" s="25"/>
      <c r="I87" s="8" t="s">
        <v>18</v>
      </c>
      <c r="J87" s="12" t="s">
        <v>16</v>
      </c>
      <c r="K87" s="25"/>
      <c r="N87" s="26"/>
    </row>
    <row r="88" spans="1:14" ht="20.100000000000001" customHeight="1" x14ac:dyDescent="0.15">
      <c r="A88" s="27"/>
      <c r="B88" s="3" t="s">
        <v>195</v>
      </c>
      <c r="C88" s="4">
        <f>IF(ISNUMBER(FIND($B88,Sheet1!#REF!,1)),$F88,0)</f>
        <v>0</v>
      </c>
      <c r="D88" s="4">
        <f>IF(ISNUMBER(FIND($B88,Sheet1!#REF!,1)),$F88,0)</f>
        <v>0</v>
      </c>
      <c r="E88" s="4">
        <f>IF(ISNUMBER(FIND($B88,Sheet1!#REF!,1)),$F88,0)</f>
        <v>0</v>
      </c>
      <c r="F88" s="2">
        <v>2</v>
      </c>
      <c r="H88" s="8" t="s">
        <v>67</v>
      </c>
      <c r="I88" s="8" t="s">
        <v>68</v>
      </c>
      <c r="J88" s="12" t="s">
        <v>158</v>
      </c>
      <c r="K88" s="25"/>
      <c r="N88" s="14" t="str">
        <f t="shared" si="5"/>
        <v xml:space="preserve"> 12212 </v>
      </c>
    </row>
    <row r="89" spans="1:14" ht="20.100000000000001" customHeight="1" x14ac:dyDescent="0.15">
      <c r="A89" s="27"/>
      <c r="B89" s="3" t="s">
        <v>196</v>
      </c>
      <c r="C89" s="4">
        <f>IF(ISNUMBER(FIND($B89,Sheet1!#REF!,1)),$F89,0)</f>
        <v>0</v>
      </c>
      <c r="D89" s="4">
        <f>IF(ISNUMBER(FIND($B89,Sheet1!#REF!,1)),$F89,0)</f>
        <v>0</v>
      </c>
      <c r="E89" s="4">
        <f>IF(ISNUMBER(FIND($B89,Sheet1!#REF!,1)),$F89,0)</f>
        <v>0</v>
      </c>
      <c r="F89" s="2">
        <v>4</v>
      </c>
      <c r="H89" s="8" t="s">
        <v>70</v>
      </c>
      <c r="I89" s="8" t="s">
        <v>73</v>
      </c>
      <c r="J89" s="12" t="s">
        <v>16</v>
      </c>
      <c r="K89" s="25"/>
      <c r="N89" s="14" t="str">
        <f t="shared" si="5"/>
        <v>0 1 2 3 4 5 6 7 8 9</v>
      </c>
    </row>
    <row r="90" spans="1:14" ht="20.100000000000001" customHeight="1" x14ac:dyDescent="0.15">
      <c r="A90" s="27"/>
      <c r="B90" s="3" t="s">
        <v>197</v>
      </c>
      <c r="C90" s="4">
        <f>IF(ISNUMBER(FIND($B90,Sheet1!#REF!,1)),$F90,0)</f>
        <v>0</v>
      </c>
      <c r="D90" s="4">
        <f>IF(ISNUMBER(FIND($B90,Sheet1!#REF!,1)),$F90,0)</f>
        <v>0</v>
      </c>
      <c r="E90" s="4">
        <f>IF(ISNUMBER(FIND($B90,Sheet1!#REF!,1)),$F90,0)</f>
        <v>0</v>
      </c>
      <c r="F90" s="2">
        <v>5</v>
      </c>
      <c r="H90" s="25" t="s">
        <v>237</v>
      </c>
      <c r="I90" s="8" t="s">
        <v>74</v>
      </c>
      <c r="J90" s="12" t="s">
        <v>162</v>
      </c>
      <c r="K90" s="25"/>
      <c r="N90" s="26" t="str">
        <f t="shared" si="5"/>
        <v>0 1 2 3 4 5 7 8 9 6</v>
      </c>
    </row>
    <row r="91" spans="1:14" ht="20.100000000000001" customHeight="1" x14ac:dyDescent="0.15">
      <c r="A91" s="27"/>
      <c r="B91" s="3" t="s">
        <v>198</v>
      </c>
      <c r="C91" s="4">
        <f>IF(ISNUMBER(FIND($B91,Sheet1!#REF!,1)),$F91,0)</f>
        <v>0</v>
      </c>
      <c r="D91" s="4">
        <f>IF(ISNUMBER(FIND($B91,Sheet1!#REF!,1)),$F91,0)</f>
        <v>0</v>
      </c>
      <c r="E91" s="4">
        <f>IF(ISNUMBER(FIND($B91,Sheet1!#REF!,1)),$F91,0)</f>
        <v>0</v>
      </c>
      <c r="F91" s="2">
        <v>6</v>
      </c>
      <c r="H91" s="25"/>
      <c r="I91" s="8" t="s">
        <v>55</v>
      </c>
      <c r="J91" s="12" t="s">
        <v>133</v>
      </c>
      <c r="K91" s="25"/>
      <c r="N91" s="26"/>
    </row>
    <row r="92" spans="1:14" ht="20.100000000000001" customHeight="1" x14ac:dyDescent="0.15">
      <c r="A92" s="27"/>
      <c r="B92" s="3" t="s">
        <v>199</v>
      </c>
      <c r="C92" s="4">
        <f>IF(ISNUMBER(FIND($B92,Sheet1!#REF!,1)),$F92,0)</f>
        <v>0</v>
      </c>
      <c r="D92" s="4">
        <f>IF(ISNUMBER(FIND($B92,Sheet1!#REF!,1)),$F92,0)</f>
        <v>0</v>
      </c>
      <c r="E92" s="4">
        <f>IF(ISNUMBER(FIND($B92,Sheet1!#REF!,1)),$F92,0)</f>
        <v>0</v>
      </c>
      <c r="F92" s="2">
        <v>8</v>
      </c>
      <c r="H92" s="25" t="s">
        <v>71</v>
      </c>
      <c r="I92" s="8" t="s">
        <v>74</v>
      </c>
      <c r="J92" s="12" t="s">
        <v>228</v>
      </c>
      <c r="K92" s="25"/>
      <c r="N92" s="26" t="str">
        <f t="shared" si="5"/>
        <v>0 1 2 7</v>
      </c>
    </row>
    <row r="93" spans="1:14" ht="20.100000000000001" customHeight="1" x14ac:dyDescent="0.15">
      <c r="A93" s="27"/>
      <c r="B93" s="3" t="s">
        <v>200</v>
      </c>
      <c r="C93" s="4">
        <f>IF(ISNUMBER(FIND($B93,Sheet1!#REF!,1)),$F93,0)</f>
        <v>0</v>
      </c>
      <c r="D93" s="4">
        <f>IF(ISNUMBER(FIND($B93,Sheet1!#REF!,1)),$F93,0)</f>
        <v>0</v>
      </c>
      <c r="E93" s="4">
        <f>IF(ISNUMBER(FIND($B93,Sheet1!#REF!,1)),$F93,0)</f>
        <v>0</v>
      </c>
      <c r="F93" s="2">
        <v>10</v>
      </c>
      <c r="H93" s="25"/>
      <c r="I93" s="8" t="s">
        <v>55</v>
      </c>
      <c r="J93" s="12" t="s">
        <v>227</v>
      </c>
      <c r="K93" s="25"/>
      <c r="N93" s="26"/>
    </row>
    <row r="94" spans="1:14" ht="20.100000000000001" customHeight="1" x14ac:dyDescent="0.15">
      <c r="A94" s="27"/>
      <c r="B94" s="3" t="s">
        <v>201</v>
      </c>
      <c r="C94" s="4">
        <f>IF(ISNUMBER(FIND($B94,Sheet1!#REF!,1)),$F94,0)</f>
        <v>0</v>
      </c>
      <c r="D94" s="4">
        <f>IF(ISNUMBER(FIND($B94,Sheet1!#REF!,1)),$F94,0)</f>
        <v>0</v>
      </c>
      <c r="E94" s="4">
        <f>IF(ISNUMBER(FIND($B94,Sheet1!#REF!,1)),$F94,0)</f>
        <v>0</v>
      </c>
      <c r="F94" s="2">
        <v>11</v>
      </c>
      <c r="H94" s="25" t="s">
        <v>238</v>
      </c>
      <c r="I94" s="8" t="s">
        <v>75</v>
      </c>
      <c r="J94" s="12" t="s">
        <v>225</v>
      </c>
      <c r="K94" s="25"/>
      <c r="N94" s="26" t="str">
        <f t="shared" si="5"/>
        <v xml:space="preserve">0 1 2 3 </v>
      </c>
    </row>
    <row r="95" spans="1:14" ht="20.100000000000001" customHeight="1" x14ac:dyDescent="0.15">
      <c r="A95" s="27"/>
      <c r="B95" s="3" t="s">
        <v>203</v>
      </c>
      <c r="C95" s="4">
        <f>IF(ISNUMBER(FIND($B95,Sheet1!#REF!,1)),$F95,0)</f>
        <v>0</v>
      </c>
      <c r="D95" s="4">
        <f>IF(ISNUMBER(FIND($B95,Sheet1!#REF!,1)),$F95,0)</f>
        <v>0</v>
      </c>
      <c r="E95" s="4">
        <f>IF(ISNUMBER(FIND($B95,Sheet1!#REF!,1)),$F95,0)</f>
        <v>0</v>
      </c>
      <c r="F95" s="2">
        <v>13</v>
      </c>
      <c r="H95" s="25"/>
      <c r="I95" s="8" t="s">
        <v>55</v>
      </c>
      <c r="J95" s="12" t="s">
        <v>226</v>
      </c>
      <c r="K95" s="25"/>
      <c r="N95" s="26"/>
    </row>
    <row r="96" spans="1:14" ht="20.100000000000001" customHeight="1" x14ac:dyDescent="0.15">
      <c r="A96" s="27"/>
      <c r="B96" s="3" t="s">
        <v>204</v>
      </c>
      <c r="C96" s="4">
        <f>IF(ISNUMBER(FIND($B96,Sheet1!#REF!,1)),$F96,0)</f>
        <v>0</v>
      </c>
      <c r="D96" s="4">
        <f>IF(ISNUMBER(FIND($B96,Sheet1!#REF!,1)),$F96,0)</f>
        <v>0</v>
      </c>
      <c r="E96" s="4">
        <f>IF(ISNUMBER(FIND($B96,Sheet1!#REF!,1)),$F96,0)</f>
        <v>0</v>
      </c>
      <c r="F96" s="2">
        <v>14</v>
      </c>
      <c r="H96" s="25" t="s">
        <v>239</v>
      </c>
      <c r="I96" s="8" t="s">
        <v>76</v>
      </c>
      <c r="J96" s="12" t="s">
        <v>240</v>
      </c>
      <c r="K96" s="25"/>
      <c r="N96" s="26" t="str">
        <f t="shared" si="5"/>
        <v>0 4</v>
      </c>
    </row>
    <row r="97" spans="1:14" ht="20.100000000000001" customHeight="1" x14ac:dyDescent="0.15">
      <c r="A97" s="27"/>
      <c r="B97" s="3" t="s">
        <v>205</v>
      </c>
      <c r="C97" s="4">
        <f>IF(ISNUMBER(FIND($B97,Sheet1!#REF!,1)),$F97,0)</f>
        <v>0</v>
      </c>
      <c r="D97" s="4">
        <f>IF(ISNUMBER(FIND($B97,Sheet1!#REF!,1)),$F97,0)</f>
        <v>0</v>
      </c>
      <c r="E97" s="4">
        <f>IF(ISNUMBER(FIND($B97,Sheet1!#REF!,1)),$F97,0)</f>
        <v>0</v>
      </c>
      <c r="F97" s="2">
        <v>14</v>
      </c>
      <c r="H97" s="25"/>
      <c r="I97" s="8" t="s">
        <v>151</v>
      </c>
      <c r="J97" s="12" t="s">
        <v>241</v>
      </c>
      <c r="K97" s="25"/>
      <c r="N97" s="26"/>
    </row>
    <row r="98" spans="1:14" ht="20.100000000000001" customHeight="1" x14ac:dyDescent="0.15">
      <c r="A98" s="27"/>
      <c r="B98" s="3" t="s">
        <v>206</v>
      </c>
      <c r="C98" s="4">
        <f>IF(ISNUMBER(FIND($B98,Sheet1!#REF!,1)),$F98,0)</f>
        <v>0</v>
      </c>
      <c r="D98" s="4">
        <f>IF(ISNUMBER(FIND($B98,Sheet1!#REF!,1)),$F98,0)</f>
        <v>0</v>
      </c>
      <c r="E98" s="4">
        <f>IF(ISNUMBER(FIND($B98,Sheet1!#REF!,1)),$F98,0)</f>
        <v>0</v>
      </c>
      <c r="F98" s="2">
        <v>15</v>
      </c>
      <c r="H98" s="25" t="s">
        <v>72</v>
      </c>
      <c r="I98" s="8" t="s">
        <v>77</v>
      </c>
      <c r="J98" s="12">
        <v>415</v>
      </c>
      <c r="K98" s="25"/>
      <c r="N98" s="26" t="str">
        <f t="shared" si="5"/>
        <v>415</v>
      </c>
    </row>
    <row r="99" spans="1:14" ht="20.100000000000001" customHeight="1" x14ac:dyDescent="0.15">
      <c r="A99" s="27"/>
      <c r="B99" s="3" t="s">
        <v>207</v>
      </c>
      <c r="C99" s="4">
        <f>IF(ISNUMBER(FIND($B99,Sheet1!#REF!,1)),$F99,0)</f>
        <v>0</v>
      </c>
      <c r="D99" s="4">
        <f>IF(ISNUMBER(FIND($B99,Sheet1!#REF!,1)),$F99,0)</f>
        <v>0</v>
      </c>
      <c r="E99" s="4">
        <f>IF(ISNUMBER(FIND($B99,Sheet1!#REF!,1)),$F99,0)</f>
        <v>0</v>
      </c>
      <c r="F99" s="2">
        <v>15</v>
      </c>
      <c r="H99" s="25"/>
      <c r="I99" s="8" t="s">
        <v>78</v>
      </c>
      <c r="J99" s="12">
        <v>123</v>
      </c>
      <c r="K99" s="25"/>
      <c r="N99" s="26"/>
    </row>
    <row r="100" spans="1:14" ht="20.100000000000001" customHeight="1" x14ac:dyDescent="0.15">
      <c r="A100" s="27"/>
      <c r="B100" s="3" t="s">
        <v>208</v>
      </c>
      <c r="C100" s="4">
        <f>IF(ISNUMBER(FIND($B100,Sheet1!#REF!,1)),$F100,0)</f>
        <v>0</v>
      </c>
      <c r="D100" s="4">
        <f>IF(ISNUMBER(FIND($B100,Sheet1!#REF!,1)),$F100,0)</f>
        <v>0</v>
      </c>
      <c r="E100" s="4">
        <f>IF(ISNUMBER(FIND($B100,Sheet1!#REF!,1)),$F100,0)</f>
        <v>0</v>
      </c>
      <c r="F100" s="2">
        <v>14</v>
      </c>
      <c r="H100" s="8" t="s">
        <v>79</v>
      </c>
      <c r="I100" s="8" t="s">
        <v>82</v>
      </c>
      <c r="J100" s="12" t="s">
        <v>16</v>
      </c>
      <c r="K100" s="25"/>
      <c r="N100" s="14" t="str">
        <f t="shared" si="5"/>
        <v>0 1 2 3 4 5 6 7 8 9</v>
      </c>
    </row>
    <row r="101" spans="1:14" ht="20.100000000000001" customHeight="1" x14ac:dyDescent="0.15">
      <c r="A101" s="27"/>
      <c r="B101" s="3" t="s">
        <v>209</v>
      </c>
      <c r="C101" s="4">
        <f>IF(ISNUMBER(FIND($B101,Sheet1!#REF!,1)),$F101,0)</f>
        <v>0</v>
      </c>
      <c r="D101" s="4">
        <f>IF(ISNUMBER(FIND($B101,Sheet1!#REF!,1)),$F101,0)</f>
        <v>0</v>
      </c>
      <c r="E101" s="4">
        <f>IF(ISNUMBER(FIND($B101,Sheet1!#REF!,1)),$F101,0)</f>
        <v>0</v>
      </c>
      <c r="F101" s="2">
        <v>14</v>
      </c>
      <c r="H101" s="8" t="s">
        <v>80</v>
      </c>
      <c r="I101" s="8" t="s">
        <v>82</v>
      </c>
      <c r="J101" s="12" t="s">
        <v>242</v>
      </c>
      <c r="K101" s="25"/>
      <c r="N101" s="14" t="str">
        <f t="shared" si="5"/>
        <v xml:space="preserve"> 0123456</v>
      </c>
    </row>
    <row r="102" spans="1:14" ht="20.100000000000001" customHeight="1" x14ac:dyDescent="0.15">
      <c r="A102" s="27"/>
      <c r="B102" s="3" t="s">
        <v>210</v>
      </c>
      <c r="C102" s="4">
        <f>IF(ISNUMBER(FIND($B102,Sheet1!#REF!,1)),$F102,0)</f>
        <v>0</v>
      </c>
      <c r="D102" s="4">
        <f>IF(ISNUMBER(FIND($B102,Sheet1!#REF!,1)),$F102,0)</f>
        <v>0</v>
      </c>
      <c r="E102" s="4">
        <f>IF(ISNUMBER(FIND($B102,Sheet1!#REF!,1)),$F102,0)</f>
        <v>0</v>
      </c>
      <c r="F102" s="2">
        <v>13</v>
      </c>
      <c r="H102" s="8" t="s">
        <v>81</v>
      </c>
      <c r="I102" s="8" t="s">
        <v>82</v>
      </c>
      <c r="J102" s="12" t="s">
        <v>16</v>
      </c>
      <c r="K102" s="25"/>
      <c r="N102" s="14" t="str">
        <f t="shared" si="5"/>
        <v>0 1 2 3 4 5 6 7 8 9</v>
      </c>
    </row>
    <row r="103" spans="1:14" ht="20.100000000000001" customHeight="1" x14ac:dyDescent="0.15">
      <c r="A103" s="27"/>
      <c r="B103" s="3" t="s">
        <v>212</v>
      </c>
      <c r="C103" s="4">
        <f>IF(ISNUMBER(FIND($B103,Sheet1!#REF!,1)),$F103,0)</f>
        <v>0</v>
      </c>
      <c r="D103" s="4">
        <f>IF(ISNUMBER(FIND($B103,Sheet1!#REF!,1)),$F103,0)</f>
        <v>0</v>
      </c>
      <c r="E103" s="4">
        <f>IF(ISNUMBER(FIND($B103,Sheet1!#REF!,1)),$F103,0)</f>
        <v>0</v>
      </c>
      <c r="F103" s="2">
        <v>11</v>
      </c>
      <c r="H103" s="8" t="s">
        <v>84</v>
      </c>
      <c r="I103" s="8" t="s">
        <v>84</v>
      </c>
      <c r="J103" s="12" t="s">
        <v>16</v>
      </c>
      <c r="K103" s="25"/>
      <c r="N103" s="14" t="str">
        <f t="shared" si="5"/>
        <v>0 1 2 3 4 5 6 7 8 9</v>
      </c>
    </row>
    <row r="104" spans="1:14" ht="20.100000000000001" customHeight="1" x14ac:dyDescent="0.15">
      <c r="A104" s="27"/>
      <c r="B104" s="3" t="s">
        <v>213</v>
      </c>
      <c r="C104" s="4">
        <f>IF(ISNUMBER(FIND($B104,Sheet1!#REF!,1)),$F104,0)</f>
        <v>0</v>
      </c>
      <c r="D104" s="4">
        <f>IF(ISNUMBER(FIND($B104,Sheet1!#REF!,1)),$F104,0)</f>
        <v>0</v>
      </c>
      <c r="E104" s="4">
        <f>IF(ISNUMBER(FIND($B104,Sheet1!#REF!,1)),$F104,0)</f>
        <v>0</v>
      </c>
      <c r="F104" s="2">
        <v>10</v>
      </c>
      <c r="H104" s="8" t="s">
        <v>85</v>
      </c>
      <c r="I104" s="8" t="s">
        <v>85</v>
      </c>
      <c r="J104" s="12" t="s">
        <v>16</v>
      </c>
      <c r="K104" s="25"/>
      <c r="N104" s="14" t="str">
        <f t="shared" si="5"/>
        <v>0 1 2 3 4 5 6 7 8 9</v>
      </c>
    </row>
    <row r="105" spans="1:14" ht="20.100000000000001" customHeight="1" x14ac:dyDescent="0.15">
      <c r="A105" s="27"/>
      <c r="B105" s="3" t="s">
        <v>214</v>
      </c>
      <c r="C105" s="4">
        <f>IF(ISNUMBER(FIND($B105,Sheet1!#REF!,1)),$F105,0)</f>
        <v>0</v>
      </c>
      <c r="D105" s="4">
        <f>IF(ISNUMBER(FIND($B105,Sheet1!#REF!,1)),$F105,0)</f>
        <v>0</v>
      </c>
      <c r="E105" s="4">
        <f>IF(ISNUMBER(FIND($B105,Sheet1!#REF!,1)),$F105,0)</f>
        <v>0</v>
      </c>
      <c r="F105" s="2">
        <v>8</v>
      </c>
      <c r="H105" s="8" t="s">
        <v>86</v>
      </c>
      <c r="I105" s="8" t="s">
        <v>86</v>
      </c>
      <c r="J105" s="12" t="s">
        <v>157</v>
      </c>
      <c r="K105" s="25"/>
      <c r="N105" s="14" t="str">
        <f t="shared" si="5"/>
        <v>0 1 2 3 5 6 7 8 9</v>
      </c>
    </row>
    <row r="106" spans="1:14" ht="20.100000000000001" customHeight="1" x14ac:dyDescent="0.15">
      <c r="A106" s="27"/>
      <c r="B106" s="3" t="s">
        <v>215</v>
      </c>
      <c r="C106" s="4">
        <f>IF(ISNUMBER(FIND($B106,Sheet1!#REF!,1)),$F106,0)</f>
        <v>0</v>
      </c>
      <c r="D106" s="4">
        <f>IF(ISNUMBER(FIND($B106,Sheet1!#REF!,1)),$F106,0)</f>
        <v>0</v>
      </c>
      <c r="E106" s="4">
        <f>IF(ISNUMBER(FIND($B106,Sheet1!#REF!,1)),$F106,0)</f>
        <v>0</v>
      </c>
      <c r="F106" s="2">
        <v>6</v>
      </c>
      <c r="H106" s="8" t="s">
        <v>87</v>
      </c>
      <c r="I106" s="8" t="s">
        <v>87</v>
      </c>
      <c r="J106" s="12" t="s">
        <v>16</v>
      </c>
      <c r="K106" s="25"/>
      <c r="N106" s="14" t="str">
        <f t="shared" si="5"/>
        <v>0 1 2 3 4 5 6 7 8 9</v>
      </c>
    </row>
    <row r="107" spans="1:14" ht="20.100000000000001" customHeight="1" x14ac:dyDescent="0.15">
      <c r="A107" s="27"/>
      <c r="B107" s="3" t="s">
        <v>216</v>
      </c>
      <c r="C107" s="4">
        <f>IF(ISNUMBER(FIND($B107,Sheet1!#REF!,1)),$F107,0)</f>
        <v>0</v>
      </c>
      <c r="D107" s="4">
        <f>IF(ISNUMBER(FIND($B107,Sheet1!#REF!,1)),$F107,0)</f>
        <v>0</v>
      </c>
      <c r="E107" s="4">
        <f>IF(ISNUMBER(FIND($B107,Sheet1!#REF!,1)),$F107,0)</f>
        <v>0</v>
      </c>
      <c r="F107" s="2">
        <v>5</v>
      </c>
      <c r="G107" s="8" t="s">
        <v>88</v>
      </c>
      <c r="H107" s="25" t="s">
        <v>90</v>
      </c>
      <c r="I107" s="8" t="s">
        <v>91</v>
      </c>
      <c r="J107" s="12" t="s">
        <v>156</v>
      </c>
      <c r="K107" s="25"/>
      <c r="N107" s="26" t="str">
        <f t="shared" si="5"/>
        <v>大小单双</v>
      </c>
    </row>
    <row r="108" spans="1:14" ht="20.100000000000001" customHeight="1" x14ac:dyDescent="0.15">
      <c r="A108" s="27"/>
      <c r="B108" s="3" t="s">
        <v>217</v>
      </c>
      <c r="C108" s="4">
        <f>IF(ISNUMBER(FIND($B108,Sheet1!#REF!,1)),$F108,0)</f>
        <v>0</v>
      </c>
      <c r="D108" s="4">
        <f>IF(ISNUMBER(FIND($B108,Sheet1!#REF!,1)),$F108,0)</f>
        <v>0</v>
      </c>
      <c r="E108" s="4">
        <f>IF(ISNUMBER(FIND($B108,Sheet1!#REF!,1)),$F108,0)</f>
        <v>0</v>
      </c>
      <c r="F108" s="2">
        <v>4</v>
      </c>
      <c r="H108" s="25"/>
      <c r="I108" s="8" t="s">
        <v>92</v>
      </c>
      <c r="J108" s="12" t="s">
        <v>156</v>
      </c>
      <c r="K108" s="25"/>
      <c r="N108" s="26"/>
    </row>
    <row r="109" spans="1:14" ht="20.100000000000001" customHeight="1" x14ac:dyDescent="0.15">
      <c r="A109" s="27"/>
      <c r="B109" s="3" t="s">
        <v>218</v>
      </c>
      <c r="C109" s="4">
        <f>IF(ISNUMBER(FIND($B109,Sheet1!#REF!,1)),$F109,0)</f>
        <v>0</v>
      </c>
      <c r="D109" s="4">
        <f>IF(ISNUMBER(FIND($B109,Sheet1!#REF!,1)),$F109,0)</f>
        <v>0</v>
      </c>
      <c r="E109" s="4">
        <f>IF(ISNUMBER(FIND($B109,Sheet1!#REF!,1)),$F109,0)</f>
        <v>0</v>
      </c>
      <c r="F109" s="2">
        <v>2</v>
      </c>
      <c r="H109" s="25" t="s">
        <v>94</v>
      </c>
      <c r="I109" s="8" t="s">
        <v>95</v>
      </c>
      <c r="J109" s="12" t="s">
        <v>156</v>
      </c>
      <c r="K109" s="25"/>
      <c r="N109" s="26" t="str">
        <f t="shared" si="5"/>
        <v>大小单双</v>
      </c>
    </row>
    <row r="110" spans="1:14" ht="20.100000000000001" customHeight="1" x14ac:dyDescent="0.15">
      <c r="A110" s="27"/>
      <c r="B110" s="3" t="s">
        <v>219</v>
      </c>
      <c r="C110" s="4">
        <f>IF(ISNUMBER(FIND($B110,Sheet1!#REF!,1)),$F110,0)</f>
        <v>0</v>
      </c>
      <c r="D110" s="4">
        <f>IF(ISNUMBER(FIND($B110,Sheet1!#REF!,1)),$F110,0)</f>
        <v>0</v>
      </c>
      <c r="E110" s="4">
        <f>IF(ISNUMBER(FIND($B110,Sheet1!#REF!,1)),$F110,0)</f>
        <v>0</v>
      </c>
      <c r="F110" s="2">
        <v>2</v>
      </c>
      <c r="H110" s="25"/>
      <c r="I110" s="8" t="s">
        <v>96</v>
      </c>
      <c r="J110" s="12" t="s">
        <v>156</v>
      </c>
      <c r="K110" s="25"/>
      <c r="N110" s="26"/>
    </row>
    <row r="111" spans="1:14" ht="20.100000000000001" customHeight="1" x14ac:dyDescent="0.15">
      <c r="A111" s="27"/>
      <c r="B111" s="3" t="s">
        <v>220</v>
      </c>
      <c r="C111" s="4">
        <f>IF(ISNUMBER(FIND($B111,Sheet1!#REF!,1)),$F111,0)</f>
        <v>0</v>
      </c>
      <c r="D111" s="4">
        <f>IF(ISNUMBER(FIND($B111,Sheet1!#REF!,1)),$F111,0)</f>
        <v>0</v>
      </c>
      <c r="E111" s="4">
        <f>IF(ISNUMBER(FIND($B111,Sheet1!#REF!,1)),$F111,0)</f>
        <v>0</v>
      </c>
      <c r="F111" s="2">
        <v>1</v>
      </c>
      <c r="H111" s="25" t="s">
        <v>97</v>
      </c>
      <c r="I111" s="8" t="s">
        <v>98</v>
      </c>
      <c r="J111" s="12" t="s">
        <v>93</v>
      </c>
      <c r="K111" s="25"/>
      <c r="N111" s="26" t="str">
        <f t="shared" si="5"/>
        <v>大小单双</v>
      </c>
    </row>
    <row r="112" spans="1:14" ht="20.100000000000001" customHeight="1" x14ac:dyDescent="0.15">
      <c r="H112" s="25"/>
      <c r="I112" s="8" t="s">
        <v>99</v>
      </c>
      <c r="J112" s="12" t="s">
        <v>93</v>
      </c>
      <c r="K112" s="25"/>
      <c r="N112" s="26"/>
    </row>
    <row r="113" spans="7:14" ht="20.100000000000001" customHeight="1" x14ac:dyDescent="0.15">
      <c r="H113" s="25"/>
      <c r="I113" s="8" t="s">
        <v>100</v>
      </c>
      <c r="J113" s="12" t="s">
        <v>93</v>
      </c>
      <c r="K113" s="25"/>
      <c r="N113" s="26"/>
    </row>
    <row r="114" spans="7:14" ht="20.100000000000001" customHeight="1" x14ac:dyDescent="0.15">
      <c r="H114" s="25" t="s">
        <v>45</v>
      </c>
      <c r="I114" s="8" t="s">
        <v>100</v>
      </c>
      <c r="J114" s="12" t="s">
        <v>93</v>
      </c>
      <c r="K114" s="25"/>
      <c r="N114" s="26" t="str">
        <f t="shared" si="5"/>
        <v>大小单双</v>
      </c>
    </row>
    <row r="115" spans="7:14" ht="20.100000000000001" customHeight="1" x14ac:dyDescent="0.15">
      <c r="H115" s="25"/>
      <c r="I115" s="8" t="s">
        <v>101</v>
      </c>
      <c r="J115" s="12" t="s">
        <v>93</v>
      </c>
      <c r="K115" s="25"/>
      <c r="N115" s="26"/>
    </row>
    <row r="116" spans="7:14" ht="20.100000000000001" customHeight="1" x14ac:dyDescent="0.15">
      <c r="H116" s="25"/>
      <c r="I116" s="8" t="s">
        <v>96</v>
      </c>
      <c r="J116" s="12" t="s">
        <v>93</v>
      </c>
      <c r="K116" s="25"/>
      <c r="N116" s="26"/>
    </row>
    <row r="117" spans="7:14" ht="20.100000000000001" customHeight="1" x14ac:dyDescent="0.15">
      <c r="G117" s="8" t="s">
        <v>102</v>
      </c>
      <c r="H117" s="25" t="s">
        <v>102</v>
      </c>
      <c r="I117" s="8" t="s">
        <v>104</v>
      </c>
      <c r="J117" s="12" t="s">
        <v>153</v>
      </c>
      <c r="K117" s="25"/>
      <c r="N117" s="26" t="str">
        <f t="shared" si="5"/>
        <v>和大和小和单和双</v>
      </c>
    </row>
    <row r="118" spans="7:14" ht="20.100000000000001" customHeight="1" x14ac:dyDescent="0.15">
      <c r="H118" s="25"/>
      <c r="I118" s="8" t="s">
        <v>6</v>
      </c>
      <c r="J118" s="12" t="s">
        <v>154</v>
      </c>
      <c r="K118" s="25"/>
      <c r="N118" s="26"/>
    </row>
    <row r="119" spans="7:14" ht="20.100000000000001" customHeight="1" x14ac:dyDescent="0.15">
      <c r="H119" s="25"/>
      <c r="I119" s="8" t="s">
        <v>7</v>
      </c>
      <c r="J119" s="12" t="s">
        <v>155</v>
      </c>
      <c r="K119" s="25"/>
      <c r="N119" s="26"/>
    </row>
    <row r="120" spans="7:14" ht="20.100000000000001" customHeight="1" x14ac:dyDescent="0.15">
      <c r="H120" s="25"/>
      <c r="I120" s="8" t="s">
        <v>8</v>
      </c>
      <c r="J120" s="12" t="s">
        <v>105</v>
      </c>
      <c r="K120" s="25"/>
      <c r="N120" s="26"/>
    </row>
    <row r="121" spans="7:14" ht="20.100000000000001" customHeight="1" x14ac:dyDescent="0.15">
      <c r="H121" s="25"/>
      <c r="I121" s="8" t="s">
        <v>17</v>
      </c>
      <c r="J121" s="12" t="s">
        <v>105</v>
      </c>
      <c r="K121" s="25"/>
      <c r="N121" s="26"/>
    </row>
    <row r="122" spans="7:14" ht="20.100000000000001" customHeight="1" x14ac:dyDescent="0.15">
      <c r="H122" s="25"/>
      <c r="I122" s="8" t="s">
        <v>18</v>
      </c>
      <c r="J122" s="12" t="s">
        <v>105</v>
      </c>
      <c r="K122" s="25"/>
      <c r="N122" s="26"/>
    </row>
    <row r="123" spans="7:14" ht="20.100000000000001" customHeight="1" x14ac:dyDescent="0.15">
      <c r="G123" s="8" t="s">
        <v>106</v>
      </c>
      <c r="H123" s="25" t="s">
        <v>109</v>
      </c>
      <c r="I123" s="8" t="s">
        <v>110</v>
      </c>
      <c r="J123" s="12" t="s">
        <v>142</v>
      </c>
      <c r="K123" s="25"/>
      <c r="N123" s="26" t="str">
        <f t="shared" si="5"/>
        <v>龙虎和</v>
      </c>
    </row>
    <row r="124" spans="7:14" ht="20.100000000000001" customHeight="1" x14ac:dyDescent="0.15">
      <c r="H124" s="25"/>
      <c r="I124" s="8" t="s">
        <v>111</v>
      </c>
      <c r="J124" s="12" t="s">
        <v>143</v>
      </c>
      <c r="K124" s="25"/>
      <c r="N124" s="26"/>
    </row>
    <row r="125" spans="7:14" ht="20.100000000000001" customHeight="1" x14ac:dyDescent="0.15">
      <c r="H125" s="25"/>
      <c r="I125" s="8" t="s">
        <v>112</v>
      </c>
      <c r="J125" s="12" t="s">
        <v>142</v>
      </c>
      <c r="K125" s="25"/>
      <c r="N125" s="26"/>
    </row>
    <row r="126" spans="7:14" ht="20.100000000000001" customHeight="1" x14ac:dyDescent="0.15">
      <c r="H126" s="25"/>
      <c r="I126" s="8" t="s">
        <v>113</v>
      </c>
      <c r="J126" s="12" t="s">
        <v>142</v>
      </c>
      <c r="K126" s="25"/>
      <c r="N126" s="26"/>
    </row>
    <row r="127" spans="7:14" ht="20.100000000000001" customHeight="1" x14ac:dyDescent="0.15">
      <c r="H127" s="25"/>
      <c r="I127" s="8" t="s">
        <v>114</v>
      </c>
      <c r="J127" s="12" t="s">
        <v>144</v>
      </c>
      <c r="K127" s="25"/>
      <c r="N127" s="26"/>
    </row>
    <row r="128" spans="7:14" ht="20.100000000000001" customHeight="1" x14ac:dyDescent="0.15">
      <c r="H128" s="25"/>
      <c r="I128" s="8" t="s">
        <v>115</v>
      </c>
      <c r="J128" s="12" t="s">
        <v>144</v>
      </c>
      <c r="K128" s="25"/>
      <c r="N128" s="26"/>
    </row>
    <row r="129" spans="7:14" ht="20.100000000000001" customHeight="1" x14ac:dyDescent="0.15">
      <c r="H129" s="25"/>
      <c r="I129" s="8" t="s">
        <v>116</v>
      </c>
      <c r="J129" s="12" t="s">
        <v>142</v>
      </c>
      <c r="K129" s="25"/>
      <c r="N129" s="26"/>
    </row>
    <row r="130" spans="7:14" ht="20.100000000000001" customHeight="1" x14ac:dyDescent="0.15">
      <c r="H130" s="25"/>
      <c r="I130" s="8" t="s">
        <v>117</v>
      </c>
      <c r="J130" s="12" t="s">
        <v>145</v>
      </c>
      <c r="K130" s="25"/>
      <c r="N130" s="26"/>
    </row>
    <row r="131" spans="7:14" ht="20.100000000000001" customHeight="1" x14ac:dyDescent="0.15">
      <c r="H131" s="25"/>
      <c r="I131" s="8" t="s">
        <v>118</v>
      </c>
      <c r="J131" s="12" t="s">
        <v>143</v>
      </c>
      <c r="K131" s="25"/>
      <c r="N131" s="26"/>
    </row>
    <row r="132" spans="7:14" ht="20.100000000000001" customHeight="1" x14ac:dyDescent="0.15">
      <c r="H132" s="25"/>
      <c r="I132" s="8" t="s">
        <v>119</v>
      </c>
      <c r="J132" s="12" t="s">
        <v>142</v>
      </c>
      <c r="K132" s="25"/>
      <c r="N132" s="26"/>
    </row>
    <row r="133" spans="7:14" ht="20.100000000000001" customHeight="1" x14ac:dyDescent="0.15">
      <c r="G133" s="8" t="s">
        <v>120</v>
      </c>
      <c r="H133" s="8" t="s">
        <v>121</v>
      </c>
      <c r="I133" s="8" t="s">
        <v>122</v>
      </c>
      <c r="J133" s="12" t="s">
        <v>133</v>
      </c>
      <c r="K133" s="25"/>
      <c r="N133" s="14" t="str">
        <f t="shared" si="5"/>
        <v>0 1 2 3 4 5 6 7 8 9</v>
      </c>
    </row>
  </sheetData>
  <mergeCells count="56">
    <mergeCell ref="M2:M6"/>
    <mergeCell ref="N2:N6"/>
    <mergeCell ref="A31:A47"/>
    <mergeCell ref="A48:A75"/>
    <mergeCell ref="A76:A85"/>
    <mergeCell ref="N7:N8"/>
    <mergeCell ref="M7:M8"/>
    <mergeCell ref="N25:N27"/>
    <mergeCell ref="N16:N17"/>
    <mergeCell ref="N40:N42"/>
    <mergeCell ref="N55:N57"/>
    <mergeCell ref="N70:N73"/>
    <mergeCell ref="H79:H80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N79:N80"/>
    <mergeCell ref="N76:N77"/>
    <mergeCell ref="H83:H87"/>
    <mergeCell ref="N83:N87"/>
    <mergeCell ref="H90:H91"/>
    <mergeCell ref="N90:N91"/>
    <mergeCell ref="H98:H99"/>
    <mergeCell ref="N98:N99"/>
    <mergeCell ref="N96:N97"/>
    <mergeCell ref="N94:N95"/>
    <mergeCell ref="N92:N93"/>
    <mergeCell ref="H123:H132"/>
    <mergeCell ref="N123:N132"/>
    <mergeCell ref="N117:N122"/>
    <mergeCell ref="N114:N116"/>
    <mergeCell ref="N111:N113"/>
    <mergeCell ref="H114:H116"/>
    <mergeCell ref="H117:H122"/>
    <mergeCell ref="K2:K133"/>
    <mergeCell ref="N109:N110"/>
    <mergeCell ref="N107:N108"/>
    <mergeCell ref="H107:H108"/>
    <mergeCell ref="H109:H110"/>
    <mergeCell ref="H111:H113"/>
    <mergeCell ref="H92:H93"/>
    <mergeCell ref="H94:H95"/>
    <mergeCell ref="H96:H9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1"/>
  <sheetViews>
    <sheetView tabSelected="1" workbookViewId="0">
      <selection activeCell="C6" sqref="C6"/>
    </sheetView>
  </sheetViews>
  <sheetFormatPr defaultRowHeight="13.5" x14ac:dyDescent="0.15"/>
  <cols>
    <col min="1" max="2" width="14.75" style="8" customWidth="1"/>
    <col min="3" max="3" width="39.375" style="12" bestFit="1" customWidth="1"/>
    <col min="4" max="4" width="13.625" style="8" bestFit="1" customWidth="1"/>
    <col min="5" max="5" width="12.5" style="8" bestFit="1" customWidth="1"/>
    <col min="6" max="6" width="11.375" style="8" customWidth="1"/>
    <col min="7" max="7" width="18.5" style="8" bestFit="1" customWidth="1"/>
    <col min="8" max="8" width="13.625" style="8" bestFit="1" customWidth="1"/>
    <col min="9" max="9" width="8.875" style="8" customWidth="1"/>
    <col min="10" max="10" width="9" style="8"/>
    <col min="11" max="11" width="11.25" style="8" customWidth="1"/>
    <col min="12" max="13" width="14.75" style="8" bestFit="1" customWidth="1"/>
    <col min="14" max="14" width="17.25" style="8" bestFit="1" customWidth="1"/>
    <col min="15" max="15" width="13.625" style="8" bestFit="1" customWidth="1"/>
    <col min="16" max="16" width="12.5" style="8" bestFit="1" customWidth="1"/>
    <col min="17" max="17" width="11.375" style="8" bestFit="1" customWidth="1"/>
    <col min="18" max="18" width="16" style="8" bestFit="1" customWidth="1"/>
    <col min="19" max="19" width="18.5" style="8" bestFit="1" customWidth="1"/>
    <col min="20" max="20" width="13.625" style="8" bestFit="1" customWidth="1"/>
    <col min="21" max="16384" width="9" style="8"/>
  </cols>
  <sheetData>
    <row r="1" spans="1:9" x14ac:dyDescent="0.15">
      <c r="A1" s="8" t="s">
        <v>286</v>
      </c>
      <c r="B1" s="8" t="s">
        <v>287</v>
      </c>
      <c r="C1" s="8" t="s">
        <v>288</v>
      </c>
      <c r="D1" s="8" t="s">
        <v>289</v>
      </c>
      <c r="E1" s="8" t="s">
        <v>290</v>
      </c>
      <c r="F1" s="8" t="s">
        <v>291</v>
      </c>
      <c r="G1" s="8" t="s">
        <v>292</v>
      </c>
      <c r="H1" s="8" t="s">
        <v>293</v>
      </c>
      <c r="I1" s="8" t="s">
        <v>294</v>
      </c>
    </row>
    <row r="2" spans="1:9" x14ac:dyDescent="0.15">
      <c r="A2" s="16" t="s">
        <v>4</v>
      </c>
      <c r="B2" s="16" t="s">
        <v>5</v>
      </c>
      <c r="C2" s="15" t="s">
        <v>284</v>
      </c>
      <c r="D2" s="16">
        <v>4</v>
      </c>
      <c r="E2" s="16">
        <v>9</v>
      </c>
      <c r="F2" s="16">
        <v>104</v>
      </c>
      <c r="G2" s="16" t="s">
        <v>296</v>
      </c>
      <c r="H2" s="16">
        <v>0</v>
      </c>
      <c r="I2" s="16">
        <v>4896</v>
      </c>
    </row>
    <row r="3" spans="1:9" x14ac:dyDescent="0.15">
      <c r="A3" s="16" t="s">
        <v>19</v>
      </c>
      <c r="B3" s="16" t="s">
        <v>21</v>
      </c>
      <c r="C3" s="15" t="s">
        <v>297</v>
      </c>
      <c r="D3" s="16">
        <v>3</v>
      </c>
      <c r="E3" s="16">
        <v>2</v>
      </c>
      <c r="F3" s="16">
        <v>72</v>
      </c>
      <c r="G3" s="16" t="s">
        <v>296</v>
      </c>
      <c r="H3" s="16">
        <v>1176</v>
      </c>
      <c r="I3" s="16">
        <v>6000</v>
      </c>
    </row>
    <row r="4" spans="1:9" x14ac:dyDescent="0.15">
      <c r="A4" s="16" t="s">
        <v>19</v>
      </c>
      <c r="B4" s="16" t="s">
        <v>22</v>
      </c>
      <c r="C4" s="15" t="s">
        <v>298</v>
      </c>
      <c r="D4" s="16">
        <v>3</v>
      </c>
      <c r="E4" s="16">
        <v>4</v>
      </c>
      <c r="F4" s="16">
        <v>18</v>
      </c>
      <c r="G4" s="16" t="s">
        <v>296</v>
      </c>
      <c r="H4" s="16">
        <v>2352</v>
      </c>
      <c r="I4" s="16">
        <v>8334</v>
      </c>
    </row>
    <row r="5" spans="1:9" x14ac:dyDescent="0.15">
      <c r="A5" s="16" t="s">
        <v>19</v>
      </c>
      <c r="B5" s="16" t="s">
        <v>24</v>
      </c>
      <c r="C5" s="15" t="s">
        <v>299</v>
      </c>
      <c r="D5" s="16">
        <v>2</v>
      </c>
      <c r="E5" s="16">
        <v>6</v>
      </c>
      <c r="F5" s="16">
        <v>108</v>
      </c>
      <c r="G5" s="16" t="s">
        <v>296</v>
      </c>
      <c r="H5" s="16">
        <v>2352</v>
      </c>
      <c r="I5" s="16">
        <v>10578</v>
      </c>
    </row>
    <row r="6" spans="1:9" x14ac:dyDescent="0.15">
      <c r="A6" s="16" t="s">
        <v>19</v>
      </c>
      <c r="B6" s="16" t="s">
        <v>26</v>
      </c>
      <c r="C6" s="15" t="s">
        <v>300</v>
      </c>
      <c r="D6" s="16">
        <v>1</v>
      </c>
      <c r="E6" s="16">
        <v>7</v>
      </c>
      <c r="F6" s="16">
        <v>112</v>
      </c>
      <c r="G6" s="16" t="s">
        <v>296</v>
      </c>
      <c r="H6" s="16">
        <v>1372</v>
      </c>
      <c r="I6" s="16">
        <v>11838</v>
      </c>
    </row>
    <row r="7" spans="1:9" x14ac:dyDescent="0.15">
      <c r="A7" s="15"/>
      <c r="B7" s="15"/>
      <c r="C7" s="15"/>
      <c r="D7" s="16"/>
      <c r="E7" s="16"/>
      <c r="F7" s="16"/>
      <c r="G7" s="16"/>
      <c r="H7" s="16"/>
      <c r="I7" s="24"/>
    </row>
    <row r="8" spans="1:9" x14ac:dyDescent="0.15">
      <c r="A8" s="15"/>
      <c r="B8" s="15"/>
      <c r="C8" s="15"/>
      <c r="D8" s="21"/>
      <c r="E8" s="21"/>
      <c r="F8" s="21"/>
      <c r="G8" s="21"/>
      <c r="H8" s="21"/>
      <c r="I8" s="24"/>
    </row>
    <row r="9" spans="1:9" x14ac:dyDescent="0.15">
      <c r="A9" s="15"/>
      <c r="B9" s="15"/>
      <c r="C9" s="15"/>
      <c r="D9" s="21"/>
      <c r="E9" s="21"/>
      <c r="F9" s="21"/>
      <c r="G9" s="21"/>
      <c r="H9" s="21"/>
      <c r="I9" s="24"/>
    </row>
    <row r="10" spans="1:9" x14ac:dyDescent="0.15">
      <c r="A10" s="15"/>
      <c r="B10" s="15"/>
      <c r="C10" s="15"/>
      <c r="D10" s="21"/>
      <c r="E10" s="21"/>
      <c r="F10" s="21"/>
      <c r="G10" s="21"/>
      <c r="H10" s="21"/>
      <c r="I10" s="24"/>
    </row>
    <row r="11" spans="1:9" x14ac:dyDescent="0.15">
      <c r="A11" s="15"/>
      <c r="B11" s="15"/>
      <c r="C11" s="15"/>
      <c r="D11" s="16"/>
      <c r="E11" s="16"/>
      <c r="F11" s="16"/>
      <c r="G11" s="16"/>
      <c r="H11" s="16"/>
      <c r="I11" s="24"/>
    </row>
    <row r="12" spans="1:9" x14ac:dyDescent="0.15">
      <c r="A12" s="15"/>
      <c r="B12" s="15"/>
      <c r="C12" s="15"/>
      <c r="D12" s="16"/>
      <c r="E12" s="16"/>
      <c r="F12" s="16"/>
      <c r="G12" s="16"/>
      <c r="H12" s="16"/>
      <c r="I12" s="24"/>
    </row>
    <row r="13" spans="1:9" x14ac:dyDescent="0.15">
      <c r="A13" s="15"/>
      <c r="B13" s="15"/>
      <c r="C13" s="17"/>
      <c r="D13" s="16"/>
      <c r="E13" s="16"/>
      <c r="F13" s="16"/>
      <c r="G13" s="16"/>
      <c r="H13" s="16"/>
      <c r="I13" s="24"/>
    </row>
    <row r="14" spans="1:9" x14ac:dyDescent="0.15">
      <c r="A14" s="15"/>
      <c r="B14" s="15"/>
      <c r="C14" s="17"/>
      <c r="D14" s="16"/>
      <c r="E14" s="16"/>
      <c r="F14" s="16"/>
      <c r="G14" s="16"/>
      <c r="H14" s="16"/>
      <c r="I14" s="24"/>
    </row>
    <row r="15" spans="1:9" x14ac:dyDescent="0.15">
      <c r="A15" s="15"/>
      <c r="B15" s="15"/>
      <c r="C15" s="17"/>
      <c r="D15" s="16"/>
      <c r="E15" s="16"/>
      <c r="F15" s="16"/>
      <c r="G15" s="16"/>
      <c r="H15" s="16"/>
      <c r="I15" s="24"/>
    </row>
    <row r="16" spans="1:9" x14ac:dyDescent="0.15">
      <c r="A16" s="15"/>
      <c r="B16" s="15"/>
      <c r="C16" s="17"/>
      <c r="D16" s="16"/>
      <c r="E16" s="16"/>
      <c r="F16" s="16"/>
      <c r="G16" s="16"/>
      <c r="H16" s="16"/>
      <c r="I16" s="24"/>
    </row>
    <row r="17" spans="1:9" x14ac:dyDescent="0.15">
      <c r="A17" s="15"/>
      <c r="B17" s="15"/>
      <c r="C17" s="17"/>
      <c r="D17" s="16"/>
      <c r="E17" s="16"/>
      <c r="F17" s="16"/>
      <c r="G17" s="16"/>
      <c r="H17" s="16"/>
      <c r="I17" s="24"/>
    </row>
    <row r="18" spans="1:9" x14ac:dyDescent="0.15">
      <c r="A18" s="15"/>
      <c r="B18" s="15"/>
      <c r="C18" s="17"/>
      <c r="D18" s="16"/>
      <c r="E18" s="16"/>
      <c r="F18" s="16"/>
      <c r="G18" s="16"/>
      <c r="H18" s="16"/>
      <c r="I18" s="24"/>
    </row>
    <row r="19" spans="1:9" x14ac:dyDescent="0.15">
      <c r="A19" s="15"/>
      <c r="B19" s="15"/>
      <c r="C19" s="17"/>
      <c r="D19" s="16"/>
      <c r="E19" s="16"/>
      <c r="F19" s="16"/>
      <c r="G19" s="16"/>
      <c r="H19" s="16"/>
      <c r="I19" s="24"/>
    </row>
    <row r="20" spans="1:9" x14ac:dyDescent="0.15">
      <c r="A20" s="15"/>
      <c r="B20" s="15"/>
      <c r="C20" s="17"/>
      <c r="D20" s="16"/>
      <c r="E20" s="16"/>
      <c r="F20" s="16"/>
      <c r="G20" s="16"/>
      <c r="H20" s="16"/>
      <c r="I20" s="24"/>
    </row>
    <row r="21" spans="1:9" x14ac:dyDescent="0.15">
      <c r="A21" s="15"/>
      <c r="B21" s="15"/>
      <c r="C21" s="17"/>
      <c r="D21" s="16"/>
      <c r="E21" s="16"/>
      <c r="F21" s="16"/>
      <c r="G21" s="16"/>
      <c r="H21" s="16"/>
      <c r="I21" s="24"/>
    </row>
    <row r="22" spans="1:9" x14ac:dyDescent="0.15">
      <c r="A22" s="15"/>
      <c r="B22" s="15"/>
      <c r="C22" s="17"/>
      <c r="D22" s="16"/>
      <c r="E22" s="16"/>
      <c r="F22" s="16"/>
      <c r="G22" s="16"/>
      <c r="H22" s="16"/>
      <c r="I22" s="24"/>
    </row>
    <row r="23" spans="1:9" x14ac:dyDescent="0.15">
      <c r="A23" s="15"/>
      <c r="B23" s="15"/>
      <c r="C23" s="17"/>
      <c r="D23" s="16"/>
      <c r="E23" s="16"/>
      <c r="F23" s="16"/>
      <c r="G23" s="16"/>
      <c r="H23" s="16"/>
      <c r="I23" s="24"/>
    </row>
    <row r="24" spans="1:9" x14ac:dyDescent="0.15">
      <c r="A24" s="15"/>
      <c r="B24" s="15"/>
      <c r="C24" s="17"/>
      <c r="D24" s="16"/>
      <c r="E24" s="16"/>
      <c r="F24" s="16"/>
      <c r="G24" s="16"/>
      <c r="H24" s="16"/>
      <c r="I24" s="24"/>
    </row>
    <row r="25" spans="1:9" x14ac:dyDescent="0.15">
      <c r="A25" s="15"/>
      <c r="B25" s="15"/>
      <c r="C25" s="17"/>
      <c r="D25" s="16"/>
      <c r="E25" s="16"/>
      <c r="F25" s="16"/>
      <c r="G25" s="16"/>
      <c r="H25" s="16"/>
      <c r="I25" s="24"/>
    </row>
    <row r="26" spans="1:9" x14ac:dyDescent="0.15">
      <c r="A26" s="15"/>
      <c r="B26" s="15"/>
      <c r="C26" s="17"/>
      <c r="D26" s="16"/>
      <c r="E26" s="16"/>
      <c r="F26" s="16"/>
      <c r="G26" s="16"/>
      <c r="H26" s="16"/>
      <c r="I26" s="24"/>
    </row>
    <row r="27" spans="1:9" x14ac:dyDescent="0.15">
      <c r="A27" s="15"/>
      <c r="B27" s="15"/>
      <c r="C27" s="17"/>
      <c r="D27" s="16"/>
      <c r="E27" s="16"/>
      <c r="F27" s="16"/>
      <c r="G27" s="16"/>
      <c r="H27" s="16"/>
      <c r="I27" s="24"/>
    </row>
    <row r="28" spans="1:9" x14ac:dyDescent="0.15">
      <c r="A28" s="15"/>
      <c r="B28" s="15"/>
      <c r="C28" s="17"/>
      <c r="D28" s="16"/>
      <c r="E28" s="16"/>
      <c r="F28" s="16"/>
      <c r="G28" s="16"/>
      <c r="H28" s="16"/>
      <c r="I28" s="24"/>
    </row>
    <row r="29" spans="1:9" x14ac:dyDescent="0.15">
      <c r="A29" s="15"/>
      <c r="B29" s="15"/>
      <c r="C29" s="17"/>
      <c r="D29" s="16"/>
      <c r="E29" s="16"/>
      <c r="F29" s="16"/>
      <c r="G29" s="16"/>
      <c r="H29" s="16"/>
      <c r="I29" s="24"/>
    </row>
    <row r="30" spans="1:9" x14ac:dyDescent="0.15">
      <c r="A30" s="15"/>
      <c r="B30" s="15"/>
      <c r="C30" s="17"/>
      <c r="D30" s="16"/>
      <c r="E30" s="16"/>
      <c r="F30" s="16"/>
      <c r="G30" s="16"/>
      <c r="H30" s="16"/>
      <c r="I30" s="24"/>
    </row>
    <row r="31" spans="1:9" x14ac:dyDescent="0.15">
      <c r="A31" s="15"/>
      <c r="B31" s="15"/>
      <c r="C31" s="17"/>
    </row>
    <row r="32" spans="1:9" x14ac:dyDescent="0.15">
      <c r="A32" s="15"/>
      <c r="B32" s="15"/>
      <c r="C32" s="17"/>
    </row>
    <row r="33" spans="1:3" x14ac:dyDescent="0.15">
      <c r="A33" s="15"/>
      <c r="B33" s="15"/>
      <c r="C33" s="17"/>
    </row>
    <row r="34" spans="1:3" x14ac:dyDescent="0.15">
      <c r="A34" s="15"/>
      <c r="B34" s="15"/>
      <c r="C34" s="17"/>
    </row>
    <row r="35" spans="1:3" x14ac:dyDescent="0.15">
      <c r="A35" s="15"/>
      <c r="B35" s="15"/>
      <c r="C35" s="17"/>
    </row>
    <row r="36" spans="1:3" x14ac:dyDescent="0.15">
      <c r="A36" s="15"/>
      <c r="B36" s="15"/>
      <c r="C36" s="17"/>
    </row>
    <row r="37" spans="1:3" x14ac:dyDescent="0.15">
      <c r="A37" s="15"/>
      <c r="B37" s="15"/>
      <c r="C37" s="17"/>
    </row>
    <row r="38" spans="1:3" x14ac:dyDescent="0.15">
      <c r="A38" s="15"/>
      <c r="B38" s="15"/>
      <c r="C38" s="17"/>
    </row>
    <row r="39" spans="1:3" x14ac:dyDescent="0.15">
      <c r="A39" s="15"/>
      <c r="B39" s="15"/>
      <c r="C39" s="17"/>
    </row>
    <row r="40" spans="1:3" x14ac:dyDescent="0.15">
      <c r="A40" s="15"/>
      <c r="B40" s="15"/>
      <c r="C40" s="17"/>
    </row>
    <row r="41" spans="1:3" x14ac:dyDescent="0.15">
      <c r="A41" s="15"/>
      <c r="B41" s="15"/>
      <c r="C41" s="17"/>
    </row>
    <row r="42" spans="1:3" x14ac:dyDescent="0.15">
      <c r="A42" s="15"/>
      <c r="B42" s="15"/>
      <c r="C42" s="17"/>
    </row>
    <row r="43" spans="1:3" x14ac:dyDescent="0.15">
      <c r="A43" s="15"/>
      <c r="B43" s="15"/>
      <c r="C43" s="17"/>
    </row>
    <row r="44" spans="1:3" x14ac:dyDescent="0.15">
      <c r="A44" s="15"/>
      <c r="B44" s="15"/>
      <c r="C44" s="17"/>
    </row>
    <row r="45" spans="1:3" x14ac:dyDescent="0.15">
      <c r="A45" s="15"/>
      <c r="B45" s="15"/>
      <c r="C45" s="17"/>
    </row>
    <row r="46" spans="1:3" x14ac:dyDescent="0.15">
      <c r="A46" s="15"/>
      <c r="B46" s="15"/>
      <c r="C46" s="17"/>
    </row>
    <row r="47" spans="1:3" x14ac:dyDescent="0.15">
      <c r="A47" s="15"/>
      <c r="B47" s="15"/>
      <c r="C47" s="17"/>
    </row>
    <row r="48" spans="1:3" x14ac:dyDescent="0.15">
      <c r="A48" s="15"/>
      <c r="B48" s="15"/>
      <c r="C48" s="17"/>
    </row>
    <row r="49" spans="1:3" x14ac:dyDescent="0.15">
      <c r="A49" s="15"/>
      <c r="B49" s="15"/>
      <c r="C49" s="17"/>
    </row>
    <row r="50" spans="1:3" x14ac:dyDescent="0.15">
      <c r="A50" s="15"/>
      <c r="B50" s="15"/>
      <c r="C50" s="17"/>
    </row>
    <row r="51" spans="1:3" x14ac:dyDescent="0.15">
      <c r="A51" s="15"/>
      <c r="B51" s="15"/>
      <c r="C51" s="17"/>
    </row>
    <row r="52" spans="1:3" x14ac:dyDescent="0.15">
      <c r="A52" s="15"/>
      <c r="B52" s="15"/>
      <c r="C52" s="17"/>
    </row>
    <row r="53" spans="1:3" x14ac:dyDescent="0.15">
      <c r="A53" s="15"/>
      <c r="B53" s="15"/>
      <c r="C53" s="17"/>
    </row>
    <row r="54" spans="1:3" x14ac:dyDescent="0.15">
      <c r="A54" s="15"/>
      <c r="B54" s="15"/>
      <c r="C54" s="17"/>
    </row>
    <row r="55" spans="1:3" x14ac:dyDescent="0.15">
      <c r="A55" s="15"/>
      <c r="B55" s="15"/>
      <c r="C55" s="17"/>
    </row>
    <row r="56" spans="1:3" x14ac:dyDescent="0.15">
      <c r="A56" s="15"/>
      <c r="B56" s="15"/>
      <c r="C56" s="17"/>
    </row>
    <row r="57" spans="1:3" x14ac:dyDescent="0.15">
      <c r="A57" s="15"/>
      <c r="B57" s="15"/>
      <c r="C57" s="17"/>
    </row>
    <row r="58" spans="1:3" x14ac:dyDescent="0.15">
      <c r="A58" s="15"/>
      <c r="B58" s="15"/>
      <c r="C58" s="17"/>
    </row>
    <row r="59" spans="1:3" x14ac:dyDescent="0.15">
      <c r="A59" s="15"/>
      <c r="B59" s="15"/>
      <c r="C59" s="17"/>
    </row>
    <row r="60" spans="1:3" x14ac:dyDescent="0.15">
      <c r="A60" s="15"/>
      <c r="B60" s="15"/>
      <c r="C60" s="17"/>
    </row>
    <row r="61" spans="1:3" x14ac:dyDescent="0.15">
      <c r="A61" s="15"/>
      <c r="B61" s="15"/>
      <c r="C61" s="17"/>
    </row>
    <row r="62" spans="1:3" x14ac:dyDescent="0.15">
      <c r="A62" s="15"/>
      <c r="B62" s="15"/>
      <c r="C62" s="17"/>
    </row>
    <row r="63" spans="1:3" x14ac:dyDescent="0.15">
      <c r="A63" s="15"/>
      <c r="B63" s="15"/>
      <c r="C63" s="17"/>
    </row>
    <row r="64" spans="1:3" x14ac:dyDescent="0.15">
      <c r="A64" s="15"/>
      <c r="B64" s="15"/>
      <c r="C64" s="17"/>
    </row>
    <row r="65" spans="1:3" x14ac:dyDescent="0.15">
      <c r="A65" s="15"/>
      <c r="B65" s="15"/>
      <c r="C65" s="17"/>
    </row>
    <row r="66" spans="1:3" x14ac:dyDescent="0.15">
      <c r="A66" s="15"/>
      <c r="B66" s="15"/>
      <c r="C66" s="17"/>
    </row>
    <row r="67" spans="1:3" x14ac:dyDescent="0.15">
      <c r="A67" s="15"/>
      <c r="B67" s="15"/>
      <c r="C67" s="17"/>
    </row>
    <row r="68" spans="1:3" x14ac:dyDescent="0.15">
      <c r="A68" s="15"/>
      <c r="B68" s="15"/>
      <c r="C68" s="17"/>
    </row>
    <row r="69" spans="1:3" x14ac:dyDescent="0.15">
      <c r="A69" s="15"/>
      <c r="B69" s="15"/>
      <c r="C69" s="17"/>
    </row>
    <row r="70" spans="1:3" x14ac:dyDescent="0.15">
      <c r="A70" s="15"/>
      <c r="B70" s="15"/>
      <c r="C70" s="17"/>
    </row>
    <row r="71" spans="1:3" x14ac:dyDescent="0.15">
      <c r="A71" s="15"/>
      <c r="B71" s="15"/>
      <c r="C71" s="17"/>
    </row>
    <row r="72" spans="1:3" x14ac:dyDescent="0.15">
      <c r="A72" s="15"/>
      <c r="B72" s="15"/>
      <c r="C72" s="17"/>
    </row>
    <row r="73" spans="1:3" x14ac:dyDescent="0.15">
      <c r="A73" s="15"/>
      <c r="B73" s="15"/>
      <c r="C73" s="17"/>
    </row>
    <row r="74" spans="1:3" x14ac:dyDescent="0.15">
      <c r="A74" s="15"/>
      <c r="B74" s="15"/>
      <c r="C74" s="17"/>
    </row>
    <row r="75" spans="1:3" x14ac:dyDescent="0.15">
      <c r="A75" s="15"/>
      <c r="B75" s="15"/>
      <c r="C75" s="17"/>
    </row>
    <row r="76" spans="1:3" x14ac:dyDescent="0.15">
      <c r="A76" s="15"/>
      <c r="B76" s="15"/>
      <c r="C76" s="17"/>
    </row>
    <row r="77" spans="1:3" x14ac:dyDescent="0.15">
      <c r="A77" s="15"/>
      <c r="B77" s="15"/>
      <c r="C77" s="17"/>
    </row>
    <row r="78" spans="1:3" x14ac:dyDescent="0.15">
      <c r="A78" s="15"/>
      <c r="B78" s="15"/>
      <c r="C78" s="17"/>
    </row>
    <row r="79" spans="1:3" x14ac:dyDescent="0.15">
      <c r="A79" s="15"/>
      <c r="B79" s="15"/>
      <c r="C79" s="17"/>
    </row>
    <row r="80" spans="1:3" x14ac:dyDescent="0.15">
      <c r="A80" s="15"/>
      <c r="B80" s="15"/>
      <c r="C80" s="17"/>
    </row>
    <row r="81" spans="1:3" x14ac:dyDescent="0.15">
      <c r="A81" s="15"/>
      <c r="B81" s="15"/>
      <c r="C81" s="17"/>
    </row>
    <row r="82" spans="1:3" x14ac:dyDescent="0.15">
      <c r="A82" s="15"/>
      <c r="B82" s="15"/>
      <c r="C82" s="17"/>
    </row>
    <row r="83" spans="1:3" x14ac:dyDescent="0.15">
      <c r="A83" s="15"/>
      <c r="B83" s="15"/>
      <c r="C83" s="17"/>
    </row>
    <row r="84" spans="1:3" x14ac:dyDescent="0.15">
      <c r="A84" s="15"/>
      <c r="B84" s="15"/>
      <c r="C84" s="17"/>
    </row>
    <row r="85" spans="1:3" x14ac:dyDescent="0.15">
      <c r="A85" s="15"/>
      <c r="B85" s="15"/>
      <c r="C85" s="17"/>
    </row>
    <row r="86" spans="1:3" x14ac:dyDescent="0.15">
      <c r="A86" s="15"/>
      <c r="B86" s="15"/>
      <c r="C86" s="17"/>
    </row>
    <row r="87" spans="1:3" x14ac:dyDescent="0.15">
      <c r="A87" s="15"/>
      <c r="B87" s="15"/>
      <c r="C87" s="17"/>
    </row>
    <row r="88" spans="1:3" x14ac:dyDescent="0.15">
      <c r="A88" s="15"/>
      <c r="B88" s="15"/>
      <c r="C88" s="17"/>
    </row>
    <row r="89" spans="1:3" x14ac:dyDescent="0.15">
      <c r="A89" s="15"/>
      <c r="B89" s="15"/>
      <c r="C89" s="17"/>
    </row>
    <row r="90" spans="1:3" x14ac:dyDescent="0.15">
      <c r="A90" s="15"/>
      <c r="B90" s="15"/>
      <c r="C90" s="17"/>
    </row>
    <row r="91" spans="1:3" x14ac:dyDescent="0.15">
      <c r="A91" s="15"/>
      <c r="B91" s="15"/>
      <c r="C91" s="1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2018-06-05T12:10:56Z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