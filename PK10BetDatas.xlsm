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2" windowHeight="7836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Sheet1!$A$1:$R$13</definedName>
  </definedNames>
  <calcPr calcId="162913" iterate="1" iterateCount="101"/>
</workbook>
</file>

<file path=xl/calcChain.xml><?xml version="1.0" encoding="utf-8"?>
<calcChain xmlns="http://schemas.openxmlformats.org/spreadsheetml/2006/main">
  <c r="G2" i="2" l="1"/>
  <c r="D33" i="2"/>
  <c r="D2" i="2"/>
  <c r="D31" i="2"/>
  <c r="D27" i="2"/>
  <c r="E2" i="2"/>
  <c r="E12" i="2"/>
  <c r="G12" i="2" s="1"/>
  <c r="E17" i="2"/>
  <c r="E18" i="2"/>
  <c r="G18" i="2" s="1"/>
  <c r="F33" i="2"/>
  <c r="G33" i="2" s="1"/>
  <c r="F31" i="2"/>
  <c r="G31" i="2" s="1"/>
  <c r="E22" i="2"/>
  <c r="E23" i="2"/>
  <c r="G23" i="2" s="1"/>
  <c r="E26" i="2"/>
  <c r="E27" i="2"/>
  <c r="G27" i="2" s="1"/>
  <c r="E29" i="2"/>
  <c r="E30" i="2"/>
  <c r="G30" i="2" s="1"/>
  <c r="D23" i="2"/>
  <c r="D18" i="2"/>
  <c r="D12" i="2"/>
  <c r="F2" i="1" l="1"/>
  <c r="N13" i="1" l="1"/>
  <c r="N3" i="1"/>
  <c r="N2" i="1"/>
  <c r="N4" i="1"/>
  <c r="F11" i="1" l="1"/>
  <c r="F3" i="1"/>
  <c r="F5" i="1"/>
  <c r="F6" i="1"/>
  <c r="F7" i="1"/>
  <c r="F8" i="1"/>
  <c r="F9" i="1"/>
  <c r="F10" i="1"/>
  <c r="F4" i="1"/>
  <c r="H3" i="1" l="1"/>
  <c r="H4" i="1"/>
  <c r="H5" i="1"/>
  <c r="H6" i="1"/>
  <c r="H7" i="1"/>
  <c r="H8" i="1"/>
  <c r="H9" i="1"/>
  <c r="H10" i="1"/>
  <c r="H11" i="1"/>
  <c r="H12" i="1"/>
  <c r="H13" i="1"/>
  <c r="H2" i="1"/>
  <c r="G3" i="1"/>
  <c r="I3" i="1" s="1"/>
  <c r="G4" i="1"/>
  <c r="I4" i="1" s="1"/>
  <c r="G5" i="1"/>
  <c r="G6" i="1"/>
  <c r="G7" i="1"/>
  <c r="G8" i="1"/>
  <c r="G9" i="1"/>
  <c r="G10" i="1"/>
  <c r="G11" i="1"/>
  <c r="G12" i="1"/>
  <c r="G13" i="1"/>
  <c r="I13" i="1" s="1"/>
  <c r="G2" i="1"/>
  <c r="I2" i="1" s="1"/>
  <c r="J5" i="1" l="1"/>
  <c r="J6" i="1"/>
  <c r="J4" i="1"/>
  <c r="N11" i="1"/>
  <c r="I11" i="1" s="1"/>
  <c r="N10" i="1"/>
  <c r="I10" i="1" s="1"/>
  <c r="N7" i="1"/>
  <c r="I7" i="1" s="1"/>
  <c r="J3" i="1" l="1"/>
  <c r="J2" i="1"/>
  <c r="K2" i="1" s="1"/>
  <c r="N12" i="1"/>
  <c r="N8" i="1"/>
  <c r="I8" i="1" l="1"/>
  <c r="I12" i="1"/>
  <c r="K3" i="1"/>
  <c r="K4" i="1" s="1"/>
  <c r="N9" i="1"/>
  <c r="I9" i="1" s="1"/>
  <c r="N6" i="1" l="1"/>
  <c r="I6" i="1" s="1"/>
  <c r="N5" i="1"/>
  <c r="I5" i="1" s="1"/>
  <c r="K5" i="1" s="1"/>
  <c r="J12" i="1"/>
  <c r="R5" i="1"/>
  <c r="K6" i="1" l="1"/>
  <c r="J8" i="1" l="1"/>
  <c r="J9" i="1"/>
  <c r="J13" i="1"/>
  <c r="J11" i="1"/>
  <c r="J10" i="1"/>
  <c r="J7" i="1"/>
  <c r="K7" i="1" s="1"/>
  <c r="K8" i="1" l="1"/>
  <c r="K9" i="1" s="1"/>
  <c r="K10" i="1" s="1"/>
  <c r="K11" i="1" s="1"/>
  <c r="K12" i="1" s="1"/>
  <c r="K13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J5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5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5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<sst xmlns="http://schemas.openxmlformats.org/spreadsheetml/2006/main" count="170" uniqueCount="88">
  <si>
    <t>BetRange</t>
  </si>
  <si>
    <t>PlayType</t>
  </si>
  <si>
    <t>一星</t>
  </si>
  <si>
    <t>复式</t>
  </si>
  <si>
    <t>Issue</t>
  </si>
  <si>
    <t>Multiple</t>
  </si>
  <si>
    <t>Reward</t>
  </si>
  <si>
    <t>AwardNumber</t>
  </si>
  <si>
    <t>时时彩</t>
  </si>
  <si>
    <t>前二</t>
  </si>
  <si>
    <t>直选复式</t>
  </si>
  <si>
    <t>直选单式</t>
  </si>
  <si>
    <t>直选和值</t>
  </si>
  <si>
    <t>跨度</t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</si>
  <si>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</si>
  <si>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</si>
  <si>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</si>
  <si>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</si>
  <si>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</si>
  <si>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</si>
  <si>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</si>
  <si>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</si>
  <si>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</si>
  <si>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</si>
  <si>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</si>
  <si>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</si>
  <si>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</si>
  <si>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</si>
  <si>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</si>
  <si>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</si>
  <si>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</si>
  <si>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 xml:space="preserve"> 0 1 4 5 , 0 1 2 , 1 9 , 2 5 , 3 6 </t>
  </si>
  <si>
    <t xml:space="preserve"> 0 1 2 , 3 4 5 6 </t>
  </si>
  <si>
    <t xml:space="preserve"> 23 98 47</t>
  </si>
  <si>
    <t xml:space="preserve"> 1 5 8 14 15 18 </t>
  </si>
  <si>
    <t xml:space="preserve"> 0 1 2 7 8 9 </t>
  </si>
  <si>
    <t>0 1 4 5 , 0 1 2 , 1 9 , 2 5 , 3 6</t>
  </si>
  <si>
    <t>0 1 2 , 3 4 5 6</t>
  </si>
  <si>
    <t>23 98 47</t>
  </si>
  <si>
    <t>1 5 8 14 15 18</t>
  </si>
  <si>
    <t>0 1 2 7 8 9</t>
  </si>
  <si>
    <t>8</t>
  </si>
  <si>
    <t>3</t>
  </si>
  <si>
    <t>4</t>
  </si>
  <si>
    <t>6</t>
  </si>
  <si>
    <t>7</t>
  </si>
  <si>
    <t>2</t>
  </si>
  <si>
    <t>1</t>
  </si>
  <si>
    <t>208</t>
  </si>
  <si>
    <t>72</t>
  </si>
  <si>
    <t>24</t>
  </si>
  <si>
    <t>432</t>
  </si>
  <si>
    <t>0</t>
  </si>
  <si>
    <t>1097.6</t>
  </si>
  <si>
    <t>1176</t>
  </si>
  <si>
    <t>5889.6</t>
  </si>
  <si>
    <t>5817.6</t>
  </si>
  <si>
    <t>5793.6</t>
  </si>
  <si>
    <t>5361.6</t>
  </si>
  <si>
    <t>6537.6</t>
  </si>
  <si>
    <t>定位胆</t>
    <phoneticPr fontId="1" type="noConversion"/>
  </si>
  <si>
    <t>定位胆</t>
    <phoneticPr fontId="1" type="noConversion"/>
  </si>
  <si>
    <t>猜前五</t>
    <phoneticPr fontId="1" type="noConversion"/>
  </si>
  <si>
    <t>复试</t>
    <phoneticPr fontId="1" type="noConversion"/>
  </si>
  <si>
    <t>单式</t>
    <phoneticPr fontId="1" type="noConversion"/>
  </si>
  <si>
    <t>猜前四</t>
    <phoneticPr fontId="1" type="noConversion"/>
  </si>
  <si>
    <t>复试</t>
    <phoneticPr fontId="1" type="noConversion"/>
  </si>
  <si>
    <t>单式</t>
    <phoneticPr fontId="1" type="noConversion"/>
  </si>
  <si>
    <t>猜前三</t>
    <phoneticPr fontId="1" type="noConversion"/>
  </si>
  <si>
    <t>复试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</si>
  <si>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</si>
  <si>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</si>
  <si>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</si>
  <si>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复试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</si>
  <si>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</si>
  <si>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</si>
  <si>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</si>
  <si>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</si>
  <si>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</si>
  <si>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</si>
  <si>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</si>
  <si>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</si>
  <si>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</si>
  <si>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t>01 02 03 04 05 06 07 08 09 10</t>
    <phoneticPr fontId="1" type="noConversion"/>
  </si>
  <si>
    <r>
      <t>和大 和小</t>
    </r>
    <r>
      <rPr>
        <sz val="11"/>
        <color theme="1"/>
        <rFont val="宋体"/>
        <family val="3"/>
        <charset val="134"/>
        <scheme val="minor"/>
      </rPr>
      <t xml:space="preserve"> 和单 和双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</si>
  <si>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3 04 05 06 07 08 09 10 11 12 13 14 15 16 17 18 19</t>
    </r>
    <phoneticPr fontId="1" type="noConversion"/>
  </si>
  <si>
    <t>大 小 单 双 龙 虎</t>
    <phoneticPr fontId="1" type="noConversion"/>
  </si>
  <si>
    <t>大 小 单 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</si>
</sst>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6" name="表26" displayName="表26" ref="A1:H11" tableType="xml" totalsRowShown="0" headerRowDxfId="9" dataDxfId="8" connectionId="5">
  <autoFilter ref="A1:H11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3"/>
  <sheetViews>
    <sheetView topLeftCell="D1" zoomScaleNormal="100" workbookViewId="0">
      <pane ySplit="1" topLeftCell="A2" activePane="bottomLeft" state="frozen"/>
      <selection activeCell="D1" sqref="D1"/>
      <selection pane="bottomLeft" activeCell="F21" sqref="F21"/>
    </sheetView>
  </sheetViews>
  <sheetFormatPr defaultColWidth="9" defaultRowHeight="14.4" x14ac:dyDescent="0.25"/>
  <cols>
    <col min="1" max="1" width="4.44140625" style="8" hidden="1" customWidth="1"/>
    <col min="2" max="2" width="12.77734375" style="8" hidden="1" customWidth="1"/>
    <col min="3" max="3" width="0.109375" style="8" hidden="1" customWidth="1"/>
    <col min="4" max="5" width="9.44140625" style="8" bestFit="1" customWidth="1"/>
    <col min="6" max="6" width="19.88671875" style="8" customWidth="1"/>
    <col min="7" max="8" width="9.44140625" style="8" bestFit="1" customWidth="1"/>
    <col min="9" max="9" width="12.77734375" style="8" bestFit="1" customWidth="1"/>
    <col min="10" max="10" width="16.77734375" style="8" bestFit="1" customWidth="1"/>
    <col min="11" max="11" width="16.21875" style="8" customWidth="1"/>
    <col min="12" max="12" width="8.44140625" style="8" bestFit="1" customWidth="1"/>
    <col min="13" max="13" width="7.44140625" style="8" customWidth="1"/>
    <col min="14" max="14" width="10.77734375" style="8" customWidth="1"/>
    <col min="15" max="15" width="8.88671875" style="8" hidden="1" customWidth="1"/>
    <col min="16" max="16" width="7.6640625" style="8" hidden="1" customWidth="1"/>
    <col min="17" max="17" width="10.21875" style="8" customWidth="1"/>
    <col min="18" max="18" width="33.88671875" style="8" bestFit="1" customWidth="1"/>
    <col min="19" max="16384" width="9" style="8"/>
  </cols>
  <sheetData>
    <row r="1" spans="1:18" ht="32.25" customHeight="1" x14ac:dyDescent="0.25">
      <c r="A1" s="8">
        <v>1</v>
      </c>
      <c r="B1" s="8">
        <v>5050</v>
      </c>
      <c r="C1" s="8" t="s">
        <v>4</v>
      </c>
      <c r="D1" s="8" t="s">
        <v>0</v>
      </c>
      <c r="E1" s="8" t="s">
        <v>1</v>
      </c>
      <c r="F1" s="8" t="s">
        <v>27</v>
      </c>
      <c r="G1" s="8" t="s">
        <v>5</v>
      </c>
      <c r="H1" s="8" t="s">
        <v>28</v>
      </c>
      <c r="I1" s="8" t="s">
        <v>29</v>
      </c>
      <c r="J1" s="8" t="s">
        <v>16</v>
      </c>
      <c r="K1" s="8" t="s">
        <v>30</v>
      </c>
      <c r="L1" s="8" t="s">
        <v>6</v>
      </c>
      <c r="M1" s="8" t="s">
        <v>7</v>
      </c>
      <c r="N1" s="8" t="s">
        <v>17</v>
      </c>
      <c r="O1" s="8" t="s">
        <v>15</v>
      </c>
      <c r="P1" s="8" t="s">
        <v>14</v>
      </c>
      <c r="Q1" s="8" t="s">
        <v>18</v>
      </c>
    </row>
    <row r="2" spans="1:18" ht="26.25" customHeight="1" x14ac:dyDescent="0.25">
      <c r="A2" s="1">
        <v>2</v>
      </c>
      <c r="B2" s="8" t="s">
        <v>8</v>
      </c>
      <c r="C2" s="8">
        <v>20180517001</v>
      </c>
      <c r="D2" s="10" t="s">
        <v>60</v>
      </c>
      <c r="E2" s="8" t="s">
        <v>61</v>
      </c>
      <c r="F2" s="8">
        <f>Sheet2!$N12</f>
        <v>0</v>
      </c>
      <c r="G2" s="8">
        <f ca="1">RANDBETWEEN(1,9)</f>
        <v>1</v>
      </c>
      <c r="H2" s="8">
        <f ca="1">RANDBETWEEN(1,9)</f>
        <v>2</v>
      </c>
      <c r="I2" s="8">
        <f t="shared" ref="I2:I13" ca="1" si="0">N2*G2*2</f>
        <v>64</v>
      </c>
      <c r="J2" s="8">
        <f ca="1">Sheet2!$M12*$H2*$G2*$L2</f>
        <v>0</v>
      </c>
      <c r="K2" s="8">
        <f ca="1">Q2-I2+J2</f>
        <v>4936</v>
      </c>
      <c r="L2" s="8">
        <v>19.600000000000001</v>
      </c>
      <c r="M2" s="8">
        <v>65461</v>
      </c>
      <c r="N2" s="8">
        <f>SUM(LEN(SUBSTITUTE(Sheet2!J12,",",)),LEN(SUBSTITUTE(Sheet2!J17,",",)),LEN(SUBSTITUTE(Sheet2!J18,",",)),LEN(SUBSTITUTE(Sheet2!J22,",",)),LEN(SUBSTITUTE(Sheet2!J23,",",)))</f>
        <v>32</v>
      </c>
      <c r="Q2" s="8">
        <v>5000</v>
      </c>
    </row>
    <row r="3" spans="1:18" ht="27" customHeight="1" x14ac:dyDescent="0.25">
      <c r="A3" s="8">
        <v>7</v>
      </c>
      <c r="D3" s="19" t="s">
        <v>62</v>
      </c>
      <c r="E3" s="8" t="s">
        <v>63</v>
      </c>
      <c r="F3" s="8">
        <f>Sheet2!$N26</f>
        <v>0</v>
      </c>
      <c r="G3" s="8">
        <f t="shared" ref="G3:G13" ca="1" si="1">RANDBETWEEN(1,9)</f>
        <v>5</v>
      </c>
      <c r="H3" s="8">
        <f t="shared" ref="H3:H13" ca="1" si="2">RANDBETWEEN(1,9)</f>
        <v>1</v>
      </c>
      <c r="I3" s="8">
        <f t="shared" ca="1" si="0"/>
        <v>300</v>
      </c>
      <c r="J3" s="8">
        <f ca="1">Sheet2!$M26*$H3*$G3*$L3</f>
        <v>0</v>
      </c>
      <c r="K3" s="8">
        <f t="shared" ref="K3:K11" ca="1" si="3">$K2-$I3+$J3</f>
        <v>4636</v>
      </c>
      <c r="L3" s="8">
        <v>196</v>
      </c>
      <c r="M3" s="8">
        <v>65461</v>
      </c>
      <c r="N3" s="8">
        <f>COMBIN(LEN(SUBSTITUTE(Sheet2!J26,",",)),1)*COMBIN(LEN(SUBSTITUTE(Sheet2!J27,",",)),1)</f>
        <v>30</v>
      </c>
    </row>
    <row r="4" spans="1:18" ht="13.5" customHeight="1" x14ac:dyDescent="0.25">
      <c r="A4" s="8">
        <v>9</v>
      </c>
      <c r="D4" s="19"/>
      <c r="E4" s="8" t="s">
        <v>64</v>
      </c>
      <c r="F4" s="8">
        <f>Sheet2!$N29</f>
        <v>0</v>
      </c>
      <c r="G4" s="8">
        <f t="shared" ca="1" si="1"/>
        <v>4</v>
      </c>
      <c r="H4" s="8">
        <f t="shared" ca="1" si="2"/>
        <v>2</v>
      </c>
      <c r="I4" s="8">
        <f t="shared" ca="1" si="0"/>
        <v>0</v>
      </c>
      <c r="J4" s="8">
        <f ca="1">Sheet2!$M29*$H4*$G4*$L4</f>
        <v>0</v>
      </c>
      <c r="K4" s="8">
        <f t="shared" ca="1" si="3"/>
        <v>4636</v>
      </c>
      <c r="L4" s="8">
        <v>196</v>
      </c>
      <c r="M4" s="8">
        <v>65461</v>
      </c>
      <c r="N4" s="8">
        <f>FINDNUMBER(Sheet2!J29,2)</f>
        <v>0</v>
      </c>
    </row>
    <row r="5" spans="1:18" x14ac:dyDescent="0.25">
      <c r="A5" s="8">
        <v>10</v>
      </c>
      <c r="D5" s="19" t="s">
        <v>65</v>
      </c>
      <c r="E5" s="8" t="s">
        <v>66</v>
      </c>
      <c r="F5" s="8">
        <f>Sheet2!$N30</f>
        <v>0</v>
      </c>
      <c r="G5" s="8">
        <f t="shared" ca="1" si="1"/>
        <v>1</v>
      </c>
      <c r="H5" s="8">
        <f t="shared" ca="1" si="2"/>
        <v>1</v>
      </c>
      <c r="I5" s="8">
        <f t="shared" ca="1" si="0"/>
        <v>0</v>
      </c>
      <c r="J5" s="8">
        <f ca="1">Sheet2!$M30*$H5*$G5*$L5</f>
        <v>0</v>
      </c>
      <c r="K5" s="8">
        <f t="shared" ca="1" si="3"/>
        <v>4636</v>
      </c>
      <c r="L5" s="8">
        <v>196</v>
      </c>
      <c r="M5" s="8">
        <v>65461</v>
      </c>
      <c r="N5" s="8">
        <f>SUM(Sheet2!C17:C41)</f>
        <v>0</v>
      </c>
      <c r="R5" s="8">
        <f>LOOKUP(SUM(LEN(SUBSTITUTE(M2,MID(M2,{1,2,3,4,5},1),))),{8,12,14,16,18,20;5,10,20,30,60,120})</f>
        <v>60</v>
      </c>
    </row>
    <row r="6" spans="1:18" x14ac:dyDescent="0.25">
      <c r="A6" s="8">
        <v>11</v>
      </c>
      <c r="D6" s="19"/>
      <c r="E6" s="8" t="s">
        <v>67</v>
      </c>
      <c r="F6" s="8">
        <f>Sheet2!$N31</f>
        <v>0</v>
      </c>
      <c r="G6" s="8">
        <f t="shared" ca="1" si="1"/>
        <v>8</v>
      </c>
      <c r="H6" s="8">
        <f t="shared" ca="1" si="2"/>
        <v>4</v>
      </c>
      <c r="I6" s="8">
        <f t="shared" ca="1" si="0"/>
        <v>0</v>
      </c>
      <c r="J6" s="8">
        <f ca="1">Sheet2!$M31*$H6*$G6*$L6</f>
        <v>0</v>
      </c>
      <c r="K6" s="8">
        <f t="shared" ca="1" si="3"/>
        <v>4636</v>
      </c>
      <c r="L6" s="8">
        <v>196</v>
      </c>
      <c r="M6" s="8">
        <v>65461</v>
      </c>
      <c r="N6" s="8">
        <f>SUM(Sheet2!C$42:C$51)</f>
        <v>0</v>
      </c>
    </row>
    <row r="7" spans="1:18" x14ac:dyDescent="0.25">
      <c r="A7" s="8">
        <v>12</v>
      </c>
      <c r="D7" s="19" t="s">
        <v>68</v>
      </c>
      <c r="E7" s="8" t="s">
        <v>69</v>
      </c>
      <c r="F7" s="8">
        <f>Sheet2!$N33</f>
        <v>0</v>
      </c>
      <c r="G7" s="8">
        <f t="shared" ca="1" si="1"/>
        <v>6</v>
      </c>
      <c r="H7" s="8">
        <f t="shared" ca="1" si="2"/>
        <v>2</v>
      </c>
      <c r="I7" s="8" t="e">
        <f t="shared" ca="1" si="0"/>
        <v>#REF!</v>
      </c>
      <c r="J7" s="8">
        <f>IF(LEFT(M2,1)&lt;&gt;MID(M2,2,1),IF(IF(ISNUMBER(FIND(LEFT(M2,1),#REF!,1)),1,0)+IF(ISNUMBER(FIND(MID(M2,2,1),#REF!,1)),1,0)=2,G2*L7,0),0)</f>
        <v>0</v>
      </c>
      <c r="K7" s="8" t="e">
        <f t="shared" ca="1" si="3"/>
        <v>#REF!</v>
      </c>
      <c r="L7" s="8">
        <v>98</v>
      </c>
      <c r="M7" s="8">
        <v>65461</v>
      </c>
      <c r="N7" s="8" t="e">
        <f>COMBIN(LEN(SUBSTITUTE(#REF!,",",)),2)</f>
        <v>#REF!</v>
      </c>
    </row>
    <row r="8" spans="1:18" ht="13.5" customHeight="1" x14ac:dyDescent="0.25">
      <c r="A8" s="8">
        <v>13</v>
      </c>
      <c r="D8" s="19"/>
      <c r="E8" s="8" t="s">
        <v>70</v>
      </c>
      <c r="F8" s="8">
        <f>Sheet2!$N34</f>
        <v>0</v>
      </c>
      <c r="G8" s="8">
        <f t="shared" ca="1" si="1"/>
        <v>8</v>
      </c>
      <c r="H8" s="8">
        <f t="shared" ca="1" si="2"/>
        <v>2</v>
      </c>
      <c r="I8" s="8" t="e">
        <f t="shared" ca="1" si="0"/>
        <v>#VALUE!</v>
      </c>
      <c r="J8" s="8">
        <f>IF(EXACT(LEFT(M2,1),MID(M2,2,1)),0,IF(OR(ISNUMBER(FIND(","&amp;LEFT(M2,2)&amp;",",#REF!,1)),ISNUMBER(FIND(","&amp;MID(M2,2,1)&amp;LEFT(M2,1)&amp;",",#REF!,1))),G2*L8,0))</f>
        <v>0</v>
      </c>
      <c r="K8" s="8" t="e">
        <f t="shared" ca="1" si="3"/>
        <v>#REF!</v>
      </c>
      <c r="L8" s="8">
        <v>98</v>
      </c>
      <c r="M8" s="8">
        <v>65461</v>
      </c>
      <c r="N8" s="8" t="e">
        <f>FINDNUMBER(#REF!,2)</f>
        <v>#VALUE!</v>
      </c>
    </row>
    <row r="9" spans="1:18" x14ac:dyDescent="0.25">
      <c r="A9" s="8">
        <v>14</v>
      </c>
      <c r="D9" s="19" t="s">
        <v>71</v>
      </c>
      <c r="E9" s="8" t="s">
        <v>66</v>
      </c>
      <c r="F9" s="8">
        <f>Sheet2!$N35</f>
        <v>0</v>
      </c>
      <c r="G9" s="8">
        <f t="shared" ca="1" si="1"/>
        <v>9</v>
      </c>
      <c r="H9" s="8">
        <f t="shared" ca="1" si="2"/>
        <v>7</v>
      </c>
      <c r="I9" s="8">
        <f t="shared" ca="1" si="0"/>
        <v>0</v>
      </c>
      <c r="J9" s="8">
        <f>IF(LEFT(M2,1)&lt;&gt;MID(M2,2,1),IF(ISNUMBER(FIND(","&amp;SUM(LEFT(M2,1),MID(M2,2,1))&amp;",",#REF!,1)),G2*L9,0),0)</f>
        <v>0</v>
      </c>
      <c r="K9" s="8" t="e">
        <f t="shared" ca="1" si="3"/>
        <v>#REF!</v>
      </c>
      <c r="L9" s="8">
        <v>98</v>
      </c>
      <c r="M9" s="8">
        <v>65461</v>
      </c>
      <c r="N9" s="8">
        <f>SUM(Sheet2!C$52:C$68)</f>
        <v>0</v>
      </c>
    </row>
    <row r="10" spans="1:18" x14ac:dyDescent="0.25">
      <c r="A10" s="8">
        <v>15</v>
      </c>
      <c r="D10" s="19"/>
      <c r="E10" s="8" t="s">
        <v>70</v>
      </c>
      <c r="F10" s="8">
        <f>Sheet2!$N36</f>
        <v>0</v>
      </c>
      <c r="G10" s="8">
        <f t="shared" ca="1" si="1"/>
        <v>7</v>
      </c>
      <c r="H10" s="8">
        <f t="shared" ca="1" si="2"/>
        <v>3</v>
      </c>
      <c r="I10" s="8" t="e">
        <f t="shared" ca="1" si="0"/>
        <v>#REF!</v>
      </c>
      <c r="J10" s="8">
        <f>IF(AND(OR(ISNUMBER(FIND(LEFT(M2,1),#REF!,1)),ISNUMBER(FIND(MID(M2,2,1),#REF!,1))),LEFT(M2,1)&lt;&gt;MID(M2,2,1)),G2*L10,0)</f>
        <v>0</v>
      </c>
      <c r="K10" s="8" t="e">
        <f t="shared" ca="1" si="3"/>
        <v>#REF!</v>
      </c>
      <c r="L10" s="8">
        <v>98</v>
      </c>
      <c r="M10" s="8">
        <v>65461</v>
      </c>
      <c r="N10" s="8" t="e">
        <f>LEN(SUBSTITUTE(#REF!,",",))</f>
        <v>#REF!</v>
      </c>
    </row>
    <row r="11" spans="1:18" x14ac:dyDescent="0.25">
      <c r="A11" s="8">
        <v>16</v>
      </c>
      <c r="D11" s="8" t="s">
        <v>72</v>
      </c>
      <c r="E11" s="8" t="s">
        <v>73</v>
      </c>
      <c r="F11" s="8">
        <f>Sheet2!$N37</f>
        <v>0</v>
      </c>
      <c r="G11" s="8">
        <f t="shared" ca="1" si="1"/>
        <v>2</v>
      </c>
      <c r="H11" s="8">
        <f t="shared" ca="1" si="2"/>
        <v>1</v>
      </c>
      <c r="I11" s="8" t="e">
        <f t="shared" ca="1" si="0"/>
        <v>#REF!</v>
      </c>
      <c r="J11" s="8">
        <f>IF(IF(ISNUMBER(FIND(RIGHT(M2,1),#REF!,1)),1,0)+IF(ISNUMBER(FIND(MID(M2,4,1),#REF!,1)),1,0)=2,G2*L11*1,0)</f>
        <v>0</v>
      </c>
      <c r="K11" s="8" t="e">
        <f t="shared" ca="1" si="3"/>
        <v>#REF!</v>
      </c>
      <c r="L11" s="8">
        <v>196</v>
      </c>
      <c r="M11" s="8">
        <v>65461</v>
      </c>
      <c r="N11" s="8" t="e">
        <f>COMBIN(LEN(SUBSTITUTE(#REF!,",",)),1)*COMBIN(LEN(SUBSTITUTE(#REF!,",",)),1)</f>
        <v>#REF!</v>
      </c>
    </row>
    <row r="12" spans="1:18" ht="13.5" customHeight="1" x14ac:dyDescent="0.25">
      <c r="A12" s="8">
        <v>18</v>
      </c>
      <c r="D12" s="8" t="s">
        <v>74</v>
      </c>
      <c r="E12" s="8" t="s">
        <v>75</v>
      </c>
      <c r="G12" s="8">
        <f t="shared" ca="1" si="1"/>
        <v>7</v>
      </c>
      <c r="H12" s="8">
        <f t="shared" ca="1" si="2"/>
        <v>4</v>
      </c>
      <c r="I12" s="8" t="e">
        <f t="shared" ca="1" si="0"/>
        <v>#VALUE!</v>
      </c>
      <c r="J12" s="8">
        <f>IF(ISNUMBER(FIND(","&amp;RIGHT(M2,2),#REF!,1)),G2*L12,0)</f>
        <v>0</v>
      </c>
      <c r="K12" s="8" t="e">
        <f ca="1">#REF!-$I12+$J12</f>
        <v>#REF!</v>
      </c>
      <c r="L12" s="8">
        <v>196</v>
      </c>
      <c r="M12" s="8">
        <v>65461</v>
      </c>
      <c r="N12" s="8" t="e">
        <f>FINDNUMBER(#REF!,2)</f>
        <v>#VALUE!</v>
      </c>
    </row>
    <row r="13" spans="1:18" x14ac:dyDescent="0.25">
      <c r="A13" s="8">
        <v>19</v>
      </c>
      <c r="D13" s="8" t="s">
        <v>76</v>
      </c>
      <c r="E13" s="8" t="s">
        <v>77</v>
      </c>
      <c r="G13" s="8">
        <f t="shared" ca="1" si="1"/>
        <v>6</v>
      </c>
      <c r="H13" s="8">
        <f t="shared" ca="1" si="2"/>
        <v>7</v>
      </c>
      <c r="I13" s="8">
        <f t="shared" ca="1" si="0"/>
        <v>420</v>
      </c>
      <c r="J13" s="8">
        <f>IF(ISNUMBER(FIND(","&amp;SUM(RIGHT(M2,1),MID(M2,4,1))&amp;",",#REF!,1)),G2*L13,0)</f>
        <v>0</v>
      </c>
      <c r="K13" s="8" t="e">
        <f t="shared" ref="K13" ca="1" si="4">$K12-$I13+$J13</f>
        <v>#REF!</v>
      </c>
      <c r="L13" s="8">
        <v>196</v>
      </c>
      <c r="M13" s="8">
        <v>65461</v>
      </c>
      <c r="N13" s="8">
        <f ca="1">SUM(Sheet2!E12:E41)</f>
        <v>35</v>
      </c>
    </row>
  </sheetData>
  <autoFilter ref="A1:R13"/>
  <mergeCells count="4">
    <mergeCell ref="D3:D4"/>
    <mergeCell ref="D5:D6"/>
    <mergeCell ref="D7:D8"/>
    <mergeCell ref="D9:D10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54"/>
  <sheetViews>
    <sheetView tabSelected="1" workbookViewId="0">
      <selection activeCell="H2" sqref="H2:H11"/>
    </sheetView>
  </sheetViews>
  <sheetFormatPr defaultColWidth="9" defaultRowHeight="20.100000000000001" customHeight="1" x14ac:dyDescent="0.25"/>
  <cols>
    <col min="1" max="1" width="13.77734375" style="8" customWidth="1"/>
    <col min="2" max="2" width="10.21875" style="8" customWidth="1"/>
    <col min="3" max="3" width="33.6640625" style="17" customWidth="1"/>
    <col min="4" max="4" width="35.21875" style="17" customWidth="1"/>
    <col min="5" max="5" width="13" style="8" customWidth="1"/>
    <col min="6" max="6" width="10.5546875" style="8" customWidth="1"/>
    <col min="7" max="7" width="9.44140625" style="16" bestFit="1" customWidth="1"/>
    <col min="8" max="8" width="12.109375" style="8" customWidth="1"/>
    <col min="9" max="9" width="9.88671875" style="8" customWidth="1"/>
    <col min="10" max="10" width="30.88671875" style="2" customWidth="1"/>
    <col min="11" max="11" width="12.77734375" style="8" bestFit="1" customWidth="1"/>
    <col min="12" max="13" width="9" style="8"/>
    <col min="14" max="14" width="28.6640625" style="9" customWidth="1"/>
    <col min="15" max="16384" width="9" style="8"/>
  </cols>
  <sheetData>
    <row r="1" spans="1:15" ht="20.100000000000001" customHeight="1" x14ac:dyDescent="0.25">
      <c r="A1" s="8" t="s">
        <v>0</v>
      </c>
      <c r="B1" s="8" t="s">
        <v>1</v>
      </c>
      <c r="D1" s="17" t="s">
        <v>23</v>
      </c>
      <c r="E1" s="8" t="s">
        <v>5</v>
      </c>
      <c r="F1" s="8" t="s">
        <v>24</v>
      </c>
      <c r="G1" s="16" t="s">
        <v>25</v>
      </c>
      <c r="H1" s="8" t="s">
        <v>16</v>
      </c>
      <c r="I1" s="8" t="s">
        <v>21</v>
      </c>
      <c r="J1" s="8" t="s">
        <v>6</v>
      </c>
      <c r="K1" s="8" t="s">
        <v>7</v>
      </c>
      <c r="L1" s="8" t="s">
        <v>17</v>
      </c>
      <c r="M1" s="8" t="s">
        <v>15</v>
      </c>
      <c r="N1" s="8" t="s">
        <v>14</v>
      </c>
      <c r="O1" s="8" t="s">
        <v>18</v>
      </c>
    </row>
    <row r="2" spans="1:15" ht="20.100000000000001" customHeight="1" x14ac:dyDescent="0.25">
      <c r="A2" s="21" t="s">
        <v>60</v>
      </c>
      <c r="B2" s="19" t="s">
        <v>61</v>
      </c>
      <c r="C2" s="11" t="s">
        <v>78</v>
      </c>
      <c r="D2" s="20" t="str">
        <f>IF(LEN(C2)=0,"-",C2)&amp;","&amp;IF(LEN(C3)=0,"-",C3)&amp;","&amp;IF(LEN(C4)=0,"-",C4)&amp;","&amp;IF(LEN(C5)=0,"-",C5)&amp;","&amp;IF(LEN(C6)=0,"-",C6)&amp;","&amp;IF(LEN(C7)=0,"-",C7)&amp;","&amp;IF(LEN(C8)=0,"-",C8)&amp;","&amp;IF(LEN(C9)=0,"-",C9)&amp;","&amp;IF(LEN(C10)=0,"-",C10)&amp;","&amp;IF(LEN(C11)=0,"-",C11)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21">
        <f ca="1">RANDBETWEEN(1,7)</f>
        <v>1</v>
      </c>
      <c r="F2" s="21">
        <v>1</v>
      </c>
      <c r="G2" s="19">
        <f ca="1">(LEN(SUBSTITUTE(C2," ",))+LEN(SUBSTITUTE(C3," ",))+LEN(SUBSTITUTE(C4," ",))+LEN(SUBSTITUTE(C5," ",))+LEN(SUBSTITUTE(C6," ",))+LEN(SUBSTITUTE(C7," ",))+LEN(SUBSTITUTE(C8," ",))+LEN(SUBSTITUTE(C9," ",))+LEN(SUBSTITUTE(C10," ",))+LEN(SUBSTITUTE(C11," ",)))/2*E2*2</f>
        <v>200</v>
      </c>
      <c r="H2" s="19"/>
      <c r="I2" s="19"/>
      <c r="J2" s="20">
        <v>19.399999999999999</v>
      </c>
      <c r="K2" s="20"/>
      <c r="L2" s="20"/>
    </row>
    <row r="3" spans="1:15" ht="20.100000000000001" customHeight="1" x14ac:dyDescent="0.25">
      <c r="A3" s="21"/>
      <c r="B3" s="19"/>
      <c r="C3" s="11" t="s">
        <v>79</v>
      </c>
      <c r="D3" s="20"/>
      <c r="E3" s="21"/>
      <c r="F3" s="21"/>
      <c r="G3" s="19"/>
      <c r="H3" s="19"/>
      <c r="I3" s="19"/>
      <c r="J3" s="20"/>
      <c r="K3" s="20"/>
      <c r="L3" s="20"/>
    </row>
    <row r="4" spans="1:15" ht="20.100000000000001" customHeight="1" x14ac:dyDescent="0.25">
      <c r="A4" s="21"/>
      <c r="B4" s="19"/>
      <c r="C4" s="11" t="s">
        <v>79</v>
      </c>
      <c r="D4" s="20"/>
      <c r="E4" s="21"/>
      <c r="F4" s="21"/>
      <c r="G4" s="19"/>
      <c r="H4" s="19"/>
      <c r="I4" s="19"/>
      <c r="J4" s="20"/>
      <c r="K4" s="20"/>
      <c r="L4" s="20"/>
    </row>
    <row r="5" spans="1:15" ht="20.100000000000001" customHeight="1" x14ac:dyDescent="0.25">
      <c r="A5" s="21"/>
      <c r="B5" s="19"/>
      <c r="C5" s="11" t="s">
        <v>79</v>
      </c>
      <c r="D5" s="20"/>
      <c r="E5" s="21"/>
      <c r="F5" s="21"/>
      <c r="G5" s="19"/>
      <c r="H5" s="19"/>
      <c r="I5" s="19"/>
      <c r="J5" s="20"/>
      <c r="K5" s="20"/>
      <c r="L5" s="20"/>
    </row>
    <row r="6" spans="1:15" ht="20.100000000000001" customHeight="1" x14ac:dyDescent="0.25">
      <c r="A6" s="21"/>
      <c r="B6" s="19"/>
      <c r="C6" s="11" t="s">
        <v>80</v>
      </c>
      <c r="D6" s="20"/>
      <c r="E6" s="21"/>
      <c r="F6" s="21"/>
      <c r="G6" s="19"/>
      <c r="H6" s="19"/>
      <c r="I6" s="19"/>
      <c r="J6" s="20"/>
      <c r="K6" s="20"/>
      <c r="L6" s="20"/>
    </row>
    <row r="7" spans="1:15" ht="20.100000000000001" customHeight="1" x14ac:dyDescent="0.25">
      <c r="A7" s="21"/>
      <c r="B7" s="19"/>
      <c r="C7" s="11" t="s">
        <v>81</v>
      </c>
      <c r="D7" s="20"/>
      <c r="E7" s="21"/>
      <c r="F7" s="21"/>
      <c r="G7" s="19"/>
      <c r="H7" s="19"/>
      <c r="I7" s="19"/>
      <c r="J7" s="20"/>
      <c r="K7" s="20"/>
      <c r="L7" s="20"/>
    </row>
    <row r="8" spans="1:15" ht="20.100000000000001" customHeight="1" x14ac:dyDescent="0.25">
      <c r="A8" s="21"/>
      <c r="B8" s="19"/>
      <c r="C8" s="11" t="s">
        <v>81</v>
      </c>
      <c r="D8" s="20"/>
      <c r="E8" s="21"/>
      <c r="F8" s="21"/>
      <c r="G8" s="19"/>
      <c r="H8" s="19"/>
      <c r="I8" s="19"/>
      <c r="J8" s="20"/>
      <c r="K8" s="20"/>
      <c r="L8" s="20"/>
    </row>
    <row r="9" spans="1:15" ht="20.100000000000001" customHeight="1" x14ac:dyDescent="0.25">
      <c r="A9" s="21"/>
      <c r="B9" s="19"/>
      <c r="C9" s="11" t="s">
        <v>82</v>
      </c>
      <c r="D9" s="20"/>
      <c r="E9" s="21"/>
      <c r="F9" s="21"/>
      <c r="G9" s="19"/>
      <c r="H9" s="19"/>
      <c r="I9" s="19"/>
      <c r="J9" s="20"/>
      <c r="K9" s="20"/>
      <c r="L9" s="20"/>
    </row>
    <row r="10" spans="1:15" ht="20.100000000000001" customHeight="1" x14ac:dyDescent="0.25">
      <c r="A10" s="21"/>
      <c r="B10" s="19"/>
      <c r="C10" s="11" t="s">
        <v>80</v>
      </c>
      <c r="D10" s="20"/>
      <c r="E10" s="21"/>
      <c r="F10" s="21"/>
      <c r="G10" s="19"/>
      <c r="H10" s="19"/>
      <c r="I10" s="19"/>
      <c r="J10" s="20"/>
      <c r="K10" s="20"/>
      <c r="L10" s="20"/>
    </row>
    <row r="11" spans="1:15" ht="20.100000000000001" customHeight="1" x14ac:dyDescent="0.25">
      <c r="A11" s="21"/>
      <c r="B11" s="19"/>
      <c r="C11" s="11" t="s">
        <v>80</v>
      </c>
      <c r="D11" s="20"/>
      <c r="E11" s="21"/>
      <c r="F11" s="21"/>
      <c r="G11" s="19"/>
      <c r="H11" s="19"/>
      <c r="I11" s="19"/>
      <c r="J11" s="20"/>
      <c r="K11" s="20"/>
      <c r="L11" s="20"/>
    </row>
    <row r="12" spans="1:15" ht="20.100000000000001" customHeight="1" x14ac:dyDescent="0.25">
      <c r="A12" s="19" t="s">
        <v>62</v>
      </c>
      <c r="B12" s="19" t="s">
        <v>63</v>
      </c>
      <c r="C12" s="11" t="s">
        <v>83</v>
      </c>
      <c r="D12" s="20" t="str">
        <f>IF(LEN(C12)=0,"-",C12)&amp;","&amp;IF(LEN(C13)=0,"-",C13)&amp;","&amp;IF(LEN(C14)=0,"-",C14)&amp;","&amp;IF(LEN(C15)=0,"-",C15)&amp;","&amp;IF(LEN(C16)=0,"-",C16)</f>
        <v>01 02 03 04 05 06 07 08 09 10,01 02 03 04 05 06 07 08 09 10,01 02 03 04 05 06 07 08 09 10,01 02 03 04 05 06 07 08 09 10,01 02 03 04 05 06 07 08 09 10</v>
      </c>
      <c r="E12" s="21">
        <f t="shared" ref="E3:F32" ca="1" si="0">RANDBETWEEN(1,7)</f>
        <v>7</v>
      </c>
      <c r="F12" s="21">
        <v>1</v>
      </c>
      <c r="G12" s="19">
        <f ca="1">(LEN(SUBSTITUTE(C12," ",))+LEN(SUBSTITUTE(C13," ",))+LEN(SUBSTITUTE(C14," ",))+LEN(SUBSTITUTE(C15," ",))+LEN(SUBSTITUTE(C16," ",)))/2*E12*2</f>
        <v>700</v>
      </c>
      <c r="H12" s="19"/>
      <c r="I12" s="19"/>
      <c r="J12" s="19">
        <v>58665.599999999999</v>
      </c>
      <c r="K12" s="19"/>
      <c r="L12" s="19"/>
      <c r="M12" s="12"/>
      <c r="N12" s="14"/>
    </row>
    <row r="13" spans="1:15" ht="20.100000000000001" customHeight="1" x14ac:dyDescent="0.25">
      <c r="A13" s="19"/>
      <c r="B13" s="19"/>
      <c r="C13" s="11" t="s">
        <v>83</v>
      </c>
      <c r="D13" s="20"/>
      <c r="E13" s="21"/>
      <c r="F13" s="21"/>
      <c r="G13" s="19"/>
      <c r="H13" s="19"/>
      <c r="I13" s="19"/>
      <c r="J13" s="19"/>
      <c r="K13" s="19"/>
      <c r="L13" s="19"/>
      <c r="M13" s="12"/>
      <c r="N13" s="14"/>
    </row>
    <row r="14" spans="1:15" ht="20.100000000000001" customHeight="1" x14ac:dyDescent="0.25">
      <c r="A14" s="19"/>
      <c r="B14" s="19"/>
      <c r="C14" s="11" t="s">
        <v>83</v>
      </c>
      <c r="D14" s="20"/>
      <c r="E14" s="21"/>
      <c r="F14" s="21"/>
      <c r="G14" s="19"/>
      <c r="H14" s="19"/>
      <c r="I14" s="19"/>
      <c r="J14" s="19"/>
      <c r="K14" s="19"/>
      <c r="L14" s="19"/>
      <c r="M14" s="12"/>
      <c r="N14" s="14"/>
    </row>
    <row r="15" spans="1:15" ht="20.100000000000001" customHeight="1" x14ac:dyDescent="0.25">
      <c r="A15" s="19"/>
      <c r="B15" s="19"/>
      <c r="C15" s="11" t="s">
        <v>83</v>
      </c>
      <c r="D15" s="20"/>
      <c r="E15" s="21"/>
      <c r="F15" s="21"/>
      <c r="G15" s="19"/>
      <c r="H15" s="19"/>
      <c r="I15" s="19"/>
      <c r="J15" s="19"/>
      <c r="K15" s="19"/>
      <c r="L15" s="19"/>
      <c r="M15" s="12"/>
      <c r="N15" s="14"/>
    </row>
    <row r="16" spans="1:15" ht="20.100000000000001" customHeight="1" x14ac:dyDescent="0.25">
      <c r="A16" s="19"/>
      <c r="B16" s="19"/>
      <c r="C16" s="11" t="s">
        <v>83</v>
      </c>
      <c r="D16" s="20"/>
      <c r="E16" s="21"/>
      <c r="F16" s="21"/>
      <c r="G16" s="19"/>
      <c r="H16" s="19"/>
      <c r="I16" s="19"/>
      <c r="J16" s="19"/>
      <c r="K16" s="19"/>
      <c r="L16" s="19"/>
      <c r="M16" s="12"/>
      <c r="N16" s="14"/>
    </row>
    <row r="17" spans="1:14" ht="20.100000000000001" customHeight="1" x14ac:dyDescent="0.25">
      <c r="A17" s="19"/>
      <c r="B17" s="8" t="s">
        <v>64</v>
      </c>
      <c r="E17" s="18">
        <f t="shared" ca="1" si="0"/>
        <v>1</v>
      </c>
      <c r="F17" s="8">
        <v>1</v>
      </c>
      <c r="H17" s="12"/>
      <c r="J17" s="11">
        <v>58665.599999999999</v>
      </c>
      <c r="K17" s="12"/>
      <c r="L17" s="10"/>
      <c r="M17" s="12"/>
      <c r="N17" s="14"/>
    </row>
    <row r="18" spans="1:14" ht="20.100000000000001" customHeight="1" x14ac:dyDescent="0.25">
      <c r="A18" s="19" t="s">
        <v>65</v>
      </c>
      <c r="B18" s="19" t="s">
        <v>66</v>
      </c>
      <c r="C18" s="11" t="s">
        <v>78</v>
      </c>
      <c r="D18" s="20" t="str">
        <f>IF(LEN(C18)=0,"-",C18)&amp;","&amp;IF(LEN(C19)=0,"-",C19)&amp;","&amp;IF(LEN(C20)=0,"-",C20)&amp;","&amp;IF(LEN(C21)=0,"-",C21)</f>
        <v>01 02 03 04 05 06 07 08 09 10,01 02 03 04 05 06 07 08 09 10,01 02 03 04 05 06 07 08 09 10,01 02 03 04 05 06 07 08 09 10</v>
      </c>
      <c r="E18" s="21">
        <f t="shared" ca="1" si="0"/>
        <v>1</v>
      </c>
      <c r="F18" s="21">
        <v>1</v>
      </c>
      <c r="G18" s="19">
        <f ca="1">(LEN(SUBSTITUTE(C18," ",))+LEN(SUBSTITUTE(C19," ",))+LEN(SUBSTITUTE(C20," ",))+LEN(SUBSTITUTE(C21," ",)))/2*E18*2</f>
        <v>80</v>
      </c>
      <c r="H18" s="19"/>
      <c r="I18" s="19"/>
      <c r="J18" s="19">
        <v>9777.6</v>
      </c>
      <c r="K18" s="19"/>
      <c r="L18" s="19"/>
      <c r="M18" s="12"/>
      <c r="N18" s="14"/>
    </row>
    <row r="19" spans="1:14" ht="20.100000000000001" customHeight="1" x14ac:dyDescent="0.25">
      <c r="A19" s="19"/>
      <c r="B19" s="19"/>
      <c r="C19" s="11" t="s">
        <v>78</v>
      </c>
      <c r="D19" s="20"/>
      <c r="E19" s="21"/>
      <c r="F19" s="21"/>
      <c r="G19" s="19"/>
      <c r="H19" s="19"/>
      <c r="I19" s="19"/>
      <c r="J19" s="19"/>
      <c r="K19" s="19"/>
      <c r="L19" s="19"/>
      <c r="M19" s="12"/>
      <c r="N19" s="14"/>
    </row>
    <row r="20" spans="1:14" ht="20.100000000000001" customHeight="1" x14ac:dyDescent="0.25">
      <c r="A20" s="19"/>
      <c r="B20" s="19"/>
      <c r="C20" s="11" t="s">
        <v>78</v>
      </c>
      <c r="D20" s="20"/>
      <c r="E20" s="21"/>
      <c r="F20" s="21"/>
      <c r="G20" s="19"/>
      <c r="H20" s="19"/>
      <c r="I20" s="19"/>
      <c r="J20" s="19"/>
      <c r="K20" s="19"/>
      <c r="L20" s="19"/>
      <c r="M20" s="12"/>
      <c r="N20" s="14"/>
    </row>
    <row r="21" spans="1:14" ht="20.100000000000001" customHeight="1" x14ac:dyDescent="0.25">
      <c r="A21" s="19"/>
      <c r="B21" s="19"/>
      <c r="C21" s="11" t="s">
        <v>78</v>
      </c>
      <c r="D21" s="20"/>
      <c r="E21" s="21"/>
      <c r="F21" s="21"/>
      <c r="G21" s="19"/>
      <c r="H21" s="19"/>
      <c r="I21" s="19"/>
      <c r="J21" s="19"/>
      <c r="K21" s="19"/>
      <c r="L21" s="19"/>
      <c r="M21" s="12"/>
      <c r="N21" s="14"/>
    </row>
    <row r="22" spans="1:14" ht="20.100000000000001" customHeight="1" x14ac:dyDescent="0.25">
      <c r="A22" s="19"/>
      <c r="B22" s="8" t="s">
        <v>67</v>
      </c>
      <c r="E22" s="18">
        <f t="shared" ca="1" si="0"/>
        <v>4</v>
      </c>
      <c r="F22" s="8">
        <v>1</v>
      </c>
      <c r="H22" s="12"/>
      <c r="J22" s="11">
        <v>9777.6</v>
      </c>
      <c r="K22" s="12"/>
      <c r="L22" s="10"/>
      <c r="M22" s="12"/>
      <c r="N22" s="14"/>
    </row>
    <row r="23" spans="1:14" ht="20.100000000000001" customHeight="1" x14ac:dyDescent="0.25">
      <c r="A23" s="19" t="s">
        <v>68</v>
      </c>
      <c r="B23" s="19" t="s">
        <v>69</v>
      </c>
      <c r="C23" s="11" t="s">
        <v>78</v>
      </c>
      <c r="D23" s="20" t="str">
        <f>IF(LEN(C23)=0,"-",C23)&amp;","&amp;IF(LEN(C24)=0,"-",C24)&amp;","&amp;IF(LEN(C25)=0,"-",C25)</f>
        <v>01 02 03 04 05 06 07 08 09 10,01 02 03 04 05 06 07 08 09 10,01 02 03 04 05 06 07 08 09 10</v>
      </c>
      <c r="E23" s="21">
        <f t="shared" ca="1" si="0"/>
        <v>3</v>
      </c>
      <c r="F23" s="21">
        <v>1</v>
      </c>
      <c r="G23" s="19">
        <f ca="1">(LEN(SUBSTITUTE(C23," ",))+LEN(SUBSTITUTE(C24," ",))+LEN(SUBSTITUTE(C25," ",)))/2*E23*2</f>
        <v>180</v>
      </c>
      <c r="H23" s="19"/>
      <c r="I23" s="19"/>
      <c r="J23" s="19">
        <v>1396.8</v>
      </c>
      <c r="K23" s="19"/>
      <c r="L23" s="19"/>
      <c r="M23" s="12"/>
      <c r="N23" s="14"/>
    </row>
    <row r="24" spans="1:14" ht="20.100000000000001" customHeight="1" x14ac:dyDescent="0.25">
      <c r="A24" s="19"/>
      <c r="B24" s="19"/>
      <c r="C24" s="11" t="s">
        <v>78</v>
      </c>
      <c r="D24" s="20"/>
      <c r="E24" s="21"/>
      <c r="F24" s="21"/>
      <c r="G24" s="19"/>
      <c r="H24" s="19"/>
      <c r="I24" s="19"/>
      <c r="J24" s="19"/>
      <c r="K24" s="19"/>
      <c r="L24" s="19"/>
      <c r="M24" s="12"/>
      <c r="N24" s="14"/>
    </row>
    <row r="25" spans="1:14" ht="20.100000000000001" customHeight="1" x14ac:dyDescent="0.25">
      <c r="A25" s="19"/>
      <c r="B25" s="19"/>
      <c r="C25" s="11" t="s">
        <v>78</v>
      </c>
      <c r="D25" s="20"/>
      <c r="E25" s="21"/>
      <c r="F25" s="21"/>
      <c r="G25" s="19"/>
      <c r="H25" s="19"/>
      <c r="I25" s="19"/>
      <c r="J25" s="19"/>
      <c r="K25" s="19"/>
      <c r="L25" s="19"/>
      <c r="M25" s="12"/>
      <c r="N25" s="14"/>
    </row>
    <row r="26" spans="1:14" ht="20.100000000000001" customHeight="1" x14ac:dyDescent="0.25">
      <c r="A26" s="19"/>
      <c r="B26" s="8" t="s">
        <v>70</v>
      </c>
      <c r="E26" s="18">
        <f t="shared" ca="1" si="0"/>
        <v>1</v>
      </c>
      <c r="F26" s="8">
        <v>1</v>
      </c>
      <c r="H26" s="12"/>
      <c r="J26" s="11">
        <v>1396.8</v>
      </c>
      <c r="K26" s="12"/>
      <c r="L26" s="10"/>
      <c r="M26" s="12"/>
      <c r="N26" s="14"/>
    </row>
    <row r="27" spans="1:14" ht="20.100000000000001" customHeight="1" x14ac:dyDescent="0.25">
      <c r="A27" s="19" t="s">
        <v>71</v>
      </c>
      <c r="B27" s="19" t="s">
        <v>66</v>
      </c>
      <c r="C27" s="11" t="s">
        <v>78</v>
      </c>
      <c r="D27" s="20" t="str">
        <f>IF(LEN(C27)=0,"-",C27)&amp;","&amp;IF(LEN(C28)=0,"-",C28)</f>
        <v>01 02 03 04 05 06 07 08 09 10,01 02 03 04 05 06 07 08 09 10</v>
      </c>
      <c r="E27" s="21">
        <f t="shared" ca="1" si="0"/>
        <v>7</v>
      </c>
      <c r="F27" s="21">
        <v>1</v>
      </c>
      <c r="G27" s="19">
        <f ca="1">(LEN(SUBSTITUTE(C27," ",))+LEN(SUBSTITUTE(C28," ",)))/2*E27*2</f>
        <v>280</v>
      </c>
      <c r="H27" s="19"/>
      <c r="I27" s="19"/>
      <c r="J27" s="19">
        <v>174.6</v>
      </c>
      <c r="K27" s="19"/>
      <c r="L27" s="19"/>
      <c r="M27" s="12"/>
      <c r="N27" s="14"/>
    </row>
    <row r="28" spans="1:14" ht="20.100000000000001" customHeight="1" x14ac:dyDescent="0.25">
      <c r="A28" s="19"/>
      <c r="B28" s="19"/>
      <c r="C28" s="11" t="s">
        <v>78</v>
      </c>
      <c r="D28" s="20"/>
      <c r="E28" s="21"/>
      <c r="F28" s="21"/>
      <c r="G28" s="19"/>
      <c r="H28" s="19"/>
      <c r="I28" s="19"/>
      <c r="J28" s="19"/>
      <c r="K28" s="19"/>
      <c r="L28" s="19"/>
      <c r="M28" s="12"/>
      <c r="N28" s="14"/>
    </row>
    <row r="29" spans="1:14" ht="20.100000000000001" customHeight="1" x14ac:dyDescent="0.25">
      <c r="A29" s="19"/>
      <c r="B29" s="8" t="s">
        <v>70</v>
      </c>
      <c r="E29" s="18">
        <f t="shared" ca="1" si="0"/>
        <v>4</v>
      </c>
      <c r="F29" s="8">
        <v>1</v>
      </c>
      <c r="J29" s="11">
        <v>174.6</v>
      </c>
    </row>
    <row r="30" spans="1:14" ht="20.100000000000001" customHeight="1" x14ac:dyDescent="0.25">
      <c r="A30" s="8" t="s">
        <v>72</v>
      </c>
      <c r="B30" s="8" t="s">
        <v>73</v>
      </c>
      <c r="C30" s="11" t="s">
        <v>78</v>
      </c>
      <c r="E30" s="18">
        <f t="shared" ca="1" si="0"/>
        <v>5</v>
      </c>
      <c r="F30" s="8">
        <v>1</v>
      </c>
      <c r="G30" s="16">
        <f ca="1">LEN(SUBSTITUTE(C28," ",))/2*E30*2</f>
        <v>100</v>
      </c>
      <c r="J30" s="11">
        <v>19.399999999999999</v>
      </c>
    </row>
    <row r="31" spans="1:14" ht="20.100000000000001" customHeight="1" x14ac:dyDescent="0.25">
      <c r="A31" s="19" t="s">
        <v>74</v>
      </c>
      <c r="B31" s="19" t="s">
        <v>75</v>
      </c>
      <c r="C31" s="11" t="s">
        <v>84</v>
      </c>
      <c r="D31" s="20" t="str">
        <f>IF(LEN(C31)=0,"-",C31)&amp;","&amp;IF(LEN(C32)=0,"-",C32)</f>
        <v>和大 和小 和单 和双,03 04 05 06 07 08 09 10 11 12 13 14 15 16 17 18 19</v>
      </c>
      <c r="E31" s="19">
        <v>1</v>
      </c>
      <c r="F31" s="21">
        <f t="shared" ca="1" si="0"/>
        <v>6</v>
      </c>
      <c r="G31" s="19">
        <f ca="1">(LEN(SUBSTITUTE(C31," ",))+LEN(SUBSTITUTE(C32," ",)))/2*F31</f>
        <v>126</v>
      </c>
      <c r="H31" s="19"/>
      <c r="I31" s="19"/>
      <c r="J31" s="19"/>
      <c r="K31" s="19"/>
      <c r="L31" s="19"/>
    </row>
    <row r="32" spans="1:14" s="16" customFormat="1" ht="33" customHeight="1" x14ac:dyDescent="0.25">
      <c r="A32" s="19"/>
      <c r="B32" s="19"/>
      <c r="C32" s="11" t="s">
        <v>85</v>
      </c>
      <c r="D32" s="20"/>
      <c r="E32" s="19"/>
      <c r="F32" s="21"/>
      <c r="G32" s="19"/>
      <c r="H32" s="19"/>
      <c r="I32" s="19"/>
      <c r="J32" s="19"/>
      <c r="K32" s="19"/>
      <c r="L32" s="19"/>
      <c r="N32" s="17"/>
    </row>
    <row r="33" spans="1:14" ht="20.100000000000001" customHeight="1" x14ac:dyDescent="0.25">
      <c r="A33" s="19" t="s">
        <v>76</v>
      </c>
      <c r="B33" s="19" t="s">
        <v>77</v>
      </c>
      <c r="C33" s="11" t="s">
        <v>86</v>
      </c>
      <c r="D33" s="20" t="str">
        <f>IF(LEN(C33)=0,"-",C33)&amp;","&amp;IF(LEN(C34)=0,"-",C34)&amp;","&amp;IF(LEN(C35)=0,"-",C35)&amp;","&amp;IF(LEN(C36)=0,"-",C36)&amp;","&amp;IF(LEN(C37)=0,"-",C37)&amp;","&amp;IF(LEN(C38)=0,"-",C38)&amp;","&amp;IF(LEN(C39)=0,"-",C39)&amp;","&amp;IF(LEN(C40)=0,"-",C40)&amp;","&amp;IF(LEN(C41)=0,"-",C41)&amp;","&amp;IF(LEN(C42)=0,"-",C42)</f>
        <v>大 小 单 双 龙 虎,大 小 单 双 龙 虎,大 小 单 双 龙 虎,大 小 单 双 龙 虎,大 小 单 双 龙 虎,大 小 单 双,大 小 单 双,大 小 单 双,大 小 单 双,大 小 单 双</v>
      </c>
      <c r="E33" s="19">
        <v>1</v>
      </c>
      <c r="F33" s="21">
        <f t="shared" ref="F33:F42" ca="1" si="1">RANDBETWEEN(1,7)</f>
        <v>5</v>
      </c>
      <c r="G33" s="19">
        <f ca="1"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250</v>
      </c>
      <c r="H33" s="19"/>
      <c r="I33" s="19"/>
      <c r="J33" s="19"/>
      <c r="K33" s="19"/>
      <c r="L33" s="19"/>
    </row>
    <row r="34" spans="1:14" ht="20.100000000000001" customHeight="1" x14ac:dyDescent="0.25">
      <c r="A34" s="19"/>
      <c r="B34" s="19"/>
      <c r="C34" s="11" t="s">
        <v>86</v>
      </c>
      <c r="D34" s="20"/>
      <c r="E34" s="19"/>
      <c r="F34" s="21"/>
      <c r="G34" s="19"/>
      <c r="H34" s="19"/>
      <c r="I34" s="19"/>
      <c r="J34" s="19"/>
      <c r="K34" s="19"/>
      <c r="L34" s="19"/>
    </row>
    <row r="35" spans="1:14" ht="20.100000000000001" customHeight="1" x14ac:dyDescent="0.25">
      <c r="A35" s="19"/>
      <c r="B35" s="19"/>
      <c r="C35" s="11" t="s">
        <v>86</v>
      </c>
      <c r="D35" s="20"/>
      <c r="E35" s="19"/>
      <c r="F35" s="21"/>
      <c r="G35" s="19"/>
      <c r="H35" s="19"/>
      <c r="I35" s="19"/>
      <c r="J35" s="19"/>
      <c r="K35" s="19"/>
      <c r="L35" s="19"/>
    </row>
    <row r="36" spans="1:14" ht="20.100000000000001" customHeight="1" x14ac:dyDescent="0.25">
      <c r="A36" s="19"/>
      <c r="B36" s="19"/>
      <c r="C36" s="11" t="s">
        <v>86</v>
      </c>
      <c r="D36" s="20"/>
      <c r="E36" s="19"/>
      <c r="F36" s="21"/>
      <c r="G36" s="19"/>
      <c r="H36" s="19"/>
      <c r="I36" s="19"/>
      <c r="J36" s="19"/>
      <c r="K36" s="19"/>
      <c r="L36" s="19"/>
    </row>
    <row r="37" spans="1:14" ht="20.100000000000001" customHeight="1" x14ac:dyDescent="0.25">
      <c r="A37" s="19"/>
      <c r="B37" s="19"/>
      <c r="C37" s="11" t="s">
        <v>86</v>
      </c>
      <c r="D37" s="20"/>
      <c r="E37" s="19"/>
      <c r="F37" s="21"/>
      <c r="G37" s="19"/>
      <c r="H37" s="19"/>
      <c r="I37" s="19"/>
      <c r="J37" s="19"/>
      <c r="K37" s="19"/>
      <c r="L37" s="19"/>
      <c r="N37" s="14"/>
    </row>
    <row r="38" spans="1:14" ht="20.100000000000001" customHeight="1" x14ac:dyDescent="0.25">
      <c r="A38" s="19"/>
      <c r="B38" s="19"/>
      <c r="C38" s="11" t="s">
        <v>87</v>
      </c>
      <c r="D38" s="20"/>
      <c r="E38" s="19"/>
      <c r="F38" s="21"/>
      <c r="G38" s="19"/>
      <c r="H38" s="19"/>
      <c r="I38" s="19"/>
      <c r="J38" s="19"/>
      <c r="K38" s="19"/>
      <c r="L38" s="19"/>
      <c r="N38" s="14"/>
    </row>
    <row r="39" spans="1:14" ht="20.100000000000001" customHeight="1" x14ac:dyDescent="0.25">
      <c r="A39" s="19"/>
      <c r="B39" s="19"/>
      <c r="C39" s="11" t="s">
        <v>87</v>
      </c>
      <c r="D39" s="20"/>
      <c r="E39" s="19"/>
      <c r="F39" s="21"/>
      <c r="G39" s="19"/>
      <c r="H39" s="19"/>
      <c r="I39" s="19"/>
      <c r="J39" s="19"/>
      <c r="K39" s="19"/>
      <c r="L39" s="19"/>
    </row>
    <row r="40" spans="1:14" ht="20.100000000000001" customHeight="1" x14ac:dyDescent="0.25">
      <c r="A40" s="19"/>
      <c r="B40" s="19"/>
      <c r="C40" s="11" t="s">
        <v>87</v>
      </c>
      <c r="D40" s="20"/>
      <c r="E40" s="19"/>
      <c r="F40" s="21"/>
      <c r="G40" s="19"/>
      <c r="H40" s="19"/>
      <c r="I40" s="19"/>
      <c r="J40" s="19"/>
      <c r="K40" s="19"/>
      <c r="L40" s="19"/>
    </row>
    <row r="41" spans="1:14" ht="20.100000000000001" customHeight="1" x14ac:dyDescent="0.25">
      <c r="A41" s="19"/>
      <c r="B41" s="19"/>
      <c r="C41" s="11" t="s">
        <v>87</v>
      </c>
      <c r="D41" s="20"/>
      <c r="E41" s="19"/>
      <c r="F41" s="21"/>
      <c r="G41" s="19"/>
      <c r="H41" s="19"/>
      <c r="I41" s="19"/>
      <c r="J41" s="19"/>
      <c r="K41" s="19"/>
      <c r="L41" s="19"/>
    </row>
    <row r="42" spans="1:14" ht="20.100000000000001" customHeight="1" x14ac:dyDescent="0.25">
      <c r="A42" s="19"/>
      <c r="B42" s="19"/>
      <c r="C42" s="11" t="s">
        <v>87</v>
      </c>
      <c r="D42" s="20"/>
      <c r="E42" s="19"/>
      <c r="F42" s="21"/>
      <c r="G42" s="19"/>
      <c r="H42" s="19"/>
      <c r="I42" s="19"/>
      <c r="J42" s="19"/>
      <c r="K42" s="19"/>
      <c r="L42" s="19"/>
    </row>
    <row r="43" spans="1:14" ht="20.100000000000001" customHeight="1" x14ac:dyDescent="0.25">
      <c r="A43" s="12"/>
      <c r="B43" s="10"/>
      <c r="E43" s="16"/>
      <c r="J43" s="9"/>
    </row>
    <row r="44" spans="1:14" ht="20.100000000000001" customHeight="1" x14ac:dyDescent="0.25">
      <c r="A44" s="13"/>
      <c r="B44" s="10"/>
      <c r="J44" s="11"/>
    </row>
    <row r="45" spans="1:14" ht="20.100000000000001" customHeight="1" x14ac:dyDescent="0.25">
      <c r="A45" s="13"/>
      <c r="B45" s="10"/>
      <c r="J45" s="11"/>
    </row>
    <row r="46" spans="1:14" ht="20.100000000000001" customHeight="1" x14ac:dyDescent="0.25">
      <c r="A46" s="13"/>
      <c r="B46" s="10"/>
      <c r="G46" s="17"/>
      <c r="H46" s="12"/>
      <c r="J46" s="11"/>
      <c r="N46" s="15"/>
    </row>
    <row r="47" spans="1:14" ht="20.100000000000001" customHeight="1" x14ac:dyDescent="0.25">
      <c r="A47" s="13"/>
      <c r="B47" s="10"/>
      <c r="G47" s="17"/>
      <c r="H47" s="12"/>
      <c r="J47" s="11"/>
      <c r="N47" s="14"/>
    </row>
    <row r="48" spans="1:14" ht="20.100000000000001" customHeight="1" x14ac:dyDescent="0.25">
      <c r="A48" s="13"/>
      <c r="B48" s="10"/>
      <c r="G48" s="17"/>
      <c r="H48" s="12"/>
      <c r="J48" s="11"/>
      <c r="N48" s="14"/>
    </row>
    <row r="49" spans="1:14" ht="20.100000000000001" customHeight="1" x14ac:dyDescent="0.25">
      <c r="A49" s="13"/>
      <c r="B49" s="10"/>
      <c r="G49" s="17"/>
      <c r="J49" s="11"/>
    </row>
    <row r="50" spans="1:14" ht="33" customHeight="1" x14ac:dyDescent="0.25">
      <c r="A50" s="13"/>
      <c r="B50" s="10"/>
      <c r="G50" s="17"/>
      <c r="J50" s="11"/>
    </row>
    <row r="51" spans="1:14" ht="20.100000000000001" customHeight="1" x14ac:dyDescent="0.25">
      <c r="A51" s="13"/>
      <c r="B51" s="10"/>
      <c r="G51" s="17"/>
      <c r="J51" s="11"/>
    </row>
    <row r="52" spans="1:14" ht="20.100000000000001" customHeight="1" x14ac:dyDescent="0.25">
      <c r="A52" s="13"/>
      <c r="B52" s="10"/>
      <c r="G52" s="17"/>
      <c r="J52" s="11"/>
    </row>
    <row r="53" spans="1:14" ht="20.100000000000001" customHeight="1" x14ac:dyDescent="0.25">
      <c r="A53" s="13"/>
      <c r="B53" s="10"/>
      <c r="G53" s="17"/>
      <c r="J53" s="11"/>
    </row>
    <row r="54" spans="1:14" ht="20.100000000000001" customHeight="1" x14ac:dyDescent="0.25">
      <c r="A54" s="13"/>
      <c r="B54" s="10"/>
      <c r="G54" s="17"/>
      <c r="J54" s="11"/>
    </row>
    <row r="55" spans="1:14" ht="20.100000000000001" customHeight="1" x14ac:dyDescent="0.25">
      <c r="A55" s="13"/>
      <c r="B55" s="10"/>
      <c r="G55" s="17"/>
      <c r="J55" s="9"/>
    </row>
    <row r="56" spans="1:14" ht="20.100000000000001" customHeight="1" x14ac:dyDescent="0.25">
      <c r="A56" s="13"/>
      <c r="B56" s="10"/>
      <c r="G56" s="17"/>
      <c r="J56" s="9"/>
    </row>
    <row r="57" spans="1:14" ht="20.100000000000001" customHeight="1" x14ac:dyDescent="0.25">
      <c r="A57" s="13"/>
      <c r="B57" s="10"/>
      <c r="G57" s="17"/>
      <c r="J57" s="9"/>
    </row>
    <row r="58" spans="1:14" ht="20.100000000000001" customHeight="1" x14ac:dyDescent="0.25">
      <c r="A58" s="13"/>
      <c r="B58" s="10"/>
      <c r="G58" s="17"/>
      <c r="J58" s="9"/>
    </row>
    <row r="59" spans="1:14" ht="20.100000000000001" customHeight="1" x14ac:dyDescent="0.25">
      <c r="A59" s="13"/>
      <c r="B59" s="10"/>
      <c r="G59" s="17"/>
      <c r="J59" s="9"/>
    </row>
    <row r="60" spans="1:14" ht="20.100000000000001" customHeight="1" x14ac:dyDescent="0.25">
      <c r="A60" s="13"/>
      <c r="B60" s="10"/>
      <c r="G60" s="17"/>
      <c r="J60" s="9"/>
    </row>
    <row r="61" spans="1:14" ht="20.100000000000001" customHeight="1" x14ac:dyDescent="0.25">
      <c r="A61" s="13"/>
      <c r="B61" s="10"/>
      <c r="H61" s="12"/>
      <c r="J61" s="9"/>
      <c r="N61" s="14"/>
    </row>
    <row r="62" spans="1:14" ht="20.100000000000001" customHeight="1" x14ac:dyDescent="0.25">
      <c r="A62" s="13"/>
      <c r="B62" s="10"/>
      <c r="H62" s="12"/>
      <c r="J62" s="9"/>
      <c r="N62" s="14"/>
    </row>
    <row r="63" spans="1:14" ht="20.100000000000001" customHeight="1" x14ac:dyDescent="0.25">
      <c r="A63" s="13"/>
      <c r="B63" s="10"/>
      <c r="H63" s="12"/>
      <c r="J63" s="9"/>
      <c r="N63" s="14"/>
    </row>
    <row r="64" spans="1:14" ht="20.100000000000001" customHeight="1" x14ac:dyDescent="0.25">
      <c r="A64" s="13"/>
      <c r="B64" s="10"/>
      <c r="J64" s="9"/>
    </row>
    <row r="65" spans="1:14" ht="20.100000000000001" customHeight="1" x14ac:dyDescent="0.25">
      <c r="A65" s="13"/>
      <c r="B65" s="10"/>
      <c r="J65" s="11"/>
    </row>
    <row r="66" spans="1:14" ht="20.100000000000001" customHeight="1" x14ac:dyDescent="0.25">
      <c r="A66" s="13"/>
      <c r="B66" s="10"/>
      <c r="J66" s="9"/>
    </row>
    <row r="67" spans="1:14" ht="20.100000000000001" customHeight="1" x14ac:dyDescent="0.25">
      <c r="A67" s="13"/>
      <c r="B67" s="10"/>
      <c r="J67" s="11"/>
    </row>
    <row r="68" spans="1:14" ht="20.100000000000001" customHeight="1" x14ac:dyDescent="0.25">
      <c r="A68" s="13"/>
      <c r="B68" s="10"/>
      <c r="J68" s="9"/>
    </row>
    <row r="69" spans="1:14" ht="20.100000000000001" customHeight="1" x14ac:dyDescent="0.25">
      <c r="A69" s="13"/>
      <c r="B69" s="10"/>
      <c r="J69" s="9"/>
    </row>
    <row r="70" spans="1:14" ht="20.100000000000001" customHeight="1" x14ac:dyDescent="0.25">
      <c r="A70" s="13"/>
      <c r="B70" s="10"/>
      <c r="J70" s="9"/>
    </row>
    <row r="71" spans="1:14" ht="20.100000000000001" customHeight="1" x14ac:dyDescent="0.25">
      <c r="A71" s="13"/>
      <c r="B71" s="10"/>
      <c r="J71" s="9"/>
    </row>
    <row r="72" spans="1:14" ht="20.100000000000001" customHeight="1" x14ac:dyDescent="0.25">
      <c r="A72" s="13"/>
      <c r="B72" s="10"/>
      <c r="J72" s="9"/>
    </row>
    <row r="73" spans="1:14" ht="20.100000000000001" customHeight="1" x14ac:dyDescent="0.25">
      <c r="A73" s="13"/>
      <c r="B73" s="10"/>
      <c r="J73" s="9"/>
    </row>
    <row r="74" spans="1:14" ht="20.100000000000001" customHeight="1" x14ac:dyDescent="0.25">
      <c r="A74" s="13"/>
      <c r="B74" s="10"/>
      <c r="J74" s="9"/>
    </row>
    <row r="75" spans="1:14" ht="20.100000000000001" customHeight="1" x14ac:dyDescent="0.25">
      <c r="A75" s="13"/>
      <c r="B75" s="10"/>
      <c r="J75" s="9"/>
    </row>
    <row r="76" spans="1:14" ht="20.100000000000001" customHeight="1" x14ac:dyDescent="0.25">
      <c r="A76" s="13"/>
      <c r="B76" s="10"/>
      <c r="H76" s="12"/>
      <c r="J76" s="9"/>
      <c r="N76" s="14"/>
    </row>
    <row r="77" spans="1:14" ht="20.100000000000001" customHeight="1" x14ac:dyDescent="0.25">
      <c r="A77" s="13"/>
      <c r="B77" s="10"/>
      <c r="H77" s="12"/>
      <c r="J77" s="9"/>
      <c r="N77" s="14"/>
    </row>
    <row r="78" spans="1:14" ht="20.100000000000001" customHeight="1" x14ac:dyDescent="0.25">
      <c r="A78" s="13"/>
      <c r="B78" s="10"/>
      <c r="H78" s="12"/>
      <c r="J78" s="9"/>
      <c r="N78" s="14"/>
    </row>
    <row r="79" spans="1:14" ht="20.100000000000001" customHeight="1" x14ac:dyDescent="0.25">
      <c r="A79" s="13"/>
      <c r="B79" s="10"/>
      <c r="J79" s="9"/>
    </row>
    <row r="80" spans="1:14" ht="20.100000000000001" customHeight="1" x14ac:dyDescent="0.25">
      <c r="A80" s="13"/>
      <c r="B80" s="10"/>
      <c r="J80" s="11"/>
    </row>
    <row r="81" spans="1:14" ht="20.100000000000001" customHeight="1" x14ac:dyDescent="0.25">
      <c r="A81" s="13"/>
      <c r="B81" s="10"/>
      <c r="J81" s="9"/>
    </row>
    <row r="82" spans="1:14" ht="20.100000000000001" customHeight="1" x14ac:dyDescent="0.25">
      <c r="A82" s="13"/>
      <c r="B82" s="10"/>
      <c r="J82" s="11"/>
    </row>
    <row r="83" spans="1:14" ht="20.100000000000001" customHeight="1" x14ac:dyDescent="0.25">
      <c r="A83" s="13"/>
      <c r="B83" s="10"/>
      <c r="J83" s="9"/>
    </row>
    <row r="84" spans="1:14" ht="20.100000000000001" customHeight="1" x14ac:dyDescent="0.25">
      <c r="A84" s="13"/>
      <c r="B84" s="10"/>
      <c r="J84" s="9"/>
    </row>
    <row r="85" spans="1:14" ht="20.100000000000001" customHeight="1" x14ac:dyDescent="0.25">
      <c r="A85" s="13"/>
      <c r="B85" s="10"/>
      <c r="J85" s="9"/>
    </row>
    <row r="86" spans="1:14" ht="20.100000000000001" customHeight="1" x14ac:dyDescent="0.25">
      <c r="A86" s="13"/>
      <c r="B86" s="10"/>
      <c r="J86" s="9"/>
    </row>
    <row r="87" spans="1:14" ht="20.100000000000001" customHeight="1" x14ac:dyDescent="0.25">
      <c r="A87" s="13"/>
      <c r="B87" s="10"/>
      <c r="J87" s="9"/>
    </row>
    <row r="88" spans="1:14" ht="20.100000000000001" customHeight="1" x14ac:dyDescent="0.25">
      <c r="A88" s="13"/>
      <c r="B88" s="10"/>
      <c r="J88" s="9"/>
    </row>
    <row r="89" spans="1:14" ht="20.100000000000001" customHeight="1" x14ac:dyDescent="0.25">
      <c r="A89" s="13"/>
      <c r="B89" s="10"/>
      <c r="J89" s="9"/>
    </row>
    <row r="90" spans="1:14" ht="20.100000000000001" customHeight="1" x14ac:dyDescent="0.25">
      <c r="A90" s="13"/>
      <c r="B90" s="10"/>
      <c r="J90" s="9"/>
    </row>
    <row r="91" spans="1:14" ht="20.100000000000001" customHeight="1" x14ac:dyDescent="0.25">
      <c r="A91" s="13"/>
      <c r="B91" s="10"/>
      <c r="H91" s="12"/>
      <c r="J91" s="9"/>
      <c r="N91" s="14"/>
    </row>
    <row r="92" spans="1:14" ht="20.100000000000001" customHeight="1" x14ac:dyDescent="0.25">
      <c r="A92" s="13"/>
      <c r="B92" s="10"/>
      <c r="H92" s="12"/>
      <c r="J92" s="9"/>
      <c r="N92" s="14"/>
    </row>
    <row r="93" spans="1:14" ht="20.100000000000001" customHeight="1" x14ac:dyDescent="0.25">
      <c r="A93" s="13"/>
      <c r="B93" s="10"/>
      <c r="H93" s="12"/>
      <c r="J93" s="9"/>
      <c r="N93" s="14"/>
    </row>
    <row r="94" spans="1:14" ht="20.100000000000001" customHeight="1" x14ac:dyDescent="0.25">
      <c r="A94" s="13"/>
      <c r="B94" s="10"/>
      <c r="H94" s="12"/>
      <c r="J94" s="9"/>
      <c r="N94" s="14"/>
    </row>
    <row r="95" spans="1:14" ht="20.100000000000001" customHeight="1" x14ac:dyDescent="0.25">
      <c r="A95" s="13"/>
      <c r="B95" s="10"/>
      <c r="J95" s="9"/>
    </row>
    <row r="96" spans="1:14" ht="20.100000000000001" customHeight="1" x14ac:dyDescent="0.25">
      <c r="A96" s="13"/>
      <c r="B96" s="10"/>
      <c r="J96" s="9"/>
    </row>
    <row r="97" spans="1:14" ht="20.100000000000001" customHeight="1" x14ac:dyDescent="0.25">
      <c r="A97" s="13"/>
      <c r="B97" s="10"/>
      <c r="H97" s="13"/>
      <c r="J97" s="9"/>
      <c r="N97" s="14"/>
    </row>
    <row r="98" spans="1:14" ht="20.100000000000001" customHeight="1" x14ac:dyDescent="0.25">
      <c r="A98" s="13"/>
      <c r="B98" s="10"/>
      <c r="H98" s="12"/>
      <c r="J98" s="9"/>
      <c r="N98" s="14"/>
    </row>
    <row r="99" spans="1:14" ht="20.100000000000001" customHeight="1" x14ac:dyDescent="0.25">
      <c r="A99" s="13"/>
      <c r="B99" s="10"/>
      <c r="H99" s="10"/>
      <c r="J99" s="9"/>
    </row>
    <row r="100" spans="1:14" ht="20.100000000000001" customHeight="1" x14ac:dyDescent="0.25">
      <c r="A100" s="13"/>
      <c r="B100" s="10"/>
      <c r="H100" s="13"/>
      <c r="J100" s="9"/>
      <c r="N100" s="14"/>
    </row>
    <row r="101" spans="1:14" ht="20.100000000000001" customHeight="1" x14ac:dyDescent="0.25">
      <c r="A101" s="13"/>
      <c r="B101" s="10"/>
      <c r="H101" s="12"/>
      <c r="J101" s="9"/>
      <c r="N101" s="14"/>
    </row>
    <row r="102" spans="1:14" ht="20.100000000000001" customHeight="1" x14ac:dyDescent="0.25">
      <c r="A102" s="13"/>
      <c r="B102" s="10"/>
      <c r="J102" s="9"/>
    </row>
    <row r="103" spans="1:14" ht="20.100000000000001" customHeight="1" x14ac:dyDescent="0.25">
      <c r="A103" s="13"/>
      <c r="B103" s="10"/>
      <c r="J103" s="9"/>
    </row>
    <row r="104" spans="1:14" ht="20.100000000000001" customHeight="1" x14ac:dyDescent="0.25">
      <c r="A104" s="13"/>
      <c r="B104" s="10"/>
      <c r="H104" s="12"/>
      <c r="J104" s="9"/>
      <c r="N104" s="14"/>
    </row>
    <row r="105" spans="1:14" ht="20.100000000000001" customHeight="1" x14ac:dyDescent="0.25">
      <c r="A105" s="13"/>
      <c r="B105" s="10"/>
      <c r="H105" s="12"/>
      <c r="J105" s="9"/>
      <c r="N105" s="14"/>
    </row>
    <row r="106" spans="1:14" ht="20.100000000000001" customHeight="1" x14ac:dyDescent="0.25">
      <c r="A106" s="13"/>
      <c r="B106" s="10"/>
      <c r="H106" s="12"/>
      <c r="J106" s="9"/>
      <c r="N106" s="14"/>
    </row>
    <row r="107" spans="1:14" ht="20.100000000000001" customHeight="1" x14ac:dyDescent="0.25">
      <c r="A107" s="13"/>
      <c r="B107" s="10"/>
      <c r="H107" s="12"/>
      <c r="J107" s="9"/>
      <c r="N107" s="14"/>
    </row>
    <row r="108" spans="1:14" ht="20.100000000000001" customHeight="1" x14ac:dyDescent="0.25">
      <c r="A108" s="13"/>
      <c r="B108" s="10"/>
      <c r="H108" s="12"/>
      <c r="J108" s="9"/>
      <c r="N108" s="14"/>
    </row>
    <row r="109" spans="1:14" ht="20.100000000000001" customHeight="1" x14ac:dyDescent="0.25">
      <c r="A109" s="13"/>
      <c r="B109" s="10"/>
      <c r="J109" s="9"/>
    </row>
    <row r="110" spans="1:14" ht="20.100000000000001" customHeight="1" x14ac:dyDescent="0.25">
      <c r="A110" s="13"/>
      <c r="B110" s="10"/>
      <c r="J110" s="9"/>
    </row>
    <row r="111" spans="1:14" ht="20.100000000000001" customHeight="1" x14ac:dyDescent="0.25">
      <c r="A111" s="13"/>
      <c r="B111" s="10"/>
      <c r="H111" s="12"/>
      <c r="J111" s="9"/>
      <c r="N111" s="14"/>
    </row>
    <row r="112" spans="1:14" ht="20.100000000000001" customHeight="1" x14ac:dyDescent="0.25">
      <c r="A112" s="13"/>
      <c r="B112" s="10"/>
      <c r="H112" s="12"/>
      <c r="J112" s="9"/>
      <c r="N112" s="14"/>
    </row>
    <row r="113" spans="1:14" ht="20.100000000000001" customHeight="1" x14ac:dyDescent="0.25">
      <c r="A113" s="13"/>
      <c r="B113" s="10"/>
      <c r="H113" s="12"/>
      <c r="J113" s="9"/>
      <c r="N113" s="14"/>
    </row>
    <row r="114" spans="1:14" ht="20.100000000000001" customHeight="1" x14ac:dyDescent="0.25">
      <c r="A114" s="13"/>
      <c r="B114" s="10"/>
      <c r="H114" s="12"/>
      <c r="J114" s="9"/>
      <c r="N114" s="14"/>
    </row>
    <row r="115" spans="1:14" ht="20.100000000000001" customHeight="1" x14ac:dyDescent="0.25">
      <c r="A115" s="13"/>
      <c r="B115" s="10"/>
      <c r="H115" s="12"/>
      <c r="J115" s="9"/>
      <c r="N115" s="14"/>
    </row>
    <row r="116" spans="1:14" ht="20.100000000000001" customHeight="1" x14ac:dyDescent="0.25">
      <c r="A116" s="13"/>
      <c r="B116" s="10"/>
      <c r="H116" s="12"/>
      <c r="J116" s="9"/>
      <c r="N116" s="14"/>
    </row>
    <row r="117" spans="1:14" ht="20.100000000000001" customHeight="1" x14ac:dyDescent="0.25">
      <c r="A117" s="13"/>
      <c r="B117" s="10"/>
      <c r="H117" s="12"/>
      <c r="J117" s="9"/>
      <c r="N117" s="14"/>
    </row>
    <row r="118" spans="1:14" ht="20.100000000000001" customHeight="1" x14ac:dyDescent="0.25">
      <c r="A118" s="13"/>
      <c r="B118" s="10"/>
      <c r="H118" s="12"/>
      <c r="J118" s="9"/>
      <c r="N118" s="14"/>
    </row>
    <row r="119" spans="1:14" ht="20.100000000000001" customHeight="1" x14ac:dyDescent="0.25">
      <c r="A119" s="13"/>
      <c r="B119" s="10"/>
      <c r="H119" s="12"/>
      <c r="J119" s="9"/>
      <c r="N119" s="14"/>
    </row>
    <row r="120" spans="1:14" ht="20.100000000000001" customHeight="1" x14ac:dyDescent="0.25">
      <c r="A120" s="13"/>
      <c r="B120" s="10"/>
      <c r="H120" s="12"/>
      <c r="J120" s="9"/>
      <c r="N120" s="14"/>
    </row>
    <row r="121" spans="1:14" ht="20.100000000000001" customHeight="1" x14ac:dyDescent="0.25">
      <c r="A121" s="13"/>
      <c r="B121" s="10"/>
      <c r="J121" s="9"/>
    </row>
    <row r="122" spans="1:14" ht="20.100000000000001" customHeight="1" x14ac:dyDescent="0.25">
      <c r="A122" s="13"/>
      <c r="B122" s="10"/>
      <c r="J122" s="9"/>
    </row>
    <row r="123" spans="1:14" ht="20.100000000000001" customHeight="1" x14ac:dyDescent="0.25">
      <c r="A123" s="13"/>
      <c r="B123" s="10"/>
      <c r="J123" s="9"/>
    </row>
    <row r="124" spans="1:14" ht="20.100000000000001" customHeight="1" x14ac:dyDescent="0.25">
      <c r="A124" s="13"/>
      <c r="B124" s="10"/>
      <c r="J124" s="9"/>
    </row>
    <row r="125" spans="1:14" ht="20.100000000000001" customHeight="1" x14ac:dyDescent="0.25">
      <c r="A125" s="13"/>
      <c r="B125" s="10"/>
      <c r="J125" s="9"/>
    </row>
    <row r="126" spans="1:14" ht="20.100000000000001" customHeight="1" x14ac:dyDescent="0.25">
      <c r="A126" s="13"/>
      <c r="B126" s="10"/>
      <c r="J126" s="9"/>
    </row>
    <row r="127" spans="1:14" ht="20.100000000000001" customHeight="1" x14ac:dyDescent="0.25">
      <c r="A127" s="13"/>
      <c r="B127" s="10"/>
      <c r="J127" s="9"/>
    </row>
    <row r="128" spans="1:14" ht="20.100000000000001" customHeight="1" x14ac:dyDescent="0.25">
      <c r="A128" s="13"/>
      <c r="B128" s="10"/>
      <c r="H128" s="12"/>
      <c r="J128" s="9"/>
      <c r="N128" s="14"/>
    </row>
    <row r="129" spans="1:14" ht="20.100000000000001" customHeight="1" x14ac:dyDescent="0.25">
      <c r="A129" s="13"/>
      <c r="B129" s="10"/>
      <c r="H129" s="12"/>
      <c r="J129" s="9"/>
      <c r="N129" s="14"/>
    </row>
    <row r="130" spans="1:14" ht="20.100000000000001" customHeight="1" x14ac:dyDescent="0.25">
      <c r="A130" s="13"/>
      <c r="B130" s="10"/>
      <c r="H130" s="12"/>
      <c r="J130" s="9"/>
      <c r="N130" s="14"/>
    </row>
    <row r="131" spans="1:14" ht="20.100000000000001" customHeight="1" x14ac:dyDescent="0.25">
      <c r="A131" s="13"/>
      <c r="B131" s="10"/>
      <c r="H131" s="12"/>
      <c r="J131" s="9"/>
      <c r="N131" s="14"/>
    </row>
    <row r="132" spans="1:14" ht="20.100000000000001" customHeight="1" x14ac:dyDescent="0.25">
      <c r="A132" s="13"/>
      <c r="B132" s="10"/>
      <c r="H132" s="12"/>
      <c r="J132" s="9"/>
      <c r="N132" s="14"/>
    </row>
    <row r="133" spans="1:14" ht="20.100000000000001" customHeight="1" x14ac:dyDescent="0.25">
      <c r="H133" s="12"/>
      <c r="J133" s="9"/>
      <c r="N133" s="14"/>
    </row>
    <row r="134" spans="1:14" ht="20.100000000000001" customHeight="1" x14ac:dyDescent="0.25">
      <c r="H134" s="12"/>
      <c r="J134" s="9"/>
      <c r="N134" s="14"/>
    </row>
    <row r="135" spans="1:14" ht="20.100000000000001" customHeight="1" x14ac:dyDescent="0.25">
      <c r="H135" s="12"/>
      <c r="J135" s="9"/>
      <c r="N135" s="14"/>
    </row>
    <row r="136" spans="1:14" ht="20.100000000000001" customHeight="1" x14ac:dyDescent="0.25">
      <c r="H136" s="12"/>
      <c r="J136" s="9"/>
      <c r="N136" s="14"/>
    </row>
    <row r="137" spans="1:14" ht="20.100000000000001" customHeight="1" x14ac:dyDescent="0.25">
      <c r="H137" s="12"/>
      <c r="J137" s="9"/>
      <c r="N137" s="14"/>
    </row>
    <row r="138" spans="1:14" ht="20.100000000000001" customHeight="1" x14ac:dyDescent="0.25">
      <c r="H138" s="12"/>
      <c r="J138" s="9"/>
      <c r="N138" s="14"/>
    </row>
    <row r="139" spans="1:14" ht="20.100000000000001" customHeight="1" x14ac:dyDescent="0.25">
      <c r="H139" s="12"/>
      <c r="J139" s="9"/>
      <c r="N139" s="14"/>
    </row>
    <row r="140" spans="1:14" ht="20.100000000000001" customHeight="1" x14ac:dyDescent="0.25">
      <c r="H140" s="12"/>
      <c r="J140" s="9"/>
      <c r="N140" s="14"/>
    </row>
    <row r="141" spans="1:14" ht="20.100000000000001" customHeight="1" x14ac:dyDescent="0.25">
      <c r="H141" s="12"/>
      <c r="J141" s="9"/>
      <c r="N141" s="14"/>
    </row>
    <row r="142" spans="1:14" ht="20.100000000000001" customHeight="1" x14ac:dyDescent="0.25">
      <c r="H142" s="12"/>
      <c r="J142" s="9"/>
      <c r="N142" s="14"/>
    </row>
    <row r="143" spans="1:14" ht="20.100000000000001" customHeight="1" x14ac:dyDescent="0.25">
      <c r="H143" s="12"/>
      <c r="J143" s="9"/>
      <c r="N143" s="14"/>
    </row>
    <row r="144" spans="1:14" ht="20.100000000000001" customHeight="1" x14ac:dyDescent="0.25">
      <c r="H144" s="12"/>
      <c r="J144" s="9"/>
      <c r="N144" s="14"/>
    </row>
    <row r="145" spans="8:14" ht="20.100000000000001" customHeight="1" x14ac:dyDescent="0.25">
      <c r="H145" s="12"/>
      <c r="J145" s="9"/>
      <c r="N145" s="14"/>
    </row>
    <row r="146" spans="8:14" ht="20.100000000000001" customHeight="1" x14ac:dyDescent="0.25">
      <c r="H146" s="12"/>
      <c r="J146" s="9"/>
      <c r="N146" s="14"/>
    </row>
    <row r="147" spans="8:14" ht="20.100000000000001" customHeight="1" x14ac:dyDescent="0.25">
      <c r="H147" s="12"/>
      <c r="J147" s="9"/>
      <c r="N147" s="14"/>
    </row>
    <row r="148" spans="8:14" ht="20.100000000000001" customHeight="1" x14ac:dyDescent="0.25">
      <c r="H148" s="12"/>
      <c r="J148" s="9"/>
      <c r="N148" s="14"/>
    </row>
    <row r="149" spans="8:14" ht="20.100000000000001" customHeight="1" x14ac:dyDescent="0.25">
      <c r="H149" s="12"/>
      <c r="J149" s="9"/>
      <c r="N149" s="14"/>
    </row>
    <row r="150" spans="8:14" ht="20.100000000000001" customHeight="1" x14ac:dyDescent="0.25">
      <c r="H150" s="12"/>
      <c r="J150" s="9"/>
      <c r="K150" s="10"/>
      <c r="N150" s="14"/>
    </row>
    <row r="151" spans="8:14" ht="20.100000000000001" customHeight="1" x14ac:dyDescent="0.25">
      <c r="H151" s="12"/>
      <c r="J151" s="9"/>
      <c r="N151" s="14"/>
    </row>
    <row r="152" spans="8:14" ht="20.100000000000001" customHeight="1" x14ac:dyDescent="0.25">
      <c r="H152" s="12"/>
      <c r="J152" s="9"/>
      <c r="N152" s="14"/>
    </row>
    <row r="153" spans="8:14" ht="20.100000000000001" customHeight="1" x14ac:dyDescent="0.25">
      <c r="H153" s="12"/>
      <c r="J153" s="9"/>
      <c r="N153" s="14"/>
    </row>
    <row r="154" spans="8:14" ht="20.100000000000001" customHeight="1" x14ac:dyDescent="0.25">
      <c r="J154" s="9"/>
    </row>
  </sheetData>
  <mergeCells count="77">
    <mergeCell ref="K33:K42"/>
    <mergeCell ref="L33:L42"/>
    <mergeCell ref="K23:K25"/>
    <mergeCell ref="L23:L25"/>
    <mergeCell ref="K27:K28"/>
    <mergeCell ref="L27:L28"/>
    <mergeCell ref="K31:K32"/>
    <mergeCell ref="L31:L32"/>
    <mergeCell ref="K2:K11"/>
    <mergeCell ref="L2:L11"/>
    <mergeCell ref="K12:K16"/>
    <mergeCell ref="L12:L16"/>
    <mergeCell ref="K18:K21"/>
    <mergeCell ref="L18:L21"/>
    <mergeCell ref="H31:H32"/>
    <mergeCell ref="I31:I32"/>
    <mergeCell ref="H33:H42"/>
    <mergeCell ref="I33:I42"/>
    <mergeCell ref="J2:J11"/>
    <mergeCell ref="J12:J16"/>
    <mergeCell ref="J18:J21"/>
    <mergeCell ref="J23:J25"/>
    <mergeCell ref="J27:J28"/>
    <mergeCell ref="J31:J32"/>
    <mergeCell ref="J33:J42"/>
    <mergeCell ref="H18:H21"/>
    <mergeCell ref="I18:I21"/>
    <mergeCell ref="H23:H25"/>
    <mergeCell ref="I23:I25"/>
    <mergeCell ref="H27:H28"/>
    <mergeCell ref="I27:I28"/>
    <mergeCell ref="G18:G21"/>
    <mergeCell ref="G23:G25"/>
    <mergeCell ref="G27:G28"/>
    <mergeCell ref="G31:G32"/>
    <mergeCell ref="G33:G42"/>
    <mergeCell ref="G2:G11"/>
    <mergeCell ref="H2:H11"/>
    <mergeCell ref="I2:I11"/>
    <mergeCell ref="G12:G16"/>
    <mergeCell ref="H12:H16"/>
    <mergeCell ref="I12:I16"/>
    <mergeCell ref="F27:F28"/>
    <mergeCell ref="F23:F25"/>
    <mergeCell ref="F18:F21"/>
    <mergeCell ref="F12:F16"/>
    <mergeCell ref="F2:F11"/>
    <mergeCell ref="D33:D42"/>
    <mergeCell ref="D31:D32"/>
    <mergeCell ref="E31:E32"/>
    <mergeCell ref="E33:E42"/>
    <mergeCell ref="F33:F42"/>
    <mergeCell ref="F31:F32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33:A42"/>
    <mergeCell ref="B33:B42"/>
    <mergeCell ref="B27:B28"/>
    <mergeCell ref="B23:B25"/>
    <mergeCell ref="B18:B21"/>
    <mergeCell ref="A12:A17"/>
    <mergeCell ref="A18:A22"/>
    <mergeCell ref="A23:A26"/>
    <mergeCell ref="A27:A29"/>
    <mergeCell ref="A2:A11"/>
    <mergeCell ref="D18:D21"/>
    <mergeCell ref="D23:D2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workbookViewId="0">
      <selection activeCell="D12" sqref="D12"/>
    </sheetView>
  </sheetViews>
  <sheetFormatPr defaultColWidth="9" defaultRowHeight="14.4" x14ac:dyDescent="0.25"/>
  <cols>
    <col min="1" max="2" width="14.77734375" style="3" customWidth="1"/>
    <col min="3" max="3" width="37.109375" style="4" bestFit="1" customWidth="1"/>
    <col min="4" max="4" width="13.6640625" style="3" bestFit="1" customWidth="1"/>
    <col min="5" max="5" width="12.44140625" style="3" bestFit="1" customWidth="1"/>
    <col min="6" max="6" width="11.33203125" style="3" customWidth="1"/>
    <col min="7" max="7" width="18.44140625" style="3" bestFit="1" customWidth="1"/>
    <col min="8" max="8" width="13.6640625" style="3" bestFit="1" customWidth="1"/>
    <col min="9" max="16384" width="9" style="3"/>
  </cols>
  <sheetData>
    <row r="1" spans="1:8" x14ac:dyDescent="0.25">
      <c r="A1" s="5" t="s">
        <v>19</v>
      </c>
      <c r="B1" s="5" t="s">
        <v>22</v>
      </c>
      <c r="C1" s="7" t="s">
        <v>23</v>
      </c>
      <c r="D1" s="3" t="s">
        <v>20</v>
      </c>
      <c r="E1" s="3" t="s">
        <v>24</v>
      </c>
      <c r="F1" s="3" t="s">
        <v>25</v>
      </c>
      <c r="G1" s="3" t="s">
        <v>26</v>
      </c>
      <c r="H1" s="3" t="s">
        <v>21</v>
      </c>
    </row>
    <row r="2" spans="1:8" x14ac:dyDescent="0.25">
      <c r="A2" s="5" t="s">
        <v>2</v>
      </c>
      <c r="B2" s="5" t="s">
        <v>3</v>
      </c>
      <c r="C2" s="7" t="s">
        <v>31</v>
      </c>
      <c r="D2" s="6">
        <v>8</v>
      </c>
      <c r="E2" s="6">
        <v>7</v>
      </c>
      <c r="F2" s="6">
        <v>208</v>
      </c>
      <c r="G2" s="6">
        <v>1097.6000000000001</v>
      </c>
      <c r="H2" s="5">
        <v>5889.6</v>
      </c>
    </row>
    <row r="3" spans="1:8" x14ac:dyDescent="0.25">
      <c r="A3" s="5" t="s">
        <v>9</v>
      </c>
      <c r="B3" s="5" t="s">
        <v>10</v>
      </c>
      <c r="C3" s="7" t="s">
        <v>32</v>
      </c>
      <c r="D3" s="6">
        <v>3</v>
      </c>
      <c r="E3" s="6">
        <v>7</v>
      </c>
      <c r="F3" s="6">
        <v>72</v>
      </c>
      <c r="G3" s="6">
        <v>0</v>
      </c>
      <c r="H3" s="6">
        <v>5817.6</v>
      </c>
    </row>
    <row r="4" spans="1:8" x14ac:dyDescent="0.25">
      <c r="A4" s="5" t="s">
        <v>9</v>
      </c>
      <c r="B4" s="5" t="s">
        <v>11</v>
      </c>
      <c r="C4" s="7" t="s">
        <v>33</v>
      </c>
      <c r="D4" s="3">
        <v>4</v>
      </c>
      <c r="E4" s="3">
        <v>2</v>
      </c>
      <c r="F4" s="3">
        <v>24</v>
      </c>
      <c r="G4" s="3">
        <v>0</v>
      </c>
      <c r="H4" s="3">
        <v>5793.6</v>
      </c>
    </row>
    <row r="5" spans="1:8" x14ac:dyDescent="0.25">
      <c r="A5" s="5" t="s">
        <v>9</v>
      </c>
      <c r="B5" s="5" t="s">
        <v>12</v>
      </c>
      <c r="C5" s="7" t="s">
        <v>34</v>
      </c>
      <c r="D5" s="3">
        <v>8</v>
      </c>
      <c r="E5" s="3">
        <v>4</v>
      </c>
      <c r="F5" s="3">
        <v>432</v>
      </c>
      <c r="G5" s="3">
        <v>0</v>
      </c>
      <c r="H5" s="3">
        <v>5361.6</v>
      </c>
    </row>
    <row r="6" spans="1:8" x14ac:dyDescent="0.25">
      <c r="A6" s="5" t="s">
        <v>9</v>
      </c>
      <c r="B6" s="5" t="s">
        <v>13</v>
      </c>
      <c r="C6" s="7" t="s">
        <v>35</v>
      </c>
      <c r="D6" s="3">
        <v>6</v>
      </c>
      <c r="E6" s="3">
        <v>1</v>
      </c>
      <c r="F6" s="3">
        <v>0</v>
      </c>
      <c r="G6" s="3">
        <v>1176</v>
      </c>
      <c r="H6" s="3">
        <v>6537.6</v>
      </c>
    </row>
    <row r="7" spans="1:8" x14ac:dyDescent="0.25">
      <c r="A7" s="5" t="s">
        <v>2</v>
      </c>
      <c r="B7" s="5" t="s">
        <v>3</v>
      </c>
      <c r="C7" s="7" t="s">
        <v>36</v>
      </c>
      <c r="D7" s="6" t="s">
        <v>41</v>
      </c>
      <c r="E7" s="6" t="s">
        <v>45</v>
      </c>
      <c r="F7" s="6" t="s">
        <v>48</v>
      </c>
      <c r="G7" s="6" t="s">
        <v>53</v>
      </c>
      <c r="H7" s="6" t="s">
        <v>55</v>
      </c>
    </row>
    <row r="8" spans="1:8" x14ac:dyDescent="0.25">
      <c r="A8" s="5" t="s">
        <v>9</v>
      </c>
      <c r="B8" s="5" t="s">
        <v>10</v>
      </c>
      <c r="C8" s="7" t="s">
        <v>37</v>
      </c>
      <c r="D8" s="6" t="s">
        <v>42</v>
      </c>
      <c r="E8" s="6" t="s">
        <v>45</v>
      </c>
      <c r="F8" s="6" t="s">
        <v>49</v>
      </c>
      <c r="G8" s="6" t="s">
        <v>52</v>
      </c>
      <c r="H8" s="6" t="s">
        <v>56</v>
      </c>
    </row>
    <row r="9" spans="1:8" x14ac:dyDescent="0.25">
      <c r="A9" s="5" t="s">
        <v>9</v>
      </c>
      <c r="B9" s="5" t="s">
        <v>11</v>
      </c>
      <c r="C9" s="7" t="s">
        <v>38</v>
      </c>
      <c r="D9" s="6" t="s">
        <v>43</v>
      </c>
      <c r="E9" s="6" t="s">
        <v>46</v>
      </c>
      <c r="F9" s="6" t="s">
        <v>50</v>
      </c>
      <c r="G9" s="6" t="s">
        <v>52</v>
      </c>
      <c r="H9" s="6" t="s">
        <v>57</v>
      </c>
    </row>
    <row r="10" spans="1:8" x14ac:dyDescent="0.25">
      <c r="A10" s="5" t="s">
        <v>9</v>
      </c>
      <c r="B10" s="5" t="s">
        <v>12</v>
      </c>
      <c r="C10" s="7" t="s">
        <v>39</v>
      </c>
      <c r="D10" s="6" t="s">
        <v>41</v>
      </c>
      <c r="E10" s="6" t="s">
        <v>43</v>
      </c>
      <c r="F10" s="6" t="s">
        <v>51</v>
      </c>
      <c r="G10" s="6" t="s">
        <v>52</v>
      </c>
      <c r="H10" s="6" t="s">
        <v>58</v>
      </c>
    </row>
    <row r="11" spans="1:8" x14ac:dyDescent="0.25">
      <c r="A11" s="5" t="s">
        <v>9</v>
      </c>
      <c r="B11" s="5" t="s">
        <v>13</v>
      </c>
      <c r="C11" s="7" t="s">
        <v>40</v>
      </c>
      <c r="D11" s="6" t="s">
        <v>44</v>
      </c>
      <c r="E11" s="6" t="s">
        <v>47</v>
      </c>
      <c r="F11" s="6" t="s">
        <v>52</v>
      </c>
      <c r="G11" s="6" t="s">
        <v>54</v>
      </c>
      <c r="H11" s="6" t="s">
        <v>59</v>
      </c>
    </row>
    <row r="12" spans="1:8" x14ac:dyDescent="0.25">
      <c r="A12" s="5"/>
      <c r="B12" s="5"/>
      <c r="C12" s="7"/>
    </row>
    <row r="13" spans="1:8" x14ac:dyDescent="0.25">
      <c r="A13" s="5"/>
      <c r="B13" s="5"/>
      <c r="C13" s="7"/>
    </row>
    <row r="14" spans="1:8" x14ac:dyDescent="0.25">
      <c r="A14" s="5"/>
      <c r="B14" s="5"/>
      <c r="C14" s="7"/>
    </row>
    <row r="15" spans="1:8" x14ac:dyDescent="0.25">
      <c r="A15" s="5"/>
      <c r="B15" s="5"/>
      <c r="C15" s="7"/>
    </row>
    <row r="16" spans="1:8" x14ac:dyDescent="0.25">
      <c r="A16" s="5"/>
      <c r="B16" s="5"/>
      <c r="C16" s="7"/>
    </row>
    <row r="17" spans="1:3" x14ac:dyDescent="0.25">
      <c r="A17" s="5"/>
      <c r="B17" s="5"/>
      <c r="C17" s="7"/>
    </row>
    <row r="18" spans="1:3" x14ac:dyDescent="0.25">
      <c r="A18" s="5"/>
      <c r="B18" s="5"/>
      <c r="C18" s="7"/>
    </row>
    <row r="19" spans="1:3" x14ac:dyDescent="0.25">
      <c r="A19" s="5"/>
      <c r="B19" s="5"/>
      <c r="C19" s="7"/>
    </row>
    <row r="20" spans="1:3" x14ac:dyDescent="0.25">
      <c r="A20" s="5"/>
      <c r="B20" s="5"/>
      <c r="C20" s="7"/>
    </row>
    <row r="21" spans="1:3" x14ac:dyDescent="0.25">
      <c r="A21" s="5"/>
      <c r="B21" s="5"/>
      <c r="C21" s="7"/>
    </row>
    <row r="22" spans="1:3" x14ac:dyDescent="0.25">
      <c r="A22" s="5"/>
      <c r="B22" s="5"/>
      <c r="C22" s="7"/>
    </row>
    <row r="23" spans="1:3" x14ac:dyDescent="0.25">
      <c r="A23" s="5"/>
      <c r="B23" s="5"/>
      <c r="C23" s="7"/>
    </row>
    <row r="24" spans="1:3" x14ac:dyDescent="0.25">
      <c r="A24" s="5"/>
      <c r="B24" s="5"/>
      <c r="C24" s="7"/>
    </row>
    <row r="25" spans="1:3" x14ac:dyDescent="0.25">
      <c r="A25" s="5"/>
      <c r="B25" s="5"/>
      <c r="C25" s="7"/>
    </row>
    <row r="26" spans="1:3" x14ac:dyDescent="0.25">
      <c r="A26" s="5"/>
      <c r="B26" s="5"/>
      <c r="C26" s="7"/>
    </row>
    <row r="27" spans="1:3" x14ac:dyDescent="0.25">
      <c r="A27" s="5"/>
      <c r="B27" s="5"/>
      <c r="C27" s="7"/>
    </row>
    <row r="28" spans="1:3" x14ac:dyDescent="0.25">
      <c r="A28" s="5"/>
      <c r="B28" s="5"/>
      <c r="C28" s="7"/>
    </row>
    <row r="29" spans="1:3" x14ac:dyDescent="0.25">
      <c r="A29" s="5"/>
      <c r="B29" s="5"/>
      <c r="C29" s="7"/>
    </row>
    <row r="30" spans="1:3" x14ac:dyDescent="0.25">
      <c r="A30" s="5"/>
      <c r="B30" s="5"/>
      <c r="C30" s="7"/>
    </row>
    <row r="31" spans="1:3" x14ac:dyDescent="0.25">
      <c r="A31" s="5"/>
      <c r="B31" s="5"/>
      <c r="C31" s="7"/>
    </row>
    <row r="32" spans="1:3" x14ac:dyDescent="0.25">
      <c r="A32" s="5"/>
      <c r="B32" s="5"/>
      <c r="C32" s="7"/>
    </row>
    <row r="33" spans="1:3" x14ac:dyDescent="0.25">
      <c r="A33" s="5"/>
      <c r="B33" s="5"/>
      <c r="C33" s="7"/>
    </row>
    <row r="34" spans="1:3" x14ac:dyDescent="0.25">
      <c r="A34" s="5"/>
      <c r="B34" s="5"/>
      <c r="C34" s="7"/>
    </row>
    <row r="35" spans="1:3" x14ac:dyDescent="0.25">
      <c r="A35" s="5"/>
      <c r="B35" s="5"/>
      <c r="C35" s="7"/>
    </row>
    <row r="36" spans="1:3" x14ac:dyDescent="0.25">
      <c r="A36" s="5"/>
      <c r="B36" s="5"/>
      <c r="C36" s="7"/>
    </row>
    <row r="37" spans="1:3" x14ac:dyDescent="0.25">
      <c r="A37" s="5"/>
      <c r="B37" s="5"/>
      <c r="C37" s="7"/>
    </row>
    <row r="38" spans="1:3" x14ac:dyDescent="0.25">
      <c r="A38" s="5"/>
      <c r="B38" s="5"/>
      <c r="C38" s="7"/>
    </row>
    <row r="39" spans="1:3" x14ac:dyDescent="0.25">
      <c r="A39" s="5"/>
      <c r="B39" s="5"/>
      <c r="C39" s="7"/>
    </row>
    <row r="40" spans="1:3" x14ac:dyDescent="0.25">
      <c r="A40" s="5"/>
      <c r="B40" s="5"/>
      <c r="C40" s="7"/>
    </row>
    <row r="41" spans="1:3" x14ac:dyDescent="0.25">
      <c r="A41" s="5"/>
      <c r="B41" s="5"/>
      <c r="C41" s="7"/>
    </row>
    <row r="42" spans="1:3" x14ac:dyDescent="0.25">
      <c r="A42" s="5"/>
      <c r="B42" s="5"/>
      <c r="C42" s="7"/>
    </row>
    <row r="43" spans="1:3" x14ac:dyDescent="0.25">
      <c r="A43" s="5"/>
      <c r="B43" s="5"/>
      <c r="C43" s="7"/>
    </row>
    <row r="44" spans="1:3" x14ac:dyDescent="0.25">
      <c r="A44" s="5"/>
      <c r="B44" s="5"/>
      <c r="C44" s="7"/>
    </row>
    <row r="45" spans="1:3" x14ac:dyDescent="0.25">
      <c r="A45" s="5"/>
      <c r="B45" s="5"/>
      <c r="C45" s="7"/>
    </row>
    <row r="46" spans="1:3" x14ac:dyDescent="0.25">
      <c r="A46" s="5"/>
      <c r="B46" s="5"/>
      <c r="C46" s="7"/>
    </row>
    <row r="47" spans="1:3" x14ac:dyDescent="0.25">
      <c r="A47" s="5"/>
      <c r="B47" s="5"/>
      <c r="C47" s="7"/>
    </row>
    <row r="48" spans="1:3" x14ac:dyDescent="0.25">
      <c r="A48" s="5"/>
      <c r="B48" s="5"/>
      <c r="C48" s="7"/>
    </row>
    <row r="49" spans="1:3" x14ac:dyDescent="0.25">
      <c r="A49" s="5"/>
      <c r="B49" s="5"/>
      <c r="C49" s="7"/>
    </row>
    <row r="50" spans="1:3" x14ac:dyDescent="0.25">
      <c r="A50" s="5"/>
      <c r="B50" s="5"/>
      <c r="C50" s="7"/>
    </row>
    <row r="51" spans="1:3" x14ac:dyDescent="0.25">
      <c r="A51" s="5"/>
      <c r="B51" s="5"/>
      <c r="C51" s="7"/>
    </row>
    <row r="52" spans="1:3" x14ac:dyDescent="0.25">
      <c r="A52" s="5"/>
      <c r="B52" s="5"/>
      <c r="C52" s="7"/>
    </row>
    <row r="53" spans="1:3" x14ac:dyDescent="0.25">
      <c r="A53" s="5"/>
      <c r="B53" s="5"/>
      <c r="C53" s="7"/>
    </row>
    <row r="54" spans="1:3" x14ac:dyDescent="0.25">
      <c r="A54" s="5"/>
      <c r="B54" s="5"/>
      <c r="C54" s="7"/>
    </row>
    <row r="55" spans="1:3" x14ac:dyDescent="0.25">
      <c r="A55" s="5"/>
      <c r="B55" s="5"/>
      <c r="C55" s="7"/>
    </row>
    <row r="56" spans="1:3" x14ac:dyDescent="0.25">
      <c r="A56" s="5"/>
      <c r="B56" s="5"/>
      <c r="C56" s="7"/>
    </row>
    <row r="57" spans="1:3" x14ac:dyDescent="0.25">
      <c r="A57" s="5"/>
      <c r="B57" s="5"/>
      <c r="C57" s="7"/>
    </row>
    <row r="58" spans="1:3" x14ac:dyDescent="0.25">
      <c r="A58" s="5"/>
      <c r="B58" s="5"/>
      <c r="C58" s="7"/>
    </row>
    <row r="59" spans="1:3" x14ac:dyDescent="0.25">
      <c r="A59" s="5"/>
      <c r="B59" s="5"/>
      <c r="C59" s="7"/>
    </row>
    <row r="60" spans="1:3" x14ac:dyDescent="0.25">
      <c r="A60" s="5"/>
      <c r="B60" s="5"/>
      <c r="C60" s="7"/>
    </row>
    <row r="61" spans="1:3" x14ac:dyDescent="0.25">
      <c r="A61" s="5"/>
      <c r="B61" s="5"/>
      <c r="C61" s="7"/>
    </row>
    <row r="62" spans="1:3" x14ac:dyDescent="0.25">
      <c r="A62" s="5"/>
      <c r="B62" s="5"/>
      <c r="C62" s="7"/>
    </row>
    <row r="63" spans="1:3" x14ac:dyDescent="0.25">
      <c r="A63" s="5"/>
      <c r="B63" s="5"/>
      <c r="C63" s="7"/>
    </row>
    <row r="64" spans="1:3" x14ac:dyDescent="0.25">
      <c r="A64" s="5"/>
      <c r="B64" s="5"/>
      <c r="C64" s="7"/>
    </row>
    <row r="65" spans="1:3" x14ac:dyDescent="0.25">
      <c r="A65" s="5"/>
      <c r="B65" s="5"/>
      <c r="C65" s="7"/>
    </row>
    <row r="66" spans="1:3" x14ac:dyDescent="0.25">
      <c r="A66" s="5"/>
      <c r="B66" s="5"/>
      <c r="C66" s="7"/>
    </row>
    <row r="67" spans="1:3" x14ac:dyDescent="0.25">
      <c r="A67" s="5"/>
      <c r="B67" s="5"/>
      <c r="C67" s="7"/>
    </row>
    <row r="68" spans="1:3" x14ac:dyDescent="0.25">
      <c r="A68" s="5"/>
      <c r="B68" s="5"/>
      <c r="C68" s="7"/>
    </row>
    <row r="69" spans="1:3" x14ac:dyDescent="0.25">
      <c r="A69" s="5"/>
      <c r="B69" s="5"/>
      <c r="C69" s="7"/>
    </row>
    <row r="70" spans="1:3" x14ac:dyDescent="0.25">
      <c r="A70" s="5"/>
      <c r="B70" s="5"/>
      <c r="C70" s="7"/>
    </row>
    <row r="71" spans="1:3" x14ac:dyDescent="0.25">
      <c r="A71" s="5"/>
      <c r="B71" s="5"/>
      <c r="C71" s="7"/>
    </row>
    <row r="72" spans="1:3" x14ac:dyDescent="0.25">
      <c r="A72" s="5"/>
      <c r="B72" s="5"/>
      <c r="C72" s="7"/>
    </row>
    <row r="73" spans="1:3" x14ac:dyDescent="0.25">
      <c r="A73" s="5"/>
      <c r="B73" s="5"/>
      <c r="C73" s="7"/>
    </row>
    <row r="74" spans="1:3" x14ac:dyDescent="0.25">
      <c r="A74" s="5"/>
      <c r="B74" s="5"/>
      <c r="C74" s="7"/>
    </row>
    <row r="75" spans="1:3" x14ac:dyDescent="0.25">
      <c r="A75" s="5"/>
      <c r="B75" s="5"/>
      <c r="C75" s="7"/>
    </row>
    <row r="76" spans="1:3" x14ac:dyDescent="0.25">
      <c r="A76" s="5"/>
      <c r="B76" s="5"/>
      <c r="C76" s="7"/>
    </row>
    <row r="77" spans="1:3" x14ac:dyDescent="0.25">
      <c r="A77" s="5"/>
      <c r="B77" s="5"/>
      <c r="C77" s="7"/>
    </row>
    <row r="78" spans="1:3" x14ac:dyDescent="0.25">
      <c r="A78" s="5"/>
      <c r="B78" s="5"/>
      <c r="C78" s="7"/>
    </row>
    <row r="79" spans="1:3" x14ac:dyDescent="0.25">
      <c r="A79" s="5"/>
      <c r="B79" s="5"/>
      <c r="C79" s="7"/>
    </row>
    <row r="80" spans="1:3" x14ac:dyDescent="0.25">
      <c r="A80" s="5"/>
      <c r="B80" s="5"/>
      <c r="C80" s="7"/>
    </row>
    <row r="81" spans="1:3" x14ac:dyDescent="0.25">
      <c r="A81" s="5"/>
      <c r="B81" s="5"/>
      <c r="C81" s="7"/>
    </row>
    <row r="82" spans="1:3" x14ac:dyDescent="0.25">
      <c r="A82" s="5"/>
      <c r="B82" s="5"/>
      <c r="C82" s="7"/>
    </row>
    <row r="83" spans="1:3" x14ac:dyDescent="0.25">
      <c r="A83" s="5"/>
      <c r="B83" s="5"/>
      <c r="C83" s="7"/>
    </row>
    <row r="84" spans="1:3" x14ac:dyDescent="0.25">
      <c r="A84" s="5"/>
      <c r="B84" s="5"/>
      <c r="C84" s="7"/>
    </row>
    <row r="85" spans="1:3" x14ac:dyDescent="0.25">
      <c r="A85" s="5"/>
      <c r="B85" s="5"/>
      <c r="C85" s="7"/>
    </row>
    <row r="86" spans="1:3" x14ac:dyDescent="0.25">
      <c r="A86" s="5"/>
      <c r="B86" s="5"/>
      <c r="C86" s="7"/>
    </row>
    <row r="87" spans="1:3" x14ac:dyDescent="0.2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 Lee</cp:lastModifiedBy>
  <dcterms:created xsi:type="dcterms:W3CDTF">2018-02-27T11:14:00Z</dcterms:created>
  <dcterms:modified xsi:type="dcterms:W3CDTF">2018-06-08T23:31:39Z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