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遍历PK10所有组合" sheetId="7" r:id="rId1"/>
    <sheet name="PK10" sheetId="1" r:id="rId2"/>
    <sheet name="PK10Source" sheetId="2" r:id="rId3"/>
    <sheet name="ExportBetXML" sheetId="4" r:id="rId4"/>
    <sheet name="agent" sheetId="6" r:id="rId5"/>
  </sheets>
  <definedNames>
    <definedName name="_xlnm._FilterDatabase" localSheetId="4" hidden="1">agent!$O$1:$P$30</definedName>
    <definedName name="_xlnm._FilterDatabase" localSheetId="1" hidden="1">'PK10'!$A$1:$L$13</definedName>
  </definedNames>
  <calcPr calcId="162913"/>
</workbook>
</file>

<file path=xl/calcChain.xml><?xml version="1.0" encoding="utf-8"?>
<calcChain xmlns="http://schemas.openxmlformats.org/spreadsheetml/2006/main">
  <c r="M29" i="2" l="1"/>
  <c r="M26" i="2"/>
  <c r="D26" i="2"/>
  <c r="M22" i="2"/>
  <c r="M17" i="2"/>
  <c r="D22" i="2"/>
  <c r="D17" i="2"/>
  <c r="D12" i="2"/>
  <c r="I32" i="1"/>
  <c r="H12" i="2"/>
  <c r="U78" i="2" l="1"/>
  <c r="T78" i="2"/>
  <c r="S78" i="2"/>
  <c r="T76" i="2"/>
  <c r="U73" i="2"/>
  <c r="T71" i="2"/>
  <c r="S71" i="2"/>
  <c r="E3" i="2"/>
  <c r="F3" i="1" s="1"/>
  <c r="L236" i="2"/>
  <c r="L222" i="2"/>
  <c r="L187" i="2"/>
  <c r="L186" i="2"/>
  <c r="L152" i="2"/>
  <c r="L125" i="2"/>
  <c r="L68" i="2"/>
  <c r="L43" i="2"/>
  <c r="I43" i="2" s="1"/>
  <c r="E67" i="2" s="1"/>
  <c r="K26" i="1" s="1"/>
  <c r="I63" i="1"/>
  <c r="I64" i="1"/>
  <c r="I65" i="1"/>
  <c r="I66" i="1"/>
  <c r="I67" i="1"/>
  <c r="I68" i="1"/>
  <c r="I69" i="1"/>
  <c r="I70" i="1"/>
  <c r="I71" i="1"/>
  <c r="I72" i="1"/>
  <c r="I73" i="1"/>
  <c r="I62" i="1"/>
  <c r="I51" i="1"/>
  <c r="I52" i="1"/>
  <c r="I53" i="1"/>
  <c r="I54" i="1"/>
  <c r="I55" i="1"/>
  <c r="I56" i="1"/>
  <c r="I57" i="1"/>
  <c r="I58" i="1"/>
  <c r="I59" i="1"/>
  <c r="I60" i="1"/>
  <c r="I61" i="1"/>
  <c r="I50" i="1"/>
  <c r="I39" i="1"/>
  <c r="I40" i="1"/>
  <c r="I41" i="1"/>
  <c r="I42" i="1"/>
  <c r="I43" i="1"/>
  <c r="I44" i="1"/>
  <c r="I45" i="1"/>
  <c r="I46" i="1"/>
  <c r="I47" i="1"/>
  <c r="I48" i="1"/>
  <c r="I49" i="1"/>
  <c r="I38" i="1"/>
  <c r="I27" i="1"/>
  <c r="I28" i="1"/>
  <c r="I29" i="1"/>
  <c r="I30" i="1"/>
  <c r="I31" i="1"/>
  <c r="I33" i="1"/>
  <c r="I34" i="1"/>
  <c r="I35" i="1"/>
  <c r="I36" i="1"/>
  <c r="I37" i="1"/>
  <c r="I26" i="1"/>
  <c r="I15" i="1"/>
  <c r="I16" i="1"/>
  <c r="I17" i="1"/>
  <c r="I18" i="1"/>
  <c r="I19" i="1"/>
  <c r="I20" i="1"/>
  <c r="I21" i="1"/>
  <c r="I22" i="1"/>
  <c r="I23" i="1"/>
  <c r="I24" i="1"/>
  <c r="I25" i="1"/>
  <c r="I14" i="1"/>
  <c r="E230" i="2"/>
  <c r="E229" i="2"/>
  <c r="E228" i="2"/>
  <c r="E227" i="2"/>
  <c r="E226" i="2"/>
  <c r="E225" i="2"/>
  <c r="E224" i="2"/>
  <c r="E223" i="2"/>
  <c r="E222" i="2"/>
  <c r="E221" i="2"/>
  <c r="E220" i="2"/>
  <c r="E219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07" i="2"/>
  <c r="E106" i="2"/>
  <c r="E105" i="2"/>
  <c r="E104" i="2"/>
  <c r="E103" i="2"/>
  <c r="E102" i="2"/>
  <c r="E101" i="2"/>
  <c r="E100" i="2"/>
  <c r="E99" i="2"/>
  <c r="E98" i="2"/>
  <c r="E97" i="2"/>
  <c r="E96" i="2"/>
  <c r="E66" i="2"/>
  <c r="E65" i="2"/>
  <c r="E64" i="2"/>
  <c r="E63" i="2"/>
  <c r="E62" i="2"/>
  <c r="E61" i="2"/>
  <c r="E60" i="2"/>
  <c r="E59" i="2"/>
  <c r="E58" i="2"/>
  <c r="E57" i="2"/>
  <c r="E56" i="2"/>
  <c r="E55" i="2"/>
  <c r="E25" i="2"/>
  <c r="E24" i="2"/>
  <c r="E23" i="2"/>
  <c r="E21" i="2"/>
  <c r="E19" i="2"/>
  <c r="E17" i="2"/>
  <c r="F63" i="1"/>
  <c r="F64" i="1"/>
  <c r="F65" i="1"/>
  <c r="F66" i="1"/>
  <c r="F67" i="1"/>
  <c r="F68" i="1"/>
  <c r="F69" i="1"/>
  <c r="F70" i="1"/>
  <c r="F71" i="1"/>
  <c r="F72" i="1"/>
  <c r="F73" i="1"/>
  <c r="F62" i="1"/>
  <c r="F51" i="1"/>
  <c r="F52" i="1"/>
  <c r="F53" i="1"/>
  <c r="F54" i="1"/>
  <c r="F55" i="1"/>
  <c r="F56" i="1"/>
  <c r="F57" i="1"/>
  <c r="F58" i="1"/>
  <c r="F59" i="1"/>
  <c r="F60" i="1"/>
  <c r="F61" i="1"/>
  <c r="F50" i="1"/>
  <c r="F39" i="1"/>
  <c r="F40" i="1"/>
  <c r="F41" i="1"/>
  <c r="F42" i="1"/>
  <c r="F43" i="1"/>
  <c r="F44" i="1"/>
  <c r="F45" i="1"/>
  <c r="F46" i="1"/>
  <c r="F47" i="1"/>
  <c r="F48" i="1"/>
  <c r="F49" i="1"/>
  <c r="F38" i="1"/>
  <c r="F27" i="1"/>
  <c r="F28" i="1"/>
  <c r="F29" i="1"/>
  <c r="F30" i="1"/>
  <c r="F31" i="1"/>
  <c r="F32" i="1"/>
  <c r="F33" i="1"/>
  <c r="F34" i="1"/>
  <c r="F35" i="1"/>
  <c r="F36" i="1"/>
  <c r="F37" i="1"/>
  <c r="F26" i="1"/>
  <c r="F15" i="1"/>
  <c r="F16" i="1"/>
  <c r="F17" i="1"/>
  <c r="F18" i="1"/>
  <c r="F19" i="1"/>
  <c r="F20" i="1"/>
  <c r="F21" i="1"/>
  <c r="F22" i="1"/>
  <c r="F23" i="1"/>
  <c r="F24" i="1"/>
  <c r="F25" i="1"/>
  <c r="F14" i="1"/>
  <c r="F4" i="1"/>
  <c r="F5" i="1"/>
  <c r="F7" i="1"/>
  <c r="F8" i="1"/>
  <c r="F9" i="1"/>
  <c r="F10" i="1"/>
  <c r="F11" i="1"/>
  <c r="F12" i="1"/>
  <c r="F13" i="1"/>
  <c r="E218" i="2"/>
  <c r="E217" i="2"/>
  <c r="E216" i="2"/>
  <c r="E215" i="2"/>
  <c r="E214" i="2"/>
  <c r="E213" i="2"/>
  <c r="E212" i="2"/>
  <c r="E211" i="2"/>
  <c r="E210" i="2"/>
  <c r="E209" i="2"/>
  <c r="E208" i="2"/>
  <c r="E207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95" i="2"/>
  <c r="E94" i="2"/>
  <c r="E93" i="2"/>
  <c r="E92" i="2"/>
  <c r="E91" i="2"/>
  <c r="E90" i="2"/>
  <c r="E89" i="2"/>
  <c r="E88" i="2"/>
  <c r="E87" i="2"/>
  <c r="E86" i="2"/>
  <c r="E85" i="2"/>
  <c r="E84" i="2"/>
  <c r="E47" i="2"/>
  <c r="E54" i="2"/>
  <c r="E53" i="2"/>
  <c r="E52" i="2"/>
  <c r="E51" i="2"/>
  <c r="E50" i="2"/>
  <c r="E49" i="2"/>
  <c r="E48" i="2"/>
  <c r="E46" i="2"/>
  <c r="E45" i="2"/>
  <c r="E44" i="2"/>
  <c r="E43" i="2"/>
  <c r="E13" i="2"/>
  <c r="E12" i="2"/>
  <c r="E11" i="2"/>
  <c r="E10" i="2"/>
  <c r="E9" i="2"/>
  <c r="E8" i="2"/>
  <c r="E7" i="2"/>
  <c r="E6" i="2"/>
  <c r="F6" i="1" s="1"/>
  <c r="E5" i="2"/>
  <c r="E4" i="2"/>
  <c r="W73" i="1"/>
  <c r="Z73" i="1" s="1"/>
  <c r="Y73" i="1" s="1"/>
  <c r="L238" i="2" s="1"/>
  <c r="AB72" i="1"/>
  <c r="Z72" i="1"/>
  <c r="Y72" i="1"/>
  <c r="W72" i="1"/>
  <c r="W71" i="1"/>
  <c r="Z71" i="1" s="1"/>
  <c r="Y71" i="1" s="1"/>
  <c r="L235" i="2" s="1"/>
  <c r="W70" i="1"/>
  <c r="Z70" i="1" s="1"/>
  <c r="Y70" i="1" s="1"/>
  <c r="L234" i="2" s="1"/>
  <c r="AB69" i="1"/>
  <c r="AE69" i="1" s="1"/>
  <c r="AD69" i="1" s="1"/>
  <c r="Z69" i="1"/>
  <c r="Y69" i="1" s="1"/>
  <c r="L232" i="2" s="1"/>
  <c r="W69" i="1"/>
  <c r="AB68" i="1"/>
  <c r="AE68" i="1" s="1"/>
  <c r="W68" i="1"/>
  <c r="Z68" i="1" s="1"/>
  <c r="Y68" i="1" s="1"/>
  <c r="L231" i="2" s="1"/>
  <c r="AB67" i="1"/>
  <c r="AB71" i="1" s="1"/>
  <c r="W67" i="1"/>
  <c r="Z67" i="1" s="1"/>
  <c r="Y67" i="1" s="1"/>
  <c r="L228" i="2" s="1"/>
  <c r="AE66" i="1"/>
  <c r="AD66" i="1" s="1"/>
  <c r="AD72" i="1" s="1"/>
  <c r="AB66" i="1"/>
  <c r="W66" i="1"/>
  <c r="Z66" i="1" s="1"/>
  <c r="Y66" i="1" s="1"/>
  <c r="AB65" i="1"/>
  <c r="AB73" i="1" s="1"/>
  <c r="W65" i="1"/>
  <c r="Z65" i="1" s="1"/>
  <c r="Y65" i="1" s="1"/>
  <c r="L223" i="2" s="1"/>
  <c r="AB64" i="1"/>
  <c r="AE64" i="1" s="1"/>
  <c r="AD64" i="1" s="1"/>
  <c r="W64" i="1"/>
  <c r="Z64" i="1" s="1"/>
  <c r="Y64" i="1" s="1"/>
  <c r="AB63" i="1"/>
  <c r="AE63" i="1" s="1"/>
  <c r="AD63" i="1" s="1"/>
  <c r="W63" i="1"/>
  <c r="Z63" i="1" s="1"/>
  <c r="Y63" i="1" s="1"/>
  <c r="L217" i="2" s="1"/>
  <c r="W62" i="1"/>
  <c r="Z62" i="1" s="1"/>
  <c r="Y62" i="1" s="1"/>
  <c r="L207" i="2" s="1"/>
  <c r="I207" i="2" s="1"/>
  <c r="E231" i="2" s="1"/>
  <c r="W61" i="1"/>
  <c r="Z61" i="1" s="1"/>
  <c r="Y61" i="1" s="1"/>
  <c r="L197" i="2" s="1"/>
  <c r="Z59" i="1"/>
  <c r="Y59" i="1" s="1"/>
  <c r="L194" i="2" s="1"/>
  <c r="I194" i="2" s="1"/>
  <c r="E199" i="2" s="1"/>
  <c r="K71" i="1" s="1"/>
  <c r="W59" i="1"/>
  <c r="AB58" i="1"/>
  <c r="W58" i="1"/>
  <c r="Z58" i="1" s="1"/>
  <c r="Y58" i="1" s="1"/>
  <c r="L193" i="2" s="1"/>
  <c r="AB57" i="1"/>
  <c r="AE57" i="1" s="1"/>
  <c r="AD57" i="1" s="1"/>
  <c r="W57" i="1"/>
  <c r="Z57" i="1" s="1"/>
  <c r="Y57" i="1" s="1"/>
  <c r="L191" i="2" s="1"/>
  <c r="AB56" i="1"/>
  <c r="AE56" i="1" s="1"/>
  <c r="W56" i="1"/>
  <c r="Z56" i="1" s="1"/>
  <c r="Y56" i="1" s="1"/>
  <c r="L190" i="2" s="1"/>
  <c r="AB55" i="1"/>
  <c r="AB59" i="1" s="1"/>
  <c r="W55" i="1"/>
  <c r="Z55" i="1" s="1"/>
  <c r="Y55" i="1" s="1"/>
  <c r="AE54" i="1"/>
  <c r="AD54" i="1" s="1"/>
  <c r="AD60" i="1" s="1"/>
  <c r="AB54" i="1"/>
  <c r="AB60" i="1" s="1"/>
  <c r="W54" i="1"/>
  <c r="Z54" i="1" s="1"/>
  <c r="Y54" i="1" s="1"/>
  <c r="AB53" i="1"/>
  <c r="AE53" i="1" s="1"/>
  <c r="W53" i="1"/>
  <c r="Z53" i="1" s="1"/>
  <c r="Y53" i="1" s="1"/>
  <c r="L182" i="2" s="1"/>
  <c r="I182" i="2" s="1"/>
  <c r="E193" i="2" s="1"/>
  <c r="K65" i="1" s="1"/>
  <c r="S65" i="1" s="1"/>
  <c r="AB52" i="1"/>
  <c r="AE52" i="1" s="1"/>
  <c r="AD52" i="1" s="1"/>
  <c r="W52" i="1"/>
  <c r="Z52" i="1" s="1"/>
  <c r="Y52" i="1" s="1"/>
  <c r="L181" i="2" s="1"/>
  <c r="AB51" i="1"/>
  <c r="AE51" i="1" s="1"/>
  <c r="AD51" i="1" s="1"/>
  <c r="W51" i="1"/>
  <c r="Z51" i="1" s="1"/>
  <c r="Y51" i="1" s="1"/>
  <c r="L176" i="2" s="1"/>
  <c r="W50" i="1"/>
  <c r="Z50" i="1" s="1"/>
  <c r="Y50" i="1" s="1"/>
  <c r="L166" i="2" s="1"/>
  <c r="I166" i="2" s="1"/>
  <c r="J166" i="2" s="1"/>
  <c r="W49" i="1"/>
  <c r="Z49" i="1" s="1"/>
  <c r="Y49" i="1" s="1"/>
  <c r="L156" i="2" s="1"/>
  <c r="W47" i="1"/>
  <c r="Z47" i="1" s="1"/>
  <c r="Y47" i="1" s="1"/>
  <c r="L153" i="2" s="1"/>
  <c r="W46" i="1"/>
  <c r="Z46" i="1" s="1"/>
  <c r="Y46" i="1" s="1"/>
  <c r="AB45" i="1"/>
  <c r="AE45" i="1" s="1"/>
  <c r="AD45" i="1" s="1"/>
  <c r="S73" i="2" s="1"/>
  <c r="W45" i="1"/>
  <c r="Z45" i="1" s="1"/>
  <c r="Y45" i="1" s="1"/>
  <c r="L150" i="2" s="1"/>
  <c r="AB44" i="1"/>
  <c r="AE44" i="1" s="1"/>
  <c r="W44" i="1"/>
  <c r="Z44" i="1" s="1"/>
  <c r="Y44" i="1" s="1"/>
  <c r="L149" i="2" s="1"/>
  <c r="AE43" i="1"/>
  <c r="AD43" i="1" s="1"/>
  <c r="AD47" i="1" s="1"/>
  <c r="S75" i="2" s="1"/>
  <c r="AB43" i="1"/>
  <c r="AB47" i="1" s="1"/>
  <c r="T75" i="2" s="1"/>
  <c r="W43" i="1"/>
  <c r="Z43" i="1" s="1"/>
  <c r="Y43" i="1" s="1"/>
  <c r="L146" i="2" s="1"/>
  <c r="AB42" i="1"/>
  <c r="AB48" i="1" s="1"/>
  <c r="W42" i="1"/>
  <c r="Z42" i="1" s="1"/>
  <c r="Y42" i="1" s="1"/>
  <c r="L145" i="2" s="1"/>
  <c r="AB41" i="1"/>
  <c r="AE41" i="1" s="1"/>
  <c r="W41" i="1"/>
  <c r="Z41" i="1" s="1"/>
  <c r="Y41" i="1" s="1"/>
  <c r="L141" i="2" s="1"/>
  <c r="AE40" i="1"/>
  <c r="AD40" i="1" s="1"/>
  <c r="AB40" i="1"/>
  <c r="W40" i="1"/>
  <c r="Z40" i="1" s="1"/>
  <c r="Y40" i="1" s="1"/>
  <c r="L140" i="2" s="1"/>
  <c r="AB39" i="1"/>
  <c r="AE39" i="1" s="1"/>
  <c r="AD39" i="1" s="1"/>
  <c r="W39" i="1"/>
  <c r="Z39" i="1" s="1"/>
  <c r="Y39" i="1" s="1"/>
  <c r="L135" i="2" s="1"/>
  <c r="Z38" i="1"/>
  <c r="Y38" i="1" s="1"/>
  <c r="W38" i="1"/>
  <c r="Z37" i="1"/>
  <c r="Y37" i="1" s="1"/>
  <c r="L115" i="2" s="1"/>
  <c r="W37" i="1"/>
  <c r="Z36" i="1"/>
  <c r="Y36" i="1"/>
  <c r="W36" i="1"/>
  <c r="W35" i="1"/>
  <c r="Z35" i="1" s="1"/>
  <c r="Y35" i="1" s="1"/>
  <c r="L112" i="2" s="1"/>
  <c r="I112" i="2" s="1"/>
  <c r="E117" i="2" s="1"/>
  <c r="K47" i="1" s="1"/>
  <c r="W34" i="1"/>
  <c r="Z34" i="1" s="1"/>
  <c r="Y34" i="1" s="1"/>
  <c r="L111" i="2" s="1"/>
  <c r="AB33" i="1"/>
  <c r="AE33" i="1" s="1"/>
  <c r="AD33" i="1" s="1"/>
  <c r="W33" i="1"/>
  <c r="Z33" i="1" s="1"/>
  <c r="Y33" i="1" s="1"/>
  <c r="L109" i="2" s="1"/>
  <c r="AE32" i="1"/>
  <c r="AD32" i="1" s="1"/>
  <c r="AD34" i="1" s="1"/>
  <c r="AB32" i="1"/>
  <c r="AB34" i="1" s="1"/>
  <c r="W32" i="1"/>
  <c r="Z32" i="1" s="1"/>
  <c r="Y32" i="1" s="1"/>
  <c r="L108" i="2" s="1"/>
  <c r="AB31" i="1"/>
  <c r="AB35" i="1" s="1"/>
  <c r="W31" i="1"/>
  <c r="Z31" i="1" s="1"/>
  <c r="Y31" i="1" s="1"/>
  <c r="L105" i="2" s="1"/>
  <c r="AB30" i="1"/>
  <c r="AB36" i="1" s="1"/>
  <c r="W30" i="1"/>
  <c r="Z30" i="1" s="1"/>
  <c r="Y30" i="1" s="1"/>
  <c r="L104" i="2" s="1"/>
  <c r="AB29" i="1"/>
  <c r="AB37" i="1" s="1"/>
  <c r="Z29" i="1"/>
  <c r="Y29" i="1" s="1"/>
  <c r="L100" i="2" s="1"/>
  <c r="I100" i="2" s="1"/>
  <c r="E111" i="2" s="1"/>
  <c r="K41" i="1" s="1"/>
  <c r="W29" i="1"/>
  <c r="AE28" i="1"/>
  <c r="AD28" i="1" s="1"/>
  <c r="AB28" i="1"/>
  <c r="W28" i="1"/>
  <c r="Z28" i="1" s="1"/>
  <c r="Y28" i="1" s="1"/>
  <c r="L99" i="2" s="1"/>
  <c r="AB27" i="1"/>
  <c r="AE27" i="1" s="1"/>
  <c r="AD27" i="1" s="1"/>
  <c r="W27" i="1"/>
  <c r="Z27" i="1" s="1"/>
  <c r="Y27" i="1" s="1"/>
  <c r="L94" i="2" s="1"/>
  <c r="W26" i="1"/>
  <c r="Z26" i="1" s="1"/>
  <c r="Y26" i="1" s="1"/>
  <c r="L84" i="2" s="1"/>
  <c r="W25" i="1"/>
  <c r="Z25" i="1" s="1"/>
  <c r="Y25" i="1" s="1"/>
  <c r="L74" i="2" s="1"/>
  <c r="AB24" i="1"/>
  <c r="Z24" i="1"/>
  <c r="Y24" i="1"/>
  <c r="W24" i="1"/>
  <c r="W23" i="1"/>
  <c r="Z23" i="1" s="1"/>
  <c r="Y23" i="1" s="1"/>
  <c r="L71" i="2" s="1"/>
  <c r="W22" i="1"/>
  <c r="Z22" i="1" s="1"/>
  <c r="Y22" i="1" s="1"/>
  <c r="L70" i="2" s="1"/>
  <c r="AE21" i="1"/>
  <c r="AD21" i="1"/>
  <c r="AB21" i="1"/>
  <c r="Z21" i="1"/>
  <c r="Y21" i="1" s="1"/>
  <c r="W21" i="1"/>
  <c r="AB20" i="1"/>
  <c r="AE20" i="1" s="1"/>
  <c r="W20" i="1"/>
  <c r="Z20" i="1" s="1"/>
  <c r="Y20" i="1" s="1"/>
  <c r="L67" i="2" s="1"/>
  <c r="AB19" i="1"/>
  <c r="AB23" i="1" s="1"/>
  <c r="W19" i="1"/>
  <c r="Z19" i="1" s="1"/>
  <c r="Y19" i="1" s="1"/>
  <c r="L64" i="2" s="1"/>
  <c r="AE18" i="1"/>
  <c r="AD18" i="1" s="1"/>
  <c r="AD24" i="1" s="1"/>
  <c r="AB18" i="1"/>
  <c r="Z18" i="1"/>
  <c r="Y18" i="1"/>
  <c r="L63" i="2" s="1"/>
  <c r="W18" i="1"/>
  <c r="AE17" i="1"/>
  <c r="AE25" i="1" s="1"/>
  <c r="AD17" i="1"/>
  <c r="AD25" i="1" s="1"/>
  <c r="AB17" i="1"/>
  <c r="AB25" i="1" s="1"/>
  <c r="W17" i="1"/>
  <c r="Z17" i="1" s="1"/>
  <c r="Y17" i="1" s="1"/>
  <c r="L59" i="2" s="1"/>
  <c r="AE16" i="1"/>
  <c r="AD16" i="1" s="1"/>
  <c r="AB16" i="1"/>
  <c r="W16" i="1"/>
  <c r="Z16" i="1" s="1"/>
  <c r="Y16" i="1" s="1"/>
  <c r="L58" i="2" s="1"/>
  <c r="AB15" i="1"/>
  <c r="AE15" i="1" s="1"/>
  <c r="AD15" i="1" s="1"/>
  <c r="W15" i="1"/>
  <c r="Z15" i="1" s="1"/>
  <c r="Y15" i="1" s="1"/>
  <c r="L53" i="2" s="1"/>
  <c r="W14" i="1"/>
  <c r="Z14" i="1" s="1"/>
  <c r="Y14" i="1" s="1"/>
  <c r="R239" i="2"/>
  <c r="U239" i="2" s="1"/>
  <c r="H238" i="2"/>
  <c r="D238" i="2"/>
  <c r="H236" i="2"/>
  <c r="D236" i="2"/>
  <c r="H235" i="2"/>
  <c r="H234" i="2"/>
  <c r="H232" i="2"/>
  <c r="D232" i="2"/>
  <c r="H231" i="2"/>
  <c r="H228" i="2"/>
  <c r="D228" i="2"/>
  <c r="Q227" i="2"/>
  <c r="H227" i="2"/>
  <c r="Q225" i="2"/>
  <c r="R224" i="2"/>
  <c r="Q224" i="2"/>
  <c r="H223" i="2"/>
  <c r="D223" i="2"/>
  <c r="H222" i="2"/>
  <c r="S221" i="2"/>
  <c r="R220" i="2"/>
  <c r="Q220" i="2"/>
  <c r="R219" i="2"/>
  <c r="Q219" i="2"/>
  <c r="H217" i="2"/>
  <c r="D217" i="2"/>
  <c r="Q216" i="2"/>
  <c r="R227" i="2" s="1"/>
  <c r="Q215" i="2"/>
  <c r="R226" i="2" s="1"/>
  <c r="Q214" i="2"/>
  <c r="R225" i="2" s="1"/>
  <c r="Q213" i="2"/>
  <c r="Q212" i="2"/>
  <c r="R223" i="2" s="1"/>
  <c r="Q211" i="2"/>
  <c r="Q210" i="2"/>
  <c r="R221" i="2" s="1"/>
  <c r="Q209" i="2"/>
  <c r="S220" i="2" s="1"/>
  <c r="Q208" i="2"/>
  <c r="Q207" i="2"/>
  <c r="R242" i="2" s="1"/>
  <c r="H207" i="2"/>
  <c r="D207" i="2"/>
  <c r="R200" i="2"/>
  <c r="U200" i="2" s="1"/>
  <c r="R198" i="2"/>
  <c r="U198" i="2" s="1"/>
  <c r="H197" i="2"/>
  <c r="D197" i="2"/>
  <c r="R196" i="2"/>
  <c r="S196" i="2" s="1"/>
  <c r="H195" i="2"/>
  <c r="D195" i="2"/>
  <c r="H194" i="2"/>
  <c r="H193" i="2"/>
  <c r="H191" i="2"/>
  <c r="D191" i="2"/>
  <c r="H190" i="2"/>
  <c r="H187" i="2"/>
  <c r="D187" i="2"/>
  <c r="R186" i="2"/>
  <c r="Q186" i="2"/>
  <c r="H186" i="2"/>
  <c r="Q185" i="2"/>
  <c r="R184" i="2"/>
  <c r="Q184" i="2"/>
  <c r="H182" i="2"/>
  <c r="D182" i="2"/>
  <c r="R181" i="2"/>
  <c r="H181" i="2"/>
  <c r="Q180" i="2"/>
  <c r="R179" i="2"/>
  <c r="Q179" i="2"/>
  <c r="S178" i="2"/>
  <c r="R178" i="2"/>
  <c r="H176" i="2"/>
  <c r="D176" i="2"/>
  <c r="Q175" i="2"/>
  <c r="Q174" i="2"/>
  <c r="R185" i="2" s="1"/>
  <c r="Q173" i="2"/>
  <c r="Q172" i="2"/>
  <c r="R183" i="2" s="1"/>
  <c r="Q171" i="2"/>
  <c r="R182" i="2" s="1"/>
  <c r="Q170" i="2"/>
  <c r="S181" i="2" s="1"/>
  <c r="Q169" i="2"/>
  <c r="S180" i="2" s="1"/>
  <c r="Q168" i="2"/>
  <c r="S179" i="2" s="1"/>
  <c r="Q167" i="2"/>
  <c r="Q178" i="2" s="1"/>
  <c r="Q166" i="2"/>
  <c r="R201" i="2" s="1"/>
  <c r="H166" i="2"/>
  <c r="D166" i="2"/>
  <c r="R157" i="2"/>
  <c r="U157" i="2" s="1"/>
  <c r="H156" i="2"/>
  <c r="D156" i="2"/>
  <c r="H154" i="2"/>
  <c r="D154" i="2"/>
  <c r="H153" i="2"/>
  <c r="H152" i="2"/>
  <c r="H150" i="2"/>
  <c r="D150" i="2"/>
  <c r="H149" i="2"/>
  <c r="H146" i="2"/>
  <c r="D146" i="2"/>
  <c r="Q145" i="2"/>
  <c r="H145" i="2"/>
  <c r="Q143" i="2"/>
  <c r="Q142" i="2"/>
  <c r="H141" i="2"/>
  <c r="D141" i="2"/>
  <c r="R140" i="2"/>
  <c r="Q140" i="2"/>
  <c r="H140" i="2"/>
  <c r="R137" i="2"/>
  <c r="R136" i="2"/>
  <c r="Q136" i="2"/>
  <c r="H135" i="2"/>
  <c r="D135" i="2"/>
  <c r="Q134" i="2"/>
  <c r="S136" i="2" s="1"/>
  <c r="Q133" i="2"/>
  <c r="R144" i="2" s="1"/>
  <c r="Q132" i="2"/>
  <c r="R143" i="2" s="1"/>
  <c r="Q131" i="2"/>
  <c r="R142" i="2" s="1"/>
  <c r="Q130" i="2"/>
  <c r="S140" i="2" s="1"/>
  <c r="Q129" i="2"/>
  <c r="Q128" i="2"/>
  <c r="S139" i="2" s="1"/>
  <c r="Q127" i="2"/>
  <c r="S138" i="2" s="1"/>
  <c r="Q126" i="2"/>
  <c r="Q137" i="2" s="1"/>
  <c r="Q125" i="2"/>
  <c r="R160" i="2" s="1"/>
  <c r="H125" i="2"/>
  <c r="D125" i="2"/>
  <c r="R116" i="2"/>
  <c r="U116" i="2" s="1"/>
  <c r="H115" i="2"/>
  <c r="D115" i="2"/>
  <c r="H113" i="2"/>
  <c r="D113" i="2"/>
  <c r="H112" i="2"/>
  <c r="H111" i="2"/>
  <c r="H109" i="2"/>
  <c r="D109" i="2"/>
  <c r="H108" i="2"/>
  <c r="H105" i="2"/>
  <c r="D105" i="2"/>
  <c r="R104" i="2"/>
  <c r="Q104" i="2"/>
  <c r="H104" i="2"/>
  <c r="R102" i="2"/>
  <c r="Q102" i="2"/>
  <c r="H100" i="2"/>
  <c r="D100" i="2"/>
  <c r="H99" i="2"/>
  <c r="Q98" i="2"/>
  <c r="S96" i="2"/>
  <c r="R96" i="2"/>
  <c r="R95" i="2"/>
  <c r="Q95" i="2"/>
  <c r="H94" i="2"/>
  <c r="D94" i="2"/>
  <c r="Q93" i="2"/>
  <c r="Q92" i="2"/>
  <c r="R103" i="2" s="1"/>
  <c r="Q91" i="2"/>
  <c r="Q90" i="2"/>
  <c r="R101" i="2" s="1"/>
  <c r="Q89" i="2"/>
  <c r="R100" i="2" s="1"/>
  <c r="Q88" i="2"/>
  <c r="S99" i="2" s="1"/>
  <c r="Q87" i="2"/>
  <c r="R98" i="2" s="1"/>
  <c r="Q86" i="2"/>
  <c r="S97" i="2" s="1"/>
  <c r="Q85" i="2"/>
  <c r="Q96" i="2" s="1"/>
  <c r="Q84" i="2"/>
  <c r="R119" i="2" s="1"/>
  <c r="H84" i="2"/>
  <c r="D84" i="2"/>
  <c r="R75" i="2"/>
  <c r="H74" i="2"/>
  <c r="D74" i="2"/>
  <c r="H72" i="2"/>
  <c r="D72" i="2"/>
  <c r="H71" i="2"/>
  <c r="H70" i="2"/>
  <c r="H68" i="2"/>
  <c r="D68" i="2"/>
  <c r="H67" i="2"/>
  <c r="H64" i="2"/>
  <c r="D64" i="2"/>
  <c r="Q63" i="2"/>
  <c r="H63" i="2"/>
  <c r="Q61" i="2"/>
  <c r="H59" i="2"/>
  <c r="D59" i="2"/>
  <c r="H58" i="2"/>
  <c r="S57" i="2"/>
  <c r="Q57" i="2"/>
  <c r="R55" i="2"/>
  <c r="Q55" i="2"/>
  <c r="R54" i="2"/>
  <c r="H53" i="2"/>
  <c r="D53" i="2"/>
  <c r="Q52" i="2"/>
  <c r="R63" i="2" s="1"/>
  <c r="Q51" i="2"/>
  <c r="R62" i="2" s="1"/>
  <c r="Q50" i="2"/>
  <c r="R61" i="2" s="1"/>
  <c r="Q49" i="2"/>
  <c r="R60" i="2" s="1"/>
  <c r="Q48" i="2"/>
  <c r="R59" i="2" s="1"/>
  <c r="Q47" i="2"/>
  <c r="S58" i="2" s="1"/>
  <c r="Q46" i="2"/>
  <c r="R57" i="2" s="1"/>
  <c r="Q45" i="2"/>
  <c r="Q44" i="2"/>
  <c r="Q43" i="2"/>
  <c r="R78" i="2" s="1"/>
  <c r="H43" i="2"/>
  <c r="D43" i="2"/>
  <c r="L227" i="2" l="1"/>
  <c r="M124" i="2"/>
  <c r="AE72" i="1"/>
  <c r="U71" i="2"/>
  <c r="AE29" i="1"/>
  <c r="AE65" i="1"/>
  <c r="AB70" i="1"/>
  <c r="L72" i="2"/>
  <c r="T72" i="2"/>
  <c r="M244" i="2"/>
  <c r="AE24" i="1"/>
  <c r="AE60" i="1"/>
  <c r="U72" i="2"/>
  <c r="M116" i="2"/>
  <c r="AB22" i="1"/>
  <c r="I217" i="2"/>
  <c r="E232" i="2" s="1"/>
  <c r="M122" i="2"/>
  <c r="M156" i="2"/>
  <c r="AE55" i="1"/>
  <c r="L113" i="2"/>
  <c r="T73" i="2"/>
  <c r="E190" i="2"/>
  <c r="K62" i="1" s="1"/>
  <c r="O62" i="1" s="1"/>
  <c r="U65" i="1"/>
  <c r="M65" i="1"/>
  <c r="T65" i="1"/>
  <c r="N65" i="1"/>
  <c r="R65" i="1"/>
  <c r="Q65" i="1"/>
  <c r="P65" i="1"/>
  <c r="V65" i="1"/>
  <c r="V67" i="1"/>
  <c r="T71" i="1"/>
  <c r="R71" i="1"/>
  <c r="O71" i="1"/>
  <c r="V71" i="1"/>
  <c r="N71" i="1"/>
  <c r="N62" i="1"/>
  <c r="P62" i="1"/>
  <c r="R62" i="1"/>
  <c r="AD68" i="1"/>
  <c r="AD70" i="1" s="1"/>
  <c r="AE70" i="1"/>
  <c r="V69" i="1"/>
  <c r="N69" i="1"/>
  <c r="U69" i="1"/>
  <c r="S71" i="1"/>
  <c r="O65" i="1"/>
  <c r="Q67" i="1"/>
  <c r="M71" i="1"/>
  <c r="U71" i="1"/>
  <c r="S62" i="1"/>
  <c r="T67" i="1"/>
  <c r="P71" i="1"/>
  <c r="M62" i="1"/>
  <c r="U62" i="1"/>
  <c r="M67" i="1"/>
  <c r="AE67" i="1"/>
  <c r="Q71" i="1"/>
  <c r="V53" i="1"/>
  <c r="AD56" i="1"/>
  <c r="AD58" i="1" s="1"/>
  <c r="AE58" i="1"/>
  <c r="V57" i="1"/>
  <c r="N57" i="1"/>
  <c r="AE61" i="1"/>
  <c r="AD53" i="1"/>
  <c r="AD61" i="1" s="1"/>
  <c r="R59" i="1"/>
  <c r="Q59" i="1"/>
  <c r="P59" i="1"/>
  <c r="V59" i="1"/>
  <c r="I68" i="2"/>
  <c r="E74" i="2" s="1"/>
  <c r="K33" i="1" s="1"/>
  <c r="T33" i="1" s="1"/>
  <c r="Q51" i="1"/>
  <c r="AB61" i="1"/>
  <c r="S47" i="1"/>
  <c r="U41" i="1"/>
  <c r="V47" i="1"/>
  <c r="R47" i="1"/>
  <c r="Q47" i="1"/>
  <c r="N47" i="1"/>
  <c r="P47" i="1"/>
  <c r="O47" i="1"/>
  <c r="U47" i="1"/>
  <c r="M47" i="1"/>
  <c r="T47" i="1"/>
  <c r="P41" i="1"/>
  <c r="O41" i="1"/>
  <c r="V41" i="1"/>
  <c r="N41" i="1"/>
  <c r="AE49" i="1"/>
  <c r="U77" i="2" s="1"/>
  <c r="AD41" i="1"/>
  <c r="AD49" i="1" s="1"/>
  <c r="S77" i="2" s="1"/>
  <c r="AD44" i="1"/>
  <c r="AE46" i="1"/>
  <c r="U74" i="2" s="1"/>
  <c r="AB46" i="1"/>
  <c r="T74" i="2" s="1"/>
  <c r="AE47" i="1"/>
  <c r="U75" i="2" s="1"/>
  <c r="Q41" i="1"/>
  <c r="R41" i="1"/>
  <c r="S41" i="1"/>
  <c r="AB49" i="1"/>
  <c r="T77" i="2" s="1"/>
  <c r="T41" i="1"/>
  <c r="AE42" i="1"/>
  <c r="M41" i="1"/>
  <c r="O33" i="1"/>
  <c r="V33" i="1"/>
  <c r="R27" i="1"/>
  <c r="T27" i="1"/>
  <c r="M27" i="1"/>
  <c r="U27" i="1"/>
  <c r="V27" i="1"/>
  <c r="AE34" i="1"/>
  <c r="O27" i="1"/>
  <c r="Q27" i="1"/>
  <c r="AE31" i="1"/>
  <c r="AE30" i="1"/>
  <c r="AD20" i="1"/>
  <c r="AD22" i="1" s="1"/>
  <c r="AE22" i="1"/>
  <c r="AE19" i="1"/>
  <c r="I53" i="2"/>
  <c r="E68" i="2" s="1"/>
  <c r="K27" i="1" s="1"/>
  <c r="S27" i="1" s="1"/>
  <c r="I59" i="2"/>
  <c r="M206" i="2"/>
  <c r="M199" i="2"/>
  <c r="J207" i="2"/>
  <c r="J217" i="2" s="1"/>
  <c r="M198" i="2"/>
  <c r="M204" i="2"/>
  <c r="U242" i="2"/>
  <c r="T242" i="2"/>
  <c r="S242" i="2"/>
  <c r="M245" i="2"/>
  <c r="M247" i="2"/>
  <c r="M239" i="2"/>
  <c r="M240" i="2"/>
  <c r="S219" i="2"/>
  <c r="I223" i="2"/>
  <c r="E234" i="2" s="1"/>
  <c r="I235" i="2"/>
  <c r="E240" i="2" s="1"/>
  <c r="R237" i="2"/>
  <c r="S239" i="2"/>
  <c r="Q226" i="2"/>
  <c r="M246" i="2" s="1"/>
  <c r="T239" i="2"/>
  <c r="R241" i="2"/>
  <c r="Q217" i="2"/>
  <c r="R238" i="2"/>
  <c r="Q218" i="2"/>
  <c r="Q222" i="2"/>
  <c r="Q223" i="2"/>
  <c r="M243" i="2" s="1"/>
  <c r="I228" i="2"/>
  <c r="E236" i="2" s="1"/>
  <c r="R235" i="2"/>
  <c r="R218" i="2"/>
  <c r="Q221" i="2"/>
  <c r="M241" i="2" s="1"/>
  <c r="R222" i="2"/>
  <c r="I232" i="2"/>
  <c r="E238" i="2" s="1"/>
  <c r="R236" i="2"/>
  <c r="R240" i="2"/>
  <c r="S218" i="2"/>
  <c r="S222" i="2"/>
  <c r="S201" i="2"/>
  <c r="U201" i="2"/>
  <c r="T201" i="2"/>
  <c r="M205" i="2"/>
  <c r="T196" i="2"/>
  <c r="Q177" i="2"/>
  <c r="Q181" i="2"/>
  <c r="M201" i="2" s="1"/>
  <c r="Q182" i="2"/>
  <c r="M202" i="2" s="1"/>
  <c r="I187" i="2"/>
  <c r="E195" i="2" s="1"/>
  <c r="K67" i="1" s="1"/>
  <c r="O67" i="1" s="1"/>
  <c r="R194" i="2"/>
  <c r="U196" i="2"/>
  <c r="T200" i="2"/>
  <c r="S200" i="2"/>
  <c r="R177" i="2"/>
  <c r="I191" i="2"/>
  <c r="E197" i="2" s="1"/>
  <c r="K69" i="1" s="1"/>
  <c r="S69" i="1" s="1"/>
  <c r="R195" i="2"/>
  <c r="R199" i="2"/>
  <c r="R197" i="2"/>
  <c r="S177" i="2"/>
  <c r="R180" i="2"/>
  <c r="M200" i="2" s="1"/>
  <c r="Q183" i="2"/>
  <c r="M203" i="2" s="1"/>
  <c r="S198" i="2"/>
  <c r="T198" i="2"/>
  <c r="Q176" i="2"/>
  <c r="I176" i="2"/>
  <c r="M162" i="2"/>
  <c r="U160" i="2"/>
  <c r="T160" i="2"/>
  <c r="S160" i="2"/>
  <c r="M163" i="2"/>
  <c r="M160" i="2"/>
  <c r="M165" i="2"/>
  <c r="S137" i="2"/>
  <c r="M157" i="2" s="1"/>
  <c r="I141" i="2"/>
  <c r="E152" i="2" s="1"/>
  <c r="K53" i="1" s="1"/>
  <c r="U53" i="1" s="1"/>
  <c r="R145" i="2"/>
  <c r="I153" i="2"/>
  <c r="E158" i="2" s="1"/>
  <c r="K59" i="1" s="1"/>
  <c r="S59" i="1" s="1"/>
  <c r="R155" i="2"/>
  <c r="S157" i="2"/>
  <c r="Q138" i="2"/>
  <c r="M158" i="2" s="1"/>
  <c r="Q144" i="2"/>
  <c r="M164" i="2" s="1"/>
  <c r="T157" i="2"/>
  <c r="R159" i="2"/>
  <c r="Q135" i="2"/>
  <c r="R138" i="2"/>
  <c r="R156" i="2"/>
  <c r="I125" i="2"/>
  <c r="Q141" i="2"/>
  <c r="M161" i="2" s="1"/>
  <c r="I146" i="2"/>
  <c r="E154" i="2" s="1"/>
  <c r="K55" i="1" s="1"/>
  <c r="R153" i="2"/>
  <c r="Q139" i="2"/>
  <c r="M159" i="2" s="1"/>
  <c r="R141" i="2"/>
  <c r="I150" i="2"/>
  <c r="E156" i="2" s="1"/>
  <c r="K57" i="1" s="1"/>
  <c r="T57" i="1" s="1"/>
  <c r="R154" i="2"/>
  <c r="R158" i="2"/>
  <c r="R139" i="2"/>
  <c r="I135" i="2"/>
  <c r="E150" i="2" s="1"/>
  <c r="K51" i="1" s="1"/>
  <c r="R51" i="1" s="1"/>
  <c r="U119" i="2"/>
  <c r="S119" i="2"/>
  <c r="T119" i="2"/>
  <c r="M118" i="2"/>
  <c r="I84" i="2"/>
  <c r="R114" i="2"/>
  <c r="S116" i="2"/>
  <c r="Q97" i="2"/>
  <c r="Q103" i="2"/>
  <c r="M123" i="2" s="1"/>
  <c r="T116" i="2"/>
  <c r="R118" i="2"/>
  <c r="Q94" i="2"/>
  <c r="R97" i="2"/>
  <c r="R115" i="2"/>
  <c r="Q99" i="2"/>
  <c r="Q100" i="2"/>
  <c r="M120" i="2" s="1"/>
  <c r="I105" i="2"/>
  <c r="E113" i="2" s="1"/>
  <c r="K43" i="1" s="1"/>
  <c r="R112" i="2"/>
  <c r="R99" i="2"/>
  <c r="I109" i="2"/>
  <c r="E115" i="2" s="1"/>
  <c r="K45" i="1" s="1"/>
  <c r="R113" i="2"/>
  <c r="R117" i="2"/>
  <c r="S95" i="2"/>
  <c r="M115" i="2" s="1"/>
  <c r="Q101" i="2"/>
  <c r="M121" i="2" s="1"/>
  <c r="I94" i="2"/>
  <c r="E109" i="2" s="1"/>
  <c r="K39" i="1" s="1"/>
  <c r="S98" i="2"/>
  <c r="M77" i="2"/>
  <c r="M83" i="2"/>
  <c r="M81" i="2"/>
  <c r="S55" i="2"/>
  <c r="M75" i="2" s="1"/>
  <c r="I71" i="2"/>
  <c r="R73" i="2"/>
  <c r="Q56" i="2"/>
  <c r="Q62" i="2"/>
  <c r="M82" i="2" s="1"/>
  <c r="R77" i="2"/>
  <c r="Q53" i="2"/>
  <c r="R56" i="2"/>
  <c r="R74" i="2"/>
  <c r="Q54" i="2"/>
  <c r="S56" i="2"/>
  <c r="Q58" i="2"/>
  <c r="Q59" i="2"/>
  <c r="M79" i="2" s="1"/>
  <c r="R71" i="2"/>
  <c r="R58" i="2"/>
  <c r="R72" i="2"/>
  <c r="R76" i="2"/>
  <c r="S54" i="2"/>
  <c r="Q60" i="2"/>
  <c r="M80" i="2" s="1"/>
  <c r="S39" i="1" l="1"/>
  <c r="O39" i="1"/>
  <c r="Q39" i="1"/>
  <c r="V39" i="1"/>
  <c r="R39" i="1"/>
  <c r="N39" i="1"/>
  <c r="M39" i="1"/>
  <c r="J39" i="1" s="1"/>
  <c r="U39" i="1"/>
  <c r="P39" i="1"/>
  <c r="T39" i="1"/>
  <c r="T53" i="1"/>
  <c r="AE37" i="1"/>
  <c r="AD29" i="1"/>
  <c r="AD37" i="1" s="1"/>
  <c r="S33" i="1"/>
  <c r="P27" i="1"/>
  <c r="R33" i="1"/>
  <c r="M57" i="1"/>
  <c r="M51" i="1"/>
  <c r="N51" i="1"/>
  <c r="M59" i="1"/>
  <c r="T59" i="1"/>
  <c r="P57" i="1"/>
  <c r="T62" i="1"/>
  <c r="Q62" i="1"/>
  <c r="J62" i="1" s="1"/>
  <c r="O69" i="1"/>
  <c r="V62" i="1"/>
  <c r="P67" i="1"/>
  <c r="P33" i="1"/>
  <c r="U57" i="1"/>
  <c r="U51" i="1"/>
  <c r="S51" i="1"/>
  <c r="O57" i="1"/>
  <c r="J57" i="1" s="1"/>
  <c r="Q33" i="1"/>
  <c r="Q53" i="1"/>
  <c r="V51" i="1"/>
  <c r="U59" i="1"/>
  <c r="P69" i="1"/>
  <c r="R67" i="1"/>
  <c r="N27" i="1"/>
  <c r="J27" i="1" s="1"/>
  <c r="M33" i="1"/>
  <c r="J33" i="1" s="1"/>
  <c r="AD46" i="1"/>
  <c r="S74" i="2" s="1"/>
  <c r="S72" i="2"/>
  <c r="P51" i="1"/>
  <c r="N59" i="1"/>
  <c r="U67" i="1"/>
  <c r="R69" i="1"/>
  <c r="Q69" i="1"/>
  <c r="J69" i="1" s="1"/>
  <c r="N67" i="1"/>
  <c r="AE59" i="1"/>
  <c r="AD55" i="1"/>
  <c r="AD59" i="1" s="1"/>
  <c r="U33" i="1"/>
  <c r="S57" i="1"/>
  <c r="T51" i="1"/>
  <c r="R57" i="1"/>
  <c r="N53" i="1"/>
  <c r="J53" i="1" s="1"/>
  <c r="T69" i="1"/>
  <c r="M53" i="1"/>
  <c r="R53" i="1"/>
  <c r="AE73" i="1"/>
  <c r="AD65" i="1"/>
  <c r="AD73" i="1" s="1"/>
  <c r="O51" i="1"/>
  <c r="N33" i="1"/>
  <c r="S53" i="1"/>
  <c r="O53" i="1"/>
  <c r="Q57" i="1"/>
  <c r="O59" i="1"/>
  <c r="P53" i="1"/>
  <c r="S67" i="1"/>
  <c r="J67" i="1" s="1"/>
  <c r="M69" i="1"/>
  <c r="J176" i="2"/>
  <c r="E191" i="2"/>
  <c r="K63" i="1" s="1"/>
  <c r="J125" i="2"/>
  <c r="J135" i="2" s="1"/>
  <c r="E149" i="2"/>
  <c r="K50" i="1" s="1"/>
  <c r="J84" i="2"/>
  <c r="J94" i="2" s="1"/>
  <c r="E108" i="2"/>
  <c r="K38" i="1" s="1"/>
  <c r="E76" i="2"/>
  <c r="K35" i="1" s="1"/>
  <c r="E70" i="2"/>
  <c r="K29" i="1" s="1"/>
  <c r="AD67" i="1"/>
  <c r="AD71" i="1" s="1"/>
  <c r="AE71" i="1"/>
  <c r="J71" i="1"/>
  <c r="J65" i="1"/>
  <c r="O55" i="1"/>
  <c r="V55" i="1"/>
  <c r="N55" i="1"/>
  <c r="U55" i="1"/>
  <c r="M55" i="1"/>
  <c r="T55" i="1"/>
  <c r="S55" i="1"/>
  <c r="R55" i="1"/>
  <c r="P55" i="1"/>
  <c r="Q55" i="1"/>
  <c r="J51" i="1"/>
  <c r="J59" i="1"/>
  <c r="O43" i="1"/>
  <c r="V43" i="1"/>
  <c r="N43" i="1"/>
  <c r="U43" i="1"/>
  <c r="M43" i="1"/>
  <c r="T43" i="1"/>
  <c r="S43" i="1"/>
  <c r="R43" i="1"/>
  <c r="Q43" i="1"/>
  <c r="P43" i="1"/>
  <c r="J41" i="1"/>
  <c r="J43" i="2"/>
  <c r="AD42" i="1"/>
  <c r="AD48" i="1" s="1"/>
  <c r="S76" i="2" s="1"/>
  <c r="AE48" i="1"/>
  <c r="U76" i="2" s="1"/>
  <c r="J47" i="1"/>
  <c r="AD30" i="1"/>
  <c r="AD36" i="1" s="1"/>
  <c r="AE36" i="1"/>
  <c r="AD31" i="1"/>
  <c r="AD35" i="1" s="1"/>
  <c r="AE35" i="1"/>
  <c r="AD19" i="1"/>
  <c r="AD23" i="1" s="1"/>
  <c r="AE23" i="1"/>
  <c r="I156" i="2"/>
  <c r="E160" i="2" s="1"/>
  <c r="K61" i="1" s="1"/>
  <c r="T236" i="2"/>
  <c r="S236" i="2"/>
  <c r="U236" i="2"/>
  <c r="M242" i="2"/>
  <c r="U237" i="2"/>
  <c r="T237" i="2"/>
  <c r="S237" i="2"/>
  <c r="M238" i="2"/>
  <c r="U238" i="2"/>
  <c r="T238" i="2"/>
  <c r="S238" i="2"/>
  <c r="T240" i="2"/>
  <c r="S240" i="2"/>
  <c r="U240" i="2"/>
  <c r="I227" i="2"/>
  <c r="E235" i="2" s="1"/>
  <c r="I231" i="2"/>
  <c r="E237" i="2" s="1"/>
  <c r="I234" i="2"/>
  <c r="E239" i="2" s="1"/>
  <c r="I222" i="2"/>
  <c r="U241" i="2"/>
  <c r="T241" i="2"/>
  <c r="S241" i="2"/>
  <c r="U235" i="2"/>
  <c r="T235" i="2"/>
  <c r="S235" i="2"/>
  <c r="M197" i="2"/>
  <c r="I197" i="2" s="1"/>
  <c r="E201" i="2" s="1"/>
  <c r="K73" i="1" s="1"/>
  <c r="U197" i="2"/>
  <c r="T197" i="2"/>
  <c r="S197" i="2"/>
  <c r="U194" i="2"/>
  <c r="T194" i="2"/>
  <c r="S194" i="2"/>
  <c r="T199" i="2"/>
  <c r="S199" i="2"/>
  <c r="U199" i="2"/>
  <c r="I193" i="2"/>
  <c r="E198" i="2" s="1"/>
  <c r="K70" i="1" s="1"/>
  <c r="I181" i="2"/>
  <c r="E192" i="2" s="1"/>
  <c r="K64" i="1" s="1"/>
  <c r="I190" i="2"/>
  <c r="E196" i="2" s="1"/>
  <c r="K68" i="1" s="1"/>
  <c r="I186" i="2"/>
  <c r="E194" i="2" s="1"/>
  <c r="K66" i="1" s="1"/>
  <c r="T195" i="2"/>
  <c r="S195" i="2"/>
  <c r="U195" i="2"/>
  <c r="U156" i="2"/>
  <c r="T156" i="2"/>
  <c r="S156" i="2"/>
  <c r="U155" i="2"/>
  <c r="T155" i="2"/>
  <c r="S155" i="2"/>
  <c r="T154" i="2"/>
  <c r="S154" i="2"/>
  <c r="U154" i="2"/>
  <c r="T158" i="2"/>
  <c r="S158" i="2"/>
  <c r="U158" i="2"/>
  <c r="U153" i="2"/>
  <c r="T153" i="2"/>
  <c r="S153" i="2"/>
  <c r="U159" i="2"/>
  <c r="T159" i="2"/>
  <c r="S159" i="2"/>
  <c r="I149" i="2"/>
  <c r="E155" i="2" s="1"/>
  <c r="K56" i="1" s="1"/>
  <c r="I145" i="2"/>
  <c r="E153" i="2" s="1"/>
  <c r="K54" i="1" s="1"/>
  <c r="I152" i="2"/>
  <c r="E157" i="2" s="1"/>
  <c r="K58" i="1" s="1"/>
  <c r="I140" i="2"/>
  <c r="E151" i="2" s="1"/>
  <c r="K52" i="1" s="1"/>
  <c r="T113" i="2"/>
  <c r="S113" i="2"/>
  <c r="U113" i="2"/>
  <c r="U115" i="2"/>
  <c r="T115" i="2"/>
  <c r="S115" i="2"/>
  <c r="U114" i="2"/>
  <c r="T114" i="2"/>
  <c r="S114" i="2"/>
  <c r="I104" i="2"/>
  <c r="E112" i="2" s="1"/>
  <c r="K42" i="1" s="1"/>
  <c r="I99" i="2"/>
  <c r="E110" i="2" s="1"/>
  <c r="K40" i="1" s="1"/>
  <c r="I111" i="2"/>
  <c r="E116" i="2" s="1"/>
  <c r="K46" i="1" s="1"/>
  <c r="I108" i="2"/>
  <c r="E114" i="2" s="1"/>
  <c r="K44" i="1" s="1"/>
  <c r="U112" i="2"/>
  <c r="T112" i="2"/>
  <c r="S112" i="2"/>
  <c r="U118" i="2"/>
  <c r="T118" i="2"/>
  <c r="S118" i="2"/>
  <c r="M117" i="2"/>
  <c r="T117" i="2"/>
  <c r="S117" i="2"/>
  <c r="U117" i="2"/>
  <c r="M119" i="2"/>
  <c r="I63" i="2"/>
  <c r="I67" i="2"/>
  <c r="E73" i="2" s="1"/>
  <c r="K32" i="1" s="1"/>
  <c r="I70" i="2"/>
  <c r="I58" i="2"/>
  <c r="E69" i="2" s="1"/>
  <c r="K28" i="1" s="1"/>
  <c r="Z60" i="1"/>
  <c r="W60" i="1"/>
  <c r="Y60" i="1"/>
  <c r="L195" i="2" s="1"/>
  <c r="M78" i="2"/>
  <c r="M76" i="2"/>
  <c r="M74" i="2"/>
  <c r="T28" i="1" l="1"/>
  <c r="M28" i="1"/>
  <c r="V28" i="1"/>
  <c r="U28" i="1"/>
  <c r="P28" i="1"/>
  <c r="S28" i="1"/>
  <c r="O28" i="1"/>
  <c r="R28" i="1"/>
  <c r="N28" i="1"/>
  <c r="Q28" i="1"/>
  <c r="R46" i="1"/>
  <c r="O46" i="1"/>
  <c r="Q46" i="1"/>
  <c r="S46" i="1"/>
  <c r="N46" i="1"/>
  <c r="U46" i="1"/>
  <c r="V46" i="1"/>
  <c r="M46" i="1"/>
  <c r="T46" i="1"/>
  <c r="P46" i="1"/>
  <c r="R58" i="1"/>
  <c r="P58" i="1"/>
  <c r="U58" i="1"/>
  <c r="V58" i="1"/>
  <c r="T58" i="1"/>
  <c r="O58" i="1"/>
  <c r="M58" i="1"/>
  <c r="Q58" i="1"/>
  <c r="N58" i="1"/>
  <c r="S58" i="1"/>
  <c r="N29" i="1"/>
  <c r="O29" i="1"/>
  <c r="S29" i="1"/>
  <c r="U29" i="1"/>
  <c r="Q29" i="1"/>
  <c r="M29" i="1"/>
  <c r="P29" i="1"/>
  <c r="T29" i="1"/>
  <c r="R29" i="1"/>
  <c r="V29" i="1"/>
  <c r="S35" i="1"/>
  <c r="N35" i="1"/>
  <c r="Q35" i="1"/>
  <c r="M35" i="1"/>
  <c r="R35" i="1"/>
  <c r="V35" i="1"/>
  <c r="T35" i="1"/>
  <c r="P35" i="1"/>
  <c r="O35" i="1"/>
  <c r="U35" i="1"/>
  <c r="V38" i="1"/>
  <c r="O38" i="1"/>
  <c r="N38" i="1"/>
  <c r="Q38" i="1"/>
  <c r="R38" i="1"/>
  <c r="U38" i="1"/>
  <c r="M38" i="1"/>
  <c r="T38" i="1"/>
  <c r="S38" i="1"/>
  <c r="P38" i="1"/>
  <c r="Q66" i="1"/>
  <c r="O66" i="1"/>
  <c r="M66" i="1"/>
  <c r="T66" i="1"/>
  <c r="P66" i="1"/>
  <c r="V66" i="1"/>
  <c r="U66" i="1"/>
  <c r="S66" i="1"/>
  <c r="N66" i="1"/>
  <c r="R66" i="1"/>
  <c r="S73" i="1"/>
  <c r="Q73" i="1"/>
  <c r="P73" i="1"/>
  <c r="N73" i="1"/>
  <c r="V73" i="1"/>
  <c r="U73" i="1"/>
  <c r="R73" i="1"/>
  <c r="M73" i="1"/>
  <c r="T73" i="1"/>
  <c r="O73" i="1"/>
  <c r="M52" i="1"/>
  <c r="T52" i="1"/>
  <c r="V52" i="1"/>
  <c r="Q52" i="1"/>
  <c r="N52" i="1"/>
  <c r="P52" i="1"/>
  <c r="U52" i="1"/>
  <c r="O52" i="1"/>
  <c r="S52" i="1"/>
  <c r="R52" i="1"/>
  <c r="P68" i="1"/>
  <c r="M68" i="1"/>
  <c r="T68" i="1"/>
  <c r="S68" i="1"/>
  <c r="U68" i="1"/>
  <c r="Q68" i="1"/>
  <c r="R68" i="1"/>
  <c r="N68" i="1"/>
  <c r="O68" i="1"/>
  <c r="V68" i="1"/>
  <c r="P61" i="1"/>
  <c r="Q61" i="1"/>
  <c r="N61" i="1"/>
  <c r="U61" i="1"/>
  <c r="T61" i="1"/>
  <c r="M61" i="1"/>
  <c r="V61" i="1"/>
  <c r="S61" i="1"/>
  <c r="O61" i="1"/>
  <c r="R61" i="1"/>
  <c r="S50" i="1"/>
  <c r="O50" i="1"/>
  <c r="P50" i="1"/>
  <c r="R50" i="1"/>
  <c r="V50" i="1"/>
  <c r="N50" i="1"/>
  <c r="Q50" i="1"/>
  <c r="U50" i="1"/>
  <c r="T50" i="1"/>
  <c r="M50" i="1"/>
  <c r="J50" i="1" s="1"/>
  <c r="R70" i="1"/>
  <c r="P70" i="1"/>
  <c r="M70" i="1"/>
  <c r="N70" i="1"/>
  <c r="O70" i="1"/>
  <c r="T70" i="1"/>
  <c r="U70" i="1"/>
  <c r="V70" i="1"/>
  <c r="Q70" i="1"/>
  <c r="S70" i="1"/>
  <c r="P44" i="1"/>
  <c r="U44" i="1"/>
  <c r="Q44" i="1"/>
  <c r="T44" i="1"/>
  <c r="R44" i="1"/>
  <c r="N44" i="1"/>
  <c r="S44" i="1"/>
  <c r="V44" i="1"/>
  <c r="O44" i="1"/>
  <c r="M44" i="1"/>
  <c r="S32" i="1"/>
  <c r="V32" i="1"/>
  <c r="N32" i="1"/>
  <c r="O32" i="1"/>
  <c r="U32" i="1"/>
  <c r="M32" i="1"/>
  <c r="P32" i="1"/>
  <c r="T32" i="1"/>
  <c r="R32" i="1"/>
  <c r="Q32" i="1"/>
  <c r="M64" i="1"/>
  <c r="J64" i="1" s="1"/>
  <c r="O64" i="1"/>
  <c r="R64" i="1"/>
  <c r="U64" i="1"/>
  <c r="S64" i="1"/>
  <c r="V64" i="1"/>
  <c r="P64" i="1"/>
  <c r="T64" i="1"/>
  <c r="N64" i="1"/>
  <c r="Q64" i="1"/>
  <c r="J222" i="2"/>
  <c r="J223" i="2" s="1"/>
  <c r="J227" i="2" s="1"/>
  <c r="J228" i="2" s="1"/>
  <c r="J231" i="2" s="1"/>
  <c r="J232" i="2" s="1"/>
  <c r="J234" i="2" s="1"/>
  <c r="J235" i="2" s="1"/>
  <c r="E233" i="2"/>
  <c r="J181" i="2"/>
  <c r="J182" i="2" s="1"/>
  <c r="J186" i="2" s="1"/>
  <c r="J187" i="2" s="1"/>
  <c r="J190" i="2" s="1"/>
  <c r="J191" i="2" s="1"/>
  <c r="J193" i="2" s="1"/>
  <c r="J194" i="2" s="1"/>
  <c r="J140" i="2"/>
  <c r="J141" i="2" s="1"/>
  <c r="J145" i="2" s="1"/>
  <c r="J146" i="2" s="1"/>
  <c r="J149" i="2" s="1"/>
  <c r="J150" i="2" s="1"/>
  <c r="J152" i="2" s="1"/>
  <c r="J153" i="2" s="1"/>
  <c r="J99" i="2"/>
  <c r="J100" i="2" s="1"/>
  <c r="J104" i="2" s="1"/>
  <c r="J105" i="2" s="1"/>
  <c r="J108" i="2" s="1"/>
  <c r="J109" i="2" s="1"/>
  <c r="J111" i="2" s="1"/>
  <c r="J112" i="2" s="1"/>
  <c r="E75" i="2"/>
  <c r="K34" i="1" s="1"/>
  <c r="N45" i="1"/>
  <c r="E71" i="2"/>
  <c r="K30" i="1" s="1"/>
  <c r="J55" i="1"/>
  <c r="J53" i="2"/>
  <c r="J58" i="2" s="1"/>
  <c r="T60" i="1"/>
  <c r="U60" i="1"/>
  <c r="S60" i="1"/>
  <c r="M60" i="1"/>
  <c r="O60" i="1"/>
  <c r="P60" i="1"/>
  <c r="N60" i="1"/>
  <c r="V60" i="1"/>
  <c r="Q60" i="1"/>
  <c r="R60" i="1"/>
  <c r="V54" i="1"/>
  <c r="N54" i="1"/>
  <c r="U54" i="1"/>
  <c r="M54" i="1"/>
  <c r="O54" i="1"/>
  <c r="T54" i="1"/>
  <c r="S54" i="1"/>
  <c r="R54" i="1"/>
  <c r="Q54" i="1"/>
  <c r="P54" i="1"/>
  <c r="V45" i="1"/>
  <c r="J43" i="1"/>
  <c r="T40" i="1"/>
  <c r="S40" i="1"/>
  <c r="R40" i="1"/>
  <c r="Q40" i="1"/>
  <c r="P40" i="1"/>
  <c r="O40" i="1"/>
  <c r="V40" i="1"/>
  <c r="N40" i="1"/>
  <c r="U40" i="1"/>
  <c r="M40" i="1"/>
  <c r="R34" i="1"/>
  <c r="T34" i="1"/>
  <c r="N34" i="1"/>
  <c r="P34" i="1"/>
  <c r="V34" i="1"/>
  <c r="U34" i="1"/>
  <c r="S34" i="1"/>
  <c r="M34" i="1"/>
  <c r="O34" i="1"/>
  <c r="Q34" i="1"/>
  <c r="I115" i="2"/>
  <c r="E119" i="2" s="1"/>
  <c r="K49" i="1" s="1"/>
  <c r="I238" i="2"/>
  <c r="E242" i="2" s="1"/>
  <c r="I74" i="2"/>
  <c r="J66" i="1" l="1"/>
  <c r="J44" i="1"/>
  <c r="J73" i="1"/>
  <c r="J70" i="1"/>
  <c r="J68" i="1"/>
  <c r="J35" i="1"/>
  <c r="J29" i="1"/>
  <c r="J32" i="1"/>
  <c r="J58" i="1"/>
  <c r="J61" i="1"/>
  <c r="J46" i="1"/>
  <c r="J28" i="1"/>
  <c r="N49" i="1"/>
  <c r="M49" i="1"/>
  <c r="O49" i="1"/>
  <c r="R49" i="1"/>
  <c r="P49" i="1"/>
  <c r="Q49" i="1"/>
  <c r="U49" i="1"/>
  <c r="T49" i="1"/>
  <c r="V49" i="1"/>
  <c r="S49" i="1"/>
  <c r="N30" i="1"/>
  <c r="V30" i="1"/>
  <c r="Q30" i="1"/>
  <c r="P30" i="1"/>
  <c r="S30" i="1"/>
  <c r="M30" i="1"/>
  <c r="U30" i="1"/>
  <c r="O30" i="1"/>
  <c r="T30" i="1"/>
  <c r="R30" i="1"/>
  <c r="J52" i="1"/>
  <c r="J38" i="1"/>
  <c r="E78" i="2"/>
  <c r="K37" i="1" s="1"/>
  <c r="O45" i="1"/>
  <c r="P45" i="1"/>
  <c r="S45" i="1"/>
  <c r="Q45" i="1"/>
  <c r="R45" i="1"/>
  <c r="T45" i="1"/>
  <c r="M45" i="1"/>
  <c r="U45" i="1"/>
  <c r="S63" i="1"/>
  <c r="R63" i="1"/>
  <c r="Q63" i="1"/>
  <c r="P63" i="1"/>
  <c r="O63" i="1"/>
  <c r="T63" i="1"/>
  <c r="V63" i="1"/>
  <c r="N63" i="1"/>
  <c r="U63" i="1"/>
  <c r="M63" i="1"/>
  <c r="I64" i="2"/>
  <c r="E72" i="2" s="1"/>
  <c r="K31" i="1" s="1"/>
  <c r="J60" i="1"/>
  <c r="J54" i="1"/>
  <c r="P56" i="1"/>
  <c r="O56" i="1"/>
  <c r="Q56" i="1"/>
  <c r="V56" i="1"/>
  <c r="N56" i="1"/>
  <c r="U56" i="1"/>
  <c r="M56" i="1"/>
  <c r="T56" i="1"/>
  <c r="S56" i="1"/>
  <c r="R56" i="1"/>
  <c r="J34" i="1"/>
  <c r="V42" i="1"/>
  <c r="N42" i="1"/>
  <c r="U42" i="1"/>
  <c r="M42" i="1"/>
  <c r="T42" i="1"/>
  <c r="S42" i="1"/>
  <c r="R42" i="1"/>
  <c r="Q42" i="1"/>
  <c r="P42" i="1"/>
  <c r="O42" i="1"/>
  <c r="J40" i="1"/>
  <c r="J59" i="2"/>
  <c r="S31" i="1" l="1"/>
  <c r="V31" i="1"/>
  <c r="N31" i="1"/>
  <c r="T31" i="1"/>
  <c r="Q31" i="1"/>
  <c r="P31" i="1"/>
  <c r="M31" i="1"/>
  <c r="O31" i="1"/>
  <c r="R31" i="1"/>
  <c r="U31" i="1"/>
  <c r="J49" i="1"/>
  <c r="T37" i="1"/>
  <c r="R37" i="1"/>
  <c r="O37" i="1"/>
  <c r="Q37" i="1"/>
  <c r="N37" i="1"/>
  <c r="V37" i="1"/>
  <c r="P37" i="1"/>
  <c r="S37" i="1"/>
  <c r="U37" i="1"/>
  <c r="M37" i="1"/>
  <c r="J30" i="1"/>
  <c r="J45" i="1"/>
  <c r="J42" i="1"/>
  <c r="J56" i="1"/>
  <c r="J63" i="1"/>
  <c r="J63" i="2"/>
  <c r="J31" i="1" l="1"/>
  <c r="J37" i="1"/>
  <c r="J64" i="2"/>
  <c r="J67" i="2" s="1"/>
  <c r="J68" i="2" s="1"/>
  <c r="J70" i="2" s="1"/>
  <c r="J71" i="2" l="1"/>
  <c r="Q11" i="2" l="1"/>
  <c r="Q10" i="2"/>
  <c r="Q9" i="2"/>
  <c r="Q8" i="2"/>
  <c r="Q7" i="2"/>
  <c r="Q6" i="2"/>
  <c r="Q5" i="2"/>
  <c r="Q4" i="2"/>
  <c r="Q3" i="2"/>
  <c r="H33" i="2"/>
  <c r="H31" i="2"/>
  <c r="H30" i="2"/>
  <c r="H29" i="2"/>
  <c r="E22" i="2" s="1"/>
  <c r="H27" i="2"/>
  <c r="H26" i="2"/>
  <c r="E20" i="2" s="1"/>
  <c r="H23" i="2"/>
  <c r="H22" i="2"/>
  <c r="E18" i="2" s="1"/>
  <c r="E15" i="2"/>
  <c r="H2" i="2"/>
  <c r="E14" i="2" l="1"/>
  <c r="O48" i="6" l="1"/>
  <c r="O45" i="6"/>
  <c r="O42" i="6"/>
  <c r="O39" i="6"/>
  <c r="O36" i="6"/>
  <c r="O33" i="6"/>
  <c r="O30" i="6"/>
  <c r="O27" i="6"/>
  <c r="O24" i="6"/>
  <c r="O21" i="6"/>
  <c r="O18" i="6"/>
  <c r="O15" i="6"/>
  <c r="O12" i="6"/>
  <c r="O9" i="6"/>
  <c r="O6" i="6"/>
  <c r="M6" i="6"/>
  <c r="R12" i="6"/>
  <c r="R11" i="6"/>
  <c r="R10" i="6"/>
  <c r="R9" i="6"/>
  <c r="R8" i="6"/>
  <c r="R7" i="6"/>
  <c r="R6" i="6"/>
  <c r="R5" i="6"/>
  <c r="R4" i="6"/>
  <c r="S3" i="6"/>
  <c r="U3" i="6" s="1"/>
  <c r="R3" i="6"/>
  <c r="W2" i="6"/>
  <c r="U2" i="6"/>
  <c r="Y2" i="6" s="1"/>
  <c r="Q2" i="2"/>
  <c r="R37" i="2" l="1"/>
  <c r="R36" i="2"/>
  <c r="R31" i="2"/>
  <c r="R29" i="2"/>
  <c r="R35" i="2"/>
  <c r="R34" i="2"/>
  <c r="R33" i="2"/>
  <c r="R32" i="2"/>
  <c r="R111" i="2"/>
  <c r="R70" i="2"/>
  <c r="R193" i="2"/>
  <c r="R234" i="2"/>
  <c r="R152" i="2"/>
  <c r="R30" i="2"/>
  <c r="Y3" i="6"/>
  <c r="W3" i="6"/>
  <c r="S4" i="6" s="1"/>
  <c r="U4" i="6" s="1"/>
  <c r="U234" i="2" l="1"/>
  <c r="S234" i="2"/>
  <c r="T234" i="2"/>
  <c r="S193" i="2"/>
  <c r="T193" i="2"/>
  <c r="U193" i="2"/>
  <c r="T152" i="2"/>
  <c r="U152" i="2"/>
  <c r="S152" i="2"/>
  <c r="U70" i="2"/>
  <c r="Z48" i="1" s="1"/>
  <c r="T70" i="2"/>
  <c r="W48" i="1" s="1"/>
  <c r="S70" i="2"/>
  <c r="U111" i="2"/>
  <c r="S111" i="2"/>
  <c r="T111" i="2"/>
  <c r="Y4" i="6"/>
  <c r="W4" i="6"/>
  <c r="S5" i="6" s="1"/>
  <c r="U5" i="6" s="1"/>
  <c r="I113" i="2" l="1"/>
  <c r="M94" i="2"/>
  <c r="M53" i="2"/>
  <c r="I72" i="2"/>
  <c r="Y48" i="1"/>
  <c r="L154" i="2" s="1"/>
  <c r="M176" i="2"/>
  <c r="I195" i="2"/>
  <c r="M217" i="2"/>
  <c r="I236" i="2"/>
  <c r="I154" i="2"/>
  <c r="M135" i="2"/>
  <c r="Y5" i="6"/>
  <c r="W5" i="6"/>
  <c r="S6" i="6" s="1"/>
  <c r="U6" i="6" s="1"/>
  <c r="W13" i="1"/>
  <c r="W11" i="1"/>
  <c r="W10" i="1"/>
  <c r="W9" i="1"/>
  <c r="W8" i="1"/>
  <c r="W7" i="1"/>
  <c r="W6" i="1"/>
  <c r="W5" i="1"/>
  <c r="W4" i="1"/>
  <c r="W3" i="1"/>
  <c r="W2" i="1"/>
  <c r="Z2" i="1" s="1"/>
  <c r="AB9" i="1"/>
  <c r="T37" i="2" s="1"/>
  <c r="AB8" i="1"/>
  <c r="T36" i="2" s="1"/>
  <c r="AB7" i="1"/>
  <c r="T35" i="2" s="1"/>
  <c r="AB6" i="1"/>
  <c r="T34" i="2" s="1"/>
  <c r="AB5" i="1"/>
  <c r="T33" i="2" s="1"/>
  <c r="AB4" i="1"/>
  <c r="AB3" i="1"/>
  <c r="E200" i="2" l="1"/>
  <c r="K72" i="1" s="1"/>
  <c r="J195" i="2"/>
  <c r="J197" i="2" s="1"/>
  <c r="E77" i="2"/>
  <c r="K36" i="1" s="1"/>
  <c r="J72" i="2"/>
  <c r="J74" i="2" s="1"/>
  <c r="E159" i="2"/>
  <c r="K60" i="1" s="1"/>
  <c r="J154" i="2"/>
  <c r="J156" i="2" s="1"/>
  <c r="E241" i="2"/>
  <c r="J236" i="2"/>
  <c r="J238" i="2" s="1"/>
  <c r="E118" i="2"/>
  <c r="K48" i="1" s="1"/>
  <c r="J113" i="2"/>
  <c r="J115" i="2" s="1"/>
  <c r="Y6" i="6"/>
  <c r="W6" i="6"/>
  <c r="S7" i="6" s="1"/>
  <c r="U7" i="6" s="1"/>
  <c r="L6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U29" i="6"/>
  <c r="Y29" i="6" s="1"/>
  <c r="S39" i="6" s="1"/>
  <c r="L3" i="6"/>
  <c r="W7" i="6" l="1"/>
  <c r="S8" i="6" s="1"/>
  <c r="U8" i="6" s="1"/>
  <c r="Y7" i="6"/>
  <c r="Y2" i="1"/>
  <c r="L2" i="2" s="1"/>
  <c r="Y10" i="1"/>
  <c r="L29" i="2" s="1"/>
  <c r="N6" i="6"/>
  <c r="L9" i="6"/>
  <c r="M9" i="6" s="1"/>
  <c r="W29" i="6"/>
  <c r="S30" i="6" s="1"/>
  <c r="U30" i="6" s="1"/>
  <c r="Z13" i="1"/>
  <c r="Y13" i="1" s="1"/>
  <c r="L33" i="2" s="1"/>
  <c r="Z11" i="1"/>
  <c r="Y11" i="1" s="1"/>
  <c r="L30" i="2" s="1"/>
  <c r="I30" i="2" s="1"/>
  <c r="E35" i="2" s="1"/>
  <c r="K23" i="1" s="1"/>
  <c r="Z10" i="1"/>
  <c r="Z9" i="1"/>
  <c r="Y9" i="1" s="1"/>
  <c r="L27" i="2" s="1"/>
  <c r="I27" i="2" s="1"/>
  <c r="E33" i="2" s="1"/>
  <c r="K21" i="1" s="1"/>
  <c r="Z8" i="1"/>
  <c r="Y8" i="1" s="1"/>
  <c r="L26" i="2" s="1"/>
  <c r="Z7" i="1"/>
  <c r="Y7" i="1" s="1"/>
  <c r="L23" i="2" s="1"/>
  <c r="I23" i="2" s="1"/>
  <c r="E31" i="2" s="1"/>
  <c r="K19" i="1" s="1"/>
  <c r="Z6" i="1"/>
  <c r="Y6" i="1" s="1"/>
  <c r="L22" i="2" s="1"/>
  <c r="Z5" i="1"/>
  <c r="Y5" i="1" s="1"/>
  <c r="L18" i="2" s="1"/>
  <c r="I18" i="2" s="1"/>
  <c r="E29" i="2" s="1"/>
  <c r="K17" i="1" s="1"/>
  <c r="Z4" i="1"/>
  <c r="Y4" i="1" s="1"/>
  <c r="L17" i="2" s="1"/>
  <c r="Z3" i="1"/>
  <c r="Y3" i="1" s="1"/>
  <c r="AE3" i="1"/>
  <c r="AD3" i="1" s="1"/>
  <c r="S29" i="2" s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E2" i="6"/>
  <c r="I2" i="6" s="1"/>
  <c r="C4" i="6" s="1"/>
  <c r="E4" i="6" s="1"/>
  <c r="AE9" i="1"/>
  <c r="U37" i="2" s="1"/>
  <c r="AE8" i="1"/>
  <c r="AE7" i="1"/>
  <c r="U35" i="2" s="1"/>
  <c r="AB12" i="1"/>
  <c r="AB11" i="1"/>
  <c r="AB10" i="1"/>
  <c r="AE6" i="1"/>
  <c r="U34" i="2" s="1"/>
  <c r="AE5" i="1"/>
  <c r="U33" i="2" s="1"/>
  <c r="AE4" i="1"/>
  <c r="AD4" i="1" s="1"/>
  <c r="O19" i="1" l="1"/>
  <c r="N19" i="1"/>
  <c r="Q19" i="1"/>
  <c r="T19" i="1"/>
  <c r="M19" i="1"/>
  <c r="P19" i="1"/>
  <c r="U19" i="1"/>
  <c r="R19" i="1"/>
  <c r="S19" i="1"/>
  <c r="V19" i="1"/>
  <c r="O21" i="1"/>
  <c r="S21" i="1"/>
  <c r="V21" i="1"/>
  <c r="T21" i="1"/>
  <c r="N21" i="1"/>
  <c r="U21" i="1"/>
  <c r="Q21" i="1"/>
  <c r="M21" i="1"/>
  <c r="P21" i="1"/>
  <c r="R21" i="1"/>
  <c r="I12" i="2"/>
  <c r="E27" i="2" s="1"/>
  <c r="K15" i="1" s="1"/>
  <c r="T15" i="1" s="1"/>
  <c r="L12" i="2"/>
  <c r="V23" i="1"/>
  <c r="N23" i="1"/>
  <c r="S23" i="1"/>
  <c r="R23" i="1"/>
  <c r="T23" i="1"/>
  <c r="M23" i="1"/>
  <c r="O23" i="1"/>
  <c r="U23" i="1"/>
  <c r="P23" i="1"/>
  <c r="Q23" i="1"/>
  <c r="AD7" i="1"/>
  <c r="AD11" i="1" s="1"/>
  <c r="AD6" i="1"/>
  <c r="AD12" i="1" s="1"/>
  <c r="U15" i="1"/>
  <c r="S17" i="1"/>
  <c r="U17" i="1"/>
  <c r="M17" i="1"/>
  <c r="T17" i="1"/>
  <c r="N17" i="1"/>
  <c r="O17" i="1"/>
  <c r="R17" i="1"/>
  <c r="V17" i="1"/>
  <c r="Q17" i="1"/>
  <c r="P17" i="1"/>
  <c r="AD5" i="1"/>
  <c r="AE10" i="1"/>
  <c r="U36" i="2"/>
  <c r="AD9" i="1"/>
  <c r="AD8" i="1"/>
  <c r="AD10" i="1" s="1"/>
  <c r="I2" i="2"/>
  <c r="Y8" i="6"/>
  <c r="W8" i="6"/>
  <c r="S9" i="6" s="1"/>
  <c r="U9" i="6" s="1"/>
  <c r="Y30" i="6"/>
  <c r="S40" i="6" s="1"/>
  <c r="W30" i="6"/>
  <c r="S31" i="6" s="1"/>
  <c r="U31" i="6" s="1"/>
  <c r="L12" i="6"/>
  <c r="M12" i="6" s="1"/>
  <c r="N9" i="6"/>
  <c r="AE12" i="1"/>
  <c r="AB13" i="1"/>
  <c r="AE11" i="1"/>
  <c r="AE13" i="1"/>
  <c r="I4" i="6"/>
  <c r="G4" i="6"/>
  <c r="C7" i="6" s="1"/>
  <c r="E7" i="6" s="1"/>
  <c r="G2" i="6"/>
  <c r="C3" i="6" s="1"/>
  <c r="E3" i="6" s="1"/>
  <c r="H2" i="1"/>
  <c r="H14" i="1" s="1"/>
  <c r="H26" i="1" s="1"/>
  <c r="H38" i="1" s="1"/>
  <c r="H50" i="1" s="1"/>
  <c r="H62" i="1" s="1"/>
  <c r="H3" i="1"/>
  <c r="H15" i="1" s="1"/>
  <c r="H27" i="1" s="1"/>
  <c r="H39" i="1" s="1"/>
  <c r="H51" i="1" s="1"/>
  <c r="H63" i="1" s="1"/>
  <c r="H4" i="1"/>
  <c r="H16" i="1" s="1"/>
  <c r="H28" i="1" s="1"/>
  <c r="H40" i="1" s="1"/>
  <c r="H52" i="1" s="1"/>
  <c r="H64" i="1" s="1"/>
  <c r="H5" i="1"/>
  <c r="H17" i="1" s="1"/>
  <c r="H29" i="1" s="1"/>
  <c r="H41" i="1" s="1"/>
  <c r="H53" i="1" s="1"/>
  <c r="H65" i="1" s="1"/>
  <c r="H6" i="1"/>
  <c r="H18" i="1" s="1"/>
  <c r="H30" i="1" s="1"/>
  <c r="H42" i="1" s="1"/>
  <c r="H54" i="1" s="1"/>
  <c r="H66" i="1" s="1"/>
  <c r="H7" i="1"/>
  <c r="H19" i="1" s="1"/>
  <c r="H31" i="1" s="1"/>
  <c r="H43" i="1" s="1"/>
  <c r="H55" i="1" s="1"/>
  <c r="H67" i="1" s="1"/>
  <c r="H8" i="1"/>
  <c r="H20" i="1" s="1"/>
  <c r="H32" i="1" s="1"/>
  <c r="H44" i="1" s="1"/>
  <c r="H56" i="1" s="1"/>
  <c r="H68" i="1" s="1"/>
  <c r="H9" i="1"/>
  <c r="H21" i="1" s="1"/>
  <c r="H33" i="1" s="1"/>
  <c r="H45" i="1" s="1"/>
  <c r="H57" i="1" s="1"/>
  <c r="H69" i="1" s="1"/>
  <c r="H10" i="1"/>
  <c r="H22" i="1" s="1"/>
  <c r="H34" i="1" s="1"/>
  <c r="H46" i="1" s="1"/>
  <c r="H58" i="1" s="1"/>
  <c r="H70" i="1" s="1"/>
  <c r="H11" i="1"/>
  <c r="H23" i="1" s="1"/>
  <c r="H35" i="1" s="1"/>
  <c r="H47" i="1" s="1"/>
  <c r="H59" i="1" s="1"/>
  <c r="H71" i="1" s="1"/>
  <c r="G12" i="1"/>
  <c r="G24" i="1" s="1"/>
  <c r="G36" i="1" s="1"/>
  <c r="G48" i="1" s="1"/>
  <c r="G60" i="1" s="1"/>
  <c r="G72" i="1" s="1"/>
  <c r="G13" i="1"/>
  <c r="G25" i="1" s="1"/>
  <c r="G37" i="1" s="1"/>
  <c r="G49" i="1" s="1"/>
  <c r="G61" i="1" s="1"/>
  <c r="G73" i="1" s="1"/>
  <c r="S34" i="2"/>
  <c r="R22" i="2"/>
  <c r="D33" i="2"/>
  <c r="D31" i="2"/>
  <c r="D27" i="2"/>
  <c r="D23" i="2"/>
  <c r="D18" i="2"/>
  <c r="D2" i="2"/>
  <c r="E2" i="2" s="1"/>
  <c r="F2" i="1" s="1"/>
  <c r="J21" i="1" l="1"/>
  <c r="P15" i="1"/>
  <c r="M15" i="1"/>
  <c r="N15" i="1"/>
  <c r="V15" i="1"/>
  <c r="O15" i="1"/>
  <c r="Q15" i="1"/>
  <c r="J19" i="1"/>
  <c r="R15" i="1"/>
  <c r="S15" i="1"/>
  <c r="J23" i="1"/>
  <c r="K2" i="1"/>
  <c r="E26" i="2"/>
  <c r="K14" i="1" s="1"/>
  <c r="J2" i="2"/>
  <c r="J17" i="1"/>
  <c r="AD13" i="1"/>
  <c r="S33" i="2"/>
  <c r="W9" i="6"/>
  <c r="S10" i="6" s="1"/>
  <c r="U10" i="6" s="1"/>
  <c r="Y9" i="6"/>
  <c r="Q13" i="2"/>
  <c r="N12" i="6"/>
  <c r="L15" i="6"/>
  <c r="M15" i="6" s="1"/>
  <c r="W31" i="6"/>
  <c r="S32" i="6" s="1"/>
  <c r="U32" i="6" s="1"/>
  <c r="Y31" i="6"/>
  <c r="S41" i="6" s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Q15" i="2"/>
  <c r="Q14" i="2"/>
  <c r="R13" i="2"/>
  <c r="R15" i="2"/>
  <c r="Q22" i="2"/>
  <c r="M42" i="2" s="1"/>
  <c r="R14" i="2"/>
  <c r="Q16" i="2" s="1"/>
  <c r="S37" i="2"/>
  <c r="S13" i="2"/>
  <c r="S36" i="2"/>
  <c r="S35" i="2"/>
  <c r="J15" i="1" l="1"/>
  <c r="M33" i="2"/>
  <c r="O14" i="1"/>
  <c r="P14" i="1"/>
  <c r="R14" i="1"/>
  <c r="V14" i="1"/>
  <c r="N14" i="1"/>
  <c r="T14" i="1"/>
  <c r="S14" i="1"/>
  <c r="Q14" i="1"/>
  <c r="M14" i="1"/>
  <c r="U14" i="1"/>
  <c r="U29" i="2"/>
  <c r="T29" i="2"/>
  <c r="S31" i="2"/>
  <c r="U31" i="2"/>
  <c r="T31" i="2"/>
  <c r="S32" i="2"/>
  <c r="U32" i="2"/>
  <c r="T32" i="2"/>
  <c r="S30" i="2"/>
  <c r="U30" i="2"/>
  <c r="T30" i="2"/>
  <c r="Y10" i="6"/>
  <c r="W10" i="6"/>
  <c r="S11" i="6" s="1"/>
  <c r="U11" i="6" s="1"/>
  <c r="R16" i="2"/>
  <c r="Q17" i="2"/>
  <c r="R17" i="2"/>
  <c r="Y32" i="6"/>
  <c r="S42" i="6" s="1"/>
  <c r="W32" i="6"/>
  <c r="S33" i="6" s="1"/>
  <c r="U33" i="6" s="1"/>
  <c r="L18" i="6"/>
  <c r="M18" i="6" s="1"/>
  <c r="N15" i="6"/>
  <c r="G13" i="6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I12" i="6"/>
  <c r="C22" i="6" s="1"/>
  <c r="E22" i="6" s="1"/>
  <c r="G12" i="6"/>
  <c r="I6" i="6"/>
  <c r="G6" i="6"/>
  <c r="C10" i="6" s="1"/>
  <c r="E10" i="6" s="1"/>
  <c r="H13" i="1"/>
  <c r="H25" i="1" s="1"/>
  <c r="H37" i="1" s="1"/>
  <c r="H49" i="1" s="1"/>
  <c r="H61" i="1" s="1"/>
  <c r="H73" i="1" s="1"/>
  <c r="H12" i="1"/>
  <c r="H24" i="1" s="1"/>
  <c r="G7" i="1"/>
  <c r="G19" i="1" s="1"/>
  <c r="G31" i="1" s="1"/>
  <c r="G43" i="1" s="1"/>
  <c r="G55" i="1" s="1"/>
  <c r="G67" i="1" s="1"/>
  <c r="G9" i="1"/>
  <c r="G21" i="1" s="1"/>
  <c r="G33" i="1" s="1"/>
  <c r="G45" i="1" s="1"/>
  <c r="G57" i="1" s="1"/>
  <c r="G69" i="1" s="1"/>
  <c r="G11" i="1"/>
  <c r="G23" i="1" s="1"/>
  <c r="G35" i="1" s="1"/>
  <c r="G47" i="1" s="1"/>
  <c r="G59" i="1" s="1"/>
  <c r="G71" i="1" s="1"/>
  <c r="Y12" i="1" l="1"/>
  <c r="L31" i="2" s="1"/>
  <c r="M12" i="2"/>
  <c r="H36" i="1"/>
  <c r="M24" i="1"/>
  <c r="O24" i="1"/>
  <c r="Q24" i="1"/>
  <c r="T24" i="1"/>
  <c r="U24" i="1"/>
  <c r="P24" i="1"/>
  <c r="V24" i="1"/>
  <c r="N24" i="1"/>
  <c r="S24" i="1"/>
  <c r="R24" i="1"/>
  <c r="J14" i="1"/>
  <c r="I31" i="2"/>
  <c r="W12" i="1"/>
  <c r="Z12" i="1"/>
  <c r="Y11" i="6"/>
  <c r="W11" i="6"/>
  <c r="S12" i="6" s="1"/>
  <c r="U12" i="6" s="1"/>
  <c r="Q18" i="2"/>
  <c r="M38" i="2" s="1"/>
  <c r="R18" i="2"/>
  <c r="S17" i="2"/>
  <c r="M37" i="2" s="1"/>
  <c r="R19" i="2"/>
  <c r="S16" i="2"/>
  <c r="M36" i="2" s="1"/>
  <c r="Q19" i="2"/>
  <c r="M39" i="2" s="1"/>
  <c r="Q12" i="2"/>
  <c r="I17" i="2" s="1"/>
  <c r="E28" i="2" s="1"/>
  <c r="K16" i="1" s="1"/>
  <c r="L21" i="6"/>
  <c r="M21" i="6" s="1"/>
  <c r="N18" i="6"/>
  <c r="Y33" i="6"/>
  <c r="S43" i="6" s="1"/>
  <c r="W33" i="6"/>
  <c r="S34" i="6" s="1"/>
  <c r="U34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G20" i="1" s="1"/>
  <c r="G32" i="1" s="1"/>
  <c r="G44" i="1" s="1"/>
  <c r="G56" i="1" s="1"/>
  <c r="G68" i="1" s="1"/>
  <c r="I6" i="1"/>
  <c r="G6" i="1"/>
  <c r="G18" i="1" s="1"/>
  <c r="G30" i="1" s="1"/>
  <c r="G42" i="1" s="1"/>
  <c r="G54" i="1" s="1"/>
  <c r="G66" i="1" s="1"/>
  <c r="K5" i="1"/>
  <c r="G5" i="1"/>
  <c r="G17" i="1" s="1"/>
  <c r="G29" i="1" s="1"/>
  <c r="G41" i="1" s="1"/>
  <c r="G53" i="1" s="1"/>
  <c r="G65" i="1" s="1"/>
  <c r="H17" i="2"/>
  <c r="G4" i="1"/>
  <c r="G16" i="1" s="1"/>
  <c r="G28" i="1" s="1"/>
  <c r="G40" i="1" s="1"/>
  <c r="G52" i="1" s="1"/>
  <c r="G64" i="1" s="1"/>
  <c r="I10" i="1"/>
  <c r="G10" i="1"/>
  <c r="G22" i="1" s="1"/>
  <c r="G34" i="1" s="1"/>
  <c r="G46" i="1" s="1"/>
  <c r="G58" i="1" s="1"/>
  <c r="G70" i="1" s="1"/>
  <c r="K3" i="1"/>
  <c r="P3" i="1" s="1"/>
  <c r="G3" i="1"/>
  <c r="G15" i="1" s="1"/>
  <c r="G27" i="1" s="1"/>
  <c r="G39" i="1" s="1"/>
  <c r="G51" i="1" s="1"/>
  <c r="G63" i="1" s="1"/>
  <c r="G2" i="1"/>
  <c r="G14" i="1" s="1"/>
  <c r="G26" i="1" s="1"/>
  <c r="G38" i="1" s="1"/>
  <c r="G50" i="1" s="1"/>
  <c r="G62" i="1" s="1"/>
  <c r="I13" i="1"/>
  <c r="I12" i="1"/>
  <c r="I11" i="1"/>
  <c r="K11" i="1"/>
  <c r="P11" i="1" s="1"/>
  <c r="K9" i="1"/>
  <c r="P9" i="1" s="1"/>
  <c r="I9" i="1"/>
  <c r="I7" i="1"/>
  <c r="K7" i="1"/>
  <c r="P7" i="1" s="1"/>
  <c r="H18" i="2"/>
  <c r="I5" i="1" s="1"/>
  <c r="S12" i="1" l="1"/>
  <c r="J24" i="1"/>
  <c r="H48" i="1"/>
  <c r="V36" i="1"/>
  <c r="Q36" i="1"/>
  <c r="P36" i="1"/>
  <c r="M36" i="1"/>
  <c r="R36" i="1"/>
  <c r="O36" i="1"/>
  <c r="T36" i="1"/>
  <c r="U36" i="1"/>
  <c r="S36" i="1"/>
  <c r="N36" i="1"/>
  <c r="I4" i="1"/>
  <c r="E16" i="2"/>
  <c r="K12" i="1"/>
  <c r="E36" i="2"/>
  <c r="K24" i="1" s="1"/>
  <c r="R12" i="1"/>
  <c r="K4" i="1"/>
  <c r="I22" i="2"/>
  <c r="E30" i="2" s="1"/>
  <c r="K18" i="1" s="1"/>
  <c r="I29" i="2"/>
  <c r="E34" i="2" s="1"/>
  <c r="K22" i="1" s="1"/>
  <c r="I26" i="2"/>
  <c r="E32" i="2" s="1"/>
  <c r="K20" i="1" s="1"/>
  <c r="M12" i="1"/>
  <c r="U12" i="1"/>
  <c r="T12" i="1"/>
  <c r="O12" i="1"/>
  <c r="V12" i="1"/>
  <c r="Q12" i="1"/>
  <c r="N12" i="1"/>
  <c r="P12" i="1"/>
  <c r="Y12" i="6"/>
  <c r="W12" i="6"/>
  <c r="Q5" i="1"/>
  <c r="Q3" i="1"/>
  <c r="Q7" i="1"/>
  <c r="Q11" i="1"/>
  <c r="Q9" i="1"/>
  <c r="M11" i="1"/>
  <c r="N11" i="1"/>
  <c r="O11" i="1"/>
  <c r="M3" i="1"/>
  <c r="N3" i="1"/>
  <c r="O3" i="1"/>
  <c r="M9" i="1"/>
  <c r="N9" i="1"/>
  <c r="O9" i="1"/>
  <c r="M5" i="1"/>
  <c r="N5" i="1"/>
  <c r="O5" i="1"/>
  <c r="M7" i="1"/>
  <c r="N7" i="1"/>
  <c r="O7" i="1"/>
  <c r="P5" i="1"/>
  <c r="S15" i="2"/>
  <c r="M35" i="2" s="1"/>
  <c r="R20" i="2"/>
  <c r="Q20" i="2"/>
  <c r="M40" i="2" s="1"/>
  <c r="S14" i="2"/>
  <c r="M34" i="2" s="1"/>
  <c r="R21" i="2"/>
  <c r="Q21" i="2"/>
  <c r="Y34" i="6"/>
  <c r="S44" i="6" s="1"/>
  <c r="W34" i="6"/>
  <c r="S35" i="6" s="1"/>
  <c r="U35" i="6" s="1"/>
  <c r="L24" i="6"/>
  <c r="M24" i="6" s="1"/>
  <c r="N21" i="6"/>
  <c r="I36" i="6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I2" i="1"/>
  <c r="L2" i="1" s="1"/>
  <c r="I8" i="1"/>
  <c r="I3" i="1"/>
  <c r="M41" i="2" l="1"/>
  <c r="I33" i="2" s="1"/>
  <c r="E37" i="2" s="1"/>
  <c r="K25" i="1" s="1"/>
  <c r="P20" i="1"/>
  <c r="R20" i="1"/>
  <c r="M20" i="1"/>
  <c r="O20" i="1"/>
  <c r="U20" i="1"/>
  <c r="Q20" i="1"/>
  <c r="N20" i="1"/>
  <c r="T20" i="1"/>
  <c r="V20" i="1"/>
  <c r="S20" i="1"/>
  <c r="J36" i="1"/>
  <c r="R22" i="1"/>
  <c r="M22" i="1"/>
  <c r="U22" i="1"/>
  <c r="T22" i="1"/>
  <c r="S22" i="1"/>
  <c r="Q22" i="1"/>
  <c r="O22" i="1"/>
  <c r="P22" i="1"/>
  <c r="N22" i="1"/>
  <c r="V22" i="1"/>
  <c r="O18" i="1"/>
  <c r="S18" i="1"/>
  <c r="U18" i="1"/>
  <c r="Q18" i="1"/>
  <c r="R18" i="1"/>
  <c r="N18" i="1"/>
  <c r="V18" i="1"/>
  <c r="M18" i="1"/>
  <c r="T18" i="1"/>
  <c r="P18" i="1"/>
  <c r="H60" i="1"/>
  <c r="H72" i="1" s="1"/>
  <c r="P48" i="1"/>
  <c r="U48" i="1"/>
  <c r="S48" i="1"/>
  <c r="T48" i="1"/>
  <c r="O48" i="1"/>
  <c r="R48" i="1"/>
  <c r="Q48" i="1"/>
  <c r="V48" i="1"/>
  <c r="M48" i="1"/>
  <c r="N48" i="1"/>
  <c r="K6" i="1"/>
  <c r="Q6" i="1" s="1"/>
  <c r="L3" i="1"/>
  <c r="L4" i="1" s="1"/>
  <c r="L5" i="1" s="1"/>
  <c r="L6" i="1" s="1"/>
  <c r="L7" i="1" s="1"/>
  <c r="K8" i="1"/>
  <c r="Q8" i="1" s="1"/>
  <c r="K10" i="1"/>
  <c r="Q10" i="1" s="1"/>
  <c r="M2" i="1"/>
  <c r="N2" i="1"/>
  <c r="O2" i="1"/>
  <c r="P2" i="1"/>
  <c r="R4" i="1"/>
  <c r="R5" i="1"/>
  <c r="R9" i="1"/>
  <c r="R3" i="1"/>
  <c r="R7" i="1"/>
  <c r="R11" i="1"/>
  <c r="R2" i="1"/>
  <c r="Q2" i="1"/>
  <c r="M4" i="1"/>
  <c r="N4" i="1"/>
  <c r="O4" i="1"/>
  <c r="P4" i="1"/>
  <c r="Q4" i="1"/>
  <c r="N8" i="1"/>
  <c r="P6" i="1"/>
  <c r="W35" i="6"/>
  <c r="S36" i="6" s="1"/>
  <c r="U36" i="6" s="1"/>
  <c r="Y35" i="6"/>
  <c r="S45" i="6" s="1"/>
  <c r="L27" i="6"/>
  <c r="M27" i="6" s="1"/>
  <c r="N24" i="6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L8" i="1" l="1"/>
  <c r="L9" i="1" s="1"/>
  <c r="L10" i="1" s="1"/>
  <c r="L11" i="1" s="1"/>
  <c r="L12" i="1" s="1"/>
  <c r="O8" i="1"/>
  <c r="M8" i="1"/>
  <c r="V25" i="1"/>
  <c r="Q25" i="1"/>
  <c r="U25" i="1"/>
  <c r="P25" i="1"/>
  <c r="N25" i="1"/>
  <c r="O25" i="1"/>
  <c r="S25" i="1"/>
  <c r="M25" i="1"/>
  <c r="J25" i="1" s="1"/>
  <c r="R25" i="1"/>
  <c r="T25" i="1"/>
  <c r="R6" i="1"/>
  <c r="J18" i="1"/>
  <c r="J22" i="1"/>
  <c r="J20" i="1"/>
  <c r="O10" i="1"/>
  <c r="N6" i="1"/>
  <c r="M10" i="1"/>
  <c r="J48" i="1"/>
  <c r="O6" i="1"/>
  <c r="M6" i="1"/>
  <c r="U72" i="1"/>
  <c r="R72" i="1"/>
  <c r="M72" i="1"/>
  <c r="V72" i="1"/>
  <c r="P72" i="1"/>
  <c r="T72" i="1"/>
  <c r="O72" i="1"/>
  <c r="S72" i="1"/>
  <c r="Q72" i="1"/>
  <c r="N72" i="1"/>
  <c r="P8" i="1"/>
  <c r="R10" i="1"/>
  <c r="P10" i="1"/>
  <c r="R8" i="1"/>
  <c r="T16" i="1"/>
  <c r="R16" i="1"/>
  <c r="S16" i="1"/>
  <c r="N16" i="1"/>
  <c r="M16" i="1"/>
  <c r="V16" i="1"/>
  <c r="P16" i="1"/>
  <c r="Q16" i="1"/>
  <c r="U16" i="1"/>
  <c r="O16" i="1"/>
  <c r="N26" i="1"/>
  <c r="S26" i="1"/>
  <c r="U26" i="1"/>
  <c r="T26" i="1"/>
  <c r="P26" i="1"/>
  <c r="M26" i="1"/>
  <c r="R26" i="1"/>
  <c r="V26" i="1"/>
  <c r="O26" i="1"/>
  <c r="Q26" i="1"/>
  <c r="N10" i="1"/>
  <c r="S8" i="1"/>
  <c r="S5" i="1"/>
  <c r="S9" i="1"/>
  <c r="S6" i="1"/>
  <c r="S10" i="1"/>
  <c r="S4" i="1"/>
  <c r="S2" i="1"/>
  <c r="S3" i="1"/>
  <c r="S7" i="1"/>
  <c r="S11" i="1"/>
  <c r="J12" i="2"/>
  <c r="N27" i="6"/>
  <c r="L30" i="6"/>
  <c r="M30" i="6" s="1"/>
  <c r="Y36" i="6"/>
  <c r="S46" i="6" s="1"/>
  <c r="W36" i="6"/>
  <c r="S37" i="6" s="1"/>
  <c r="U37" i="6" s="1"/>
  <c r="I43" i="6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J72" i="1" l="1"/>
  <c r="J26" i="1"/>
  <c r="J16" i="1"/>
  <c r="T3" i="1"/>
  <c r="T11" i="1"/>
  <c r="T4" i="1"/>
  <c r="T8" i="1"/>
  <c r="T2" i="1"/>
  <c r="T5" i="1"/>
  <c r="T9" i="1"/>
  <c r="T6" i="1"/>
  <c r="T10" i="1"/>
  <c r="T7" i="1"/>
  <c r="J17" i="2"/>
  <c r="K13" i="1"/>
  <c r="T13" i="1" s="1"/>
  <c r="Y37" i="6"/>
  <c r="S47" i="6" s="1"/>
  <c r="W37" i="6"/>
  <c r="S38" i="6" s="1"/>
  <c r="U38" i="6" s="1"/>
  <c r="L33" i="6"/>
  <c r="M33" i="6" s="1"/>
  <c r="N30" i="6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M13" i="1"/>
  <c r="N13" i="1"/>
  <c r="O13" i="1"/>
  <c r="P13" i="1"/>
  <c r="Q13" i="1"/>
  <c r="R13" i="1"/>
  <c r="S13" i="1"/>
  <c r="U11" i="1"/>
  <c r="U4" i="1"/>
  <c r="U8" i="1"/>
  <c r="U2" i="1"/>
  <c r="U5" i="1"/>
  <c r="U9" i="1"/>
  <c r="U13" i="1"/>
  <c r="U6" i="1"/>
  <c r="U10" i="1"/>
  <c r="U3" i="1"/>
  <c r="U7" i="1"/>
  <c r="J18" i="2"/>
  <c r="J22" i="2" s="1"/>
  <c r="N33" i="6"/>
  <c r="L36" i="6"/>
  <c r="M36" i="6" s="1"/>
  <c r="Y38" i="6"/>
  <c r="S48" i="6" s="1"/>
  <c r="W38" i="6"/>
  <c r="I115" i="6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V3" i="1" l="1"/>
  <c r="J3" i="1" s="1"/>
  <c r="V7" i="1"/>
  <c r="J7" i="1" s="1"/>
  <c r="V11" i="1"/>
  <c r="J11" i="1" s="1"/>
  <c r="V2" i="1"/>
  <c r="J2" i="1" s="1"/>
  <c r="V4" i="1"/>
  <c r="J4" i="1" s="1"/>
  <c r="V8" i="1"/>
  <c r="J8" i="1" s="1"/>
  <c r="V13" i="1"/>
  <c r="J13" i="1" s="1"/>
  <c r="V5" i="1"/>
  <c r="J5" i="1" s="1"/>
  <c r="V9" i="1"/>
  <c r="J9" i="1" s="1"/>
  <c r="V6" i="1"/>
  <c r="J6" i="1" s="1"/>
  <c r="V10" i="1"/>
  <c r="J10" i="1" s="1"/>
  <c r="J12" i="1"/>
  <c r="L39" i="6"/>
  <c r="M39" i="6" s="1"/>
  <c r="N36" i="6"/>
  <c r="G152" i="6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J23" i="2"/>
  <c r="L42" i="6" l="1"/>
  <c r="M42" i="6" s="1"/>
  <c r="N39" i="6"/>
  <c r="I171" i="6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J26" i="2"/>
  <c r="L45" i="6" l="1"/>
  <c r="M45" i="6" s="1"/>
  <c r="N42" i="6"/>
  <c r="I194" i="6"/>
  <c r="G194" i="6"/>
  <c r="G174" i="6"/>
  <c r="I174" i="6"/>
  <c r="I193" i="6"/>
  <c r="G193" i="6"/>
  <c r="E109" i="6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J27" i="2"/>
  <c r="L48" i="6" l="1"/>
  <c r="N45" i="6"/>
  <c r="I109" i="6"/>
  <c r="C150" i="6" s="1"/>
  <c r="E150" i="6" s="1"/>
  <c r="G109" i="6"/>
  <c r="C151" i="6" s="1"/>
  <c r="J29" i="2"/>
  <c r="M48" i="6" l="1"/>
  <c r="N48" i="6" s="1"/>
  <c r="E151" i="6"/>
  <c r="G150" i="6"/>
  <c r="I150" i="6"/>
  <c r="J30" i="2"/>
  <c r="I151" i="6" l="1"/>
  <c r="G151" i="6"/>
  <c r="J31" i="2"/>
  <c r="J33" i="2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E:\Git Repository\WorkDocumentOfMe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<sst xmlns="http://schemas.openxmlformats.org/spreadsheetml/2006/main" count="873" uniqueCount="249">
  <si>
    <t>BetRange</t>
  </si>
  <si>
    <t>PlayType</t>
  </si>
  <si>
    <t>复式</t>
  </si>
  <si>
    <t>Issue</t>
  </si>
  <si>
    <t>Multiple</t>
  </si>
  <si>
    <t>Reward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</si>
  <si>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</si>
  <si>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</si>
  <si>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</si>
  <si>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</si>
  <si>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balance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</si>
  <si>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</si>
  <si>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</si>
  <si>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</si>
  <si>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</si>
  <si>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</si>
  <si>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</si>
  <si>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</si>
  <si>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</si>
  <si>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</si>
  <si>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</si>
  <si>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</si>
  <si>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</si>
  <si>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</si>
  <si>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</si>
  <si>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</si>
  <si>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</si>
  <si>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</si>
  <si>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</si>
  <si>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</si>
  <si>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</si>
  <si>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</si>
  <si>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</si>
  <si>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</si>
  <si>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</si>
  <si>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</si>
  <si>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</si>
  <si>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</si>
  <si>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</si>
  <si>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</si>
  <si>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</si>
  <si>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</si>
  <si>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</si>
  <si>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</si>
  <si>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</si>
  <si>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</si>
  <si>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</si>
  <si>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</si>
  <si>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</si>
  <si>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</si>
  <si>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</si>
  <si>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</si>
  <si>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</si>
  <si>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</si>
  <si>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</si>
  <si>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</si>
  <si>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</si>
  <si>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</si>
  <si>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</si>
  <si>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</si>
  <si>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</si>
  <si>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</si>
  <si>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</si>
  <si>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</si>
  <si>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</si>
  <si>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</si>
  <si>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</si>
  <si>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</si>
  <si>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</si>
  <si>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</si>
  <si>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</si>
  <si>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</si>
  <si>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</si>
  <si>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</si>
  <si>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</si>
  <si>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</si>
  <si>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</si>
  <si>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</si>
  <si>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</si>
  <si>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</si>
  <si>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</si>
  <si>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</si>
  <si>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</si>
  <si>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</si>
  <si>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</si>
  <si>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</si>
  <si>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</si>
  <si>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</si>
  <si>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</si>
  <si>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</si>
  <si>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</si>
  <si>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</si>
  <si>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</si>
  <si>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</si>
  <si>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</si>
  <si>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</si>
  <si>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</si>
  <si>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</si>
  <si>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</si>
  <si>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</si>
  <si>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</si>
  <si>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</si>
  <si>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</si>
  <si>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</si>
  <si>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</si>
  <si>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</si>
  <si>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</si>
  <si>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</si>
  <si>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</si>
  <si>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</si>
  <si>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</si>
  <si>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</si>
  <si>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</si>
  <si>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</si>
  <si>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</si>
  <si>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</si>
  <si>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</si>
  <si>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</si>
  <si>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</si>
  <si>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</si>
  <si>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</si>
  <si>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</si>
  <si>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</si>
  <si>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</si>
  <si>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</si>
  <si>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</si>
  <si>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</si>
  <si>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</si>
  <si>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</si>
  <si>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上级1Code</t>
    <phoneticPr fontId="1" type="noConversion"/>
  </si>
  <si>
    <t>上级1level</t>
    <phoneticPr fontId="1" type="noConversion"/>
  </si>
  <si>
    <t>上级2Code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</si>
  <si>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</si>
  <si>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</si>
  <si>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</si>
  <si>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</si>
  <si>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</si>
  <si>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</si>
  <si>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</si>
  <si>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</si>
  <si>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</si>
  <si>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</si>
  <si>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</si>
  <si>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上级7level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</si>
  <si>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</si>
  <si>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</si>
  <si>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</si>
  <si>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</si>
  <si>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</si>
  <si>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</si>
  <si>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</si>
  <si>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</si>
  <si>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</si>
  <si>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</si>
  <si>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</si>
  <si>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</si>
  <si>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</si>
  <si>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</si>
  <si>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</si>
  <si>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</si>
  <si>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</si>
  <si>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</si>
  <si>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</si>
  <si>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上级13level</t>
    <phoneticPr fontId="1" type="noConversion"/>
  </si>
  <si>
    <t>上级14Code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</si>
  <si>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</si>
  <si>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</si>
  <si>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</si>
  <si>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t>自身reward</t>
    <phoneticPr fontId="1" type="noConversion"/>
  </si>
  <si>
    <t>08 09 01 02 03</t>
  </si>
  <si>
    <t>08 09 01 02 03</t>
    <phoneticPr fontId="1" type="noConversion"/>
  </si>
  <si>
    <t>08 09 01 02</t>
  </si>
  <si>
    <t>08 09 01 02</t>
    <phoneticPr fontId="1" type="noConversion"/>
  </si>
  <si>
    <t>08 09 01</t>
  </si>
  <si>
    <t>08 09 01</t>
    <phoneticPr fontId="1" type="noConversion"/>
  </si>
  <si>
    <t>01 02 08</t>
    <phoneticPr fontId="1" type="noConversion"/>
  </si>
  <si>
    <t>03 04 09</t>
    <phoneticPr fontId="1" type="noConversion"/>
  </si>
  <si>
    <t>01 05 06</t>
    <phoneticPr fontId="1" type="noConversion"/>
  </si>
  <si>
    <t>02 07 08</t>
    <phoneticPr fontId="1" type="noConversion"/>
  </si>
  <si>
    <t xml:space="preserve">03 09 10 </t>
    <phoneticPr fontId="1" type="noConversion"/>
  </si>
  <si>
    <t>返利总和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</si>
  <si>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</si>
  <si>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</si>
  <si>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</si>
  <si>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</si>
  <si>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</si>
  <si>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</si>
  <si>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</si>
  <si>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</si>
  <si>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</si>
  <si>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</si>
  <si>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</si>
  <si>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</si>
  <si>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</si>
  <si>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</si>
  <si>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上级4UserId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</si>
  <si>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</si>
  <si>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</si>
  <si>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</si>
  <si>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上级10userId</t>
    <phoneticPr fontId="1" type="noConversion"/>
  </si>
  <si>
    <t>上级11userId</t>
    <phoneticPr fontId="1" type="noConversion"/>
  </si>
  <si>
    <t>上级13userId</t>
    <phoneticPr fontId="1" type="noConversion"/>
  </si>
  <si>
    <t>上级14userId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</si>
  <si>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</si>
  <si>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</si>
  <si>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</si>
  <si>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</si>
  <si>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</si>
  <si>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上级6返利</t>
    <phoneticPr fontId="1" type="noConversion"/>
  </si>
  <si>
    <t>上级7返利</t>
    <phoneticPr fontId="1" type="noConversion"/>
  </si>
  <si>
    <t>上级12返利</t>
    <phoneticPr fontId="1" type="noConversion"/>
  </si>
  <si>
    <t>上级13返利</t>
    <phoneticPr fontId="1" type="noConversion"/>
  </si>
  <si>
    <t>上级14返利</t>
    <phoneticPr fontId="1" type="noConversion"/>
  </si>
  <si>
    <t>上级15返利</t>
    <phoneticPr fontId="1" type="noConversion"/>
  </si>
  <si>
    <t>02 03,08 09,09 04,05 09</t>
    <phoneticPr fontId="1" type="noConversion"/>
  </si>
  <si>
    <t>自身reward</t>
    <phoneticPr fontId="1" type="noConversion"/>
  </si>
  <si>
    <t>自身dataValue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</si>
  <si>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</si>
  <si>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02 03,08 09,09 04,05 09</t>
  </si>
  <si>
    <t>07,02,10,08,09,01,06,04,03,05</t>
    <phoneticPr fontId="1" type="noConversion"/>
  </si>
  <si>
    <t>07,02,10,08,09,01,06,04,03,05</t>
    <phoneticPr fontId="1" type="noConversion"/>
  </si>
  <si>
    <t>定位胆</t>
    <phoneticPr fontId="1" type="noConversion"/>
  </si>
  <si>
    <t>betRange</t>
    <phoneticPr fontId="1" type="noConversion"/>
  </si>
  <si>
    <r>
      <t>9</t>
    </r>
    <r>
      <rPr>
        <sz val="11"/>
        <color rgb="FF006100"/>
        <rFont val="宋体"/>
        <family val="3"/>
        <charset val="134"/>
        <scheme val="minor"/>
      </rPr>
      <t>.9reward</t>
    </r>
    <phoneticPr fontId="1" type="noConversion"/>
  </si>
  <si>
    <r>
      <t>9</t>
    </r>
    <r>
      <rPr>
        <sz val="11"/>
        <color rgb="FF006100"/>
        <rFont val="宋体"/>
        <family val="3"/>
        <charset val="134"/>
        <scheme val="minor"/>
      </rPr>
      <t>.9reward</t>
    </r>
    <phoneticPr fontId="1" type="noConversion"/>
  </si>
  <si>
    <r>
      <t>9</t>
    </r>
    <r>
      <rPr>
        <sz val="11"/>
        <color rgb="FF006100"/>
        <rFont val="宋体"/>
        <family val="3"/>
        <charset val="134"/>
        <scheme val="minor"/>
      </rPr>
      <t>.9reward</t>
    </r>
    <phoneticPr fontId="1" type="noConversion"/>
  </si>
  <si>
    <t>07,02,10,08,09,01,06,04,03,05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</si>
  <si>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</si>
  <si>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</si>
  <si>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</si>
  <si>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</si>
  <si>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>01 02 03 04,05 06 07 08,09 10 01 02</t>
    <phoneticPr fontId="1" type="noConversion"/>
  </si>
  <si>
    <t>01 02 03 04 05 06 07 08 09 10</t>
    <phoneticPr fontId="1" type="noConversion"/>
  </si>
  <si>
    <t>01 03 04 05 06 07 08 09 10</t>
    <phoneticPr fontId="1" type="noConversion"/>
  </si>
  <si>
    <t>01 02 04 05 06 07 08 09 10</t>
    <phoneticPr fontId="1" type="noConversion"/>
  </si>
  <si>
    <t>01 02 03 04 05 06 07 08 09 10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</si>
  <si>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</si>
  <si>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</si>
  <si>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</si>
  <si>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</si>
  <si>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</si>
  <si>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</si>
  <si>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RebateAll</t>
    <phoneticPr fontId="1" type="noConversion"/>
  </si>
  <si>
    <t>drawnAmount</t>
    <phoneticPr fontId="1" type="noConversion"/>
  </si>
  <si>
    <t>balance</t>
    <phoneticPr fontId="1" type="noConversion"/>
  </si>
  <si>
    <t>resultNum</t>
    <phoneticPr fontId="1" type="noConversion"/>
  </si>
  <si>
    <t>01 03 04 05 06 07 08 09 10,01 02 04 05 06 07 08 09 10,01 02 03 04 05 06 07 08 09 10,01 02 03 04 05 06 07 08 09 10,01 02 03 04 05 06 07 08 09 10</t>
  </si>
  <si>
    <t>02,06,04,05,07,09,10,08,03,01</t>
    <phoneticPr fontId="1" type="noConversion"/>
  </si>
  <si>
    <t>01 02 03 04 05,06 07 08 09 10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</si>
</sst>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7" fillId="2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2" borderId="0" xfId="2" applyAlignment="1">
      <alignment horizontal="center" vertical="center"/>
    </xf>
    <xf numFmtId="0" fontId="7" fillId="2" borderId="0" xfId="2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2" borderId="0" xfId="2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3">
    <cellStyle name="常规" xfId="0" builtinId="0"/>
    <cellStyle name="常规 2" xfId="1"/>
    <cellStyle name="好" xfId="2" builtinId="26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Map ID="8" Name="betorder_映射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J13" tableType="xml" totalsRowShown="0" headerRowDxfId="11" dataDxfId="10" connectionId="6">
  <autoFilter ref="A1:J13"/>
  <tableColumns count="10">
    <tableColumn id="1" uniqueName="betRange" name="betRange" dataDxfId="9">
      <xmlColumnPr mapId="8" xpath="/betorder/order/betRange" xmlDataType="string"/>
    </tableColumn>
    <tableColumn id="2" uniqueName="playType" name="playType" dataDxfId="8">
      <xmlColumnPr mapId="8" xpath="/betorder/order/playType" xmlDataType="string"/>
    </tableColumn>
    <tableColumn id="3" uniqueName="betContent" name="betContent" dataDxfId="7">
      <xmlColumnPr mapId="8" xpath="/betorder/order/betContent" xmlDataType="string"/>
    </tableColumn>
    <tableColumn id="4" uniqueName="mutiple" name="mutiple" dataDxfId="6">
      <xmlColumnPr mapId="8" xpath="/betorder/order/mutiple" xmlDataType="string"/>
    </tableColumn>
    <tableColumn id="5" uniqueName="amount" name="amount" dataDxfId="5">
      <xmlColumnPr mapId="8" xpath="/betorder/order/amount" xmlDataType="string"/>
    </tableColumn>
    <tableColumn id="6" uniqueName="spend" name="spend" dataDxfId="4">
      <xmlColumnPr mapId="8" xpath="/betorder/order/spend" xmlDataType="string"/>
    </tableColumn>
    <tableColumn id="7" uniqueName="RebateAll" name="RebateAll" dataDxfId="3">
      <xmlColumnPr mapId="8" xpath="/betorder/order/RebateAll" xmlDataType="string"/>
    </tableColumn>
    <tableColumn id="8" uniqueName="drawnAmount" name="drawnAmount" dataDxfId="2">
      <xmlColumnPr mapId="8" xpath="/betorder/order/drawnAmount" xmlDataType="string"/>
    </tableColumn>
    <tableColumn id="9" uniqueName="balance" name="balance" dataDxfId="1">
      <xmlColumnPr mapId="8" xpath="/betorder/order/balance" xmlDataType="string"/>
    </tableColumn>
    <tableColumn id="10" uniqueName="resultNum" name="resultNum" dataDxfId="0">
      <xmlColumnPr mapId="8" xpath="/betorder/order/resultNum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H26" sqref="H26"/>
    </sheetView>
  </sheetViews>
  <sheetFormatPr defaultRowHeight="13.5" x14ac:dyDescent="0.15"/>
  <sheetData>
    <row r="1" spans="1:10" x14ac:dyDescent="0.15">
      <c r="A1" s="10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73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F21" sqref="F21"/>
    </sheetView>
  </sheetViews>
  <sheetFormatPr defaultColWidth="9" defaultRowHeight="13.5" x14ac:dyDescent="0.15"/>
  <cols>
    <col min="1" max="1" width="4.5" style="5" hidden="1" customWidth="1"/>
    <col min="2" max="2" width="12.75" style="5" hidden="1" customWidth="1"/>
    <col min="3" max="3" width="0.125" style="5" hidden="1" customWidth="1"/>
    <col min="4" max="4" width="12.375" style="5" customWidth="1"/>
    <col min="5" max="5" width="14.125" style="5" customWidth="1"/>
    <col min="6" max="6" width="52.625" style="5" customWidth="1"/>
    <col min="7" max="8" width="9.5" style="5" bestFit="1" customWidth="1"/>
    <col min="9" max="9" width="12.75" style="5" bestFit="1" customWidth="1"/>
    <col min="10" max="10" width="11.125" style="25" customWidth="1"/>
    <col min="11" max="11" width="16.75" style="5" bestFit="1" customWidth="1"/>
    <col min="12" max="12" width="16.25" style="5" customWidth="1"/>
    <col min="13" max="21" width="9" style="5" hidden="1" customWidth="1"/>
    <col min="22" max="22" width="11.125" style="5" hidden="1" customWidth="1"/>
    <col min="23" max="24" width="9" style="5"/>
    <col min="25" max="25" width="12.375" style="5" customWidth="1"/>
    <col min="26" max="26" width="9" style="5"/>
    <col min="27" max="27" width="15.75" style="5" customWidth="1"/>
    <col min="28" max="16384" width="9" style="5"/>
  </cols>
  <sheetData>
    <row r="1" spans="1:31" ht="32.25" customHeight="1" x14ac:dyDescent="0.15">
      <c r="A1" s="5">
        <v>1</v>
      </c>
      <c r="B1" s="5">
        <v>5050</v>
      </c>
      <c r="C1" s="5" t="s">
        <v>3</v>
      </c>
      <c r="D1" s="14" t="s">
        <v>0</v>
      </c>
      <c r="E1" s="5" t="s">
        <v>1</v>
      </c>
      <c r="F1" s="5" t="s">
        <v>14</v>
      </c>
      <c r="G1" s="5" t="s">
        <v>4</v>
      </c>
      <c r="H1" s="5" t="s">
        <v>15</v>
      </c>
      <c r="I1" s="5" t="s">
        <v>16</v>
      </c>
      <c r="J1" s="26" t="s">
        <v>180</v>
      </c>
      <c r="K1" s="5" t="s">
        <v>7</v>
      </c>
      <c r="L1" s="5" t="s">
        <v>17</v>
      </c>
      <c r="M1" s="18" t="s">
        <v>86</v>
      </c>
      <c r="N1" s="18" t="s">
        <v>87</v>
      </c>
      <c r="O1" s="18" t="s">
        <v>88</v>
      </c>
      <c r="P1" s="18" t="s">
        <v>89</v>
      </c>
      <c r="Q1" s="18" t="s">
        <v>90</v>
      </c>
      <c r="R1" s="18" t="s">
        <v>91</v>
      </c>
      <c r="S1" s="18" t="s">
        <v>92</v>
      </c>
      <c r="T1" s="18" t="s">
        <v>93</v>
      </c>
      <c r="U1" s="18" t="s">
        <v>94</v>
      </c>
      <c r="V1" s="18" t="s">
        <v>95</v>
      </c>
      <c r="W1" s="18" t="s">
        <v>96</v>
      </c>
      <c r="X1" s="18" t="s">
        <v>97</v>
      </c>
      <c r="Y1" s="18" t="s">
        <v>98</v>
      </c>
      <c r="Z1" s="18" t="s">
        <v>99</v>
      </c>
    </row>
    <row r="2" spans="1:31" ht="26.25" customHeight="1" x14ac:dyDescent="0.15">
      <c r="A2" s="1">
        <v>2</v>
      </c>
      <c r="B2" s="5" t="s">
        <v>6</v>
      </c>
      <c r="C2" s="5">
        <v>20180517001</v>
      </c>
      <c r="D2" s="16" t="s">
        <v>56</v>
      </c>
      <c r="E2" s="5" t="s">
        <v>18</v>
      </c>
      <c r="F2" s="14" t="str">
        <f>PK10Source!E2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4">
        <f>PK10Source!F2</f>
        <v>2</v>
      </c>
      <c r="H2" s="14">
        <f>PK10Source!G2</f>
        <v>1</v>
      </c>
      <c r="I2" s="5">
        <f>PK10Source!H2</f>
        <v>400</v>
      </c>
      <c r="J2" s="25">
        <f t="shared" ref="J2:J33" si="0">SUM(M2:V2)</f>
        <v>13.599999999999998</v>
      </c>
      <c r="K2" s="14">
        <f>PK10Source!I2</f>
        <v>386</v>
      </c>
      <c r="L2" s="14">
        <f>100000000-I2+K2</f>
        <v>99999986</v>
      </c>
      <c r="M2" s="17">
        <f>IF(ISNUMBER(agent!$O$6*(K2/Y2)*$W2),TRUNC(agent!$O$6*(K2/Y2)*$W2,3),"没有上级")</f>
        <v>0.4</v>
      </c>
      <c r="N2" s="17">
        <f>IF(ISNUMBER(agent!$O$9*(K2/Y2)*$W2),TRUNC(agent!$O$9*(K2/Y2)*$W2,3),"没有上级")</f>
        <v>2.4</v>
      </c>
      <c r="O2" s="17">
        <f>IF(ISNUMBER(agent!$O$12*(K2/Y2)*$W2),TRUNC(agent!$O$12*(K2/Y2)*$W2,3),"没有上级")</f>
        <v>0.8</v>
      </c>
      <c r="P2" s="17">
        <f>IF(ISNUMBER(agent!$O$15*(K2/Y2)*$W2),TRUNC(agent!$O$15*(K2/Y2)*$W2,3),"没有上级")</f>
        <v>1.6</v>
      </c>
      <c r="Q2" s="17">
        <f>IF(ISNUMBER(agent!$O$18*(K2/Y2)*$W2),TRUNC(agent!$O$18*(K2/Y2)*$W2,3),"没有上级")</f>
        <v>1.2</v>
      </c>
      <c r="R2" s="17">
        <f>IF(ISNUMBER(agent!$O$21*(K2/Y2)*$W2),TRUNC(agent!$O$21*(K2/Y2)*$W2,3),"没有上级")</f>
        <v>0.4</v>
      </c>
      <c r="S2" s="17">
        <f>IF(ISNUMBER(agent!$O$24*(K2/Y2)*$W2),TRUNC(agent!$O$24*(K2/Y2)*$W2,3),"没有上级")</f>
        <v>2.8</v>
      </c>
      <c r="T2" s="17">
        <f>IF(ISNUMBER(agent!$O$27*(K2/Y2)*$W2),TRUNC(agent!$O$27*(K2/Y2)*$W2,3),"没有上级")</f>
        <v>1.2</v>
      </c>
      <c r="U2" s="17">
        <f>IF(ISNUMBER(agent!$O$30*(K2/Y2)*$W2),TRUNC(agent!$O$30*(K2/Y2)*$W2,3),"没有上级")</f>
        <v>1.6</v>
      </c>
      <c r="V2" s="17">
        <f>IF(ISNUMBER(agent!$O$33*(K2/Y2)*$W2),TRUNC(agent!$O$33*(K2/Y2)*$W2,3),"没有上级")</f>
        <v>1.2</v>
      </c>
      <c r="W2" s="17">
        <f>TRUNC(0.02,3)</f>
        <v>0.02</v>
      </c>
      <c r="X2" s="17"/>
      <c r="Y2" s="17">
        <f>TRUNC(Z2-W2*(9.9-agent!L$3)*10,3)</f>
        <v>19.3</v>
      </c>
      <c r="Z2" s="17">
        <f>TRUNC(18+W2*99,3)</f>
        <v>19.98</v>
      </c>
      <c r="AA2" s="18" t="s">
        <v>100</v>
      </c>
      <c r="AB2" s="18" t="s">
        <v>112</v>
      </c>
      <c r="AD2" s="17" t="s">
        <v>113</v>
      </c>
      <c r="AE2" s="18" t="s">
        <v>114</v>
      </c>
    </row>
    <row r="3" spans="1:31" ht="27" customHeight="1" x14ac:dyDescent="0.15">
      <c r="A3" s="5">
        <v>7</v>
      </c>
      <c r="D3" s="14" t="s">
        <v>19</v>
      </c>
      <c r="E3" s="16" t="s">
        <v>85</v>
      </c>
      <c r="F3" s="30" t="str">
        <f>PK10Source!E3</f>
        <v>01 03 04 05 06 07 08 09 10,01 02 04 05 06 07 08 09 10,01 02 03 04 05 06 07 08 09 10,01 02 03 04 05 06 07 08 09 10,01 02 03 04 05 06 07 08 09 10</v>
      </c>
      <c r="G3" s="14">
        <f>PK10Source!F12</f>
        <v>1</v>
      </c>
      <c r="H3" s="14">
        <f>PK10Source!G12</f>
        <v>1</v>
      </c>
      <c r="I3" s="14">
        <f>PK10Source!H12</f>
        <v>49056</v>
      </c>
      <c r="J3" s="25">
        <f t="shared" si="0"/>
        <v>0</v>
      </c>
      <c r="K3" s="14">
        <f>PK10Source!I12</f>
        <v>0</v>
      </c>
      <c r="L3" s="14">
        <f>L2-I3+K3</f>
        <v>99950930</v>
      </c>
      <c r="M3" s="27">
        <f>IF(ISNUMBER(agent!$O$6*(K3/Y3)*$W3),TRUNC(agent!$O$6*(K3/Y3)*$W3,3),"没有上级")</f>
        <v>0</v>
      </c>
      <c r="N3" s="27">
        <f>IF(ISNUMBER(agent!$O$9*(K3/Y3)*$W3),TRUNC(agent!$O$9*(K3/Y3)*$W3,3),"没有上级")</f>
        <v>0</v>
      </c>
      <c r="O3" s="27">
        <f>IF(ISNUMBER(agent!$O$12*(K3/Y3)*$W3),TRUNC(agent!$O$12*(K3/Y3)*$W3,3),"没有上级")</f>
        <v>0</v>
      </c>
      <c r="P3" s="27">
        <f>IF(ISNUMBER(agent!$O$15*(K3/Y3)*$W3),TRUNC(agent!$O$15*(K3/Y3)*$W3,3),"没有上级")</f>
        <v>0</v>
      </c>
      <c r="Q3" s="27">
        <f>IF(ISNUMBER(agent!$O$18*(K3/Y3)*$W3),TRUNC(agent!$O$18*(K3/Y3)*$W3,3),"没有上级")</f>
        <v>0</v>
      </c>
      <c r="R3" s="27">
        <f>IF(ISNUMBER(agent!$O$21*(K3/Y3)*$W3),TRUNC(agent!$O$21*(K3/Y3)*$W3,3),"没有上级")</f>
        <v>0</v>
      </c>
      <c r="S3" s="27">
        <f>IF(ISNUMBER(agent!$O$24*(K3/Y3)*$W3),TRUNC(agent!$O$24*(K3/Y3)*$W3,3),"没有上级")</f>
        <v>0</v>
      </c>
      <c r="T3" s="27">
        <f>IF(ISNUMBER(agent!$O$27*(K3/Y3)*$W3),TRUNC(agent!$O$27*(K3/Y3)*$W3,3),"没有上级")</f>
        <v>0</v>
      </c>
      <c r="U3" s="27">
        <f>IF(ISNUMBER(agent!$O$30*(K3/Y3)*$W3),TRUNC(agent!$O$30*(K3/Y3)*$W3,3),"没有上级")</f>
        <v>0</v>
      </c>
      <c r="V3" s="27">
        <f>IF(ISNUMBER(agent!$O$33*(K3/Y3)*$W3),TRUNC(agent!$O$33*(K3/Y3)*$W3,3),"没有上级")</f>
        <v>0</v>
      </c>
      <c r="W3" s="17">
        <f>TRUNC(60.48,3)</f>
        <v>60.48</v>
      </c>
      <c r="X3" s="17"/>
      <c r="Y3" s="25">
        <f>TRUNC(Z3-W3*(9.9-agent!L$3)*10,3)</f>
        <v>58363.199999999997</v>
      </c>
      <c r="Z3" s="17">
        <f>TRUNC(54432+W3*99,3)</f>
        <v>60419.519999999997</v>
      </c>
      <c r="AA3" s="18" t="s">
        <v>101</v>
      </c>
      <c r="AB3" s="5">
        <f>TRUNC(0.002257,3)</f>
        <v>2E-3</v>
      </c>
      <c r="AD3" s="17">
        <f>TRUNC(AE3-AB3*(9.9-agent!L$3)*10,3)</f>
        <v>2.1549999999999998</v>
      </c>
      <c r="AE3" s="17">
        <f>TRUNC(2.025+AB3*99,3)</f>
        <v>2.2229999999999999</v>
      </c>
    </row>
    <row r="4" spans="1:31" ht="13.5" customHeight="1" x14ac:dyDescent="0.15">
      <c r="A4" s="5">
        <v>9</v>
      </c>
      <c r="D4" s="14" t="s">
        <v>19</v>
      </c>
      <c r="E4" s="5" t="s">
        <v>20</v>
      </c>
      <c r="F4" s="30" t="str">
        <f>PK10Source!E4</f>
        <v>01 02 03 04 05,06 07 08 09 10</v>
      </c>
      <c r="G4" s="14">
        <f>PK10Source!F17</f>
        <v>3</v>
      </c>
      <c r="H4" s="14">
        <f>PK10Source!G17</f>
        <v>1</v>
      </c>
      <c r="I4" s="14">
        <f>PK10Source!H17</f>
        <v>12</v>
      </c>
      <c r="J4" s="25">
        <f t="shared" si="0"/>
        <v>0</v>
      </c>
      <c r="K4" s="14">
        <f>PK10Source!I17</f>
        <v>0</v>
      </c>
      <c r="L4" s="30">
        <f t="shared" ref="L4:L67" si="1">L3-I4+K4</f>
        <v>99950918</v>
      </c>
      <c r="M4" s="27">
        <f>IF(ISNUMBER(agent!$O$6*(K4/Y4)*$W4),TRUNC(agent!$O$6*(K4/Y4)*$W4,3),"没有上级")</f>
        <v>0</v>
      </c>
      <c r="N4" s="27">
        <f>IF(ISNUMBER(agent!$O$9*(K4/Y4)*$W4),TRUNC(agent!$O$9*(K4/Y4)*$W4,3),"没有上级")</f>
        <v>0</v>
      </c>
      <c r="O4" s="27">
        <f>IF(ISNUMBER(agent!$O$12*(K4/Y4)*$W4),TRUNC(agent!$O$12*(K4/Y4)*$W4,3),"没有上级")</f>
        <v>0</v>
      </c>
      <c r="P4" s="27">
        <f>IF(ISNUMBER(agent!$O$15*(K4/Y4)*$W4),TRUNC(agent!$O$15*(K4/Y4)*$W4,3),"没有上级")</f>
        <v>0</v>
      </c>
      <c r="Q4" s="27">
        <f>IF(ISNUMBER(agent!$O$18*(K4/Y4)*$W4),TRUNC(agent!$O$18*(K4/Y4)*$W4,3),"没有上级")</f>
        <v>0</v>
      </c>
      <c r="R4" s="27">
        <f>IF(ISNUMBER(agent!$O$21*(K4/Y4)*$W4),TRUNC(agent!$O$21*(K4/Y4)*$W4,3),"没有上级")</f>
        <v>0</v>
      </c>
      <c r="S4" s="27">
        <f>IF(ISNUMBER(agent!$O$24*(K4/Y4)*$W4),TRUNC(agent!$O$24*(K4/Y4)*$W4,3),"没有上级")</f>
        <v>0</v>
      </c>
      <c r="T4" s="27">
        <f>IF(ISNUMBER(agent!$O$27*(K4/Y4)*$W4),TRUNC(agent!$O$27*(K4/Y4)*$W4,3),"没有上级")</f>
        <v>0</v>
      </c>
      <c r="U4" s="27">
        <f>IF(ISNUMBER(agent!$O$30*(K4/Y4)*$W4),TRUNC(agent!$O$30*(K4/Y4)*$W4,3),"没有上级")</f>
        <v>0</v>
      </c>
      <c r="V4" s="27">
        <f>IF(ISNUMBER(agent!$O$33*(K4/Y4)*$W4),TRUNC(agent!$O$33*(K4/Y4)*$W4,3),"没有上级")</f>
        <v>0</v>
      </c>
      <c r="W4" s="17">
        <f>TRUNC(60.48,3)</f>
        <v>60.48</v>
      </c>
      <c r="X4" s="17"/>
      <c r="Y4" s="25">
        <f>TRUNC(Z4-W4*(9.9-agent!L$3)*10,3)</f>
        <v>58363.199999999997</v>
      </c>
      <c r="Z4" s="17">
        <f>TRUNC(54432+W4*99,3)</f>
        <v>60419.519999999997</v>
      </c>
      <c r="AA4" s="18" t="s">
        <v>102</v>
      </c>
      <c r="AB4" s="17">
        <f>TRUNC(0.0018,3)</f>
        <v>1E-3</v>
      </c>
      <c r="AD4" s="25">
        <f>TRUNC(AE4-AB4*(9.9-agent!L$3)*10,3)</f>
        <v>1.6850000000000001</v>
      </c>
      <c r="AE4" s="17">
        <f>TRUNC(1.62+AB4*99,3)</f>
        <v>1.7190000000000001</v>
      </c>
    </row>
    <row r="5" spans="1:31" x14ac:dyDescent="0.15">
      <c r="A5" s="5">
        <v>10</v>
      </c>
      <c r="D5" s="14" t="s">
        <v>21</v>
      </c>
      <c r="E5" s="16" t="s">
        <v>85</v>
      </c>
      <c r="F5" s="30" t="str">
        <f>PK10Source!E5</f>
        <v>01 02 03 04 05 06 07 08 09 10,01 02 03 04 05 06 07 08 09 10,01 02 03 04 05 06 07 08 09 10,01 02 03 04 05 06 07 08 09 10</v>
      </c>
      <c r="G5" s="14">
        <f>PK10Source!F18</f>
        <v>1</v>
      </c>
      <c r="H5" s="14">
        <f>PK10Source!G18</f>
        <v>1</v>
      </c>
      <c r="I5" s="14">
        <f>PK10Source!H18</f>
        <v>10080</v>
      </c>
      <c r="J5" s="25">
        <f t="shared" si="0"/>
        <v>342.72</v>
      </c>
      <c r="K5" s="14">
        <f>PK10Source!I18</f>
        <v>9727.2000000000007</v>
      </c>
      <c r="L5" s="30">
        <f t="shared" si="1"/>
        <v>99950565.200000003</v>
      </c>
      <c r="M5" s="27">
        <f>IF(ISNUMBER(agent!$O$6*(K5/Y5)*$W5),TRUNC(agent!$O$6*(K5/Y5)*$W5,3),"没有上级")</f>
        <v>10.08</v>
      </c>
      <c r="N5" s="27">
        <f>IF(ISNUMBER(agent!$O$9*(K5/Y5)*$W5),TRUNC(agent!$O$9*(K5/Y5)*$W5,3),"没有上级")</f>
        <v>60.48</v>
      </c>
      <c r="O5" s="27">
        <f>IF(ISNUMBER(agent!$O$12*(K5/Y5)*$W5),TRUNC(agent!$O$12*(K5/Y5)*$W5,3),"没有上级")</f>
        <v>20.16</v>
      </c>
      <c r="P5" s="27">
        <f>IF(ISNUMBER(agent!$O$15*(K5/Y5)*$W5),TRUNC(agent!$O$15*(K5/Y5)*$W5,3),"没有上级")</f>
        <v>40.32</v>
      </c>
      <c r="Q5" s="27">
        <f>IF(ISNUMBER(agent!$O$18*(K5/Y5)*$W5),TRUNC(agent!$O$18*(K5/Y5)*$W5,3),"没有上级")</f>
        <v>30.24</v>
      </c>
      <c r="R5" s="27">
        <f>IF(ISNUMBER(agent!$O$21*(K5/Y5)*$W5),TRUNC(agent!$O$21*(K5/Y5)*$W5,3),"没有上级")</f>
        <v>10.08</v>
      </c>
      <c r="S5" s="27">
        <f>IF(ISNUMBER(agent!$O$24*(K5/Y5)*$W5),TRUNC(agent!$O$24*(K5/Y5)*$W5,3),"没有上级")</f>
        <v>70.56</v>
      </c>
      <c r="T5" s="27">
        <f>IF(ISNUMBER(agent!$O$27*(K5/Y5)*$W5),TRUNC(agent!$O$27*(K5/Y5)*$W5,3),"没有上级")</f>
        <v>30.24</v>
      </c>
      <c r="U5" s="27">
        <f>IF(ISNUMBER(agent!$O$30*(K5/Y5)*$W5),TRUNC(agent!$O$30*(K5/Y5)*$W5,3),"没有上级")</f>
        <v>40.32</v>
      </c>
      <c r="V5" s="27">
        <f>IF(ISNUMBER(agent!$O$33*(K5/Y5)*$W5),TRUNC(agent!$O$33*(K5/Y5)*$W5,3),"没有上级")</f>
        <v>30.24</v>
      </c>
      <c r="W5" s="17">
        <f>TRUNC(10.08,3)</f>
        <v>10.08</v>
      </c>
      <c r="X5" s="17"/>
      <c r="Y5" s="25">
        <f>TRUNC(Z5-W5*(9.9-agent!L$3)*10,3)</f>
        <v>9727.2000000000007</v>
      </c>
      <c r="Z5" s="17">
        <f>TRUNC(9072+W5*99,3)</f>
        <v>10069.92</v>
      </c>
      <c r="AA5" s="18" t="s">
        <v>103</v>
      </c>
      <c r="AB5" s="17">
        <f>TRUNC(0.045,3)</f>
        <v>4.4999999999999998E-2</v>
      </c>
      <c r="AD5" s="25">
        <f>TRUNC(AE5-AB5*(9.9-agent!L$3)*10,3)</f>
        <v>43.424999999999997</v>
      </c>
      <c r="AE5" s="17">
        <f>TRUNC(40.5+AB5*99,3)</f>
        <v>44.954999999999998</v>
      </c>
    </row>
    <row r="6" spans="1:31" x14ac:dyDescent="0.15">
      <c r="A6" s="5">
        <v>11</v>
      </c>
      <c r="D6" s="14" t="s">
        <v>21</v>
      </c>
      <c r="E6" s="5" t="s">
        <v>22</v>
      </c>
      <c r="F6" s="30" t="str">
        <f>PK10Source!E6</f>
        <v>01 02 03 04,05 06 07 08,09 10 01 02</v>
      </c>
      <c r="G6" s="14">
        <f>PK10Source!F22</f>
        <v>2</v>
      </c>
      <c r="H6" s="14">
        <f>PK10Source!G22</f>
        <v>1</v>
      </c>
      <c r="I6" s="14">
        <f>PK10Source!H22</f>
        <v>12</v>
      </c>
      <c r="J6" s="25">
        <f t="shared" si="0"/>
        <v>0</v>
      </c>
      <c r="K6" s="14">
        <f>PK10Source!I22</f>
        <v>0</v>
      </c>
      <c r="L6" s="30">
        <f t="shared" si="1"/>
        <v>99950553.200000003</v>
      </c>
      <c r="M6" s="27">
        <f>IF(ISNUMBER(agent!$O$6*(K6/Y6)*$W6),TRUNC(agent!$O$6*(K6/Y6)*$W6,3),"没有上级")</f>
        <v>0</v>
      </c>
      <c r="N6" s="27">
        <f>IF(ISNUMBER(agent!$O$9*(K6/Y6)*$W6),TRUNC(agent!$O$9*(K6/Y6)*$W6,3),"没有上级")</f>
        <v>0</v>
      </c>
      <c r="O6" s="27">
        <f>IF(ISNUMBER(agent!$O$12*(K6/Y6)*$W6),TRUNC(agent!$O$12*(K6/Y6)*$W6,3),"没有上级")</f>
        <v>0</v>
      </c>
      <c r="P6" s="27">
        <f>IF(ISNUMBER(agent!$O$15*(K6/Y6)*$W6),TRUNC(agent!$O$15*(K6/Y6)*$W6,3),"没有上级")</f>
        <v>0</v>
      </c>
      <c r="Q6" s="27">
        <f>IF(ISNUMBER(agent!$O$18*(K6/Y6)*$W6),TRUNC(agent!$O$18*(K6/Y6)*$W6,3),"没有上级")</f>
        <v>0</v>
      </c>
      <c r="R6" s="27">
        <f>IF(ISNUMBER(agent!$O$21*(K6/Y6)*$W6),TRUNC(agent!$O$21*(K6/Y6)*$W6,3),"没有上级")</f>
        <v>0</v>
      </c>
      <c r="S6" s="27">
        <f>IF(ISNUMBER(agent!$O$24*(K6/Y6)*$W6),TRUNC(agent!$O$24*(K6/Y6)*$W6,3),"没有上级")</f>
        <v>0</v>
      </c>
      <c r="T6" s="27">
        <f>IF(ISNUMBER(agent!$O$27*(K6/Y6)*$W6),TRUNC(agent!$O$27*(K6/Y6)*$W6,3),"没有上级")</f>
        <v>0</v>
      </c>
      <c r="U6" s="27">
        <f>IF(ISNUMBER(agent!$O$30*(K6/Y6)*$W6),TRUNC(agent!$O$30*(K6/Y6)*$W6,3),"没有上级")</f>
        <v>0</v>
      </c>
      <c r="V6" s="27">
        <f>IF(ISNUMBER(agent!$O$33*(K6/Y6)*$W6),TRUNC(agent!$O$33*(K6/Y6)*$W6,3),"没有上级")</f>
        <v>0</v>
      </c>
      <c r="W6" s="17">
        <f>TRUNC(10.08,3)</f>
        <v>10.08</v>
      </c>
      <c r="X6" s="17"/>
      <c r="Y6" s="25">
        <f>TRUNC(Z6-W6*(9.9-agent!L$3)*10,3)</f>
        <v>9727.2000000000007</v>
      </c>
      <c r="Z6" s="17">
        <f>TRUNC(9072+W6*99,3)</f>
        <v>10069.92</v>
      </c>
      <c r="AA6" s="18" t="s">
        <v>104</v>
      </c>
      <c r="AB6" s="17">
        <f>TRUNC(0.0225,3)</f>
        <v>2.1999999999999999E-2</v>
      </c>
      <c r="AD6" s="25">
        <f>TRUNC(AE6-AB6*(9.9-agent!L$3)*10,3)</f>
        <v>21.68</v>
      </c>
      <c r="AE6" s="17">
        <f>TRUNC(20.25+AB6*99,3)</f>
        <v>22.428000000000001</v>
      </c>
    </row>
    <row r="7" spans="1:31" x14ac:dyDescent="0.15">
      <c r="A7" s="5">
        <v>12</v>
      </c>
      <c r="D7" s="14" t="s">
        <v>23</v>
      </c>
      <c r="E7" s="16" t="s">
        <v>85</v>
      </c>
      <c r="F7" s="30" t="str">
        <f>PK10Source!E7</f>
        <v>01 02 03 04 05 06 07 08 09 10,01 02 03 04 05 06 07 08 09 10,01 02 03 04 05 06 07 08 09 10</v>
      </c>
      <c r="G7" s="14">
        <f>PK10Source!F23</f>
        <v>4</v>
      </c>
      <c r="H7" s="14">
        <f>PK10Source!G23</f>
        <v>1</v>
      </c>
      <c r="I7" s="14">
        <f>PK10Source!H23</f>
        <v>5760</v>
      </c>
      <c r="J7" s="25">
        <f t="shared" si="0"/>
        <v>195.84</v>
      </c>
      <c r="K7" s="14">
        <f>PK10Source!I23</f>
        <v>5558.4</v>
      </c>
      <c r="L7" s="30">
        <f t="shared" si="1"/>
        <v>99950351.600000009</v>
      </c>
      <c r="M7" s="27">
        <f>IF(ISNUMBER(agent!$O$6*(K7/Y7)*$W7),TRUNC(agent!$O$6*(K7/Y7)*$W7,3),"没有上级")</f>
        <v>5.76</v>
      </c>
      <c r="N7" s="27">
        <f>IF(ISNUMBER(agent!$O$9*(K7/Y7)*$W7),TRUNC(agent!$O$9*(K7/Y7)*$W7,3),"没有上级")</f>
        <v>34.56</v>
      </c>
      <c r="O7" s="27">
        <f>IF(ISNUMBER(agent!$O$12*(K7/Y7)*$W7),TRUNC(agent!$O$12*(K7/Y7)*$W7,3),"没有上级")</f>
        <v>11.52</v>
      </c>
      <c r="P7" s="27">
        <f>IF(ISNUMBER(agent!$O$15*(K7/Y7)*$W7),TRUNC(agent!$O$15*(K7/Y7)*$W7,3),"没有上级")</f>
        <v>23.04</v>
      </c>
      <c r="Q7" s="27">
        <f>IF(ISNUMBER(agent!$O$18*(K7/Y7)*$W7),TRUNC(agent!$O$18*(K7/Y7)*$W7,3),"没有上级")</f>
        <v>17.28</v>
      </c>
      <c r="R7" s="27">
        <f>IF(ISNUMBER(agent!$O$21*(K7/Y7)*$W7),TRUNC(agent!$O$21*(K7/Y7)*$W7,3),"没有上级")</f>
        <v>5.76</v>
      </c>
      <c r="S7" s="27">
        <f>IF(ISNUMBER(agent!$O$24*(K7/Y7)*$W7),TRUNC(agent!$O$24*(K7/Y7)*$W7,3),"没有上级")</f>
        <v>40.32</v>
      </c>
      <c r="T7" s="27">
        <f>IF(ISNUMBER(agent!$O$27*(K7/Y7)*$W7),TRUNC(agent!$O$27*(K7/Y7)*$W7,3),"没有上级")</f>
        <v>17.28</v>
      </c>
      <c r="U7" s="27">
        <f>IF(ISNUMBER(agent!$O$30*(K7/Y7)*$W7),TRUNC(agent!$O$30*(K7/Y7)*$W7,3),"没有上级")</f>
        <v>23.04</v>
      </c>
      <c r="V7" s="27">
        <f>IF(ISNUMBER(agent!$O$33*(K7/Y7)*$W7),TRUNC(agent!$O$33*(K7/Y7)*$W7,3),"没有上级")</f>
        <v>17.28</v>
      </c>
      <c r="W7" s="17">
        <f>TRUNC(1.44,3)</f>
        <v>1.44</v>
      </c>
      <c r="X7" s="17"/>
      <c r="Y7" s="25">
        <f>TRUNC(Z7-W7*(9.9-agent!L$3)*10,3)</f>
        <v>1389.6</v>
      </c>
      <c r="Z7" s="17">
        <f>TRUNC(1296+W7*99,3)</f>
        <v>1438.56</v>
      </c>
      <c r="AA7" s="18" t="s">
        <v>105</v>
      </c>
      <c r="AB7" s="17">
        <f>TRUNC(0.015,3)</f>
        <v>1.4999999999999999E-2</v>
      </c>
      <c r="AD7" s="25">
        <f>TRUNC(AE7-AB7*(9.9-agent!L$3)*10,3)</f>
        <v>14.475</v>
      </c>
      <c r="AE7" s="17">
        <f>TRUNC(13.5+AB7*99,3)</f>
        <v>14.984999999999999</v>
      </c>
    </row>
    <row r="8" spans="1:31" ht="13.5" customHeight="1" x14ac:dyDescent="0.15">
      <c r="A8" s="5">
        <v>13</v>
      </c>
      <c r="D8" s="14" t="s">
        <v>23</v>
      </c>
      <c r="E8" s="5" t="s">
        <v>24</v>
      </c>
      <c r="F8" s="30" t="str">
        <f>PK10Source!E8</f>
        <v>09 08 01</v>
      </c>
      <c r="G8" s="14">
        <f>PK10Source!F26</f>
        <v>5</v>
      </c>
      <c r="H8" s="14">
        <f>PK10Source!G26</f>
        <v>1</v>
      </c>
      <c r="I8" s="14">
        <f>PK10Source!H26</f>
        <v>10</v>
      </c>
      <c r="J8" s="25">
        <f t="shared" si="0"/>
        <v>0</v>
      </c>
      <c r="K8" s="14">
        <f>PK10Source!I26</f>
        <v>0</v>
      </c>
      <c r="L8" s="30">
        <f t="shared" si="1"/>
        <v>99950341.600000009</v>
      </c>
      <c r="M8" s="27">
        <f>IF(ISNUMBER(agent!$O$6*(K8/Y8)*$W8),TRUNC(agent!$O$6*(K8/Y8)*$W8,3),"没有上级")</f>
        <v>0</v>
      </c>
      <c r="N8" s="27">
        <f>IF(ISNUMBER(agent!$O$9*(K8/Y8)*$W8),TRUNC(agent!$O$9*(K8/Y8)*$W8,3),"没有上级")</f>
        <v>0</v>
      </c>
      <c r="O8" s="27">
        <f>IF(ISNUMBER(agent!$O$12*(K8/Y8)*$W8),TRUNC(agent!$O$12*(K8/Y8)*$W8,3),"没有上级")</f>
        <v>0</v>
      </c>
      <c r="P8" s="27">
        <f>IF(ISNUMBER(agent!$O$15*(K8/Y8)*$W8),TRUNC(agent!$O$15*(K8/Y8)*$W8,3),"没有上级")</f>
        <v>0</v>
      </c>
      <c r="Q8" s="27">
        <f>IF(ISNUMBER(agent!$O$18*(K8/Y8)*$W8),TRUNC(agent!$O$18*(K8/Y8)*$W8,3),"没有上级")</f>
        <v>0</v>
      </c>
      <c r="R8" s="27">
        <f>IF(ISNUMBER(agent!$O$21*(K8/Y8)*$W8),TRUNC(agent!$O$21*(K8/Y8)*$W8,3),"没有上级")</f>
        <v>0</v>
      </c>
      <c r="S8" s="27">
        <f>IF(ISNUMBER(agent!$O$24*(K8/Y8)*$W8),TRUNC(agent!$O$24*(K8/Y8)*$W8,3),"没有上级")</f>
        <v>0</v>
      </c>
      <c r="T8" s="27">
        <f>IF(ISNUMBER(agent!$O$27*(K8/Y8)*$W8),TRUNC(agent!$O$27*(K8/Y8)*$W8,3),"没有上级")</f>
        <v>0</v>
      </c>
      <c r="U8" s="27">
        <f>IF(ISNUMBER(agent!$O$30*(K8/Y8)*$W8),TRUNC(agent!$O$30*(K8/Y8)*$W8,3),"没有上级")</f>
        <v>0</v>
      </c>
      <c r="V8" s="27">
        <f>IF(ISNUMBER(agent!$O$33*(K8/Y8)*$W8),TRUNC(agent!$O$33*(K8/Y8)*$W8,3),"没有上级")</f>
        <v>0</v>
      </c>
      <c r="W8" s="17">
        <f>TRUNC(1.44,3)</f>
        <v>1.44</v>
      </c>
      <c r="X8" s="17"/>
      <c r="Y8" s="25">
        <f>TRUNC(Z8-W8*(9.9-agent!L$3)*10,3)</f>
        <v>1389.6</v>
      </c>
      <c r="Z8" s="17">
        <f>TRUNC(1296+W8*99,3)</f>
        <v>1438.56</v>
      </c>
      <c r="AA8" s="18" t="s">
        <v>106</v>
      </c>
      <c r="AB8" s="17">
        <f>TRUNC(0.0112142857,3)</f>
        <v>1.0999999999999999E-2</v>
      </c>
      <c r="AD8" s="25">
        <f>TRUNC(AE8-AB8*(9.9-agent!L$3)*10,3)</f>
        <v>10.84</v>
      </c>
      <c r="AE8" s="17">
        <f>TRUNC(10.125+AB8*99,3)</f>
        <v>11.214</v>
      </c>
    </row>
    <row r="9" spans="1:31" x14ac:dyDescent="0.15">
      <c r="A9" s="5">
        <v>14</v>
      </c>
      <c r="D9" s="14" t="s">
        <v>25</v>
      </c>
      <c r="E9" s="16" t="s">
        <v>85</v>
      </c>
      <c r="F9" s="30" t="str">
        <f>PK10Source!E9</f>
        <v>01 02 03 04 05 06 07 08 09 10,01 02 03 04 05 06 07 08 09 10</v>
      </c>
      <c r="G9" s="14">
        <f>PK10Source!F27</f>
        <v>1</v>
      </c>
      <c r="H9" s="14">
        <f>PK10Source!G27</f>
        <v>1</v>
      </c>
      <c r="I9" s="14">
        <f>PK10Source!H27</f>
        <v>180</v>
      </c>
      <c r="J9" s="25">
        <f t="shared" si="0"/>
        <v>6.12</v>
      </c>
      <c r="K9" s="14">
        <f>PK10Source!I27</f>
        <v>173.7</v>
      </c>
      <c r="L9" s="30">
        <f t="shared" si="1"/>
        <v>99950335.300000012</v>
      </c>
      <c r="M9" s="27">
        <f>IF(ISNUMBER(agent!$O$6*(K9/Y9)*$W9),TRUNC(agent!$O$6*(K9/Y9)*$W9,3),"没有上级")</f>
        <v>0.18</v>
      </c>
      <c r="N9" s="27">
        <f>IF(ISNUMBER(agent!$O$9*(K9/Y9)*$W9),TRUNC(agent!$O$9*(K9/Y9)*$W9,3),"没有上级")</f>
        <v>1.08</v>
      </c>
      <c r="O9" s="27">
        <f>IF(ISNUMBER(agent!$O$12*(K9/Y9)*$W9),TRUNC(agent!$O$12*(K9/Y9)*$W9,3),"没有上级")</f>
        <v>0.36</v>
      </c>
      <c r="P9" s="27">
        <f>IF(ISNUMBER(agent!$O$15*(K9/Y9)*$W9),TRUNC(agent!$O$15*(K9/Y9)*$W9,3),"没有上级")</f>
        <v>0.72</v>
      </c>
      <c r="Q9" s="27">
        <f>IF(ISNUMBER(agent!$O$18*(K9/Y9)*$W9),TRUNC(agent!$O$18*(K9/Y9)*$W9,3),"没有上级")</f>
        <v>0.54</v>
      </c>
      <c r="R9" s="27">
        <f>IF(ISNUMBER(agent!$O$21*(K9/Y9)*$W9),TRUNC(agent!$O$21*(K9/Y9)*$W9,3),"没有上级")</f>
        <v>0.18</v>
      </c>
      <c r="S9" s="27">
        <f>IF(ISNUMBER(agent!$O$24*(K9/Y9)*$W9),TRUNC(agent!$O$24*(K9/Y9)*$W9,3),"没有上级")</f>
        <v>1.26</v>
      </c>
      <c r="T9" s="27">
        <f>IF(ISNUMBER(agent!$O$27*(K9/Y9)*$W9),TRUNC(agent!$O$27*(K9/Y9)*$W9,3),"没有上级")</f>
        <v>0.54</v>
      </c>
      <c r="U9" s="27">
        <f>IF(ISNUMBER(agent!$O$30*(K9/Y9)*$W9),TRUNC(agent!$O$30*(K9/Y9)*$W9,3),"没有上级")</f>
        <v>0.72</v>
      </c>
      <c r="V9" s="27">
        <f>IF(ISNUMBER(agent!$O$33*(K9/Y9)*$W9),TRUNC(agent!$O$33*(K9/Y9)*$W9,3),"没有上级")</f>
        <v>0.54</v>
      </c>
      <c r="W9" s="17">
        <f>TRUNC(0.18,3)</f>
        <v>0.18</v>
      </c>
      <c r="X9" s="17"/>
      <c r="Y9" s="25">
        <f>TRUNC(Z9-W9*(9.9-agent!L$3)*10,3)</f>
        <v>173.7</v>
      </c>
      <c r="Z9" s="17">
        <f>TRUNC(162+W9*99,3)</f>
        <v>179.82</v>
      </c>
      <c r="AA9" s="18" t="s">
        <v>107</v>
      </c>
      <c r="AB9" s="17">
        <f>TRUNC(0.009,3)</f>
        <v>8.9999999999999993E-3</v>
      </c>
      <c r="AD9" s="25">
        <f>TRUNC(AE9-AB9*(9.9-agent!L$3)*10,3)</f>
        <v>8.6850000000000005</v>
      </c>
      <c r="AE9" s="17">
        <f>TRUNC(8.1+AB9*99,3)</f>
        <v>8.9909999999999997</v>
      </c>
    </row>
    <row r="10" spans="1:31" x14ac:dyDescent="0.15">
      <c r="A10" s="5">
        <v>15</v>
      </c>
      <c r="D10" s="14" t="s">
        <v>25</v>
      </c>
      <c r="E10" s="5" t="s">
        <v>24</v>
      </c>
      <c r="F10" s="30" t="str">
        <f>PK10Source!E10</f>
        <v>02 03,08 09,09 04,05 09</v>
      </c>
      <c r="G10" s="14">
        <f>PK10Source!F29</f>
        <v>2</v>
      </c>
      <c r="H10" s="14">
        <f>PK10Source!G29</f>
        <v>1</v>
      </c>
      <c r="I10" s="14">
        <f>PK10Source!H29</f>
        <v>16</v>
      </c>
      <c r="J10" s="25">
        <f t="shared" si="0"/>
        <v>0</v>
      </c>
      <c r="K10" s="14">
        <f>PK10Source!I29</f>
        <v>0</v>
      </c>
      <c r="L10" s="30">
        <f t="shared" si="1"/>
        <v>99950319.300000012</v>
      </c>
      <c r="M10" s="27">
        <f>IF(ISNUMBER(agent!$O$6*(K10/Y10)*$W10),TRUNC(agent!$O$6*(K10/Y10)*$W10,3),"没有上级")</f>
        <v>0</v>
      </c>
      <c r="N10" s="27">
        <f>IF(ISNUMBER(agent!$O$9*(K10/Y10)*$W10),TRUNC(agent!$O$9*(K10/Y10)*$W10,3),"没有上级")</f>
        <v>0</v>
      </c>
      <c r="O10" s="27">
        <f>IF(ISNUMBER(agent!$O$12*(K10/Y10)*$W10),TRUNC(agent!$O$12*(K10/Y10)*$W10,3),"没有上级")</f>
        <v>0</v>
      </c>
      <c r="P10" s="27">
        <f>IF(ISNUMBER(agent!$O$15*(K10/Y10)*$W10),TRUNC(agent!$O$15*(K10/Y10)*$W10,3),"没有上级")</f>
        <v>0</v>
      </c>
      <c r="Q10" s="27">
        <f>IF(ISNUMBER(agent!$O$18*(K10/Y10)*$W10),TRUNC(agent!$O$18*(K10/Y10)*$W10,3),"没有上级")</f>
        <v>0</v>
      </c>
      <c r="R10" s="27">
        <f>IF(ISNUMBER(agent!$O$21*(K10/Y10)*$W10),TRUNC(agent!$O$21*(K10/Y10)*$W10,3),"没有上级")</f>
        <v>0</v>
      </c>
      <c r="S10" s="27">
        <f>IF(ISNUMBER(agent!$O$24*(K10/Y10)*$W10),TRUNC(agent!$O$24*(K10/Y10)*$W10,3),"没有上级")</f>
        <v>0</v>
      </c>
      <c r="T10" s="27">
        <f>IF(ISNUMBER(agent!$O$27*(K10/Y10)*$W10),TRUNC(agent!$O$27*(K10/Y10)*$W10,3),"没有上级")</f>
        <v>0</v>
      </c>
      <c r="U10" s="27">
        <f>IF(ISNUMBER(agent!$O$30*(K10/Y10)*$W10),TRUNC(agent!$O$30*(K10/Y10)*$W10,3),"没有上级")</f>
        <v>0</v>
      </c>
      <c r="V10" s="27">
        <f>IF(ISNUMBER(agent!$O$33*(K10/Y10)*$W10),TRUNC(agent!$O$33*(K10/Y10)*$W10,3),"没有上级")</f>
        <v>0</v>
      </c>
      <c r="W10" s="17">
        <f>TRUNC(0.18,3)</f>
        <v>0.18</v>
      </c>
      <c r="X10" s="17"/>
      <c r="Y10" s="25">
        <f>TRUNC(Z10-W10*(9.9-agent!L$3)*10,3)</f>
        <v>173.7</v>
      </c>
      <c r="Z10" s="17">
        <f>TRUNC(162+W10*99,3)</f>
        <v>179.82</v>
      </c>
      <c r="AA10" s="18" t="s">
        <v>108</v>
      </c>
      <c r="AB10" s="17">
        <f>AB8</f>
        <v>1.0999999999999999E-2</v>
      </c>
      <c r="AD10" s="17">
        <f>AD8</f>
        <v>10.84</v>
      </c>
      <c r="AE10" s="17">
        <f>AE8</f>
        <v>11.214</v>
      </c>
    </row>
    <row r="11" spans="1:31" x14ac:dyDescent="0.15">
      <c r="A11" s="5">
        <v>16</v>
      </c>
      <c r="D11" s="14" t="s">
        <v>26</v>
      </c>
      <c r="E11" s="16" t="s">
        <v>85</v>
      </c>
      <c r="F11" s="30" t="str">
        <f>PK10Source!E11</f>
        <v xml:space="preserve">01 02 03 04 05 06 07 08 09 10 </v>
      </c>
      <c r="G11" s="14">
        <f>PK10Source!F30</f>
        <v>3</v>
      </c>
      <c r="H11" s="14">
        <f>PK10Source!G30</f>
        <v>1</v>
      </c>
      <c r="I11" s="14">
        <f>PK10Source!H30</f>
        <v>60</v>
      </c>
      <c r="J11" s="25">
        <f t="shared" si="0"/>
        <v>2.04</v>
      </c>
      <c r="K11" s="14">
        <f>PK10Source!I30</f>
        <v>57.900000000000006</v>
      </c>
      <c r="L11" s="30">
        <f t="shared" si="1"/>
        <v>99950317.200000018</v>
      </c>
      <c r="M11" s="27">
        <f>IF(ISNUMBER(agent!$O$6*(K11/Y11)*$W11),TRUNC(agent!$O$6*(K11/Y11)*$W11,3),"没有上级")</f>
        <v>0.06</v>
      </c>
      <c r="N11" s="27">
        <f>IF(ISNUMBER(agent!$O$9*(K11/Y11)*$W11),TRUNC(agent!$O$9*(K11/Y11)*$W11,3),"没有上级")</f>
        <v>0.36</v>
      </c>
      <c r="O11" s="27">
        <f>IF(ISNUMBER(agent!$O$12*(K11/Y11)*$W11),TRUNC(agent!$O$12*(K11/Y11)*$W11,3),"没有上级")</f>
        <v>0.12</v>
      </c>
      <c r="P11" s="27">
        <f>IF(ISNUMBER(agent!$O$15*(K11/Y11)*$W11),TRUNC(agent!$O$15*(K11/Y11)*$W11,3),"没有上级")</f>
        <v>0.24</v>
      </c>
      <c r="Q11" s="27">
        <f>IF(ISNUMBER(agent!$O$18*(K11/Y11)*$W11),TRUNC(agent!$O$18*(K11/Y11)*$W11,3),"没有上级")</f>
        <v>0.18</v>
      </c>
      <c r="R11" s="27">
        <f>IF(ISNUMBER(agent!$O$21*(K11/Y11)*$W11),TRUNC(agent!$O$21*(K11/Y11)*$W11,3),"没有上级")</f>
        <v>0.06</v>
      </c>
      <c r="S11" s="27">
        <f>IF(ISNUMBER(agent!$O$24*(K11/Y11)*$W11),TRUNC(agent!$O$24*(K11/Y11)*$W11,3),"没有上级")</f>
        <v>0.42</v>
      </c>
      <c r="T11" s="27">
        <f>IF(ISNUMBER(agent!$O$27*(K11/Y11)*$W11),TRUNC(agent!$O$27*(K11/Y11)*$W11,3),"没有上级")</f>
        <v>0.18</v>
      </c>
      <c r="U11" s="27">
        <f>IF(ISNUMBER(agent!$O$30*(K11/Y11)*$W11),TRUNC(agent!$O$30*(K11/Y11)*$W11,3),"没有上级")</f>
        <v>0.24</v>
      </c>
      <c r="V11" s="27">
        <f>IF(ISNUMBER(agent!$O$33*(K11/Y11)*$W11),TRUNC(agent!$O$33*(K11/Y11)*$W11,3),"没有上级")</f>
        <v>0.18</v>
      </c>
      <c r="W11" s="17">
        <f>TRUNC(0.02,3)</f>
        <v>0.02</v>
      </c>
      <c r="X11" s="17"/>
      <c r="Y11" s="25">
        <f>TRUNC(Z11-W11*(9.9-agent!L$3)*10,3)</f>
        <v>19.3</v>
      </c>
      <c r="Z11" s="17">
        <f>TRUNC(18+W11*99,3)</f>
        <v>19.98</v>
      </c>
      <c r="AA11" s="18" t="s">
        <v>109</v>
      </c>
      <c r="AB11" s="17">
        <f>AB7</f>
        <v>1.4999999999999999E-2</v>
      </c>
      <c r="AD11" s="17">
        <f>AD7</f>
        <v>14.475</v>
      </c>
      <c r="AE11" s="17">
        <f>AE7</f>
        <v>14.984999999999999</v>
      </c>
    </row>
    <row r="12" spans="1:31" ht="13.5" customHeight="1" x14ac:dyDescent="0.15">
      <c r="A12" s="5">
        <v>18</v>
      </c>
      <c r="D12" s="14" t="s">
        <v>27</v>
      </c>
      <c r="E12" s="5" t="s">
        <v>28</v>
      </c>
      <c r="F12" s="30" t="str">
        <f>PK10Source!E12</f>
        <v>和大 和小 和单 和双,03 04 05 06 07 08 09 10 11 12 13 14 15 16 17 18 19</v>
      </c>
      <c r="G12" s="14">
        <f>PK10Source!F31</f>
        <v>1</v>
      </c>
      <c r="H12" s="14">
        <f>PK10Source!G31</f>
        <v>3</v>
      </c>
      <c r="I12" s="14">
        <f>PK10Source!H31</f>
        <v>63</v>
      </c>
      <c r="J12" s="25">
        <f t="shared" si="0"/>
        <v>1.8359999999999999</v>
      </c>
      <c r="K12" s="14">
        <f>PK10Source!I31</f>
        <v>54.944999999999993</v>
      </c>
      <c r="L12" s="30">
        <f t="shared" si="1"/>
        <v>99950309.145000011</v>
      </c>
      <c r="M12" s="25">
        <f>IF(ISNUMBER(agent!$O$6*$Y12*$W12),TRUNC(agent!$O$6*H12*W12,3),"没有上级")</f>
        <v>5.3999999999999999E-2</v>
      </c>
      <c r="N12" s="29">
        <f>IF(ISNUMBER(agent!$O$9*$Y12*$W12),TRUNC(agent!$O$9*H12*W12,3),"没有上级")</f>
        <v>0.32400000000000001</v>
      </c>
      <c r="O12" s="29">
        <f>IF(ISNUMBER(agent!$O$12*$Y12*$W12),TRUNC(agent!$O$12*H12*W12,3),"没有上级")</f>
        <v>0.108</v>
      </c>
      <c r="P12" s="29">
        <f>IF(ISNUMBER(agent!$O$15*$Y12*$W12),TRUNC(agent!$O$15*H12*W12,3),"没有上级")</f>
        <v>0.216</v>
      </c>
      <c r="Q12" s="29">
        <f>IF(ISNUMBER(agent!$O$18*$Y12*$W12),TRUNC(agent!$O$18*H12*W12,3),"没有上级")</f>
        <v>0.16200000000000001</v>
      </c>
      <c r="R12" s="29">
        <f>IF(ISNUMBER(agent!$O$21*$Y12*$W12),TRUNC(agent!$O$21*H12*W12,3),"没有上级")</f>
        <v>5.3999999999999999E-2</v>
      </c>
      <c r="S12" s="29">
        <f>IF(ISNUMBER(agent!$O$24*$Y12*$W12),TRUNC(agent!$O$24*H12*W12,3),"没有上级")</f>
        <v>0.378</v>
      </c>
      <c r="T12" s="29">
        <f>IF(ISNUMBER(agent!$O$27*$Y12*$W12),TRUNC(agent!$O$27*H12*W12,3),"没有上级")</f>
        <v>0.16200000000000001</v>
      </c>
      <c r="U12" s="29">
        <f>IF(ISNUMBER(agent!$O$30*$Y12*$W12),TRUNC(agent!$O$30*H12*W12,3),"没有上级")</f>
        <v>0.216</v>
      </c>
      <c r="V12" s="29">
        <f>IF(ISNUMBER(agent!$O$33*$Y12*$W12),TRUNC(agent!$O$33*H12*W12,3),"没有上级")</f>
        <v>0.16200000000000001</v>
      </c>
      <c r="W12" s="17">
        <f>SUM(PK10Source!T29:T37)</f>
        <v>1.7999999999999999E-2</v>
      </c>
      <c r="X12" s="17"/>
      <c r="Y12" s="25">
        <f>SUM(PK10Source!S29:S37)</f>
        <v>18.314999999999998</v>
      </c>
      <c r="Z12" s="17">
        <f>SUM(PK10Source!U29:U37)</f>
        <v>18.927</v>
      </c>
      <c r="AA12" s="18" t="s">
        <v>110</v>
      </c>
      <c r="AB12" s="17">
        <f>AB6</f>
        <v>2.1999999999999999E-2</v>
      </c>
      <c r="AD12" s="17">
        <f>AD6</f>
        <v>21.68</v>
      </c>
      <c r="AE12" s="17">
        <f>AE6</f>
        <v>22.428000000000001</v>
      </c>
    </row>
    <row r="13" spans="1:31" x14ac:dyDescent="0.15">
      <c r="A13" s="5">
        <v>19</v>
      </c>
      <c r="D13" s="14" t="s">
        <v>29</v>
      </c>
      <c r="E13" s="5" t="s">
        <v>30</v>
      </c>
      <c r="F13" s="30" t="str">
        <f>PK10Source!E13</f>
        <v>大 小 单 双 龙 虎,大 小 单 双 龙 虎,大 小 单 双 龙 虎,大 小 单 双 龙 虎,大 小 单 双 龙 虎,大 小 单 双,大 小 单 双,大 小 单 双,大 小 单 双,大 小 单 双</v>
      </c>
      <c r="G13" s="14">
        <f>PK10Source!F33</f>
        <v>1</v>
      </c>
      <c r="H13" s="14">
        <f>PK10Source!G33</f>
        <v>4</v>
      </c>
      <c r="I13" s="14">
        <f>PK10Source!H33</f>
        <v>200</v>
      </c>
      <c r="J13" s="25">
        <f t="shared" si="0"/>
        <v>6.7999999999999989</v>
      </c>
      <c r="K13" s="14">
        <f>PK10Source!I33</f>
        <v>193</v>
      </c>
      <c r="L13" s="30">
        <f t="shared" si="1"/>
        <v>99950302.145000011</v>
      </c>
      <c r="M13" s="25">
        <f>IF(ISNUMBER(agent!$O$6*(K13/Y13)*$W13),TRUNC(agent!$O$6*(K13/Y13)*$W13,3),"没有上级")</f>
        <v>0.2</v>
      </c>
      <c r="N13" s="25">
        <f>IF(ISNUMBER(agent!$O$9*(K13/Y13)*$W13),TRUNC(agent!$O$9*(K13/Y13)*$W13,3),"没有上级")</f>
        <v>1.2</v>
      </c>
      <c r="O13" s="25">
        <f>IF(ISNUMBER(agent!$O$12*(K13/Y13)*$W13),TRUNC(agent!$O$12*(K13/Y13)*$W13,3),"没有上级")</f>
        <v>0.4</v>
      </c>
      <c r="P13" s="25">
        <f>IF(ISNUMBER(agent!$O$15*(K13/Y13)*$W13),TRUNC(agent!$O$15*(K13/Y13)*$W13,3),"没有上级")</f>
        <v>0.8</v>
      </c>
      <c r="Q13" s="25">
        <f>IF(ISNUMBER(agent!$O$18*(K13/Y13)*$W13),TRUNC(agent!$O$18*(K13/Y13)*$W13,3),"没有上级")</f>
        <v>0.6</v>
      </c>
      <c r="R13" s="25">
        <f>IF(ISNUMBER(agent!$O$21*(K13/Y13)*$W13),TRUNC(agent!$O$21*(K13/Y13)*$W13,3),"没有上级")</f>
        <v>0.2</v>
      </c>
      <c r="S13" s="25">
        <f>IF(ISNUMBER(agent!$O$24*(K13/Y13)*$W13),TRUNC(agent!$O$24*(K13/Y13)*$W13,3),"没有上级")</f>
        <v>1.4</v>
      </c>
      <c r="T13" s="25">
        <f>IF(ISNUMBER(agent!$O$27*(K13/Y13)*$W13),TRUNC(agent!$O$27*(K13/Y13)*$W13,3),"没有上级")</f>
        <v>0.6</v>
      </c>
      <c r="U13" s="25">
        <f>IF(ISNUMBER(agent!$O$30*(K13/Y13)*$W13),TRUNC(agent!$O$30*(K13/Y13)*$W13,3),"没有上级")</f>
        <v>0.8</v>
      </c>
      <c r="V13" s="25">
        <f>IF(ISNUMBER(agent!$O$33*(K13/Y13)*$W13),TRUNC(agent!$O$33*(K13/Y13)*$W13,3),"没有上级")</f>
        <v>0.6</v>
      </c>
      <c r="W13" s="17">
        <f>TRUNC(0.002,3)</f>
        <v>2E-3</v>
      </c>
      <c r="X13" s="17"/>
      <c r="Y13" s="25">
        <f>TRUNC(Z13-W13*(9.9-agent!L$3)*10,3)</f>
        <v>1.93</v>
      </c>
      <c r="Z13" s="17">
        <f>TRUNC(1.8+W13*99,3)</f>
        <v>1.998</v>
      </c>
      <c r="AA13" s="18" t="s">
        <v>111</v>
      </c>
      <c r="AB13" s="17">
        <f>AB5</f>
        <v>4.4999999999999998E-2</v>
      </c>
      <c r="AD13" s="17">
        <f>AD5</f>
        <v>43.424999999999997</v>
      </c>
      <c r="AE13" s="17">
        <f>AE5</f>
        <v>44.954999999999998</v>
      </c>
    </row>
    <row r="14" spans="1:31" s="33" customFormat="1" x14ac:dyDescent="0.15">
      <c r="D14" s="33" t="s">
        <v>56</v>
      </c>
      <c r="E14" s="33" t="s">
        <v>18</v>
      </c>
      <c r="F14" s="30" t="str">
        <f>PK10Source!E43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14" s="33">
        <f t="shared" ref="G14:H25" si="2">G2</f>
        <v>2</v>
      </c>
      <c r="H14" s="33">
        <f t="shared" si="2"/>
        <v>1</v>
      </c>
      <c r="I14" s="33">
        <f>PK10Source!E55</f>
        <v>400</v>
      </c>
      <c r="J14" s="33">
        <f t="shared" si="0"/>
        <v>13.599999999999998</v>
      </c>
      <c r="K14" s="33">
        <f>PK10Source!E26</f>
        <v>386</v>
      </c>
      <c r="L14" s="30">
        <f t="shared" si="1"/>
        <v>99950288.145000011</v>
      </c>
      <c r="M14" s="33">
        <f>IF(ISNUMBER(agent!$O$6*(K14/Y14)*$W14),TRUNC(agent!$O$6*(K14/Y14)*$W14,3),"没有上级")</f>
        <v>0.4</v>
      </c>
      <c r="N14" s="33">
        <f>IF(ISNUMBER(agent!$O$9*(K14/Y14)*$W14),TRUNC(agent!$O$9*(K14/Y14)*$W14,3),"没有上级")</f>
        <v>2.4</v>
      </c>
      <c r="O14" s="33">
        <f>IF(ISNUMBER(agent!$O$12*(K14/Y14)*$W14),TRUNC(agent!$O$12*(K14/Y14)*$W14,3),"没有上级")</f>
        <v>0.8</v>
      </c>
      <c r="P14" s="33">
        <f>IF(ISNUMBER(agent!$O$15*(K14/Y14)*$W14),TRUNC(agent!$O$15*(K14/Y14)*$W14,3),"没有上级")</f>
        <v>1.6</v>
      </c>
      <c r="Q14" s="33">
        <f>IF(ISNUMBER(agent!$O$18*(K14/Y14)*$W14),TRUNC(agent!$O$18*(K14/Y14)*$W14,3),"没有上级")</f>
        <v>1.2</v>
      </c>
      <c r="R14" s="33">
        <f>IF(ISNUMBER(agent!$O$21*(K14/Y14)*$W14),TRUNC(agent!$O$21*(K14/Y14)*$W14,3),"没有上级")</f>
        <v>0.4</v>
      </c>
      <c r="S14" s="33">
        <f>IF(ISNUMBER(agent!$O$24*(K14/Y14)*$W14),TRUNC(agent!$O$24*(K14/Y14)*$W14,3),"没有上级")</f>
        <v>2.8</v>
      </c>
      <c r="T14" s="33">
        <f>IF(ISNUMBER(agent!$O$27*(K14/Y14)*$W14),TRUNC(agent!$O$27*(K14/Y14)*$W14,3),"没有上级")</f>
        <v>1.2</v>
      </c>
      <c r="U14" s="33">
        <f>IF(ISNUMBER(agent!$O$30*(K14/Y14)*$W14),TRUNC(agent!$O$30*(K14/Y14)*$W14,3),"没有上级")</f>
        <v>1.6</v>
      </c>
      <c r="V14" s="33">
        <f>IF(ISNUMBER(agent!$O$33*(K14/Y14)*$W14),TRUNC(agent!$O$33*(K14/Y14)*$W14,3),"没有上级")</f>
        <v>1.2</v>
      </c>
      <c r="W14" s="33">
        <f>TRUNC(0.02,3)</f>
        <v>0.02</v>
      </c>
      <c r="Y14" s="33">
        <f>TRUNC(Z14-W14*(9.9-agent!L$3)*10,3)</f>
        <v>19.3</v>
      </c>
      <c r="Z14" s="33">
        <f>TRUNC(18+W14*99,3)</f>
        <v>19.98</v>
      </c>
      <c r="AA14" s="33" t="s">
        <v>100</v>
      </c>
      <c r="AB14" s="33" t="s">
        <v>112</v>
      </c>
      <c r="AD14" s="33" t="s">
        <v>113</v>
      </c>
      <c r="AE14" s="33" t="s">
        <v>223</v>
      </c>
    </row>
    <row r="15" spans="1:31" x14ac:dyDescent="0.15">
      <c r="D15" s="30" t="s">
        <v>19</v>
      </c>
      <c r="E15" s="31" t="s">
        <v>81</v>
      </c>
      <c r="F15" s="30" t="str">
        <f>PK10Source!E44</f>
        <v>01 02 08,03 04 09,01 05 06,02 07 08,03 09 10</v>
      </c>
      <c r="G15" s="30">
        <f t="shared" si="2"/>
        <v>1</v>
      </c>
      <c r="H15" s="30">
        <f t="shared" si="2"/>
        <v>1</v>
      </c>
      <c r="I15" s="33">
        <f>PK10Source!E56</f>
        <v>302400</v>
      </c>
      <c r="J15" s="30">
        <f t="shared" si="0"/>
        <v>0</v>
      </c>
      <c r="K15" s="33">
        <f>PK10Source!E27</f>
        <v>0</v>
      </c>
      <c r="L15" s="30">
        <f t="shared" si="1"/>
        <v>99647888.145000011</v>
      </c>
      <c r="M15" s="30">
        <f>IF(ISNUMBER(agent!$O$6*(K15/Y15)*$W15),TRUNC(agent!$O$6*(K15/Y15)*$W15,3),"没有上级")</f>
        <v>0</v>
      </c>
      <c r="N15" s="30">
        <f>IF(ISNUMBER(agent!$O$9*(K15/Y15)*$W15),TRUNC(agent!$O$9*(K15/Y15)*$W15,3),"没有上级")</f>
        <v>0</v>
      </c>
      <c r="O15" s="30">
        <f>IF(ISNUMBER(agent!$O$12*(K15/Y15)*$W15),TRUNC(agent!$O$12*(K15/Y15)*$W15,3),"没有上级")</f>
        <v>0</v>
      </c>
      <c r="P15" s="30">
        <f>IF(ISNUMBER(agent!$O$15*(K15/Y15)*$W15),TRUNC(agent!$O$15*(K15/Y15)*$W15,3),"没有上级")</f>
        <v>0</v>
      </c>
      <c r="Q15" s="30">
        <f>IF(ISNUMBER(agent!$O$18*(K15/Y15)*$W15),TRUNC(agent!$O$18*(K15/Y15)*$W15,3),"没有上级")</f>
        <v>0</v>
      </c>
      <c r="R15" s="30">
        <f>IF(ISNUMBER(agent!$O$21*(K15/Y15)*$W15),TRUNC(agent!$O$21*(K15/Y15)*$W15,3),"没有上级")</f>
        <v>0</v>
      </c>
      <c r="S15" s="30">
        <f>IF(ISNUMBER(agent!$O$24*(K15/Y15)*$W15),TRUNC(agent!$O$24*(K15/Y15)*$W15,3),"没有上级")</f>
        <v>0</v>
      </c>
      <c r="T15" s="30">
        <f>IF(ISNUMBER(agent!$O$27*(K15/Y15)*$W15),TRUNC(agent!$O$27*(K15/Y15)*$W15,3),"没有上级")</f>
        <v>0</v>
      </c>
      <c r="U15" s="30">
        <f>IF(ISNUMBER(agent!$O$30*(K15/Y15)*$W15),TRUNC(agent!$O$30*(K15/Y15)*$W15,3),"没有上级")</f>
        <v>0</v>
      </c>
      <c r="V15" s="30">
        <f>IF(ISNUMBER(agent!$O$33*(K15/Y15)*$W15),TRUNC(agent!$O$33*(K15/Y15)*$W15,3),"没有上级")</f>
        <v>0</v>
      </c>
      <c r="W15" s="30">
        <f>TRUNC(60.48,3)</f>
        <v>60.48</v>
      </c>
      <c r="X15" s="30"/>
      <c r="Y15" s="30">
        <f>TRUNC(Z15-W15*(9.9-agent!L$3)*10,3)</f>
        <v>58363.199999999997</v>
      </c>
      <c r="Z15" s="30">
        <f>TRUNC(54432+W15*99,3)</f>
        <v>60419.519999999997</v>
      </c>
      <c r="AA15" s="31" t="s">
        <v>101</v>
      </c>
      <c r="AB15" s="30">
        <f>TRUNC(0.002257,3)</f>
        <v>2E-3</v>
      </c>
      <c r="AC15" s="30"/>
      <c r="AD15" s="30">
        <f>TRUNC(AE15-AB15*(9.9-agent!L$3)*10,3)</f>
        <v>2.1549999999999998</v>
      </c>
      <c r="AE15" s="30">
        <f>TRUNC(2.025+AB15*99,3)</f>
        <v>2.2229999999999999</v>
      </c>
    </row>
    <row r="16" spans="1:31" x14ac:dyDescent="0.15">
      <c r="D16" s="30" t="s">
        <v>19</v>
      </c>
      <c r="E16" s="30" t="s">
        <v>20</v>
      </c>
      <c r="F16" s="30" t="str">
        <f>PK10Source!E45</f>
        <v>08 09 01 02 03</v>
      </c>
      <c r="G16" s="30">
        <f t="shared" si="2"/>
        <v>3</v>
      </c>
      <c r="H16" s="30">
        <f t="shared" si="2"/>
        <v>1</v>
      </c>
      <c r="I16" s="33">
        <f>PK10Source!E57</f>
        <v>6</v>
      </c>
      <c r="J16" s="30">
        <f t="shared" si="0"/>
        <v>0</v>
      </c>
      <c r="K16" s="33">
        <f>PK10Source!E28</f>
        <v>0</v>
      </c>
      <c r="L16" s="30">
        <f t="shared" si="1"/>
        <v>99647882.145000011</v>
      </c>
      <c r="M16" s="30">
        <f>IF(ISNUMBER(agent!$O$6*(K16/Y16)*$W16),TRUNC(agent!$O$6*(K16/Y16)*$W16,3),"没有上级")</f>
        <v>0</v>
      </c>
      <c r="N16" s="30">
        <f>IF(ISNUMBER(agent!$O$9*(K16/Y16)*$W16),TRUNC(agent!$O$9*(K16/Y16)*$W16,3),"没有上级")</f>
        <v>0</v>
      </c>
      <c r="O16" s="30">
        <f>IF(ISNUMBER(agent!$O$12*(K16/Y16)*$W16),TRUNC(agent!$O$12*(K16/Y16)*$W16,3),"没有上级")</f>
        <v>0</v>
      </c>
      <c r="P16" s="30">
        <f>IF(ISNUMBER(agent!$O$15*(K16/Y16)*$W16),TRUNC(agent!$O$15*(K16/Y16)*$W16,3),"没有上级")</f>
        <v>0</v>
      </c>
      <c r="Q16" s="30">
        <f>IF(ISNUMBER(agent!$O$18*(K16/Y16)*$W16),TRUNC(agent!$O$18*(K16/Y16)*$W16,3),"没有上级")</f>
        <v>0</v>
      </c>
      <c r="R16" s="30">
        <f>IF(ISNUMBER(agent!$O$21*(K16/Y16)*$W16),TRUNC(agent!$O$21*(K16/Y16)*$W16,3),"没有上级")</f>
        <v>0</v>
      </c>
      <c r="S16" s="30">
        <f>IF(ISNUMBER(agent!$O$24*(K16/Y16)*$W16),TRUNC(agent!$O$24*(K16/Y16)*$W16,3),"没有上级")</f>
        <v>0</v>
      </c>
      <c r="T16" s="30">
        <f>IF(ISNUMBER(agent!$O$27*(K16/Y16)*$W16),TRUNC(agent!$O$27*(K16/Y16)*$W16,3),"没有上级")</f>
        <v>0</v>
      </c>
      <c r="U16" s="30">
        <f>IF(ISNUMBER(agent!$O$30*(K16/Y16)*$W16),TRUNC(agent!$O$30*(K16/Y16)*$W16,3),"没有上级")</f>
        <v>0</v>
      </c>
      <c r="V16" s="30">
        <f>IF(ISNUMBER(agent!$O$33*(K16/Y16)*$W16),TRUNC(agent!$O$33*(K16/Y16)*$W16,3),"没有上级")</f>
        <v>0</v>
      </c>
      <c r="W16" s="30">
        <f>TRUNC(60.48,3)</f>
        <v>60.48</v>
      </c>
      <c r="X16" s="30"/>
      <c r="Y16" s="30">
        <f>TRUNC(Z16-W16*(9.9-agent!L$3)*10,3)</f>
        <v>58363.199999999997</v>
      </c>
      <c r="Z16" s="30">
        <f>TRUNC(54432+W16*99,3)</f>
        <v>60419.519999999997</v>
      </c>
      <c r="AA16" s="31" t="s">
        <v>102</v>
      </c>
      <c r="AB16" s="30">
        <f>TRUNC(0.0018,3)</f>
        <v>1E-3</v>
      </c>
      <c r="AC16" s="30"/>
      <c r="AD16" s="30">
        <f>TRUNC(AE16-AB16*(9.9-agent!L$3)*10,3)</f>
        <v>1.6850000000000001</v>
      </c>
      <c r="AE16" s="30">
        <f>TRUNC(1.62+AB16*99,3)</f>
        <v>1.7190000000000001</v>
      </c>
    </row>
    <row r="17" spans="4:31" x14ac:dyDescent="0.15">
      <c r="D17" s="30" t="s">
        <v>21</v>
      </c>
      <c r="E17" s="31" t="s">
        <v>81</v>
      </c>
      <c r="F17" s="30" t="str">
        <f>PK10Source!E46</f>
        <v>01 02 03 04 05 06 07 08 09 10,01 02 03 04 05 06 07 08 09 10,01 02 03 04 05 06 07 08 09 10,01 02 03 04 05 06 07 08 09 10</v>
      </c>
      <c r="G17" s="30">
        <f t="shared" si="2"/>
        <v>1</v>
      </c>
      <c r="H17" s="30">
        <f t="shared" si="2"/>
        <v>1</v>
      </c>
      <c r="I17" s="33">
        <f>PK10Source!E58</f>
        <v>10080</v>
      </c>
      <c r="J17" s="30">
        <f t="shared" si="0"/>
        <v>342.72</v>
      </c>
      <c r="K17" s="33">
        <f>PK10Source!E29</f>
        <v>9727.2000000000007</v>
      </c>
      <c r="L17" s="30">
        <f t="shared" si="1"/>
        <v>99647529.345000014</v>
      </c>
      <c r="M17" s="30">
        <f>IF(ISNUMBER(agent!$O$6*(K17/Y17)*$W17),TRUNC(agent!$O$6*(K17/Y17)*$W17,3),"没有上级")</f>
        <v>10.08</v>
      </c>
      <c r="N17" s="30">
        <f>IF(ISNUMBER(agent!$O$9*(K17/Y17)*$W17),TRUNC(agent!$O$9*(K17/Y17)*$W17,3),"没有上级")</f>
        <v>60.48</v>
      </c>
      <c r="O17" s="30">
        <f>IF(ISNUMBER(agent!$O$12*(K17/Y17)*$W17),TRUNC(agent!$O$12*(K17/Y17)*$W17,3),"没有上级")</f>
        <v>20.16</v>
      </c>
      <c r="P17" s="30">
        <f>IF(ISNUMBER(agent!$O$15*(K17/Y17)*$W17),TRUNC(agent!$O$15*(K17/Y17)*$W17,3),"没有上级")</f>
        <v>40.32</v>
      </c>
      <c r="Q17" s="30">
        <f>IF(ISNUMBER(agent!$O$18*(K17/Y17)*$W17),TRUNC(agent!$O$18*(K17/Y17)*$W17,3),"没有上级")</f>
        <v>30.24</v>
      </c>
      <c r="R17" s="30">
        <f>IF(ISNUMBER(agent!$O$21*(K17/Y17)*$W17),TRUNC(agent!$O$21*(K17/Y17)*$W17,3),"没有上级")</f>
        <v>10.08</v>
      </c>
      <c r="S17" s="30">
        <f>IF(ISNUMBER(agent!$O$24*(K17/Y17)*$W17),TRUNC(agent!$O$24*(K17/Y17)*$W17,3),"没有上级")</f>
        <v>70.56</v>
      </c>
      <c r="T17" s="30">
        <f>IF(ISNUMBER(agent!$O$27*(K17/Y17)*$W17),TRUNC(agent!$O$27*(K17/Y17)*$W17,3),"没有上级")</f>
        <v>30.24</v>
      </c>
      <c r="U17" s="30">
        <f>IF(ISNUMBER(agent!$O$30*(K17/Y17)*$W17),TRUNC(agent!$O$30*(K17/Y17)*$W17,3),"没有上级")</f>
        <v>40.32</v>
      </c>
      <c r="V17" s="30">
        <f>IF(ISNUMBER(agent!$O$33*(K17/Y17)*$W17),TRUNC(agent!$O$33*(K17/Y17)*$W17,3),"没有上级")</f>
        <v>30.24</v>
      </c>
      <c r="W17" s="30">
        <f>TRUNC(10.08,3)</f>
        <v>10.08</v>
      </c>
      <c r="X17" s="30"/>
      <c r="Y17" s="30">
        <f>TRUNC(Z17-W17*(9.9-agent!L$3)*10,3)</f>
        <v>9727.2000000000007</v>
      </c>
      <c r="Z17" s="30">
        <f>TRUNC(9072+W17*99,3)</f>
        <v>10069.92</v>
      </c>
      <c r="AA17" s="31" t="s">
        <v>103</v>
      </c>
      <c r="AB17" s="30">
        <f>TRUNC(0.045,3)</f>
        <v>4.4999999999999998E-2</v>
      </c>
      <c r="AC17" s="30"/>
      <c r="AD17" s="30">
        <f>TRUNC(AE17-AB17*(9.9-agent!L$3)*10,3)</f>
        <v>43.424999999999997</v>
      </c>
      <c r="AE17" s="30">
        <f>TRUNC(40.5+AB17*99,3)</f>
        <v>44.954999999999998</v>
      </c>
    </row>
    <row r="18" spans="4:31" x14ac:dyDescent="0.15">
      <c r="D18" s="30" t="s">
        <v>21</v>
      </c>
      <c r="E18" s="30" t="s">
        <v>22</v>
      </c>
      <c r="F18" s="30" t="str">
        <f>PK10Source!E47</f>
        <v>08 09 01 02</v>
      </c>
      <c r="G18" s="30">
        <f t="shared" si="2"/>
        <v>2</v>
      </c>
      <c r="H18" s="30">
        <f t="shared" si="2"/>
        <v>1</v>
      </c>
      <c r="I18" s="33">
        <f>PK10Source!E59</f>
        <v>4</v>
      </c>
      <c r="J18" s="30">
        <f t="shared" si="0"/>
        <v>0</v>
      </c>
      <c r="K18" s="33">
        <f>PK10Source!E30</f>
        <v>0</v>
      </c>
      <c r="L18" s="30">
        <f t="shared" si="1"/>
        <v>99647525.345000014</v>
      </c>
      <c r="M18" s="30">
        <f>IF(ISNUMBER(agent!$O$6*(K18/Y18)*$W18),TRUNC(agent!$O$6*(K18/Y18)*$W18,3),"没有上级")</f>
        <v>0</v>
      </c>
      <c r="N18" s="30">
        <f>IF(ISNUMBER(agent!$O$9*(K18/Y18)*$W18),TRUNC(agent!$O$9*(K18/Y18)*$W18,3),"没有上级")</f>
        <v>0</v>
      </c>
      <c r="O18" s="30">
        <f>IF(ISNUMBER(agent!$O$12*(K18/Y18)*$W18),TRUNC(agent!$O$12*(K18/Y18)*$W18,3),"没有上级")</f>
        <v>0</v>
      </c>
      <c r="P18" s="30">
        <f>IF(ISNUMBER(agent!$O$15*(K18/Y18)*$W18),TRUNC(agent!$O$15*(K18/Y18)*$W18,3),"没有上级")</f>
        <v>0</v>
      </c>
      <c r="Q18" s="30">
        <f>IF(ISNUMBER(agent!$O$18*(K18/Y18)*$W18),TRUNC(agent!$O$18*(K18/Y18)*$W18,3),"没有上级")</f>
        <v>0</v>
      </c>
      <c r="R18" s="30">
        <f>IF(ISNUMBER(agent!$O$21*(K18/Y18)*$W18),TRUNC(agent!$O$21*(K18/Y18)*$W18,3),"没有上级")</f>
        <v>0</v>
      </c>
      <c r="S18" s="30">
        <f>IF(ISNUMBER(agent!$O$24*(K18/Y18)*$W18),TRUNC(agent!$O$24*(K18/Y18)*$W18,3),"没有上级")</f>
        <v>0</v>
      </c>
      <c r="T18" s="30">
        <f>IF(ISNUMBER(agent!$O$27*(K18/Y18)*$W18),TRUNC(agent!$O$27*(K18/Y18)*$W18,3),"没有上级")</f>
        <v>0</v>
      </c>
      <c r="U18" s="30">
        <f>IF(ISNUMBER(agent!$O$30*(K18/Y18)*$W18),TRUNC(agent!$O$30*(K18/Y18)*$W18,3),"没有上级")</f>
        <v>0</v>
      </c>
      <c r="V18" s="30">
        <f>IF(ISNUMBER(agent!$O$33*(K18/Y18)*$W18),TRUNC(agent!$O$33*(K18/Y18)*$W18,3),"没有上级")</f>
        <v>0</v>
      </c>
      <c r="W18" s="30">
        <f>TRUNC(10.08,3)</f>
        <v>10.08</v>
      </c>
      <c r="X18" s="30"/>
      <c r="Y18" s="30">
        <f>TRUNC(Z18-W18*(9.9-agent!L$3)*10,3)</f>
        <v>9727.2000000000007</v>
      </c>
      <c r="Z18" s="30">
        <f>TRUNC(9072+W18*99,3)</f>
        <v>10069.92</v>
      </c>
      <c r="AA18" s="31" t="s">
        <v>104</v>
      </c>
      <c r="AB18" s="30">
        <f>TRUNC(0.0225,3)</f>
        <v>2.1999999999999999E-2</v>
      </c>
      <c r="AC18" s="30"/>
      <c r="AD18" s="30">
        <f>TRUNC(AE18-AB18*(9.9-agent!L$3)*10,3)</f>
        <v>21.68</v>
      </c>
      <c r="AE18" s="30">
        <f>TRUNC(20.25+AB18*99,3)</f>
        <v>22.428000000000001</v>
      </c>
    </row>
    <row r="19" spans="4:31" x14ac:dyDescent="0.15">
      <c r="D19" s="30" t="s">
        <v>23</v>
      </c>
      <c r="E19" s="31" t="s">
        <v>81</v>
      </c>
      <c r="F19" s="30" t="str">
        <f>PK10Source!E48</f>
        <v>01 02 03 04 05 06 07 08 09 10,01 02 03 04 05 06 07 08 09 10,01 02 03 04 05 06 07 08 09 10</v>
      </c>
      <c r="G19" s="30">
        <f t="shared" si="2"/>
        <v>4</v>
      </c>
      <c r="H19" s="30">
        <f t="shared" si="2"/>
        <v>1</v>
      </c>
      <c r="I19" s="33">
        <f>PK10Source!E60</f>
        <v>5760</v>
      </c>
      <c r="J19" s="30">
        <f t="shared" si="0"/>
        <v>195.84</v>
      </c>
      <c r="K19" s="33">
        <f>PK10Source!E31</f>
        <v>5558.4</v>
      </c>
      <c r="L19" s="30">
        <f t="shared" si="1"/>
        <v>99647323.74500002</v>
      </c>
      <c r="M19" s="30">
        <f>IF(ISNUMBER(agent!$O$6*(K19/Y19)*$W19),TRUNC(agent!$O$6*(K19/Y19)*$W19,3),"没有上级")</f>
        <v>5.76</v>
      </c>
      <c r="N19" s="30">
        <f>IF(ISNUMBER(agent!$O$9*(K19/Y19)*$W19),TRUNC(agent!$O$9*(K19/Y19)*$W19,3),"没有上级")</f>
        <v>34.56</v>
      </c>
      <c r="O19" s="30">
        <f>IF(ISNUMBER(agent!$O$12*(K19/Y19)*$W19),TRUNC(agent!$O$12*(K19/Y19)*$W19,3),"没有上级")</f>
        <v>11.52</v>
      </c>
      <c r="P19" s="30">
        <f>IF(ISNUMBER(agent!$O$15*(K19/Y19)*$W19),TRUNC(agent!$O$15*(K19/Y19)*$W19,3),"没有上级")</f>
        <v>23.04</v>
      </c>
      <c r="Q19" s="30">
        <f>IF(ISNUMBER(agent!$O$18*(K19/Y19)*$W19),TRUNC(agent!$O$18*(K19/Y19)*$W19,3),"没有上级")</f>
        <v>17.28</v>
      </c>
      <c r="R19" s="30">
        <f>IF(ISNUMBER(agent!$O$21*(K19/Y19)*$W19),TRUNC(agent!$O$21*(K19/Y19)*$W19,3),"没有上级")</f>
        <v>5.76</v>
      </c>
      <c r="S19" s="30">
        <f>IF(ISNUMBER(agent!$O$24*(K19/Y19)*$W19),TRUNC(agent!$O$24*(K19/Y19)*$W19,3),"没有上级")</f>
        <v>40.32</v>
      </c>
      <c r="T19" s="30">
        <f>IF(ISNUMBER(agent!$O$27*(K19/Y19)*$W19),TRUNC(agent!$O$27*(K19/Y19)*$W19,3),"没有上级")</f>
        <v>17.28</v>
      </c>
      <c r="U19" s="30">
        <f>IF(ISNUMBER(agent!$O$30*(K19/Y19)*$W19),TRUNC(agent!$O$30*(K19/Y19)*$W19,3),"没有上级")</f>
        <v>23.04</v>
      </c>
      <c r="V19" s="30">
        <f>IF(ISNUMBER(agent!$O$33*(K19/Y19)*$W19),TRUNC(agent!$O$33*(K19/Y19)*$W19,3),"没有上级")</f>
        <v>17.28</v>
      </c>
      <c r="W19" s="30">
        <f>TRUNC(1.44,3)</f>
        <v>1.44</v>
      </c>
      <c r="X19" s="30"/>
      <c r="Y19" s="30">
        <f>TRUNC(Z19-W19*(9.9-agent!L$3)*10,3)</f>
        <v>1389.6</v>
      </c>
      <c r="Z19" s="30">
        <f>TRUNC(1296+W19*99,3)</f>
        <v>1438.56</v>
      </c>
      <c r="AA19" s="31" t="s">
        <v>105</v>
      </c>
      <c r="AB19" s="30">
        <f>TRUNC(0.015,3)</f>
        <v>1.4999999999999999E-2</v>
      </c>
      <c r="AC19" s="30"/>
      <c r="AD19" s="30">
        <f>TRUNC(AE19-AB19*(9.9-agent!L$3)*10,3)</f>
        <v>14.475</v>
      </c>
      <c r="AE19" s="30">
        <f>TRUNC(13.5+AB19*99,3)</f>
        <v>14.984999999999999</v>
      </c>
    </row>
    <row r="20" spans="4:31" x14ac:dyDescent="0.15">
      <c r="D20" s="30" t="s">
        <v>23</v>
      </c>
      <c r="E20" s="30" t="s">
        <v>24</v>
      </c>
      <c r="F20" s="30" t="str">
        <f>PK10Source!E49</f>
        <v>08 09 01</v>
      </c>
      <c r="G20" s="30">
        <f t="shared" si="2"/>
        <v>5</v>
      </c>
      <c r="H20" s="30">
        <f t="shared" si="2"/>
        <v>1</v>
      </c>
      <c r="I20" s="33">
        <f>PK10Source!E61</f>
        <v>10</v>
      </c>
      <c r="J20" s="30">
        <f t="shared" si="0"/>
        <v>0</v>
      </c>
      <c r="K20" s="33">
        <f>PK10Source!E32</f>
        <v>0</v>
      </c>
      <c r="L20" s="30">
        <f t="shared" si="1"/>
        <v>99647313.74500002</v>
      </c>
      <c r="M20" s="30">
        <f>IF(ISNUMBER(agent!$O$6*(K20/Y20)*$W20),TRUNC(agent!$O$6*(K20/Y20)*$W20,3),"没有上级")</f>
        <v>0</v>
      </c>
      <c r="N20" s="30">
        <f>IF(ISNUMBER(agent!$O$9*(K20/Y20)*$W20),TRUNC(agent!$O$9*(K20/Y20)*$W20,3),"没有上级")</f>
        <v>0</v>
      </c>
      <c r="O20" s="30">
        <f>IF(ISNUMBER(agent!$O$12*(K20/Y20)*$W20),TRUNC(agent!$O$12*(K20/Y20)*$W20,3),"没有上级")</f>
        <v>0</v>
      </c>
      <c r="P20" s="30">
        <f>IF(ISNUMBER(agent!$O$15*(K20/Y20)*$W20),TRUNC(agent!$O$15*(K20/Y20)*$W20,3),"没有上级")</f>
        <v>0</v>
      </c>
      <c r="Q20" s="30">
        <f>IF(ISNUMBER(agent!$O$18*(K20/Y20)*$W20),TRUNC(agent!$O$18*(K20/Y20)*$W20,3),"没有上级")</f>
        <v>0</v>
      </c>
      <c r="R20" s="30">
        <f>IF(ISNUMBER(agent!$O$21*(K20/Y20)*$W20),TRUNC(agent!$O$21*(K20/Y20)*$W20,3),"没有上级")</f>
        <v>0</v>
      </c>
      <c r="S20" s="30">
        <f>IF(ISNUMBER(agent!$O$24*(K20/Y20)*$W20),TRUNC(agent!$O$24*(K20/Y20)*$W20,3),"没有上级")</f>
        <v>0</v>
      </c>
      <c r="T20" s="30">
        <f>IF(ISNUMBER(agent!$O$27*(K20/Y20)*$W20),TRUNC(agent!$O$27*(K20/Y20)*$W20,3),"没有上级")</f>
        <v>0</v>
      </c>
      <c r="U20" s="30">
        <f>IF(ISNUMBER(agent!$O$30*(K20/Y20)*$W20),TRUNC(agent!$O$30*(K20/Y20)*$W20,3),"没有上级")</f>
        <v>0</v>
      </c>
      <c r="V20" s="30">
        <f>IF(ISNUMBER(agent!$O$33*(K20/Y20)*$W20),TRUNC(agent!$O$33*(K20/Y20)*$W20,3),"没有上级")</f>
        <v>0</v>
      </c>
      <c r="W20" s="30">
        <f>TRUNC(1.44,3)</f>
        <v>1.44</v>
      </c>
      <c r="X20" s="30"/>
      <c r="Y20" s="30">
        <f>TRUNC(Z20-W20*(9.9-agent!L$3)*10,3)</f>
        <v>1389.6</v>
      </c>
      <c r="Z20" s="30">
        <f>TRUNC(1296+W20*99,3)</f>
        <v>1438.56</v>
      </c>
      <c r="AA20" s="31" t="s">
        <v>106</v>
      </c>
      <c r="AB20" s="30">
        <f>TRUNC(0.0112142857,3)</f>
        <v>1.0999999999999999E-2</v>
      </c>
      <c r="AC20" s="30"/>
      <c r="AD20" s="30">
        <f>TRUNC(AE20-AB20*(9.9-agent!L$3)*10,3)</f>
        <v>10.84</v>
      </c>
      <c r="AE20" s="30">
        <f>TRUNC(10.125+AB20*99,3)</f>
        <v>11.214</v>
      </c>
    </row>
    <row r="21" spans="4:31" x14ac:dyDescent="0.15">
      <c r="D21" s="30" t="s">
        <v>25</v>
      </c>
      <c r="E21" s="31" t="s">
        <v>81</v>
      </c>
      <c r="F21" s="30" t="str">
        <f>PK10Source!E50</f>
        <v>01 02 03 04 05 06 07 08 09 10,01 02 03 04 05 06 07 08 09 10</v>
      </c>
      <c r="G21" s="30">
        <f t="shared" si="2"/>
        <v>1</v>
      </c>
      <c r="H21" s="30">
        <f t="shared" si="2"/>
        <v>1</v>
      </c>
      <c r="I21" s="33">
        <f>PK10Source!E62</f>
        <v>180</v>
      </c>
      <c r="J21" s="30">
        <f t="shared" si="0"/>
        <v>6.12</v>
      </c>
      <c r="K21" s="33">
        <f>PK10Source!E33</f>
        <v>173.7</v>
      </c>
      <c r="L21" s="30">
        <f t="shared" si="1"/>
        <v>99647307.445000023</v>
      </c>
      <c r="M21" s="30">
        <f>IF(ISNUMBER(agent!$O$6*(K21/Y21)*$W21),TRUNC(agent!$O$6*(K21/Y21)*$W21,3),"没有上级")</f>
        <v>0.18</v>
      </c>
      <c r="N21" s="30">
        <f>IF(ISNUMBER(agent!$O$9*(K21/Y21)*$W21),TRUNC(agent!$O$9*(K21/Y21)*$W21,3),"没有上级")</f>
        <v>1.08</v>
      </c>
      <c r="O21" s="30">
        <f>IF(ISNUMBER(agent!$O$12*(K21/Y21)*$W21),TRUNC(agent!$O$12*(K21/Y21)*$W21,3),"没有上级")</f>
        <v>0.36</v>
      </c>
      <c r="P21" s="30">
        <f>IF(ISNUMBER(agent!$O$15*(K21/Y21)*$W21),TRUNC(agent!$O$15*(K21/Y21)*$W21,3),"没有上级")</f>
        <v>0.72</v>
      </c>
      <c r="Q21" s="30">
        <f>IF(ISNUMBER(agent!$O$18*(K21/Y21)*$W21),TRUNC(agent!$O$18*(K21/Y21)*$W21,3),"没有上级")</f>
        <v>0.54</v>
      </c>
      <c r="R21" s="30">
        <f>IF(ISNUMBER(agent!$O$21*(K21/Y21)*$W21),TRUNC(agent!$O$21*(K21/Y21)*$W21,3),"没有上级")</f>
        <v>0.18</v>
      </c>
      <c r="S21" s="30">
        <f>IF(ISNUMBER(agent!$O$24*(K21/Y21)*$W21),TRUNC(agent!$O$24*(K21/Y21)*$W21,3),"没有上级")</f>
        <v>1.26</v>
      </c>
      <c r="T21" s="30">
        <f>IF(ISNUMBER(agent!$O$27*(K21/Y21)*$W21),TRUNC(agent!$O$27*(K21/Y21)*$W21,3),"没有上级")</f>
        <v>0.54</v>
      </c>
      <c r="U21" s="30">
        <f>IF(ISNUMBER(agent!$O$30*(K21/Y21)*$W21),TRUNC(agent!$O$30*(K21/Y21)*$W21,3),"没有上级")</f>
        <v>0.72</v>
      </c>
      <c r="V21" s="30">
        <f>IF(ISNUMBER(agent!$O$33*(K21/Y21)*$W21),TRUNC(agent!$O$33*(K21/Y21)*$W21,3),"没有上级")</f>
        <v>0.54</v>
      </c>
      <c r="W21" s="30">
        <f>TRUNC(0.18,3)</f>
        <v>0.18</v>
      </c>
      <c r="X21" s="30"/>
      <c r="Y21" s="30">
        <f>TRUNC(Z21-W21*(9.9-agent!L$3)*10,3)</f>
        <v>173.7</v>
      </c>
      <c r="Z21" s="30">
        <f>TRUNC(162+W21*99,3)</f>
        <v>179.82</v>
      </c>
      <c r="AA21" s="31" t="s">
        <v>107</v>
      </c>
      <c r="AB21" s="30">
        <f>TRUNC(0.009,3)</f>
        <v>8.9999999999999993E-3</v>
      </c>
      <c r="AC21" s="30"/>
      <c r="AD21" s="30">
        <f>TRUNC(AE21-AB21*(9.9-agent!L$3)*10,3)</f>
        <v>8.6850000000000005</v>
      </c>
      <c r="AE21" s="30">
        <f>TRUNC(8.1+AB21*99,3)</f>
        <v>8.9909999999999997</v>
      </c>
    </row>
    <row r="22" spans="4:31" x14ac:dyDescent="0.15">
      <c r="D22" s="30" t="s">
        <v>25</v>
      </c>
      <c r="E22" s="30" t="s">
        <v>24</v>
      </c>
      <c r="F22" s="30" t="str">
        <f>PK10Source!E51</f>
        <v>02 03,08 09,09 04,05 09</v>
      </c>
      <c r="G22" s="30">
        <f t="shared" si="2"/>
        <v>2</v>
      </c>
      <c r="H22" s="30">
        <f t="shared" si="2"/>
        <v>1</v>
      </c>
      <c r="I22" s="33">
        <f>PK10Source!E63</f>
        <v>12</v>
      </c>
      <c r="J22" s="30">
        <f t="shared" si="0"/>
        <v>0</v>
      </c>
      <c r="K22" s="33">
        <f>PK10Source!E34</f>
        <v>0</v>
      </c>
      <c r="L22" s="30">
        <f t="shared" si="1"/>
        <v>99647295.445000023</v>
      </c>
      <c r="M22" s="30">
        <f>IF(ISNUMBER(agent!$O$6*(K22/Y22)*$W22),TRUNC(agent!$O$6*(K22/Y22)*$W22,3),"没有上级")</f>
        <v>0</v>
      </c>
      <c r="N22" s="30">
        <f>IF(ISNUMBER(agent!$O$9*(K22/Y22)*$W22),TRUNC(agent!$O$9*(K22/Y22)*$W22,3),"没有上级")</f>
        <v>0</v>
      </c>
      <c r="O22" s="30">
        <f>IF(ISNUMBER(agent!$O$12*(K22/Y22)*$W22),TRUNC(agent!$O$12*(K22/Y22)*$W22,3),"没有上级")</f>
        <v>0</v>
      </c>
      <c r="P22" s="30">
        <f>IF(ISNUMBER(agent!$O$15*(K22/Y22)*$W22),TRUNC(agent!$O$15*(K22/Y22)*$W22,3),"没有上级")</f>
        <v>0</v>
      </c>
      <c r="Q22" s="30">
        <f>IF(ISNUMBER(agent!$O$18*(K22/Y22)*$W22),TRUNC(agent!$O$18*(K22/Y22)*$W22,3),"没有上级")</f>
        <v>0</v>
      </c>
      <c r="R22" s="30">
        <f>IF(ISNUMBER(agent!$O$21*(K22/Y22)*$W22),TRUNC(agent!$O$21*(K22/Y22)*$W22,3),"没有上级")</f>
        <v>0</v>
      </c>
      <c r="S22" s="30">
        <f>IF(ISNUMBER(agent!$O$24*(K22/Y22)*$W22),TRUNC(agent!$O$24*(K22/Y22)*$W22,3),"没有上级")</f>
        <v>0</v>
      </c>
      <c r="T22" s="30">
        <f>IF(ISNUMBER(agent!$O$27*(K22/Y22)*$W22),TRUNC(agent!$O$27*(K22/Y22)*$W22,3),"没有上级")</f>
        <v>0</v>
      </c>
      <c r="U22" s="30">
        <f>IF(ISNUMBER(agent!$O$30*(K22/Y22)*$W22),TRUNC(agent!$O$30*(K22/Y22)*$W22,3),"没有上级")</f>
        <v>0</v>
      </c>
      <c r="V22" s="30">
        <f>IF(ISNUMBER(agent!$O$33*(K22/Y22)*$W22),TRUNC(agent!$O$33*(K22/Y22)*$W22,3),"没有上级")</f>
        <v>0</v>
      </c>
      <c r="W22" s="30">
        <f>TRUNC(0.18,3)</f>
        <v>0.18</v>
      </c>
      <c r="X22" s="30"/>
      <c r="Y22" s="30">
        <f>TRUNC(Z22-W22*(9.9-agent!L$3)*10,3)</f>
        <v>173.7</v>
      </c>
      <c r="Z22" s="30">
        <f>TRUNC(162+W22*99,3)</f>
        <v>179.82</v>
      </c>
      <c r="AA22" s="31" t="s">
        <v>108</v>
      </c>
      <c r="AB22" s="30">
        <f>AB20</f>
        <v>1.0999999999999999E-2</v>
      </c>
      <c r="AC22" s="30"/>
      <c r="AD22" s="30">
        <f>AD20</f>
        <v>10.84</v>
      </c>
      <c r="AE22" s="30">
        <f>AE20</f>
        <v>11.214</v>
      </c>
    </row>
    <row r="23" spans="4:31" x14ac:dyDescent="0.15">
      <c r="D23" s="30" t="s">
        <v>26</v>
      </c>
      <c r="E23" s="31" t="s">
        <v>81</v>
      </c>
      <c r="F23" s="30" t="str">
        <f>PK10Source!E52</f>
        <v xml:space="preserve">01 02 03 04 05 06 07 08 09 10 </v>
      </c>
      <c r="G23" s="30">
        <f t="shared" si="2"/>
        <v>3</v>
      </c>
      <c r="H23" s="30">
        <f t="shared" si="2"/>
        <v>1</v>
      </c>
      <c r="I23" s="33">
        <f>PK10Source!E64</f>
        <v>60</v>
      </c>
      <c r="J23" s="30">
        <f t="shared" si="0"/>
        <v>2.04</v>
      </c>
      <c r="K23" s="33">
        <f>PK10Source!E35</f>
        <v>57.900000000000006</v>
      </c>
      <c r="L23" s="30">
        <f t="shared" si="1"/>
        <v>99647293.345000029</v>
      </c>
      <c r="M23" s="30">
        <f>IF(ISNUMBER(agent!$O$6*(K23/Y23)*$W23),TRUNC(agent!$O$6*(K23/Y23)*$W23,3),"没有上级")</f>
        <v>0.06</v>
      </c>
      <c r="N23" s="30">
        <f>IF(ISNUMBER(agent!$O$9*(K23/Y23)*$W23),TRUNC(agent!$O$9*(K23/Y23)*$W23,3),"没有上级")</f>
        <v>0.36</v>
      </c>
      <c r="O23" s="30">
        <f>IF(ISNUMBER(agent!$O$12*(K23/Y23)*$W23),TRUNC(agent!$O$12*(K23/Y23)*$W23,3),"没有上级")</f>
        <v>0.12</v>
      </c>
      <c r="P23" s="30">
        <f>IF(ISNUMBER(agent!$O$15*(K23/Y23)*$W23),TRUNC(agent!$O$15*(K23/Y23)*$W23,3),"没有上级")</f>
        <v>0.24</v>
      </c>
      <c r="Q23" s="30">
        <f>IF(ISNUMBER(agent!$O$18*(K23/Y23)*$W23),TRUNC(agent!$O$18*(K23/Y23)*$W23,3),"没有上级")</f>
        <v>0.18</v>
      </c>
      <c r="R23" s="30">
        <f>IF(ISNUMBER(agent!$O$21*(K23/Y23)*$W23),TRUNC(agent!$O$21*(K23/Y23)*$W23,3),"没有上级")</f>
        <v>0.06</v>
      </c>
      <c r="S23" s="30">
        <f>IF(ISNUMBER(agent!$O$24*(K23/Y23)*$W23),TRUNC(agent!$O$24*(K23/Y23)*$W23,3),"没有上级")</f>
        <v>0.42</v>
      </c>
      <c r="T23" s="30">
        <f>IF(ISNUMBER(agent!$O$27*(K23/Y23)*$W23),TRUNC(agent!$O$27*(K23/Y23)*$W23,3),"没有上级")</f>
        <v>0.18</v>
      </c>
      <c r="U23" s="30">
        <f>IF(ISNUMBER(agent!$O$30*(K23/Y23)*$W23),TRUNC(agent!$O$30*(K23/Y23)*$W23,3),"没有上级")</f>
        <v>0.24</v>
      </c>
      <c r="V23" s="30">
        <f>IF(ISNUMBER(agent!$O$33*(K23/Y23)*$W23),TRUNC(agent!$O$33*(K23/Y23)*$W23,3),"没有上级")</f>
        <v>0.18</v>
      </c>
      <c r="W23" s="30">
        <f>TRUNC(0.02,3)</f>
        <v>0.02</v>
      </c>
      <c r="X23" s="30"/>
      <c r="Y23" s="30">
        <f>TRUNC(Z23-W23*(9.9-agent!L$3)*10,3)</f>
        <v>19.3</v>
      </c>
      <c r="Z23" s="30">
        <f>TRUNC(18+W23*99,3)</f>
        <v>19.98</v>
      </c>
      <c r="AA23" s="31" t="s">
        <v>109</v>
      </c>
      <c r="AB23" s="30">
        <f>AB19</f>
        <v>1.4999999999999999E-2</v>
      </c>
      <c r="AC23" s="30"/>
      <c r="AD23" s="30">
        <f>AD19</f>
        <v>14.475</v>
      </c>
      <c r="AE23" s="30">
        <f>AE19</f>
        <v>14.984999999999999</v>
      </c>
    </row>
    <row r="24" spans="4:31" x14ac:dyDescent="0.15">
      <c r="D24" s="30" t="s">
        <v>27</v>
      </c>
      <c r="E24" s="30" t="s">
        <v>28</v>
      </c>
      <c r="F24" s="30" t="str">
        <f>PK10Source!E53</f>
        <v>和大 和小 和单 和双,03 04 05 06 07 08 09 10 11 12 13 14 15 16 17 18 19</v>
      </c>
      <c r="G24" s="30">
        <f t="shared" si="2"/>
        <v>1</v>
      </c>
      <c r="H24" s="30">
        <f t="shared" si="2"/>
        <v>3</v>
      </c>
      <c r="I24" s="33">
        <f>PK10Source!E65</f>
        <v>63</v>
      </c>
      <c r="J24" s="30">
        <f t="shared" si="0"/>
        <v>0</v>
      </c>
      <c r="K24" s="33">
        <f>PK10Source!E36</f>
        <v>54.944999999999993</v>
      </c>
      <c r="L24" s="30">
        <f t="shared" si="1"/>
        <v>99647285.290000021</v>
      </c>
      <c r="M24" s="30">
        <f>IF(ISNUMBER(agent!$O$6*$Y24*$W24),TRUNC(agent!$O$6*H24*W24,3),"没有上级")</f>
        <v>0</v>
      </c>
      <c r="N24" s="30">
        <f>IF(ISNUMBER(agent!$O$9*$Y24*$W24),TRUNC(agent!$O$9*H24*W24,3),"没有上级")</f>
        <v>0</v>
      </c>
      <c r="O24" s="30">
        <f>IF(ISNUMBER(agent!$O$12*$Y24*$W24),TRUNC(agent!$O$12*H24*W24,3),"没有上级")</f>
        <v>0</v>
      </c>
      <c r="P24" s="30">
        <f>IF(ISNUMBER(agent!$O$15*$Y24*$W24),TRUNC(agent!$O$15*H24*W24,3),"没有上级")</f>
        <v>0</v>
      </c>
      <c r="Q24" s="30">
        <f>IF(ISNUMBER(agent!$O$18*$Y24*$W24),TRUNC(agent!$O$18*H24*W24,3),"没有上级")</f>
        <v>0</v>
      </c>
      <c r="R24" s="30">
        <f>IF(ISNUMBER(agent!$O$21*$Y24*$W24),TRUNC(agent!$O$21*H24*W24,3),"没有上级")</f>
        <v>0</v>
      </c>
      <c r="S24" s="30">
        <f>IF(ISNUMBER(agent!$O$24*$Y24*$W24),TRUNC(agent!$O$24*H24*W24,3),"没有上级")</f>
        <v>0</v>
      </c>
      <c r="T24" s="30">
        <f>IF(ISNUMBER(agent!$O$27*$Y24*$W24),TRUNC(agent!$O$27*H24*W24,3),"没有上级")</f>
        <v>0</v>
      </c>
      <c r="U24" s="30">
        <f>IF(ISNUMBER(agent!$O$30*$Y24*$W24),TRUNC(agent!$O$30*H24*W24,3),"没有上级")</f>
        <v>0</v>
      </c>
      <c r="V24" s="30">
        <f>IF(ISNUMBER(agent!$O$33*$Y24*$W24),TRUNC(agent!$O$33*H24*W24,3),"没有上级")</f>
        <v>0</v>
      </c>
      <c r="W24" s="30">
        <f>SUM(PK10Source!T41:T49)</f>
        <v>0</v>
      </c>
      <c r="X24" s="30"/>
      <c r="Y24" s="30">
        <f>SUM(PK10Source!S41:S49)</f>
        <v>100000000</v>
      </c>
      <c r="Z24" s="30">
        <f>SUM(PK10Source!U41:U49)</f>
        <v>0</v>
      </c>
      <c r="AA24" s="31" t="s">
        <v>110</v>
      </c>
      <c r="AB24" s="30">
        <f>AB18</f>
        <v>2.1999999999999999E-2</v>
      </c>
      <c r="AC24" s="30"/>
      <c r="AD24" s="30">
        <f>AD18</f>
        <v>21.68</v>
      </c>
      <c r="AE24" s="30">
        <f>AE18</f>
        <v>22.428000000000001</v>
      </c>
    </row>
    <row r="25" spans="4:31" x14ac:dyDescent="0.15">
      <c r="D25" s="30" t="s">
        <v>29</v>
      </c>
      <c r="E25" s="30" t="s">
        <v>30</v>
      </c>
      <c r="F25" s="30" t="str">
        <f>PK10Source!E54</f>
        <v>大 小 单 双 龙 虎,大 小 单 双 龙 虎,大 小 单 双 龙 虎,大 小 单 双 龙 虎,大 小 单 双 龙 虎,大 小 单 双,大 小 单 双,大 小 单 双,大 小 单 双,大 小 单 双</v>
      </c>
      <c r="G25" s="30">
        <f t="shared" si="2"/>
        <v>1</v>
      </c>
      <c r="H25" s="30">
        <f t="shared" si="2"/>
        <v>4</v>
      </c>
      <c r="I25" s="33">
        <f>PK10Source!E66</f>
        <v>200</v>
      </c>
      <c r="J25" s="30">
        <f t="shared" si="0"/>
        <v>6.7999999999999989</v>
      </c>
      <c r="K25" s="33">
        <f>PK10Source!E37</f>
        <v>193</v>
      </c>
      <c r="L25" s="30">
        <f t="shared" si="1"/>
        <v>99647278.290000021</v>
      </c>
      <c r="M25" s="30">
        <f>IF(ISNUMBER(agent!$O$6*(K25/Y25)*$W25),TRUNC(agent!$O$6*(K25/Y25)*$W25,3),"没有上级")</f>
        <v>0.2</v>
      </c>
      <c r="N25" s="30">
        <f>IF(ISNUMBER(agent!$O$9*(K25/Y25)*$W25),TRUNC(agent!$O$9*(K25/Y25)*$W25,3),"没有上级")</f>
        <v>1.2</v>
      </c>
      <c r="O25" s="30">
        <f>IF(ISNUMBER(agent!$O$12*(K25/Y25)*$W25),TRUNC(agent!$O$12*(K25/Y25)*$W25,3),"没有上级")</f>
        <v>0.4</v>
      </c>
      <c r="P25" s="30">
        <f>IF(ISNUMBER(agent!$O$15*(K25/Y25)*$W25),TRUNC(agent!$O$15*(K25/Y25)*$W25,3),"没有上级")</f>
        <v>0.8</v>
      </c>
      <c r="Q25" s="30">
        <f>IF(ISNUMBER(agent!$O$18*(K25/Y25)*$W25),TRUNC(agent!$O$18*(K25/Y25)*$W25,3),"没有上级")</f>
        <v>0.6</v>
      </c>
      <c r="R25" s="30">
        <f>IF(ISNUMBER(agent!$O$21*(K25/Y25)*$W25),TRUNC(agent!$O$21*(K25/Y25)*$W25,3),"没有上级")</f>
        <v>0.2</v>
      </c>
      <c r="S25" s="30">
        <f>IF(ISNUMBER(agent!$O$24*(K25/Y25)*$W25),TRUNC(agent!$O$24*(K25/Y25)*$W25,3),"没有上级")</f>
        <v>1.4</v>
      </c>
      <c r="T25" s="30">
        <f>IF(ISNUMBER(agent!$O$27*(K25/Y25)*$W25),TRUNC(agent!$O$27*(K25/Y25)*$W25,3),"没有上级")</f>
        <v>0.6</v>
      </c>
      <c r="U25" s="30">
        <f>IF(ISNUMBER(agent!$O$30*(K25/Y25)*$W25),TRUNC(agent!$O$30*(K25/Y25)*$W25,3),"没有上级")</f>
        <v>0.8</v>
      </c>
      <c r="V25" s="30">
        <f>IF(ISNUMBER(agent!$O$33*(K25/Y25)*$W25),TRUNC(agent!$O$33*(K25/Y25)*$W25,3),"没有上级")</f>
        <v>0.6</v>
      </c>
      <c r="W25" s="30">
        <f>TRUNC(0.002,3)</f>
        <v>2E-3</v>
      </c>
      <c r="X25" s="30"/>
      <c r="Y25" s="30">
        <f>TRUNC(Z25-W25*(9.9-agent!L$3)*10,3)</f>
        <v>1.93</v>
      </c>
      <c r="Z25" s="30">
        <f>TRUNC(1.8+W25*99,3)</f>
        <v>1.998</v>
      </c>
      <c r="AA25" s="31" t="s">
        <v>111</v>
      </c>
      <c r="AB25" s="30">
        <f>AB17</f>
        <v>4.4999999999999998E-2</v>
      </c>
      <c r="AC25" s="30"/>
      <c r="AD25" s="30">
        <f>AD17</f>
        <v>43.424999999999997</v>
      </c>
      <c r="AE25" s="30">
        <f>AE17</f>
        <v>44.954999999999998</v>
      </c>
    </row>
    <row r="26" spans="4:31" s="33" customFormat="1" x14ac:dyDescent="0.15">
      <c r="D26" s="33" t="s">
        <v>56</v>
      </c>
      <c r="E26" s="33" t="s">
        <v>18</v>
      </c>
      <c r="F26" s="30" t="str">
        <f>PK10Source!E84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6" s="30">
        <f t="shared" ref="G26:H73" si="3">G14</f>
        <v>2</v>
      </c>
      <c r="H26" s="30">
        <f t="shared" si="3"/>
        <v>1</v>
      </c>
      <c r="I26" s="33">
        <f>PK10Source!E96</f>
        <v>400</v>
      </c>
      <c r="J26" s="33">
        <f t="shared" si="0"/>
        <v>13.599999999999998</v>
      </c>
      <c r="K26" s="33">
        <f>PK10Source!E67</f>
        <v>386</v>
      </c>
      <c r="L26" s="30">
        <f t="shared" si="1"/>
        <v>99647264.290000021</v>
      </c>
      <c r="M26" s="33">
        <f>IF(ISNUMBER(agent!$O$6*(K26/Y26)*$W26),TRUNC(agent!$O$6*(K26/Y26)*$W26,3),"没有上级")</f>
        <v>0.4</v>
      </c>
      <c r="N26" s="33">
        <f>IF(ISNUMBER(agent!$O$9*(K26/Y26)*$W26),TRUNC(agent!$O$9*(K26/Y26)*$W26,3),"没有上级")</f>
        <v>2.4</v>
      </c>
      <c r="O26" s="33">
        <f>IF(ISNUMBER(agent!$O$12*(K26/Y26)*$W26),TRUNC(agent!$O$12*(K26/Y26)*$W26,3),"没有上级")</f>
        <v>0.8</v>
      </c>
      <c r="P26" s="33">
        <f>IF(ISNUMBER(agent!$O$15*(K26/Y26)*$W26),TRUNC(agent!$O$15*(K26/Y26)*$W26,3),"没有上级")</f>
        <v>1.6</v>
      </c>
      <c r="Q26" s="33">
        <f>IF(ISNUMBER(agent!$O$18*(K26/Y26)*$W26),TRUNC(agent!$O$18*(K26/Y26)*$W26,3),"没有上级")</f>
        <v>1.2</v>
      </c>
      <c r="R26" s="33">
        <f>IF(ISNUMBER(agent!$O$21*(K26/Y26)*$W26),TRUNC(agent!$O$21*(K26/Y26)*$W26,3),"没有上级")</f>
        <v>0.4</v>
      </c>
      <c r="S26" s="33">
        <f>IF(ISNUMBER(agent!$O$24*(K26/Y26)*$W26),TRUNC(agent!$O$24*(K26/Y26)*$W26,3),"没有上级")</f>
        <v>2.8</v>
      </c>
      <c r="T26" s="33">
        <f>IF(ISNUMBER(agent!$O$27*(K26/Y26)*$W26),TRUNC(agent!$O$27*(K26/Y26)*$W26,3),"没有上级")</f>
        <v>1.2</v>
      </c>
      <c r="U26" s="33">
        <f>IF(ISNUMBER(agent!$O$30*(K26/Y26)*$W26),TRUNC(agent!$O$30*(K26/Y26)*$W26,3),"没有上级")</f>
        <v>1.6</v>
      </c>
      <c r="V26" s="33">
        <f>IF(ISNUMBER(agent!$O$33*(K26/Y26)*$W26),TRUNC(agent!$O$33*(K26/Y26)*$W26,3),"没有上级")</f>
        <v>1.2</v>
      </c>
      <c r="W26" s="33">
        <f>TRUNC(0.02,3)</f>
        <v>0.02</v>
      </c>
      <c r="Y26" s="33">
        <f>TRUNC(Z26-W26*(9.9-agent!L$3)*10,3)</f>
        <v>19.3</v>
      </c>
      <c r="Z26" s="33">
        <f>TRUNC(18+W26*99,3)</f>
        <v>19.98</v>
      </c>
      <c r="AA26" s="33" t="s">
        <v>100</v>
      </c>
      <c r="AB26" s="33" t="s">
        <v>112</v>
      </c>
      <c r="AD26" s="33" t="s">
        <v>113</v>
      </c>
      <c r="AE26" s="33" t="s">
        <v>224</v>
      </c>
    </row>
    <row r="27" spans="4:31" x14ac:dyDescent="0.15">
      <c r="D27" s="30" t="s">
        <v>19</v>
      </c>
      <c r="E27" s="31" t="s">
        <v>81</v>
      </c>
      <c r="F27" s="30" t="str">
        <f>PK10Source!E85</f>
        <v>01 02 08,03 04 09,01 05 06,02 07 08,03 09 10</v>
      </c>
      <c r="G27" s="30">
        <f t="shared" si="3"/>
        <v>1</v>
      </c>
      <c r="H27" s="30">
        <f t="shared" si="3"/>
        <v>1</v>
      </c>
      <c r="I27" s="33">
        <f>PK10Source!E97</f>
        <v>302400</v>
      </c>
      <c r="J27" s="30">
        <f t="shared" si="0"/>
        <v>0</v>
      </c>
      <c r="K27" s="33">
        <f>PK10Source!E68</f>
        <v>0</v>
      </c>
      <c r="L27" s="30">
        <f t="shared" si="1"/>
        <v>99344864.290000021</v>
      </c>
      <c r="M27" s="30">
        <f>IF(ISNUMBER(agent!$O$6*(K27/Y27)*$W27),TRUNC(agent!$O$6*(K27/Y27)*$W27,3),"没有上级")</f>
        <v>0</v>
      </c>
      <c r="N27" s="30">
        <f>IF(ISNUMBER(agent!$O$9*(K27/Y27)*$W27),TRUNC(agent!$O$9*(K27/Y27)*$W27,3),"没有上级")</f>
        <v>0</v>
      </c>
      <c r="O27" s="30">
        <f>IF(ISNUMBER(agent!$O$12*(K27/Y27)*$W27),TRUNC(agent!$O$12*(K27/Y27)*$W27,3),"没有上级")</f>
        <v>0</v>
      </c>
      <c r="P27" s="30">
        <f>IF(ISNUMBER(agent!$O$15*(K27/Y27)*$W27),TRUNC(agent!$O$15*(K27/Y27)*$W27,3),"没有上级")</f>
        <v>0</v>
      </c>
      <c r="Q27" s="30">
        <f>IF(ISNUMBER(agent!$O$18*(K27/Y27)*$W27),TRUNC(agent!$O$18*(K27/Y27)*$W27,3),"没有上级")</f>
        <v>0</v>
      </c>
      <c r="R27" s="30">
        <f>IF(ISNUMBER(agent!$O$21*(K27/Y27)*$W27),TRUNC(agent!$O$21*(K27/Y27)*$W27,3),"没有上级")</f>
        <v>0</v>
      </c>
      <c r="S27" s="30">
        <f>IF(ISNUMBER(agent!$O$24*(K27/Y27)*$W27),TRUNC(agent!$O$24*(K27/Y27)*$W27,3),"没有上级")</f>
        <v>0</v>
      </c>
      <c r="T27" s="30">
        <f>IF(ISNUMBER(agent!$O$27*(K27/Y27)*$W27),TRUNC(agent!$O$27*(K27/Y27)*$W27,3),"没有上级")</f>
        <v>0</v>
      </c>
      <c r="U27" s="30">
        <f>IF(ISNUMBER(agent!$O$30*(K27/Y27)*$W27),TRUNC(agent!$O$30*(K27/Y27)*$W27,3),"没有上级")</f>
        <v>0</v>
      </c>
      <c r="V27" s="30">
        <f>IF(ISNUMBER(agent!$O$33*(K27/Y27)*$W27),TRUNC(agent!$O$33*(K27/Y27)*$W27,3),"没有上级")</f>
        <v>0</v>
      </c>
      <c r="W27" s="30">
        <f>TRUNC(60.48,3)</f>
        <v>60.48</v>
      </c>
      <c r="X27" s="30"/>
      <c r="Y27" s="30">
        <f>TRUNC(Z27-W27*(9.9-agent!L$3)*10,3)</f>
        <v>58363.199999999997</v>
      </c>
      <c r="Z27" s="30">
        <f>TRUNC(54432+W27*99,3)</f>
        <v>60419.519999999997</v>
      </c>
      <c r="AA27" s="31" t="s">
        <v>101</v>
      </c>
      <c r="AB27" s="30">
        <f>TRUNC(0.002257,3)</f>
        <v>2E-3</v>
      </c>
      <c r="AC27" s="30"/>
      <c r="AD27" s="30">
        <f>TRUNC(AE27-AB27*(9.9-agent!L$3)*10,3)</f>
        <v>2.1549999999999998</v>
      </c>
      <c r="AE27" s="30">
        <f>TRUNC(2.025+AB27*99,3)</f>
        <v>2.2229999999999999</v>
      </c>
    </row>
    <row r="28" spans="4:31" x14ac:dyDescent="0.15">
      <c r="D28" s="30" t="s">
        <v>19</v>
      </c>
      <c r="E28" s="30" t="s">
        <v>20</v>
      </c>
      <c r="F28" s="30" t="str">
        <f>PK10Source!E86</f>
        <v>08 09 01 02 03</v>
      </c>
      <c r="G28" s="30">
        <f t="shared" si="3"/>
        <v>3</v>
      </c>
      <c r="H28" s="30">
        <f t="shared" si="3"/>
        <v>1</v>
      </c>
      <c r="I28" s="33">
        <f>PK10Source!E98</f>
        <v>6</v>
      </c>
      <c r="J28" s="30">
        <f t="shared" si="0"/>
        <v>0</v>
      </c>
      <c r="K28" s="33">
        <f>PK10Source!E69</f>
        <v>0</v>
      </c>
      <c r="L28" s="30">
        <f t="shared" si="1"/>
        <v>99344858.290000021</v>
      </c>
      <c r="M28" s="30">
        <f>IF(ISNUMBER(agent!$O$6*(K28/Y28)*$W28),TRUNC(agent!$O$6*(K28/Y28)*$W28,3),"没有上级")</f>
        <v>0</v>
      </c>
      <c r="N28" s="30">
        <f>IF(ISNUMBER(agent!$O$9*(K28/Y28)*$W28),TRUNC(agent!$O$9*(K28/Y28)*$W28,3),"没有上级")</f>
        <v>0</v>
      </c>
      <c r="O28" s="30">
        <f>IF(ISNUMBER(agent!$O$12*(K28/Y28)*$W28),TRUNC(agent!$O$12*(K28/Y28)*$W28,3),"没有上级")</f>
        <v>0</v>
      </c>
      <c r="P28" s="30">
        <f>IF(ISNUMBER(agent!$O$15*(K28/Y28)*$W28),TRUNC(agent!$O$15*(K28/Y28)*$W28,3),"没有上级")</f>
        <v>0</v>
      </c>
      <c r="Q28" s="30">
        <f>IF(ISNUMBER(agent!$O$18*(K28/Y28)*$W28),TRUNC(agent!$O$18*(K28/Y28)*$W28,3),"没有上级")</f>
        <v>0</v>
      </c>
      <c r="R28" s="30">
        <f>IF(ISNUMBER(agent!$O$21*(K28/Y28)*$W28),TRUNC(agent!$O$21*(K28/Y28)*$W28,3),"没有上级")</f>
        <v>0</v>
      </c>
      <c r="S28" s="30">
        <f>IF(ISNUMBER(agent!$O$24*(K28/Y28)*$W28),TRUNC(agent!$O$24*(K28/Y28)*$W28,3),"没有上级")</f>
        <v>0</v>
      </c>
      <c r="T28" s="30">
        <f>IF(ISNUMBER(agent!$O$27*(K28/Y28)*$W28),TRUNC(agent!$O$27*(K28/Y28)*$W28,3),"没有上级")</f>
        <v>0</v>
      </c>
      <c r="U28" s="30">
        <f>IF(ISNUMBER(agent!$O$30*(K28/Y28)*$W28),TRUNC(agent!$O$30*(K28/Y28)*$W28,3),"没有上级")</f>
        <v>0</v>
      </c>
      <c r="V28" s="30">
        <f>IF(ISNUMBER(agent!$O$33*(K28/Y28)*$W28),TRUNC(agent!$O$33*(K28/Y28)*$W28,3),"没有上级")</f>
        <v>0</v>
      </c>
      <c r="W28" s="30">
        <f>TRUNC(60.48,3)</f>
        <v>60.48</v>
      </c>
      <c r="X28" s="30"/>
      <c r="Y28" s="30">
        <f>TRUNC(Z28-W28*(9.9-agent!L$3)*10,3)</f>
        <v>58363.199999999997</v>
      </c>
      <c r="Z28" s="30">
        <f>TRUNC(54432+W28*99,3)</f>
        <v>60419.519999999997</v>
      </c>
      <c r="AA28" s="31" t="s">
        <v>102</v>
      </c>
      <c r="AB28" s="30">
        <f>TRUNC(0.0018,3)</f>
        <v>1E-3</v>
      </c>
      <c r="AC28" s="30"/>
      <c r="AD28" s="30">
        <f>TRUNC(AE28-AB28*(9.9-agent!L$3)*10,3)</f>
        <v>1.6850000000000001</v>
      </c>
      <c r="AE28" s="30">
        <f>TRUNC(1.62+AB28*99,3)</f>
        <v>1.7190000000000001</v>
      </c>
    </row>
    <row r="29" spans="4:31" x14ac:dyDescent="0.15">
      <c r="D29" s="30" t="s">
        <v>21</v>
      </c>
      <c r="E29" s="31" t="s">
        <v>81</v>
      </c>
      <c r="F29" s="30" t="str">
        <f>PK10Source!E87</f>
        <v>01 02 03 04 05 06 07 08 09 10,01 02 03 04 05 06 07 08 09 10,01 02 03 04 05 06 07 08 09 10,01 02 03 04 05 06 07 08 09 10</v>
      </c>
      <c r="G29" s="30">
        <f t="shared" si="3"/>
        <v>1</v>
      </c>
      <c r="H29" s="30">
        <f t="shared" si="3"/>
        <v>1</v>
      </c>
      <c r="I29" s="33">
        <f>PK10Source!E99</f>
        <v>10080</v>
      </c>
      <c r="J29" s="30">
        <f t="shared" si="0"/>
        <v>342.72</v>
      </c>
      <c r="K29" s="33">
        <f>PK10Source!E70</f>
        <v>9727.2000000000007</v>
      </c>
      <c r="L29" s="30">
        <f t="shared" si="1"/>
        <v>99344505.490000024</v>
      </c>
      <c r="M29" s="30">
        <f>IF(ISNUMBER(agent!$O$6*(K29/Y29)*$W29),TRUNC(agent!$O$6*(K29/Y29)*$W29,3),"没有上级")</f>
        <v>10.08</v>
      </c>
      <c r="N29" s="30">
        <f>IF(ISNUMBER(agent!$O$9*(K29/Y29)*$W29),TRUNC(agent!$O$9*(K29/Y29)*$W29,3),"没有上级")</f>
        <v>60.48</v>
      </c>
      <c r="O29" s="30">
        <f>IF(ISNUMBER(agent!$O$12*(K29/Y29)*$W29),TRUNC(agent!$O$12*(K29/Y29)*$W29,3),"没有上级")</f>
        <v>20.16</v>
      </c>
      <c r="P29" s="30">
        <f>IF(ISNUMBER(agent!$O$15*(K29/Y29)*$W29),TRUNC(agent!$O$15*(K29/Y29)*$W29,3),"没有上级")</f>
        <v>40.32</v>
      </c>
      <c r="Q29" s="30">
        <f>IF(ISNUMBER(agent!$O$18*(K29/Y29)*$W29),TRUNC(agent!$O$18*(K29/Y29)*$W29,3),"没有上级")</f>
        <v>30.24</v>
      </c>
      <c r="R29" s="30">
        <f>IF(ISNUMBER(agent!$O$21*(K29/Y29)*$W29),TRUNC(agent!$O$21*(K29/Y29)*$W29,3),"没有上级")</f>
        <v>10.08</v>
      </c>
      <c r="S29" s="30">
        <f>IF(ISNUMBER(agent!$O$24*(K29/Y29)*$W29),TRUNC(agent!$O$24*(K29/Y29)*$W29,3),"没有上级")</f>
        <v>70.56</v>
      </c>
      <c r="T29" s="30">
        <f>IF(ISNUMBER(agent!$O$27*(K29/Y29)*$W29),TRUNC(agent!$O$27*(K29/Y29)*$W29,3),"没有上级")</f>
        <v>30.24</v>
      </c>
      <c r="U29" s="30">
        <f>IF(ISNUMBER(agent!$O$30*(K29/Y29)*$W29),TRUNC(agent!$O$30*(K29/Y29)*$W29,3),"没有上级")</f>
        <v>40.32</v>
      </c>
      <c r="V29" s="30">
        <f>IF(ISNUMBER(agent!$O$33*(K29/Y29)*$W29),TRUNC(agent!$O$33*(K29/Y29)*$W29,3),"没有上级")</f>
        <v>30.24</v>
      </c>
      <c r="W29" s="30">
        <f>TRUNC(10.08,3)</f>
        <v>10.08</v>
      </c>
      <c r="X29" s="30"/>
      <c r="Y29" s="30">
        <f>TRUNC(Z29-W29*(9.9-agent!L$3)*10,3)</f>
        <v>9727.2000000000007</v>
      </c>
      <c r="Z29" s="30">
        <f>TRUNC(9072+W29*99,3)</f>
        <v>10069.92</v>
      </c>
      <c r="AA29" s="31" t="s">
        <v>103</v>
      </c>
      <c r="AB29" s="30">
        <f>TRUNC(0.045,3)</f>
        <v>4.4999999999999998E-2</v>
      </c>
      <c r="AC29" s="30"/>
      <c r="AD29" s="30">
        <f>TRUNC(AE29-AB29*(9.9-agent!L$3)*10,3)</f>
        <v>43.424999999999997</v>
      </c>
      <c r="AE29" s="30">
        <f>TRUNC(40.5+AB29*99,3)</f>
        <v>44.954999999999998</v>
      </c>
    </row>
    <row r="30" spans="4:31" x14ac:dyDescent="0.15">
      <c r="D30" s="30" t="s">
        <v>21</v>
      </c>
      <c r="E30" s="30" t="s">
        <v>22</v>
      </c>
      <c r="F30" s="30" t="str">
        <f>PK10Source!E88</f>
        <v>08 09 01 02</v>
      </c>
      <c r="G30" s="30">
        <f t="shared" si="3"/>
        <v>2</v>
      </c>
      <c r="H30" s="30">
        <f t="shared" si="3"/>
        <v>1</v>
      </c>
      <c r="I30" s="33">
        <f>PK10Source!E100</f>
        <v>4</v>
      </c>
      <c r="J30" s="30">
        <f t="shared" si="0"/>
        <v>0</v>
      </c>
      <c r="K30" s="33">
        <f>PK10Source!E71</f>
        <v>0</v>
      </c>
      <c r="L30" s="30">
        <f t="shared" si="1"/>
        <v>99344501.490000024</v>
      </c>
      <c r="M30" s="30">
        <f>IF(ISNUMBER(agent!$O$6*(K30/Y30)*$W30),TRUNC(agent!$O$6*(K30/Y30)*$W30,3),"没有上级")</f>
        <v>0</v>
      </c>
      <c r="N30" s="30">
        <f>IF(ISNUMBER(agent!$O$9*(K30/Y30)*$W30),TRUNC(agent!$O$9*(K30/Y30)*$W30,3),"没有上级")</f>
        <v>0</v>
      </c>
      <c r="O30" s="30">
        <f>IF(ISNUMBER(agent!$O$12*(K30/Y30)*$W30),TRUNC(agent!$O$12*(K30/Y30)*$W30,3),"没有上级")</f>
        <v>0</v>
      </c>
      <c r="P30" s="30">
        <f>IF(ISNUMBER(agent!$O$15*(K30/Y30)*$W30),TRUNC(agent!$O$15*(K30/Y30)*$W30,3),"没有上级")</f>
        <v>0</v>
      </c>
      <c r="Q30" s="30">
        <f>IF(ISNUMBER(agent!$O$18*(K30/Y30)*$W30),TRUNC(agent!$O$18*(K30/Y30)*$W30,3),"没有上级")</f>
        <v>0</v>
      </c>
      <c r="R30" s="30">
        <f>IF(ISNUMBER(agent!$O$21*(K30/Y30)*$W30),TRUNC(agent!$O$21*(K30/Y30)*$W30,3),"没有上级")</f>
        <v>0</v>
      </c>
      <c r="S30" s="30">
        <f>IF(ISNUMBER(agent!$O$24*(K30/Y30)*$W30),TRUNC(agent!$O$24*(K30/Y30)*$W30,3),"没有上级")</f>
        <v>0</v>
      </c>
      <c r="T30" s="30">
        <f>IF(ISNUMBER(agent!$O$27*(K30/Y30)*$W30),TRUNC(agent!$O$27*(K30/Y30)*$W30,3),"没有上级")</f>
        <v>0</v>
      </c>
      <c r="U30" s="30">
        <f>IF(ISNUMBER(agent!$O$30*(K30/Y30)*$W30),TRUNC(agent!$O$30*(K30/Y30)*$W30,3),"没有上级")</f>
        <v>0</v>
      </c>
      <c r="V30" s="30">
        <f>IF(ISNUMBER(agent!$O$33*(K30/Y30)*$W30),TRUNC(agent!$O$33*(K30/Y30)*$W30,3),"没有上级")</f>
        <v>0</v>
      </c>
      <c r="W30" s="30">
        <f>TRUNC(10.08,3)</f>
        <v>10.08</v>
      </c>
      <c r="X30" s="30"/>
      <c r="Y30" s="30">
        <f>TRUNC(Z30-W30*(9.9-agent!L$3)*10,3)</f>
        <v>9727.2000000000007</v>
      </c>
      <c r="Z30" s="30">
        <f>TRUNC(9072+W30*99,3)</f>
        <v>10069.92</v>
      </c>
      <c r="AA30" s="31" t="s">
        <v>104</v>
      </c>
      <c r="AB30" s="30">
        <f>TRUNC(0.0225,3)</f>
        <v>2.1999999999999999E-2</v>
      </c>
      <c r="AC30" s="30"/>
      <c r="AD30" s="30">
        <f>TRUNC(AE30-AB30*(9.9-agent!L$3)*10,3)</f>
        <v>21.68</v>
      </c>
      <c r="AE30" s="30">
        <f>TRUNC(20.25+AB30*99,3)</f>
        <v>22.428000000000001</v>
      </c>
    </row>
    <row r="31" spans="4:31" x14ac:dyDescent="0.15">
      <c r="D31" s="30" t="s">
        <v>23</v>
      </c>
      <c r="E31" s="31" t="s">
        <v>81</v>
      </c>
      <c r="F31" s="30" t="str">
        <f>PK10Source!E89</f>
        <v>01 02 03 04 05 06 07 08 09 10,01 02 03 04 05 06 07 08 09 10,01 02 03 04 05 06 07 08 09 10</v>
      </c>
      <c r="G31" s="30">
        <f t="shared" si="3"/>
        <v>4</v>
      </c>
      <c r="H31" s="30">
        <f t="shared" si="3"/>
        <v>1</v>
      </c>
      <c r="I31" s="33">
        <f>PK10Source!E101</f>
        <v>5760</v>
      </c>
      <c r="J31" s="30">
        <f t="shared" si="0"/>
        <v>195.84</v>
      </c>
      <c r="K31" s="33">
        <f>PK10Source!E72</f>
        <v>5558.4</v>
      </c>
      <c r="L31" s="30">
        <f t="shared" si="1"/>
        <v>99344299.89000003</v>
      </c>
      <c r="M31" s="30">
        <f>IF(ISNUMBER(agent!$O$6*(K31/Y31)*$W31),TRUNC(agent!$O$6*(K31/Y31)*$W31,3),"没有上级")</f>
        <v>5.76</v>
      </c>
      <c r="N31" s="30">
        <f>IF(ISNUMBER(agent!$O$9*(K31/Y31)*$W31),TRUNC(agent!$O$9*(K31/Y31)*$W31,3),"没有上级")</f>
        <v>34.56</v>
      </c>
      <c r="O31" s="30">
        <f>IF(ISNUMBER(agent!$O$12*(K31/Y31)*$W31),TRUNC(agent!$O$12*(K31/Y31)*$W31,3),"没有上级")</f>
        <v>11.52</v>
      </c>
      <c r="P31" s="30">
        <f>IF(ISNUMBER(agent!$O$15*(K31/Y31)*$W31),TRUNC(agent!$O$15*(K31/Y31)*$W31,3),"没有上级")</f>
        <v>23.04</v>
      </c>
      <c r="Q31" s="30">
        <f>IF(ISNUMBER(agent!$O$18*(K31/Y31)*$W31),TRUNC(agent!$O$18*(K31/Y31)*$W31,3),"没有上级")</f>
        <v>17.28</v>
      </c>
      <c r="R31" s="30">
        <f>IF(ISNUMBER(agent!$O$21*(K31/Y31)*$W31),TRUNC(agent!$O$21*(K31/Y31)*$W31,3),"没有上级")</f>
        <v>5.76</v>
      </c>
      <c r="S31" s="30">
        <f>IF(ISNUMBER(agent!$O$24*(K31/Y31)*$W31),TRUNC(agent!$O$24*(K31/Y31)*$W31,3),"没有上级")</f>
        <v>40.32</v>
      </c>
      <c r="T31" s="30">
        <f>IF(ISNUMBER(agent!$O$27*(K31/Y31)*$W31),TRUNC(agent!$O$27*(K31/Y31)*$W31,3),"没有上级")</f>
        <v>17.28</v>
      </c>
      <c r="U31" s="30">
        <f>IF(ISNUMBER(agent!$O$30*(K31/Y31)*$W31),TRUNC(agent!$O$30*(K31/Y31)*$W31,3),"没有上级")</f>
        <v>23.04</v>
      </c>
      <c r="V31" s="30">
        <f>IF(ISNUMBER(agent!$O$33*(K31/Y31)*$W31),TRUNC(agent!$O$33*(K31/Y31)*$W31,3),"没有上级")</f>
        <v>17.28</v>
      </c>
      <c r="W31" s="30">
        <f>TRUNC(1.44,3)</f>
        <v>1.44</v>
      </c>
      <c r="X31" s="30"/>
      <c r="Y31" s="30">
        <f>TRUNC(Z31-W31*(9.9-agent!L$3)*10,3)</f>
        <v>1389.6</v>
      </c>
      <c r="Z31" s="30">
        <f>TRUNC(1296+W31*99,3)</f>
        <v>1438.56</v>
      </c>
      <c r="AA31" s="31" t="s">
        <v>105</v>
      </c>
      <c r="AB31" s="30">
        <f>TRUNC(0.015,3)</f>
        <v>1.4999999999999999E-2</v>
      </c>
      <c r="AC31" s="30"/>
      <c r="AD31" s="30">
        <f>TRUNC(AE31-AB31*(9.9-agent!L$3)*10,3)</f>
        <v>14.475</v>
      </c>
      <c r="AE31" s="30">
        <f>TRUNC(13.5+AB31*99,3)</f>
        <v>14.984999999999999</v>
      </c>
    </row>
    <row r="32" spans="4:31" x14ac:dyDescent="0.15">
      <c r="D32" s="30" t="s">
        <v>23</v>
      </c>
      <c r="E32" s="30" t="s">
        <v>24</v>
      </c>
      <c r="F32" s="30" t="str">
        <f>PK10Source!E90</f>
        <v>08 09 01</v>
      </c>
      <c r="G32" s="30">
        <f t="shared" si="3"/>
        <v>5</v>
      </c>
      <c r="H32" s="30">
        <f t="shared" si="3"/>
        <v>1</v>
      </c>
      <c r="I32" s="33">
        <f>PK10Source!E102</f>
        <v>10</v>
      </c>
      <c r="J32" s="30">
        <f t="shared" si="0"/>
        <v>0</v>
      </c>
      <c r="K32" s="33">
        <f>PK10Source!E73</f>
        <v>0</v>
      </c>
      <c r="L32" s="30">
        <f t="shared" si="1"/>
        <v>99344289.89000003</v>
      </c>
      <c r="M32" s="30">
        <f>IF(ISNUMBER(agent!$O$6*(K32/Y32)*$W32),TRUNC(agent!$O$6*(K32/Y32)*$W32,3),"没有上级")</f>
        <v>0</v>
      </c>
      <c r="N32" s="30">
        <f>IF(ISNUMBER(agent!$O$9*(K32/Y32)*$W32),TRUNC(agent!$O$9*(K32/Y32)*$W32,3),"没有上级")</f>
        <v>0</v>
      </c>
      <c r="O32" s="30">
        <f>IF(ISNUMBER(agent!$O$12*(K32/Y32)*$W32),TRUNC(agent!$O$12*(K32/Y32)*$W32,3),"没有上级")</f>
        <v>0</v>
      </c>
      <c r="P32" s="30">
        <f>IF(ISNUMBER(agent!$O$15*(K32/Y32)*$W32),TRUNC(agent!$O$15*(K32/Y32)*$W32,3),"没有上级")</f>
        <v>0</v>
      </c>
      <c r="Q32" s="30">
        <f>IF(ISNUMBER(agent!$O$18*(K32/Y32)*$W32),TRUNC(agent!$O$18*(K32/Y32)*$W32,3),"没有上级")</f>
        <v>0</v>
      </c>
      <c r="R32" s="30">
        <f>IF(ISNUMBER(agent!$O$21*(K32/Y32)*$W32),TRUNC(agent!$O$21*(K32/Y32)*$W32,3),"没有上级")</f>
        <v>0</v>
      </c>
      <c r="S32" s="30">
        <f>IF(ISNUMBER(agent!$O$24*(K32/Y32)*$W32),TRUNC(agent!$O$24*(K32/Y32)*$W32,3),"没有上级")</f>
        <v>0</v>
      </c>
      <c r="T32" s="30">
        <f>IF(ISNUMBER(agent!$O$27*(K32/Y32)*$W32),TRUNC(agent!$O$27*(K32/Y32)*$W32,3),"没有上级")</f>
        <v>0</v>
      </c>
      <c r="U32" s="30">
        <f>IF(ISNUMBER(agent!$O$30*(K32/Y32)*$W32),TRUNC(agent!$O$30*(K32/Y32)*$W32,3),"没有上级")</f>
        <v>0</v>
      </c>
      <c r="V32" s="30">
        <f>IF(ISNUMBER(agent!$O$33*(K32/Y32)*$W32),TRUNC(agent!$O$33*(K32/Y32)*$W32,3),"没有上级")</f>
        <v>0</v>
      </c>
      <c r="W32" s="30">
        <f>TRUNC(1.44,3)</f>
        <v>1.44</v>
      </c>
      <c r="X32" s="30"/>
      <c r="Y32" s="30">
        <f>TRUNC(Z32-W32*(9.9-agent!L$3)*10,3)</f>
        <v>1389.6</v>
      </c>
      <c r="Z32" s="30">
        <f>TRUNC(1296+W32*99,3)</f>
        <v>1438.56</v>
      </c>
      <c r="AA32" s="31" t="s">
        <v>106</v>
      </c>
      <c r="AB32" s="30">
        <f>TRUNC(0.0112142857,3)</f>
        <v>1.0999999999999999E-2</v>
      </c>
      <c r="AC32" s="30"/>
      <c r="AD32" s="30">
        <f>TRUNC(AE32-AB32*(9.9-agent!L$3)*10,3)</f>
        <v>10.84</v>
      </c>
      <c r="AE32" s="30">
        <f>TRUNC(10.125+AB32*99,3)</f>
        <v>11.214</v>
      </c>
    </row>
    <row r="33" spans="4:31" x14ac:dyDescent="0.15">
      <c r="D33" s="30" t="s">
        <v>25</v>
      </c>
      <c r="E33" s="31" t="s">
        <v>81</v>
      </c>
      <c r="F33" s="30" t="str">
        <f>PK10Source!E91</f>
        <v>01 02 03 04 05 06 07 08 09 10,01 02 03 04 05 06 07 08 09 10</v>
      </c>
      <c r="G33" s="30">
        <f t="shared" si="3"/>
        <v>1</v>
      </c>
      <c r="H33" s="30">
        <f t="shared" si="3"/>
        <v>1</v>
      </c>
      <c r="I33" s="33">
        <f>PK10Source!E103</f>
        <v>180</v>
      </c>
      <c r="J33" s="30">
        <f t="shared" si="0"/>
        <v>6.12</v>
      </c>
      <c r="K33" s="33">
        <f>PK10Source!E74</f>
        <v>173.7</v>
      </c>
      <c r="L33" s="30">
        <f t="shared" si="1"/>
        <v>99344283.590000033</v>
      </c>
      <c r="M33" s="30">
        <f>IF(ISNUMBER(agent!$O$6*(K33/Y33)*$W33),TRUNC(agent!$O$6*(K33/Y33)*$W33,3),"没有上级")</f>
        <v>0.18</v>
      </c>
      <c r="N33" s="30">
        <f>IF(ISNUMBER(agent!$O$9*(K33/Y33)*$W33),TRUNC(agent!$O$9*(K33/Y33)*$W33,3),"没有上级")</f>
        <v>1.08</v>
      </c>
      <c r="O33" s="30">
        <f>IF(ISNUMBER(agent!$O$12*(K33/Y33)*$W33),TRUNC(agent!$O$12*(K33/Y33)*$W33,3),"没有上级")</f>
        <v>0.36</v>
      </c>
      <c r="P33" s="30">
        <f>IF(ISNUMBER(agent!$O$15*(K33/Y33)*$W33),TRUNC(agent!$O$15*(K33/Y33)*$W33,3),"没有上级")</f>
        <v>0.72</v>
      </c>
      <c r="Q33" s="30">
        <f>IF(ISNUMBER(agent!$O$18*(K33/Y33)*$W33),TRUNC(agent!$O$18*(K33/Y33)*$W33,3),"没有上级")</f>
        <v>0.54</v>
      </c>
      <c r="R33" s="30">
        <f>IF(ISNUMBER(agent!$O$21*(K33/Y33)*$W33),TRUNC(agent!$O$21*(K33/Y33)*$W33,3),"没有上级")</f>
        <v>0.18</v>
      </c>
      <c r="S33" s="30">
        <f>IF(ISNUMBER(agent!$O$24*(K33/Y33)*$W33),TRUNC(agent!$O$24*(K33/Y33)*$W33,3),"没有上级")</f>
        <v>1.26</v>
      </c>
      <c r="T33" s="30">
        <f>IF(ISNUMBER(agent!$O$27*(K33/Y33)*$W33),TRUNC(agent!$O$27*(K33/Y33)*$W33,3),"没有上级")</f>
        <v>0.54</v>
      </c>
      <c r="U33" s="30">
        <f>IF(ISNUMBER(agent!$O$30*(K33/Y33)*$W33),TRUNC(agent!$O$30*(K33/Y33)*$W33,3),"没有上级")</f>
        <v>0.72</v>
      </c>
      <c r="V33" s="30">
        <f>IF(ISNUMBER(agent!$O$33*(K33/Y33)*$W33),TRUNC(agent!$O$33*(K33/Y33)*$W33,3),"没有上级")</f>
        <v>0.54</v>
      </c>
      <c r="W33" s="30">
        <f>TRUNC(0.18,3)</f>
        <v>0.18</v>
      </c>
      <c r="X33" s="30"/>
      <c r="Y33" s="30">
        <f>TRUNC(Z33-W33*(9.9-agent!L$3)*10,3)</f>
        <v>173.7</v>
      </c>
      <c r="Z33" s="30">
        <f>TRUNC(162+W33*99,3)</f>
        <v>179.82</v>
      </c>
      <c r="AA33" s="31" t="s">
        <v>107</v>
      </c>
      <c r="AB33" s="30">
        <f>TRUNC(0.009,3)</f>
        <v>8.9999999999999993E-3</v>
      </c>
      <c r="AC33" s="30"/>
      <c r="AD33" s="30">
        <f>TRUNC(AE33-AB33*(9.9-agent!L$3)*10,3)</f>
        <v>8.6850000000000005</v>
      </c>
      <c r="AE33" s="30">
        <f>TRUNC(8.1+AB33*99,3)</f>
        <v>8.9909999999999997</v>
      </c>
    </row>
    <row r="34" spans="4:31" x14ac:dyDescent="0.15">
      <c r="D34" s="30" t="s">
        <v>25</v>
      </c>
      <c r="E34" s="30" t="s">
        <v>24</v>
      </c>
      <c r="F34" s="30" t="str">
        <f>PK10Source!E92</f>
        <v>02 03,08 09,09 04,05 09</v>
      </c>
      <c r="G34" s="30">
        <f t="shared" si="3"/>
        <v>2</v>
      </c>
      <c r="H34" s="30">
        <f t="shared" si="3"/>
        <v>1</v>
      </c>
      <c r="I34" s="33">
        <f>PK10Source!E104</f>
        <v>12</v>
      </c>
      <c r="J34" s="30">
        <f t="shared" ref="J34:J65" si="4">SUM(M34:V34)</f>
        <v>0</v>
      </c>
      <c r="K34" s="33">
        <f>PK10Source!E75</f>
        <v>0</v>
      </c>
      <c r="L34" s="30">
        <f t="shared" si="1"/>
        <v>99344271.590000033</v>
      </c>
      <c r="M34" s="30">
        <f>IF(ISNUMBER(agent!$O$6*(K34/Y34)*$W34),TRUNC(agent!$O$6*(K34/Y34)*$W34,3),"没有上级")</f>
        <v>0</v>
      </c>
      <c r="N34" s="30">
        <f>IF(ISNUMBER(agent!$O$9*(K34/Y34)*$W34),TRUNC(agent!$O$9*(K34/Y34)*$W34,3),"没有上级")</f>
        <v>0</v>
      </c>
      <c r="O34" s="30">
        <f>IF(ISNUMBER(agent!$O$12*(K34/Y34)*$W34),TRUNC(agent!$O$12*(K34/Y34)*$W34,3),"没有上级")</f>
        <v>0</v>
      </c>
      <c r="P34" s="30">
        <f>IF(ISNUMBER(agent!$O$15*(K34/Y34)*$W34),TRUNC(agent!$O$15*(K34/Y34)*$W34,3),"没有上级")</f>
        <v>0</v>
      </c>
      <c r="Q34" s="30">
        <f>IF(ISNUMBER(agent!$O$18*(K34/Y34)*$W34),TRUNC(agent!$O$18*(K34/Y34)*$W34,3),"没有上级")</f>
        <v>0</v>
      </c>
      <c r="R34" s="30">
        <f>IF(ISNUMBER(agent!$O$21*(K34/Y34)*$W34),TRUNC(agent!$O$21*(K34/Y34)*$W34,3),"没有上级")</f>
        <v>0</v>
      </c>
      <c r="S34" s="30">
        <f>IF(ISNUMBER(agent!$O$24*(K34/Y34)*$W34),TRUNC(agent!$O$24*(K34/Y34)*$W34,3),"没有上级")</f>
        <v>0</v>
      </c>
      <c r="T34" s="30">
        <f>IF(ISNUMBER(agent!$O$27*(K34/Y34)*$W34),TRUNC(agent!$O$27*(K34/Y34)*$W34,3),"没有上级")</f>
        <v>0</v>
      </c>
      <c r="U34" s="30">
        <f>IF(ISNUMBER(agent!$O$30*(K34/Y34)*$W34),TRUNC(agent!$O$30*(K34/Y34)*$W34,3),"没有上级")</f>
        <v>0</v>
      </c>
      <c r="V34" s="30">
        <f>IF(ISNUMBER(agent!$O$33*(K34/Y34)*$W34),TRUNC(agent!$O$33*(K34/Y34)*$W34,3),"没有上级")</f>
        <v>0</v>
      </c>
      <c r="W34" s="30">
        <f>TRUNC(0.18,3)</f>
        <v>0.18</v>
      </c>
      <c r="X34" s="30"/>
      <c r="Y34" s="30">
        <f>TRUNC(Z34-W34*(9.9-agent!L$3)*10,3)</f>
        <v>173.7</v>
      </c>
      <c r="Z34" s="30">
        <f>TRUNC(162+W34*99,3)</f>
        <v>179.82</v>
      </c>
      <c r="AA34" s="31" t="s">
        <v>108</v>
      </c>
      <c r="AB34" s="30">
        <f>AB32</f>
        <v>1.0999999999999999E-2</v>
      </c>
      <c r="AC34" s="30"/>
      <c r="AD34" s="30">
        <f>AD32</f>
        <v>10.84</v>
      </c>
      <c r="AE34" s="30">
        <f>AE32</f>
        <v>11.214</v>
      </c>
    </row>
    <row r="35" spans="4:31" x14ac:dyDescent="0.15">
      <c r="D35" s="30" t="s">
        <v>26</v>
      </c>
      <c r="E35" s="31" t="s">
        <v>81</v>
      </c>
      <c r="F35" s="30" t="str">
        <f>PK10Source!E93</f>
        <v xml:space="preserve">01 02 03 04 05 06 07 08 09 10 </v>
      </c>
      <c r="G35" s="30">
        <f t="shared" si="3"/>
        <v>3</v>
      </c>
      <c r="H35" s="30">
        <f t="shared" si="3"/>
        <v>1</v>
      </c>
      <c r="I35" s="33">
        <f>PK10Source!E105</f>
        <v>60</v>
      </c>
      <c r="J35" s="30">
        <f t="shared" si="4"/>
        <v>2.04</v>
      </c>
      <c r="K35" s="33">
        <f>PK10Source!E76</f>
        <v>57.900000000000006</v>
      </c>
      <c r="L35" s="30">
        <f t="shared" si="1"/>
        <v>99344269.490000039</v>
      </c>
      <c r="M35" s="30">
        <f>IF(ISNUMBER(agent!$O$6*(K35/Y35)*$W35),TRUNC(agent!$O$6*(K35/Y35)*$W35,3),"没有上级")</f>
        <v>0.06</v>
      </c>
      <c r="N35" s="30">
        <f>IF(ISNUMBER(agent!$O$9*(K35/Y35)*$W35),TRUNC(agent!$O$9*(K35/Y35)*$W35,3),"没有上级")</f>
        <v>0.36</v>
      </c>
      <c r="O35" s="30">
        <f>IF(ISNUMBER(agent!$O$12*(K35/Y35)*$W35),TRUNC(agent!$O$12*(K35/Y35)*$W35,3),"没有上级")</f>
        <v>0.12</v>
      </c>
      <c r="P35" s="30">
        <f>IF(ISNUMBER(agent!$O$15*(K35/Y35)*$W35),TRUNC(agent!$O$15*(K35/Y35)*$W35,3),"没有上级")</f>
        <v>0.24</v>
      </c>
      <c r="Q35" s="30">
        <f>IF(ISNUMBER(agent!$O$18*(K35/Y35)*$W35),TRUNC(agent!$O$18*(K35/Y35)*$W35,3),"没有上级")</f>
        <v>0.18</v>
      </c>
      <c r="R35" s="30">
        <f>IF(ISNUMBER(agent!$O$21*(K35/Y35)*$W35),TRUNC(agent!$O$21*(K35/Y35)*$W35,3),"没有上级")</f>
        <v>0.06</v>
      </c>
      <c r="S35" s="30">
        <f>IF(ISNUMBER(agent!$O$24*(K35/Y35)*$W35),TRUNC(agent!$O$24*(K35/Y35)*$W35,3),"没有上级")</f>
        <v>0.42</v>
      </c>
      <c r="T35" s="30">
        <f>IF(ISNUMBER(agent!$O$27*(K35/Y35)*$W35),TRUNC(agent!$O$27*(K35/Y35)*$W35,3),"没有上级")</f>
        <v>0.18</v>
      </c>
      <c r="U35" s="30">
        <f>IF(ISNUMBER(agent!$O$30*(K35/Y35)*$W35),TRUNC(agent!$O$30*(K35/Y35)*$W35,3),"没有上级")</f>
        <v>0.24</v>
      </c>
      <c r="V35" s="30">
        <f>IF(ISNUMBER(agent!$O$33*(K35/Y35)*$W35),TRUNC(agent!$O$33*(K35/Y35)*$W35,3),"没有上级")</f>
        <v>0.18</v>
      </c>
      <c r="W35" s="30">
        <f>TRUNC(0.02,3)</f>
        <v>0.02</v>
      </c>
      <c r="X35" s="30"/>
      <c r="Y35" s="30">
        <f>TRUNC(Z35-W35*(9.9-agent!L$3)*10,3)</f>
        <v>19.3</v>
      </c>
      <c r="Z35" s="30">
        <f>TRUNC(18+W35*99,3)</f>
        <v>19.98</v>
      </c>
      <c r="AA35" s="31" t="s">
        <v>109</v>
      </c>
      <c r="AB35" s="30">
        <f>AB31</f>
        <v>1.4999999999999999E-2</v>
      </c>
      <c r="AC35" s="30"/>
      <c r="AD35" s="30">
        <f>AD31</f>
        <v>14.475</v>
      </c>
      <c r="AE35" s="30">
        <f>AE31</f>
        <v>14.984999999999999</v>
      </c>
    </row>
    <row r="36" spans="4:31" x14ac:dyDescent="0.15">
      <c r="D36" s="30" t="s">
        <v>27</v>
      </c>
      <c r="E36" s="30" t="s">
        <v>28</v>
      </c>
      <c r="F36" s="30" t="str">
        <f>PK10Source!E94</f>
        <v>和大 和小 和单 和双,03 04 05 06 07 08 09 10 11 12 13 14 15 16 17 18 19</v>
      </c>
      <c r="G36" s="30">
        <f t="shared" si="3"/>
        <v>1</v>
      </c>
      <c r="H36" s="30">
        <f t="shared" si="3"/>
        <v>3</v>
      </c>
      <c r="I36" s="33">
        <f>PK10Source!E106</f>
        <v>63</v>
      </c>
      <c r="J36" s="30">
        <f t="shared" si="4"/>
        <v>0</v>
      </c>
      <c r="K36" s="33" t="e">
        <f>PK10Source!E77</f>
        <v>#VALUE!</v>
      </c>
      <c r="L36" s="30" t="e">
        <f t="shared" si="1"/>
        <v>#VALUE!</v>
      </c>
      <c r="M36" s="30">
        <f>IF(ISNUMBER(agent!$O$6*$Y36*$W36),TRUNC(agent!$O$6*H36*W36,3),"没有上级")</f>
        <v>0</v>
      </c>
      <c r="N36" s="30">
        <f>IF(ISNUMBER(agent!$O$9*$Y36*$W36),TRUNC(agent!$O$9*H36*W36,3),"没有上级")</f>
        <v>0</v>
      </c>
      <c r="O36" s="30">
        <f>IF(ISNUMBER(agent!$O$12*$Y36*$W36),TRUNC(agent!$O$12*H36*W36,3),"没有上级")</f>
        <v>0</v>
      </c>
      <c r="P36" s="30">
        <f>IF(ISNUMBER(agent!$O$15*$Y36*$W36),TRUNC(agent!$O$15*H36*W36,3),"没有上级")</f>
        <v>0</v>
      </c>
      <c r="Q36" s="30">
        <f>IF(ISNUMBER(agent!$O$18*$Y36*$W36),TRUNC(agent!$O$18*H36*W36,3),"没有上级")</f>
        <v>0</v>
      </c>
      <c r="R36" s="30">
        <f>IF(ISNUMBER(agent!$O$21*$Y36*$W36),TRUNC(agent!$O$21*H36*W36,3),"没有上级")</f>
        <v>0</v>
      </c>
      <c r="S36" s="30">
        <f>IF(ISNUMBER(agent!$O$24*$Y36*$W36),TRUNC(agent!$O$24*H36*W36,3),"没有上级")</f>
        <v>0</v>
      </c>
      <c r="T36" s="30">
        <f>IF(ISNUMBER(agent!$O$27*$Y36*$W36),TRUNC(agent!$O$27*H36*W36,3),"没有上级")</f>
        <v>0</v>
      </c>
      <c r="U36" s="30">
        <f>IF(ISNUMBER(agent!$O$30*$Y36*$W36),TRUNC(agent!$O$30*H36*W36,3),"没有上级")</f>
        <v>0</v>
      </c>
      <c r="V36" s="30">
        <f>IF(ISNUMBER(agent!$O$33*$Y36*$W36),TRUNC(agent!$O$33*H36*W36,3),"没有上级")</f>
        <v>0</v>
      </c>
      <c r="W36" s="30">
        <f>SUM(PK10Source!T53:T61)</f>
        <v>0</v>
      </c>
      <c r="X36" s="30"/>
      <c r="Y36" s="30">
        <f>SUM(PK10Source!S53:S61)</f>
        <v>0</v>
      </c>
      <c r="Z36" s="30">
        <f>SUM(PK10Source!U53:U61)</f>
        <v>0</v>
      </c>
      <c r="AA36" s="31" t="s">
        <v>110</v>
      </c>
      <c r="AB36" s="30">
        <f>AB30</f>
        <v>2.1999999999999999E-2</v>
      </c>
      <c r="AC36" s="30"/>
      <c r="AD36" s="30">
        <f>AD30</f>
        <v>21.68</v>
      </c>
      <c r="AE36" s="30">
        <f>AE30</f>
        <v>22.428000000000001</v>
      </c>
    </row>
    <row r="37" spans="4:31" x14ac:dyDescent="0.15">
      <c r="D37" s="30" t="s">
        <v>29</v>
      </c>
      <c r="E37" s="30" t="s">
        <v>30</v>
      </c>
      <c r="F37" s="30" t="str">
        <f>PK10Source!E95</f>
        <v>大 小 单 双 龙 虎,大 小 单 双 龙 虎,大 小 单 双 龙 虎,大 小 单 双 龙 虎,大 小 单 双 龙 虎,大 小 单 双,大 小 单 双,大 小 单 双,大 小 单 双,大 小 单 双</v>
      </c>
      <c r="G37" s="30">
        <f t="shared" si="3"/>
        <v>1</v>
      </c>
      <c r="H37" s="30">
        <f t="shared" si="3"/>
        <v>4</v>
      </c>
      <c r="I37" s="33">
        <f>PK10Source!E107</f>
        <v>200</v>
      </c>
      <c r="J37" s="30">
        <f t="shared" si="4"/>
        <v>6.7999999999999989</v>
      </c>
      <c r="K37" s="33">
        <f>PK10Source!E78</f>
        <v>193</v>
      </c>
      <c r="L37" s="30" t="e">
        <f t="shared" si="1"/>
        <v>#VALUE!</v>
      </c>
      <c r="M37" s="30">
        <f>IF(ISNUMBER(agent!$O$6*(K37/Y37)*$W37),TRUNC(agent!$O$6*(K37/Y37)*$W37,3),"没有上级")</f>
        <v>0.2</v>
      </c>
      <c r="N37" s="30">
        <f>IF(ISNUMBER(agent!$O$9*(K37/Y37)*$W37),TRUNC(agent!$O$9*(K37/Y37)*$W37,3),"没有上级")</f>
        <v>1.2</v>
      </c>
      <c r="O37" s="30">
        <f>IF(ISNUMBER(agent!$O$12*(K37/Y37)*$W37),TRUNC(agent!$O$12*(K37/Y37)*$W37,3),"没有上级")</f>
        <v>0.4</v>
      </c>
      <c r="P37" s="30">
        <f>IF(ISNUMBER(agent!$O$15*(K37/Y37)*$W37),TRUNC(agent!$O$15*(K37/Y37)*$W37,3),"没有上级")</f>
        <v>0.8</v>
      </c>
      <c r="Q37" s="30">
        <f>IF(ISNUMBER(agent!$O$18*(K37/Y37)*$W37),TRUNC(agent!$O$18*(K37/Y37)*$W37,3),"没有上级")</f>
        <v>0.6</v>
      </c>
      <c r="R37" s="30">
        <f>IF(ISNUMBER(agent!$O$21*(K37/Y37)*$W37),TRUNC(agent!$O$21*(K37/Y37)*$W37,3),"没有上级")</f>
        <v>0.2</v>
      </c>
      <c r="S37" s="30">
        <f>IF(ISNUMBER(agent!$O$24*(K37/Y37)*$W37),TRUNC(agent!$O$24*(K37/Y37)*$W37,3),"没有上级")</f>
        <v>1.4</v>
      </c>
      <c r="T37" s="30">
        <f>IF(ISNUMBER(agent!$O$27*(K37/Y37)*$W37),TRUNC(agent!$O$27*(K37/Y37)*$W37,3),"没有上级")</f>
        <v>0.6</v>
      </c>
      <c r="U37" s="30">
        <f>IF(ISNUMBER(agent!$O$30*(K37/Y37)*$W37),TRUNC(agent!$O$30*(K37/Y37)*$W37,3),"没有上级")</f>
        <v>0.8</v>
      </c>
      <c r="V37" s="30">
        <f>IF(ISNUMBER(agent!$O$33*(K37/Y37)*$W37),TRUNC(agent!$O$33*(K37/Y37)*$W37,3),"没有上级")</f>
        <v>0.6</v>
      </c>
      <c r="W37" s="30">
        <f>TRUNC(0.002,3)</f>
        <v>2E-3</v>
      </c>
      <c r="X37" s="30"/>
      <c r="Y37" s="30">
        <f>TRUNC(Z37-W37*(9.9-agent!L$3)*10,3)</f>
        <v>1.93</v>
      </c>
      <c r="Z37" s="30">
        <f>TRUNC(1.8+W37*99,3)</f>
        <v>1.998</v>
      </c>
      <c r="AA37" s="31" t="s">
        <v>111</v>
      </c>
      <c r="AB37" s="30">
        <f>AB29</f>
        <v>4.4999999999999998E-2</v>
      </c>
      <c r="AC37" s="30"/>
      <c r="AD37" s="30">
        <f>AD29</f>
        <v>43.424999999999997</v>
      </c>
      <c r="AE37" s="30">
        <f>AE29</f>
        <v>44.954999999999998</v>
      </c>
    </row>
    <row r="38" spans="4:31" s="33" customFormat="1" x14ac:dyDescent="0.15">
      <c r="D38" s="33" t="s">
        <v>56</v>
      </c>
      <c r="E38" s="33" t="s">
        <v>18</v>
      </c>
      <c r="F38" s="30" t="str">
        <f>PK10Source!E125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38" s="30">
        <f t="shared" si="3"/>
        <v>2</v>
      </c>
      <c r="H38" s="30">
        <f t="shared" si="3"/>
        <v>1</v>
      </c>
      <c r="I38" s="33">
        <f>PK10Source!E137</f>
        <v>400</v>
      </c>
      <c r="J38" s="33">
        <f t="shared" si="4"/>
        <v>13.599999999999998</v>
      </c>
      <c r="K38" s="33">
        <f>PK10Source!E108</f>
        <v>386</v>
      </c>
      <c r="L38" s="30" t="e">
        <f t="shared" si="1"/>
        <v>#VALUE!</v>
      </c>
      <c r="M38" s="33">
        <f>IF(ISNUMBER(agent!$O$6*(K38/Y38)*$W38),TRUNC(agent!$O$6*(K38/Y38)*$W38,3),"没有上级")</f>
        <v>0.4</v>
      </c>
      <c r="N38" s="33">
        <f>IF(ISNUMBER(agent!$O$9*(K38/Y38)*$W38),TRUNC(agent!$O$9*(K38/Y38)*$W38,3),"没有上级")</f>
        <v>2.4</v>
      </c>
      <c r="O38" s="33">
        <f>IF(ISNUMBER(agent!$O$12*(K38/Y38)*$W38),TRUNC(agent!$O$12*(K38/Y38)*$W38,3),"没有上级")</f>
        <v>0.8</v>
      </c>
      <c r="P38" s="33">
        <f>IF(ISNUMBER(agent!$O$15*(K38/Y38)*$W38),TRUNC(agent!$O$15*(K38/Y38)*$W38,3),"没有上级")</f>
        <v>1.6</v>
      </c>
      <c r="Q38" s="33">
        <f>IF(ISNUMBER(agent!$O$18*(K38/Y38)*$W38),TRUNC(agent!$O$18*(K38/Y38)*$W38,3),"没有上级")</f>
        <v>1.2</v>
      </c>
      <c r="R38" s="33">
        <f>IF(ISNUMBER(agent!$O$21*(K38/Y38)*$W38),TRUNC(agent!$O$21*(K38/Y38)*$W38,3),"没有上级")</f>
        <v>0.4</v>
      </c>
      <c r="S38" s="33">
        <f>IF(ISNUMBER(agent!$O$24*(K38/Y38)*$W38),TRUNC(agent!$O$24*(K38/Y38)*$W38,3),"没有上级")</f>
        <v>2.8</v>
      </c>
      <c r="T38" s="33">
        <f>IF(ISNUMBER(agent!$O$27*(K38/Y38)*$W38),TRUNC(agent!$O$27*(K38/Y38)*$W38,3),"没有上级")</f>
        <v>1.2</v>
      </c>
      <c r="U38" s="33">
        <f>IF(ISNUMBER(agent!$O$30*(K38/Y38)*$W38),TRUNC(agent!$O$30*(K38/Y38)*$W38,3),"没有上级")</f>
        <v>1.6</v>
      </c>
      <c r="V38" s="33">
        <f>IF(ISNUMBER(agent!$O$33*(K38/Y38)*$W38),TRUNC(agent!$O$33*(K38/Y38)*$W38,3),"没有上级")</f>
        <v>1.2</v>
      </c>
      <c r="W38" s="33">
        <f>TRUNC(0.02,3)</f>
        <v>0.02</v>
      </c>
      <c r="Y38" s="33">
        <f>TRUNC(Z38-W38*(9.9-agent!L$3)*10,3)</f>
        <v>19.3</v>
      </c>
      <c r="Z38" s="33">
        <f>TRUNC(18+W38*99,3)</f>
        <v>19.98</v>
      </c>
      <c r="AA38" s="33" t="s">
        <v>100</v>
      </c>
      <c r="AB38" s="33" t="s">
        <v>112</v>
      </c>
      <c r="AD38" s="33" t="s">
        <v>113</v>
      </c>
      <c r="AE38" s="33" t="s">
        <v>223</v>
      </c>
    </row>
    <row r="39" spans="4:31" x14ac:dyDescent="0.15">
      <c r="D39" s="30" t="s">
        <v>19</v>
      </c>
      <c r="E39" s="31" t="s">
        <v>81</v>
      </c>
      <c r="F39" s="30" t="str">
        <f>PK10Source!E126</f>
        <v>01 02 08,03 04 09,01 05 06,02 07 08,03 09 10</v>
      </c>
      <c r="G39" s="30">
        <f t="shared" si="3"/>
        <v>1</v>
      </c>
      <c r="H39" s="30">
        <f t="shared" si="3"/>
        <v>1</v>
      </c>
      <c r="I39" s="33">
        <f>PK10Source!E138</f>
        <v>302400</v>
      </c>
      <c r="J39" s="30">
        <f t="shared" si="4"/>
        <v>0</v>
      </c>
      <c r="K39" s="33">
        <f>PK10Source!E109</f>
        <v>0</v>
      </c>
      <c r="L39" s="30" t="e">
        <f t="shared" si="1"/>
        <v>#VALUE!</v>
      </c>
      <c r="M39" s="30">
        <f>IF(ISNUMBER(agent!$O$6*(K39/Y39)*$W39),TRUNC(agent!$O$6*(K39/Y39)*$W39,3),"没有上级")</f>
        <v>0</v>
      </c>
      <c r="N39" s="30">
        <f>IF(ISNUMBER(agent!$O$9*(K39/Y39)*$W39),TRUNC(agent!$O$9*(K39/Y39)*$W39,3),"没有上级")</f>
        <v>0</v>
      </c>
      <c r="O39" s="30">
        <f>IF(ISNUMBER(agent!$O$12*(K39/Y39)*$W39),TRUNC(agent!$O$12*(K39/Y39)*$W39,3),"没有上级")</f>
        <v>0</v>
      </c>
      <c r="P39" s="30">
        <f>IF(ISNUMBER(agent!$O$15*(K39/Y39)*$W39),TRUNC(agent!$O$15*(K39/Y39)*$W39,3),"没有上级")</f>
        <v>0</v>
      </c>
      <c r="Q39" s="30">
        <f>IF(ISNUMBER(agent!$O$18*(K39/Y39)*$W39),TRUNC(agent!$O$18*(K39/Y39)*$W39,3),"没有上级")</f>
        <v>0</v>
      </c>
      <c r="R39" s="30">
        <f>IF(ISNUMBER(agent!$O$21*(K39/Y39)*$W39),TRUNC(agent!$O$21*(K39/Y39)*$W39,3),"没有上级")</f>
        <v>0</v>
      </c>
      <c r="S39" s="30">
        <f>IF(ISNUMBER(agent!$O$24*(K39/Y39)*$W39),TRUNC(agent!$O$24*(K39/Y39)*$W39,3),"没有上级")</f>
        <v>0</v>
      </c>
      <c r="T39" s="30">
        <f>IF(ISNUMBER(agent!$O$27*(K39/Y39)*$W39),TRUNC(agent!$O$27*(K39/Y39)*$W39,3),"没有上级")</f>
        <v>0</v>
      </c>
      <c r="U39" s="30">
        <f>IF(ISNUMBER(agent!$O$30*(K39/Y39)*$W39),TRUNC(agent!$O$30*(K39/Y39)*$W39,3),"没有上级")</f>
        <v>0</v>
      </c>
      <c r="V39" s="30">
        <f>IF(ISNUMBER(agent!$O$33*(K39/Y39)*$W39),TRUNC(agent!$O$33*(K39/Y39)*$W39,3),"没有上级")</f>
        <v>0</v>
      </c>
      <c r="W39" s="30">
        <f>TRUNC(60.48,3)</f>
        <v>60.48</v>
      </c>
      <c r="X39" s="30"/>
      <c r="Y39" s="30">
        <f>TRUNC(Z39-W39*(9.9-agent!L$3)*10,3)</f>
        <v>58363.199999999997</v>
      </c>
      <c r="Z39" s="30">
        <f>TRUNC(54432+W39*99,3)</f>
        <v>60419.519999999997</v>
      </c>
      <c r="AA39" s="31" t="s">
        <v>101</v>
      </c>
      <c r="AB39" s="30">
        <f>TRUNC(0.002257,3)</f>
        <v>2E-3</v>
      </c>
      <c r="AC39" s="30"/>
      <c r="AD39" s="30">
        <f>TRUNC(AE39-AB39*(9.9-agent!L$3)*10,3)</f>
        <v>2.1549999999999998</v>
      </c>
      <c r="AE39" s="30">
        <f>TRUNC(2.025+AB39*99,3)</f>
        <v>2.2229999999999999</v>
      </c>
    </row>
    <row r="40" spans="4:31" x14ac:dyDescent="0.15">
      <c r="D40" s="30" t="s">
        <v>19</v>
      </c>
      <c r="E40" s="30" t="s">
        <v>20</v>
      </c>
      <c r="F40" s="30" t="str">
        <f>PK10Source!E127</f>
        <v>08 09 01 02 03</v>
      </c>
      <c r="G40" s="30">
        <f t="shared" si="3"/>
        <v>3</v>
      </c>
      <c r="H40" s="30">
        <f t="shared" si="3"/>
        <v>1</v>
      </c>
      <c r="I40" s="33">
        <f>PK10Source!E139</f>
        <v>6</v>
      </c>
      <c r="J40" s="30">
        <f t="shared" si="4"/>
        <v>0</v>
      </c>
      <c r="K40" s="33">
        <f>PK10Source!E110</f>
        <v>0</v>
      </c>
      <c r="L40" s="30" t="e">
        <f t="shared" si="1"/>
        <v>#VALUE!</v>
      </c>
      <c r="M40" s="30">
        <f>IF(ISNUMBER(agent!$O$6*(K40/Y40)*$W40),TRUNC(agent!$O$6*(K40/Y40)*$W40,3),"没有上级")</f>
        <v>0</v>
      </c>
      <c r="N40" s="30">
        <f>IF(ISNUMBER(agent!$O$9*(K40/Y40)*$W40),TRUNC(agent!$O$9*(K40/Y40)*$W40,3),"没有上级")</f>
        <v>0</v>
      </c>
      <c r="O40" s="30">
        <f>IF(ISNUMBER(agent!$O$12*(K40/Y40)*$W40),TRUNC(agent!$O$12*(K40/Y40)*$W40,3),"没有上级")</f>
        <v>0</v>
      </c>
      <c r="P40" s="30">
        <f>IF(ISNUMBER(agent!$O$15*(K40/Y40)*$W40),TRUNC(agent!$O$15*(K40/Y40)*$W40,3),"没有上级")</f>
        <v>0</v>
      </c>
      <c r="Q40" s="30">
        <f>IF(ISNUMBER(agent!$O$18*(K40/Y40)*$W40),TRUNC(agent!$O$18*(K40/Y40)*$W40,3),"没有上级")</f>
        <v>0</v>
      </c>
      <c r="R40" s="30">
        <f>IF(ISNUMBER(agent!$O$21*(K40/Y40)*$W40),TRUNC(agent!$O$21*(K40/Y40)*$W40,3),"没有上级")</f>
        <v>0</v>
      </c>
      <c r="S40" s="30">
        <f>IF(ISNUMBER(agent!$O$24*(K40/Y40)*$W40),TRUNC(agent!$O$24*(K40/Y40)*$W40,3),"没有上级")</f>
        <v>0</v>
      </c>
      <c r="T40" s="30">
        <f>IF(ISNUMBER(agent!$O$27*(K40/Y40)*$W40),TRUNC(agent!$O$27*(K40/Y40)*$W40,3),"没有上级")</f>
        <v>0</v>
      </c>
      <c r="U40" s="30">
        <f>IF(ISNUMBER(agent!$O$30*(K40/Y40)*$W40),TRUNC(agent!$O$30*(K40/Y40)*$W40,3),"没有上级")</f>
        <v>0</v>
      </c>
      <c r="V40" s="30">
        <f>IF(ISNUMBER(agent!$O$33*(K40/Y40)*$W40),TRUNC(agent!$O$33*(K40/Y40)*$W40,3),"没有上级")</f>
        <v>0</v>
      </c>
      <c r="W40" s="30">
        <f>TRUNC(60.48,3)</f>
        <v>60.48</v>
      </c>
      <c r="X40" s="30"/>
      <c r="Y40" s="30">
        <f>TRUNC(Z40-W40*(9.9-agent!L$3)*10,3)</f>
        <v>58363.199999999997</v>
      </c>
      <c r="Z40" s="30">
        <f>TRUNC(54432+W40*99,3)</f>
        <v>60419.519999999997</v>
      </c>
      <c r="AA40" s="31" t="s">
        <v>102</v>
      </c>
      <c r="AB40" s="30">
        <f>TRUNC(0.0018,3)</f>
        <v>1E-3</v>
      </c>
      <c r="AC40" s="30"/>
      <c r="AD40" s="30">
        <f>TRUNC(AE40-AB40*(9.9-agent!L$3)*10,3)</f>
        <v>1.6850000000000001</v>
      </c>
      <c r="AE40" s="30">
        <f>TRUNC(1.62+AB40*99,3)</f>
        <v>1.7190000000000001</v>
      </c>
    </row>
    <row r="41" spans="4:31" x14ac:dyDescent="0.15">
      <c r="D41" s="30" t="s">
        <v>21</v>
      </c>
      <c r="E41" s="31" t="s">
        <v>81</v>
      </c>
      <c r="F41" s="30" t="str">
        <f>PK10Source!E128</f>
        <v>01 02 03 04 05 06 07 08 09 10,01 02 03 04 05 06 07 08 09 10,01 02 03 04 05 06 07 08 09 10,01 02 03 04 05 06 07 08 09 10</v>
      </c>
      <c r="G41" s="30">
        <f t="shared" si="3"/>
        <v>1</v>
      </c>
      <c r="H41" s="30">
        <f t="shared" si="3"/>
        <v>1</v>
      </c>
      <c r="I41" s="33">
        <f>PK10Source!E140</f>
        <v>10080</v>
      </c>
      <c r="J41" s="30">
        <f t="shared" si="4"/>
        <v>342.72</v>
      </c>
      <c r="K41" s="33">
        <f>PK10Source!E111</f>
        <v>9727.2000000000007</v>
      </c>
      <c r="L41" s="30" t="e">
        <f t="shared" si="1"/>
        <v>#VALUE!</v>
      </c>
      <c r="M41" s="30">
        <f>IF(ISNUMBER(agent!$O$6*(K41/Y41)*$W41),TRUNC(agent!$O$6*(K41/Y41)*$W41,3),"没有上级")</f>
        <v>10.08</v>
      </c>
      <c r="N41" s="30">
        <f>IF(ISNUMBER(agent!$O$9*(K41/Y41)*$W41),TRUNC(agent!$O$9*(K41/Y41)*$W41,3),"没有上级")</f>
        <v>60.48</v>
      </c>
      <c r="O41" s="30">
        <f>IF(ISNUMBER(agent!$O$12*(K41/Y41)*$W41),TRUNC(agent!$O$12*(K41/Y41)*$W41,3),"没有上级")</f>
        <v>20.16</v>
      </c>
      <c r="P41" s="30">
        <f>IF(ISNUMBER(agent!$O$15*(K41/Y41)*$W41),TRUNC(agent!$O$15*(K41/Y41)*$W41,3),"没有上级")</f>
        <v>40.32</v>
      </c>
      <c r="Q41" s="30">
        <f>IF(ISNUMBER(agent!$O$18*(K41/Y41)*$W41),TRUNC(agent!$O$18*(K41/Y41)*$W41,3),"没有上级")</f>
        <v>30.24</v>
      </c>
      <c r="R41" s="30">
        <f>IF(ISNUMBER(agent!$O$21*(K41/Y41)*$W41),TRUNC(agent!$O$21*(K41/Y41)*$W41,3),"没有上级")</f>
        <v>10.08</v>
      </c>
      <c r="S41" s="30">
        <f>IF(ISNUMBER(agent!$O$24*(K41/Y41)*$W41),TRUNC(agent!$O$24*(K41/Y41)*$W41,3),"没有上级")</f>
        <v>70.56</v>
      </c>
      <c r="T41" s="30">
        <f>IF(ISNUMBER(agent!$O$27*(K41/Y41)*$W41),TRUNC(agent!$O$27*(K41/Y41)*$W41,3),"没有上级")</f>
        <v>30.24</v>
      </c>
      <c r="U41" s="30">
        <f>IF(ISNUMBER(agent!$O$30*(K41/Y41)*$W41),TRUNC(agent!$O$30*(K41/Y41)*$W41,3),"没有上级")</f>
        <v>40.32</v>
      </c>
      <c r="V41" s="30">
        <f>IF(ISNUMBER(agent!$O$33*(K41/Y41)*$W41),TRUNC(agent!$O$33*(K41/Y41)*$W41,3),"没有上级")</f>
        <v>30.24</v>
      </c>
      <c r="W41" s="30">
        <f>TRUNC(10.08,3)</f>
        <v>10.08</v>
      </c>
      <c r="X41" s="30"/>
      <c r="Y41" s="30">
        <f>TRUNC(Z41-W41*(9.9-agent!L$3)*10,3)</f>
        <v>9727.2000000000007</v>
      </c>
      <c r="Z41" s="30">
        <f>TRUNC(9072+W41*99,3)</f>
        <v>10069.92</v>
      </c>
      <c r="AA41" s="31" t="s">
        <v>103</v>
      </c>
      <c r="AB41" s="30">
        <f>TRUNC(0.045,3)</f>
        <v>4.4999999999999998E-2</v>
      </c>
      <c r="AC41" s="30"/>
      <c r="AD41" s="30">
        <f>TRUNC(AE41-AB41*(9.9-agent!L$3)*10,3)</f>
        <v>43.424999999999997</v>
      </c>
      <c r="AE41" s="30">
        <f>TRUNC(40.5+AB41*99,3)</f>
        <v>44.954999999999998</v>
      </c>
    </row>
    <row r="42" spans="4:31" x14ac:dyDescent="0.15">
      <c r="D42" s="30" t="s">
        <v>21</v>
      </c>
      <c r="E42" s="30" t="s">
        <v>22</v>
      </c>
      <c r="F42" s="30" t="str">
        <f>PK10Source!E129</f>
        <v>08 09 01 02</v>
      </c>
      <c r="G42" s="30">
        <f t="shared" si="3"/>
        <v>2</v>
      </c>
      <c r="H42" s="30">
        <f t="shared" si="3"/>
        <v>1</v>
      </c>
      <c r="I42" s="33">
        <f>PK10Source!E141</f>
        <v>4</v>
      </c>
      <c r="J42" s="30">
        <f t="shared" si="4"/>
        <v>0</v>
      </c>
      <c r="K42" s="33">
        <f>PK10Source!E112</f>
        <v>0</v>
      </c>
      <c r="L42" s="30" t="e">
        <f t="shared" si="1"/>
        <v>#VALUE!</v>
      </c>
      <c r="M42" s="30">
        <f>IF(ISNUMBER(agent!$O$6*(K42/Y42)*$W42),TRUNC(agent!$O$6*(K42/Y42)*$W42,3),"没有上级")</f>
        <v>0</v>
      </c>
      <c r="N42" s="30">
        <f>IF(ISNUMBER(agent!$O$9*(K42/Y42)*$W42),TRUNC(agent!$O$9*(K42/Y42)*$W42,3),"没有上级")</f>
        <v>0</v>
      </c>
      <c r="O42" s="30">
        <f>IF(ISNUMBER(agent!$O$12*(K42/Y42)*$W42),TRUNC(agent!$O$12*(K42/Y42)*$W42,3),"没有上级")</f>
        <v>0</v>
      </c>
      <c r="P42" s="30">
        <f>IF(ISNUMBER(agent!$O$15*(K42/Y42)*$W42),TRUNC(agent!$O$15*(K42/Y42)*$W42,3),"没有上级")</f>
        <v>0</v>
      </c>
      <c r="Q42" s="30">
        <f>IF(ISNUMBER(agent!$O$18*(K42/Y42)*$W42),TRUNC(agent!$O$18*(K42/Y42)*$W42,3),"没有上级")</f>
        <v>0</v>
      </c>
      <c r="R42" s="30">
        <f>IF(ISNUMBER(agent!$O$21*(K42/Y42)*$W42),TRUNC(agent!$O$21*(K42/Y42)*$W42,3),"没有上级")</f>
        <v>0</v>
      </c>
      <c r="S42" s="30">
        <f>IF(ISNUMBER(agent!$O$24*(K42/Y42)*$W42),TRUNC(agent!$O$24*(K42/Y42)*$W42,3),"没有上级")</f>
        <v>0</v>
      </c>
      <c r="T42" s="30">
        <f>IF(ISNUMBER(agent!$O$27*(K42/Y42)*$W42),TRUNC(agent!$O$27*(K42/Y42)*$W42,3),"没有上级")</f>
        <v>0</v>
      </c>
      <c r="U42" s="30">
        <f>IF(ISNUMBER(agent!$O$30*(K42/Y42)*$W42),TRUNC(agent!$O$30*(K42/Y42)*$W42,3),"没有上级")</f>
        <v>0</v>
      </c>
      <c r="V42" s="30">
        <f>IF(ISNUMBER(agent!$O$33*(K42/Y42)*$W42),TRUNC(agent!$O$33*(K42/Y42)*$W42,3),"没有上级")</f>
        <v>0</v>
      </c>
      <c r="W42" s="30">
        <f>TRUNC(10.08,3)</f>
        <v>10.08</v>
      </c>
      <c r="X42" s="30"/>
      <c r="Y42" s="30">
        <f>TRUNC(Z42-W42*(9.9-agent!L$3)*10,3)</f>
        <v>9727.2000000000007</v>
      </c>
      <c r="Z42" s="30">
        <f>TRUNC(9072+W42*99,3)</f>
        <v>10069.92</v>
      </c>
      <c r="AA42" s="31" t="s">
        <v>104</v>
      </c>
      <c r="AB42" s="30">
        <f>TRUNC(0.0225,3)</f>
        <v>2.1999999999999999E-2</v>
      </c>
      <c r="AC42" s="30"/>
      <c r="AD42" s="30">
        <f>TRUNC(AE42-AB42*(9.9-agent!L$3)*10,3)</f>
        <v>21.68</v>
      </c>
      <c r="AE42" s="30">
        <f>TRUNC(20.25+AB42*99,3)</f>
        <v>22.428000000000001</v>
      </c>
    </row>
    <row r="43" spans="4:31" x14ac:dyDescent="0.15">
      <c r="D43" s="30" t="s">
        <v>23</v>
      </c>
      <c r="E43" s="31" t="s">
        <v>81</v>
      </c>
      <c r="F43" s="30" t="str">
        <f>PK10Source!E130</f>
        <v>01 02 03 04 05 06 07 08 09 10,01 02 03 04 05 06 07 08 09 10,01 02 03 04 05 06 07 08 09 10</v>
      </c>
      <c r="G43" s="30">
        <f t="shared" si="3"/>
        <v>4</v>
      </c>
      <c r="H43" s="30">
        <f t="shared" si="3"/>
        <v>1</v>
      </c>
      <c r="I43" s="33">
        <f>PK10Source!E142</f>
        <v>5760</v>
      </c>
      <c r="J43" s="30">
        <f t="shared" si="4"/>
        <v>195.84</v>
      </c>
      <c r="K43" s="33">
        <f>PK10Source!E113</f>
        <v>5558.4</v>
      </c>
      <c r="L43" s="30" t="e">
        <f t="shared" si="1"/>
        <v>#VALUE!</v>
      </c>
      <c r="M43" s="30">
        <f>IF(ISNUMBER(agent!$O$6*(K43/Y43)*$W43),TRUNC(agent!$O$6*(K43/Y43)*$W43,3),"没有上级")</f>
        <v>5.76</v>
      </c>
      <c r="N43" s="30">
        <f>IF(ISNUMBER(agent!$O$9*(K43/Y43)*$W43),TRUNC(agent!$O$9*(K43/Y43)*$W43,3),"没有上级")</f>
        <v>34.56</v>
      </c>
      <c r="O43" s="30">
        <f>IF(ISNUMBER(agent!$O$12*(K43/Y43)*$W43),TRUNC(agent!$O$12*(K43/Y43)*$W43,3),"没有上级")</f>
        <v>11.52</v>
      </c>
      <c r="P43" s="30">
        <f>IF(ISNUMBER(agent!$O$15*(K43/Y43)*$W43),TRUNC(agent!$O$15*(K43/Y43)*$W43,3),"没有上级")</f>
        <v>23.04</v>
      </c>
      <c r="Q43" s="30">
        <f>IF(ISNUMBER(agent!$O$18*(K43/Y43)*$W43),TRUNC(agent!$O$18*(K43/Y43)*$W43,3),"没有上级")</f>
        <v>17.28</v>
      </c>
      <c r="R43" s="30">
        <f>IF(ISNUMBER(agent!$O$21*(K43/Y43)*$W43),TRUNC(agent!$O$21*(K43/Y43)*$W43,3),"没有上级")</f>
        <v>5.76</v>
      </c>
      <c r="S43" s="30">
        <f>IF(ISNUMBER(agent!$O$24*(K43/Y43)*$W43),TRUNC(agent!$O$24*(K43/Y43)*$W43,3),"没有上级")</f>
        <v>40.32</v>
      </c>
      <c r="T43" s="30">
        <f>IF(ISNUMBER(agent!$O$27*(K43/Y43)*$W43),TRUNC(agent!$O$27*(K43/Y43)*$W43,3),"没有上级")</f>
        <v>17.28</v>
      </c>
      <c r="U43" s="30">
        <f>IF(ISNUMBER(agent!$O$30*(K43/Y43)*$W43),TRUNC(agent!$O$30*(K43/Y43)*$W43,3),"没有上级")</f>
        <v>23.04</v>
      </c>
      <c r="V43" s="30">
        <f>IF(ISNUMBER(agent!$O$33*(K43/Y43)*$W43),TRUNC(agent!$O$33*(K43/Y43)*$W43,3),"没有上级")</f>
        <v>17.28</v>
      </c>
      <c r="W43" s="30">
        <f>TRUNC(1.44,3)</f>
        <v>1.44</v>
      </c>
      <c r="X43" s="30"/>
      <c r="Y43" s="30">
        <f>TRUNC(Z43-W43*(9.9-agent!L$3)*10,3)</f>
        <v>1389.6</v>
      </c>
      <c r="Z43" s="30">
        <f>TRUNC(1296+W43*99,3)</f>
        <v>1438.56</v>
      </c>
      <c r="AA43" s="31" t="s">
        <v>105</v>
      </c>
      <c r="AB43" s="30">
        <f>TRUNC(0.015,3)</f>
        <v>1.4999999999999999E-2</v>
      </c>
      <c r="AC43" s="30"/>
      <c r="AD43" s="30">
        <f>TRUNC(AE43-AB43*(9.9-agent!L$3)*10,3)</f>
        <v>14.475</v>
      </c>
      <c r="AE43" s="30">
        <f>TRUNC(13.5+AB43*99,3)</f>
        <v>14.984999999999999</v>
      </c>
    </row>
    <row r="44" spans="4:31" x14ac:dyDescent="0.15">
      <c r="D44" s="30" t="s">
        <v>23</v>
      </c>
      <c r="E44" s="30" t="s">
        <v>24</v>
      </c>
      <c r="F44" s="30" t="str">
        <f>PK10Source!E131</f>
        <v>08 09 01</v>
      </c>
      <c r="G44" s="30">
        <f t="shared" si="3"/>
        <v>5</v>
      </c>
      <c r="H44" s="30">
        <f t="shared" si="3"/>
        <v>1</v>
      </c>
      <c r="I44" s="33">
        <f>PK10Source!E143</f>
        <v>10</v>
      </c>
      <c r="J44" s="30">
        <f t="shared" si="4"/>
        <v>0</v>
      </c>
      <c r="K44" s="33">
        <f>PK10Source!E114</f>
        <v>0</v>
      </c>
      <c r="L44" s="30" t="e">
        <f t="shared" si="1"/>
        <v>#VALUE!</v>
      </c>
      <c r="M44" s="30">
        <f>IF(ISNUMBER(agent!$O$6*(K44/Y44)*$W44),TRUNC(agent!$O$6*(K44/Y44)*$W44,3),"没有上级")</f>
        <v>0</v>
      </c>
      <c r="N44" s="30">
        <f>IF(ISNUMBER(agent!$O$9*(K44/Y44)*$W44),TRUNC(agent!$O$9*(K44/Y44)*$W44,3),"没有上级")</f>
        <v>0</v>
      </c>
      <c r="O44" s="30">
        <f>IF(ISNUMBER(agent!$O$12*(K44/Y44)*$W44),TRUNC(agent!$O$12*(K44/Y44)*$W44,3),"没有上级")</f>
        <v>0</v>
      </c>
      <c r="P44" s="30">
        <f>IF(ISNUMBER(agent!$O$15*(K44/Y44)*$W44),TRUNC(agent!$O$15*(K44/Y44)*$W44,3),"没有上级")</f>
        <v>0</v>
      </c>
      <c r="Q44" s="30">
        <f>IF(ISNUMBER(agent!$O$18*(K44/Y44)*$W44),TRUNC(agent!$O$18*(K44/Y44)*$W44,3),"没有上级")</f>
        <v>0</v>
      </c>
      <c r="R44" s="30">
        <f>IF(ISNUMBER(agent!$O$21*(K44/Y44)*$W44),TRUNC(agent!$O$21*(K44/Y44)*$W44,3),"没有上级")</f>
        <v>0</v>
      </c>
      <c r="S44" s="30">
        <f>IF(ISNUMBER(agent!$O$24*(K44/Y44)*$W44),TRUNC(agent!$O$24*(K44/Y44)*$W44,3),"没有上级")</f>
        <v>0</v>
      </c>
      <c r="T44" s="30">
        <f>IF(ISNUMBER(agent!$O$27*(K44/Y44)*$W44),TRUNC(agent!$O$27*(K44/Y44)*$W44,3),"没有上级")</f>
        <v>0</v>
      </c>
      <c r="U44" s="30">
        <f>IF(ISNUMBER(agent!$O$30*(K44/Y44)*$W44),TRUNC(agent!$O$30*(K44/Y44)*$W44,3),"没有上级")</f>
        <v>0</v>
      </c>
      <c r="V44" s="30">
        <f>IF(ISNUMBER(agent!$O$33*(K44/Y44)*$W44),TRUNC(agent!$O$33*(K44/Y44)*$W44,3),"没有上级")</f>
        <v>0</v>
      </c>
      <c r="W44" s="30">
        <f>TRUNC(1.44,3)</f>
        <v>1.44</v>
      </c>
      <c r="X44" s="30"/>
      <c r="Y44" s="30">
        <f>TRUNC(Z44-W44*(9.9-agent!L$3)*10,3)</f>
        <v>1389.6</v>
      </c>
      <c r="Z44" s="30">
        <f>TRUNC(1296+W44*99,3)</f>
        <v>1438.56</v>
      </c>
      <c r="AA44" s="31" t="s">
        <v>106</v>
      </c>
      <c r="AB44" s="30">
        <f>TRUNC(0.0112142857,3)</f>
        <v>1.0999999999999999E-2</v>
      </c>
      <c r="AC44" s="30"/>
      <c r="AD44" s="30">
        <f>TRUNC(AE44-AB44*(9.9-agent!L$3)*10,3)</f>
        <v>10.84</v>
      </c>
      <c r="AE44" s="30">
        <f>TRUNC(10.125+AB44*99,3)</f>
        <v>11.214</v>
      </c>
    </row>
    <row r="45" spans="4:31" x14ac:dyDescent="0.15">
      <c r="D45" s="30" t="s">
        <v>25</v>
      </c>
      <c r="E45" s="31" t="s">
        <v>81</v>
      </c>
      <c r="F45" s="30" t="str">
        <f>PK10Source!E132</f>
        <v>01 02 03 04 05 06 07 08 09 10,01 02 03 04 05 06 07 08 09 10</v>
      </c>
      <c r="G45" s="30">
        <f t="shared" si="3"/>
        <v>1</v>
      </c>
      <c r="H45" s="30">
        <f t="shared" si="3"/>
        <v>1</v>
      </c>
      <c r="I45" s="33">
        <f>PK10Source!E144</f>
        <v>180</v>
      </c>
      <c r="J45" s="30">
        <f t="shared" si="4"/>
        <v>6.12</v>
      </c>
      <c r="K45" s="33">
        <f>PK10Source!E115</f>
        <v>173.7</v>
      </c>
      <c r="L45" s="30" t="e">
        <f t="shared" si="1"/>
        <v>#VALUE!</v>
      </c>
      <c r="M45" s="30">
        <f>IF(ISNUMBER(agent!$O$6*(K45/Y45)*$W45),TRUNC(agent!$O$6*(K45/Y45)*$W45,3),"没有上级")</f>
        <v>0.18</v>
      </c>
      <c r="N45" s="30">
        <f>IF(ISNUMBER(agent!$O$9*(K45/Y45)*$W45),TRUNC(agent!$O$9*(K45/Y45)*$W45,3),"没有上级")</f>
        <v>1.08</v>
      </c>
      <c r="O45" s="30">
        <f>IF(ISNUMBER(agent!$O$12*(K45/Y45)*$W45),TRUNC(agent!$O$12*(K45/Y45)*$W45,3),"没有上级")</f>
        <v>0.36</v>
      </c>
      <c r="P45" s="30">
        <f>IF(ISNUMBER(agent!$O$15*(K45/Y45)*$W45),TRUNC(agent!$O$15*(K45/Y45)*$W45,3),"没有上级")</f>
        <v>0.72</v>
      </c>
      <c r="Q45" s="30">
        <f>IF(ISNUMBER(agent!$O$18*(K45/Y45)*$W45),TRUNC(agent!$O$18*(K45/Y45)*$W45,3),"没有上级")</f>
        <v>0.54</v>
      </c>
      <c r="R45" s="30">
        <f>IF(ISNUMBER(agent!$O$21*(K45/Y45)*$W45),TRUNC(agent!$O$21*(K45/Y45)*$W45,3),"没有上级")</f>
        <v>0.18</v>
      </c>
      <c r="S45" s="30">
        <f>IF(ISNUMBER(agent!$O$24*(K45/Y45)*$W45),TRUNC(agent!$O$24*(K45/Y45)*$W45,3),"没有上级")</f>
        <v>1.26</v>
      </c>
      <c r="T45" s="30">
        <f>IF(ISNUMBER(agent!$O$27*(K45/Y45)*$W45),TRUNC(agent!$O$27*(K45/Y45)*$W45,3),"没有上级")</f>
        <v>0.54</v>
      </c>
      <c r="U45" s="30">
        <f>IF(ISNUMBER(agent!$O$30*(K45/Y45)*$W45),TRUNC(agent!$O$30*(K45/Y45)*$W45,3),"没有上级")</f>
        <v>0.72</v>
      </c>
      <c r="V45" s="30">
        <f>IF(ISNUMBER(agent!$O$33*(K45/Y45)*$W45),TRUNC(agent!$O$33*(K45/Y45)*$W45,3),"没有上级")</f>
        <v>0.54</v>
      </c>
      <c r="W45" s="30">
        <f>TRUNC(0.18,3)</f>
        <v>0.18</v>
      </c>
      <c r="X45" s="30"/>
      <c r="Y45" s="30">
        <f>TRUNC(Z45-W45*(9.9-agent!L$3)*10,3)</f>
        <v>173.7</v>
      </c>
      <c r="Z45" s="30">
        <f>TRUNC(162+W45*99,3)</f>
        <v>179.82</v>
      </c>
      <c r="AA45" s="31" t="s">
        <v>107</v>
      </c>
      <c r="AB45" s="30">
        <f>TRUNC(0.009,3)</f>
        <v>8.9999999999999993E-3</v>
      </c>
      <c r="AC45" s="30"/>
      <c r="AD45" s="30">
        <f>TRUNC(AE45-AB45*(9.9-agent!L$3)*10,3)</f>
        <v>8.6850000000000005</v>
      </c>
      <c r="AE45" s="30">
        <f>TRUNC(8.1+AB45*99,3)</f>
        <v>8.9909999999999997</v>
      </c>
    </row>
    <row r="46" spans="4:31" x14ac:dyDescent="0.15">
      <c r="D46" s="30" t="s">
        <v>25</v>
      </c>
      <c r="E46" s="30" t="s">
        <v>24</v>
      </c>
      <c r="F46" s="30" t="str">
        <f>PK10Source!E133</f>
        <v>02 03,08 09,09 04,05 09</v>
      </c>
      <c r="G46" s="30">
        <f t="shared" si="3"/>
        <v>2</v>
      </c>
      <c r="H46" s="30">
        <f t="shared" si="3"/>
        <v>1</v>
      </c>
      <c r="I46" s="33">
        <f>PK10Source!E145</f>
        <v>12</v>
      </c>
      <c r="J46" s="30">
        <f t="shared" si="4"/>
        <v>0</v>
      </c>
      <c r="K46" s="33">
        <f>PK10Source!E116</f>
        <v>0</v>
      </c>
      <c r="L46" s="30" t="e">
        <f t="shared" si="1"/>
        <v>#VALUE!</v>
      </c>
      <c r="M46" s="30">
        <f>IF(ISNUMBER(agent!$O$6*(K46/Y46)*$W46),TRUNC(agent!$O$6*(K46/Y46)*$W46,3),"没有上级")</f>
        <v>0</v>
      </c>
      <c r="N46" s="30">
        <f>IF(ISNUMBER(agent!$O$9*(K46/Y46)*$W46),TRUNC(agent!$O$9*(K46/Y46)*$W46,3),"没有上级")</f>
        <v>0</v>
      </c>
      <c r="O46" s="30">
        <f>IF(ISNUMBER(agent!$O$12*(K46/Y46)*$W46),TRUNC(agent!$O$12*(K46/Y46)*$W46,3),"没有上级")</f>
        <v>0</v>
      </c>
      <c r="P46" s="30">
        <f>IF(ISNUMBER(agent!$O$15*(K46/Y46)*$W46),TRUNC(agent!$O$15*(K46/Y46)*$W46,3),"没有上级")</f>
        <v>0</v>
      </c>
      <c r="Q46" s="30">
        <f>IF(ISNUMBER(agent!$O$18*(K46/Y46)*$W46),TRUNC(agent!$O$18*(K46/Y46)*$W46,3),"没有上级")</f>
        <v>0</v>
      </c>
      <c r="R46" s="30">
        <f>IF(ISNUMBER(agent!$O$21*(K46/Y46)*$W46),TRUNC(agent!$O$21*(K46/Y46)*$W46,3),"没有上级")</f>
        <v>0</v>
      </c>
      <c r="S46" s="30">
        <f>IF(ISNUMBER(agent!$O$24*(K46/Y46)*$W46),TRUNC(agent!$O$24*(K46/Y46)*$W46,3),"没有上级")</f>
        <v>0</v>
      </c>
      <c r="T46" s="30">
        <f>IF(ISNUMBER(agent!$O$27*(K46/Y46)*$W46),TRUNC(agent!$O$27*(K46/Y46)*$W46,3),"没有上级")</f>
        <v>0</v>
      </c>
      <c r="U46" s="30">
        <f>IF(ISNUMBER(agent!$O$30*(K46/Y46)*$W46),TRUNC(agent!$O$30*(K46/Y46)*$W46,3),"没有上级")</f>
        <v>0</v>
      </c>
      <c r="V46" s="30">
        <f>IF(ISNUMBER(agent!$O$33*(K46/Y46)*$W46),TRUNC(agent!$O$33*(K46/Y46)*$W46,3),"没有上级")</f>
        <v>0</v>
      </c>
      <c r="W46" s="30">
        <f>TRUNC(0.18,3)</f>
        <v>0.18</v>
      </c>
      <c r="X46" s="30"/>
      <c r="Y46" s="30">
        <f>TRUNC(Z46-W46*(9.9-agent!L$3)*10,3)</f>
        <v>173.7</v>
      </c>
      <c r="Z46" s="30">
        <f>TRUNC(162+W46*99,3)</f>
        <v>179.82</v>
      </c>
      <c r="AA46" s="31" t="s">
        <v>108</v>
      </c>
      <c r="AB46" s="30">
        <f>AB44</f>
        <v>1.0999999999999999E-2</v>
      </c>
      <c r="AC46" s="30"/>
      <c r="AD46" s="30">
        <f>AD44</f>
        <v>10.84</v>
      </c>
      <c r="AE46" s="30">
        <f>AE44</f>
        <v>11.214</v>
      </c>
    </row>
    <row r="47" spans="4:31" x14ac:dyDescent="0.15">
      <c r="D47" s="30" t="s">
        <v>26</v>
      </c>
      <c r="E47" s="31" t="s">
        <v>81</v>
      </c>
      <c r="F47" s="30" t="str">
        <f>PK10Source!E134</f>
        <v xml:space="preserve">01 02 03 04 05 06 07 08 09 10 </v>
      </c>
      <c r="G47" s="30">
        <f t="shared" si="3"/>
        <v>3</v>
      </c>
      <c r="H47" s="30">
        <f t="shared" si="3"/>
        <v>1</v>
      </c>
      <c r="I47" s="33">
        <f>PK10Source!E146</f>
        <v>60</v>
      </c>
      <c r="J47" s="30">
        <f t="shared" si="4"/>
        <v>2.04</v>
      </c>
      <c r="K47" s="33">
        <f>PK10Source!E117</f>
        <v>57.900000000000006</v>
      </c>
      <c r="L47" s="30" t="e">
        <f t="shared" si="1"/>
        <v>#VALUE!</v>
      </c>
      <c r="M47" s="30">
        <f>IF(ISNUMBER(agent!$O$6*(K47/Y47)*$W47),TRUNC(agent!$O$6*(K47/Y47)*$W47,3),"没有上级")</f>
        <v>0.06</v>
      </c>
      <c r="N47" s="30">
        <f>IF(ISNUMBER(agent!$O$9*(K47/Y47)*$W47),TRUNC(agent!$O$9*(K47/Y47)*$W47,3),"没有上级")</f>
        <v>0.36</v>
      </c>
      <c r="O47" s="30">
        <f>IF(ISNUMBER(agent!$O$12*(K47/Y47)*$W47),TRUNC(agent!$O$12*(K47/Y47)*$W47,3),"没有上级")</f>
        <v>0.12</v>
      </c>
      <c r="P47" s="30">
        <f>IF(ISNUMBER(agent!$O$15*(K47/Y47)*$W47),TRUNC(agent!$O$15*(K47/Y47)*$W47,3),"没有上级")</f>
        <v>0.24</v>
      </c>
      <c r="Q47" s="30">
        <f>IF(ISNUMBER(agent!$O$18*(K47/Y47)*$W47),TRUNC(agent!$O$18*(K47/Y47)*$W47,3),"没有上级")</f>
        <v>0.18</v>
      </c>
      <c r="R47" s="30">
        <f>IF(ISNUMBER(agent!$O$21*(K47/Y47)*$W47),TRUNC(agent!$O$21*(K47/Y47)*$W47,3),"没有上级")</f>
        <v>0.06</v>
      </c>
      <c r="S47" s="30">
        <f>IF(ISNUMBER(agent!$O$24*(K47/Y47)*$W47),TRUNC(agent!$O$24*(K47/Y47)*$W47,3),"没有上级")</f>
        <v>0.42</v>
      </c>
      <c r="T47" s="30">
        <f>IF(ISNUMBER(agent!$O$27*(K47/Y47)*$W47),TRUNC(agent!$O$27*(K47/Y47)*$W47,3),"没有上级")</f>
        <v>0.18</v>
      </c>
      <c r="U47" s="30">
        <f>IF(ISNUMBER(agent!$O$30*(K47/Y47)*$W47),TRUNC(agent!$O$30*(K47/Y47)*$W47,3),"没有上级")</f>
        <v>0.24</v>
      </c>
      <c r="V47" s="30">
        <f>IF(ISNUMBER(agent!$O$33*(K47/Y47)*$W47),TRUNC(agent!$O$33*(K47/Y47)*$W47,3),"没有上级")</f>
        <v>0.18</v>
      </c>
      <c r="W47" s="30">
        <f>TRUNC(0.02,3)</f>
        <v>0.02</v>
      </c>
      <c r="X47" s="30"/>
      <c r="Y47" s="30">
        <f>TRUNC(Z47-W47*(9.9-agent!L$3)*10,3)</f>
        <v>19.3</v>
      </c>
      <c r="Z47" s="30">
        <f>TRUNC(18+W47*99,3)</f>
        <v>19.98</v>
      </c>
      <c r="AA47" s="31" t="s">
        <v>109</v>
      </c>
      <c r="AB47" s="30">
        <f>AB43</f>
        <v>1.4999999999999999E-2</v>
      </c>
      <c r="AC47" s="30"/>
      <c r="AD47" s="30">
        <f>AD43</f>
        <v>14.475</v>
      </c>
      <c r="AE47" s="30">
        <f>AE43</f>
        <v>14.984999999999999</v>
      </c>
    </row>
    <row r="48" spans="4:31" x14ac:dyDescent="0.15">
      <c r="D48" s="30" t="s">
        <v>27</v>
      </c>
      <c r="E48" s="30" t="s">
        <v>28</v>
      </c>
      <c r="F48" s="30" t="str">
        <f>PK10Source!E135</f>
        <v>和大 和小 和单 和双,03 04 05 06 07 08 09 10 11 12 13 14 15 16 17 18 19</v>
      </c>
      <c r="G48" s="30">
        <f t="shared" si="3"/>
        <v>1</v>
      </c>
      <c r="H48" s="30">
        <f t="shared" si="3"/>
        <v>3</v>
      </c>
      <c r="I48" s="33">
        <f>PK10Source!E147</f>
        <v>63</v>
      </c>
      <c r="J48" s="30">
        <f t="shared" si="4"/>
        <v>1.8359999999999999</v>
      </c>
      <c r="K48" s="33">
        <f>PK10Source!E118</f>
        <v>0</v>
      </c>
      <c r="L48" s="30" t="e">
        <f t="shared" si="1"/>
        <v>#VALUE!</v>
      </c>
      <c r="M48" s="30">
        <f>IF(ISNUMBER(agent!$O$6*$Y48*$W48),TRUNC(agent!$O$6*H48*W48,3),"没有上级")</f>
        <v>5.3999999999999999E-2</v>
      </c>
      <c r="N48" s="30">
        <f>IF(ISNUMBER(agent!$O$9*$Y48*$W48),TRUNC(agent!$O$9*H48*W48,3),"没有上级")</f>
        <v>0.32400000000000001</v>
      </c>
      <c r="O48" s="30">
        <f>IF(ISNUMBER(agent!$O$12*$Y48*$W48),TRUNC(agent!$O$12*H48*W48,3),"没有上级")</f>
        <v>0.108</v>
      </c>
      <c r="P48" s="30">
        <f>IF(ISNUMBER(agent!$O$15*$Y48*$W48),TRUNC(agent!$O$15*H48*W48,3),"没有上级")</f>
        <v>0.216</v>
      </c>
      <c r="Q48" s="30">
        <f>IF(ISNUMBER(agent!$O$18*$Y48*$W48),TRUNC(agent!$O$18*H48*W48,3),"没有上级")</f>
        <v>0.16200000000000001</v>
      </c>
      <c r="R48" s="30">
        <f>IF(ISNUMBER(agent!$O$21*$Y48*$W48),TRUNC(agent!$O$21*H48*W48,3),"没有上级")</f>
        <v>5.3999999999999999E-2</v>
      </c>
      <c r="S48" s="30">
        <f>IF(ISNUMBER(agent!$O$24*$Y48*$W48),TRUNC(agent!$O$24*H48*W48,3),"没有上级")</f>
        <v>0.378</v>
      </c>
      <c r="T48" s="30">
        <f>IF(ISNUMBER(agent!$O$27*$Y48*$W48),TRUNC(agent!$O$27*H48*W48,3),"没有上级")</f>
        <v>0.16200000000000001</v>
      </c>
      <c r="U48" s="30">
        <f>IF(ISNUMBER(agent!$O$30*$Y48*$W48),TRUNC(agent!$O$30*H48*W48,3),"没有上级")</f>
        <v>0.216</v>
      </c>
      <c r="V48" s="30">
        <f>IF(ISNUMBER(agent!$O$33*$Y48*$W48),TRUNC(agent!$O$33*H48*W48,3),"没有上级")</f>
        <v>0.16200000000000001</v>
      </c>
      <c r="W48" s="30">
        <f>SUM(PK10Source!T65:T73)</f>
        <v>1.7999999999999999E-2</v>
      </c>
      <c r="X48" s="30"/>
      <c r="Y48" s="30">
        <f>SUM(PK10Source!S65:S73)</f>
        <v>17.37</v>
      </c>
      <c r="Z48" s="30">
        <f>SUM(PK10Source!U65:U73)</f>
        <v>17.981999999999999</v>
      </c>
      <c r="AA48" s="31" t="s">
        <v>110</v>
      </c>
      <c r="AB48" s="30">
        <f>AB42</f>
        <v>2.1999999999999999E-2</v>
      </c>
      <c r="AC48" s="30"/>
      <c r="AD48" s="30">
        <f>AD42</f>
        <v>21.68</v>
      </c>
      <c r="AE48" s="30">
        <f>AE42</f>
        <v>22.428000000000001</v>
      </c>
    </row>
    <row r="49" spans="4:31" x14ac:dyDescent="0.15">
      <c r="D49" s="30" t="s">
        <v>29</v>
      </c>
      <c r="E49" s="30" t="s">
        <v>30</v>
      </c>
      <c r="F49" s="30" t="str">
        <f>PK10Source!E136</f>
        <v>大 小 单 双 龙 虎,大 小 单 双 龙 虎,大 小 单 双 龙 虎,大 小 单 双 龙 虎,大 小 单 双 龙 虎,大 小 单 双,大 小 单 双,大 小 单 双,大 小 单 双,大 小 单 双</v>
      </c>
      <c r="G49" s="30">
        <f t="shared" si="3"/>
        <v>1</v>
      </c>
      <c r="H49" s="30">
        <f t="shared" si="3"/>
        <v>4</v>
      </c>
      <c r="I49" s="33">
        <f>PK10Source!E148</f>
        <v>200</v>
      </c>
      <c r="J49" s="30">
        <f t="shared" si="4"/>
        <v>6.7999999999999989</v>
      </c>
      <c r="K49" s="33">
        <f>PK10Source!E119</f>
        <v>193</v>
      </c>
      <c r="L49" s="30" t="e">
        <f t="shared" si="1"/>
        <v>#VALUE!</v>
      </c>
      <c r="M49" s="30">
        <f>IF(ISNUMBER(agent!$O$6*(K49/Y49)*$W49),TRUNC(agent!$O$6*(K49/Y49)*$W49,3),"没有上级")</f>
        <v>0.2</v>
      </c>
      <c r="N49" s="30">
        <f>IF(ISNUMBER(agent!$O$9*(K49/Y49)*$W49),TRUNC(agent!$O$9*(K49/Y49)*$W49,3),"没有上级")</f>
        <v>1.2</v>
      </c>
      <c r="O49" s="30">
        <f>IF(ISNUMBER(agent!$O$12*(K49/Y49)*$W49),TRUNC(agent!$O$12*(K49/Y49)*$W49,3),"没有上级")</f>
        <v>0.4</v>
      </c>
      <c r="P49" s="30">
        <f>IF(ISNUMBER(agent!$O$15*(K49/Y49)*$W49),TRUNC(agent!$O$15*(K49/Y49)*$W49,3),"没有上级")</f>
        <v>0.8</v>
      </c>
      <c r="Q49" s="30">
        <f>IF(ISNUMBER(agent!$O$18*(K49/Y49)*$W49),TRUNC(agent!$O$18*(K49/Y49)*$W49,3),"没有上级")</f>
        <v>0.6</v>
      </c>
      <c r="R49" s="30">
        <f>IF(ISNUMBER(agent!$O$21*(K49/Y49)*$W49),TRUNC(agent!$O$21*(K49/Y49)*$W49,3),"没有上级")</f>
        <v>0.2</v>
      </c>
      <c r="S49" s="30">
        <f>IF(ISNUMBER(agent!$O$24*(K49/Y49)*$W49),TRUNC(agent!$O$24*(K49/Y49)*$W49,3),"没有上级")</f>
        <v>1.4</v>
      </c>
      <c r="T49" s="30">
        <f>IF(ISNUMBER(agent!$O$27*(K49/Y49)*$W49),TRUNC(agent!$O$27*(K49/Y49)*$W49,3),"没有上级")</f>
        <v>0.6</v>
      </c>
      <c r="U49" s="30">
        <f>IF(ISNUMBER(agent!$O$30*(K49/Y49)*$W49),TRUNC(agent!$O$30*(K49/Y49)*$W49,3),"没有上级")</f>
        <v>0.8</v>
      </c>
      <c r="V49" s="30">
        <f>IF(ISNUMBER(agent!$O$33*(K49/Y49)*$W49),TRUNC(agent!$O$33*(K49/Y49)*$W49,3),"没有上级")</f>
        <v>0.6</v>
      </c>
      <c r="W49" s="30">
        <f>TRUNC(0.002,3)</f>
        <v>2E-3</v>
      </c>
      <c r="X49" s="30"/>
      <c r="Y49" s="30">
        <f>TRUNC(Z49-W49*(9.9-agent!L$3)*10,3)</f>
        <v>1.93</v>
      </c>
      <c r="Z49" s="30">
        <f>TRUNC(1.8+W49*99,3)</f>
        <v>1.998</v>
      </c>
      <c r="AA49" s="31" t="s">
        <v>111</v>
      </c>
      <c r="AB49" s="30">
        <f>AB41</f>
        <v>4.4999999999999998E-2</v>
      </c>
      <c r="AC49" s="30"/>
      <c r="AD49" s="30">
        <f>AD41</f>
        <v>43.424999999999997</v>
      </c>
      <c r="AE49" s="30">
        <f>AE41</f>
        <v>44.954999999999998</v>
      </c>
    </row>
    <row r="50" spans="4:31" s="33" customFormat="1" x14ac:dyDescent="0.15">
      <c r="D50" s="33" t="s">
        <v>56</v>
      </c>
      <c r="E50" s="33" t="s">
        <v>18</v>
      </c>
      <c r="F50" s="30" t="str">
        <f>PK10Source!E166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50" s="30">
        <f t="shared" si="3"/>
        <v>2</v>
      </c>
      <c r="H50" s="30">
        <f t="shared" si="3"/>
        <v>1</v>
      </c>
      <c r="I50" s="33">
        <f>PK10Source!E178</f>
        <v>400</v>
      </c>
      <c r="J50" s="33">
        <f t="shared" si="4"/>
        <v>13.599999999999998</v>
      </c>
      <c r="K50" s="33">
        <f>PK10Source!E149</f>
        <v>386</v>
      </c>
      <c r="L50" s="30" t="e">
        <f t="shared" si="1"/>
        <v>#VALUE!</v>
      </c>
      <c r="M50" s="33">
        <f>IF(ISNUMBER(agent!$O$6*(K50/Y50)*$W50),TRUNC(agent!$O$6*(K50/Y50)*$W50,3),"没有上级")</f>
        <v>0.4</v>
      </c>
      <c r="N50" s="33">
        <f>IF(ISNUMBER(agent!$O$9*(K50/Y50)*$W50),TRUNC(agent!$O$9*(K50/Y50)*$W50,3),"没有上级")</f>
        <v>2.4</v>
      </c>
      <c r="O50" s="33">
        <f>IF(ISNUMBER(agent!$O$12*(K50/Y50)*$W50),TRUNC(agent!$O$12*(K50/Y50)*$W50,3),"没有上级")</f>
        <v>0.8</v>
      </c>
      <c r="P50" s="33">
        <f>IF(ISNUMBER(agent!$O$15*(K50/Y50)*$W50),TRUNC(agent!$O$15*(K50/Y50)*$W50,3),"没有上级")</f>
        <v>1.6</v>
      </c>
      <c r="Q50" s="33">
        <f>IF(ISNUMBER(agent!$O$18*(K50/Y50)*$W50),TRUNC(agent!$O$18*(K50/Y50)*$W50,3),"没有上级")</f>
        <v>1.2</v>
      </c>
      <c r="R50" s="33">
        <f>IF(ISNUMBER(agent!$O$21*(K50/Y50)*$W50),TRUNC(agent!$O$21*(K50/Y50)*$W50,3),"没有上级")</f>
        <v>0.4</v>
      </c>
      <c r="S50" s="33">
        <f>IF(ISNUMBER(agent!$O$24*(K50/Y50)*$W50),TRUNC(agent!$O$24*(K50/Y50)*$W50,3),"没有上级")</f>
        <v>2.8</v>
      </c>
      <c r="T50" s="33">
        <f>IF(ISNUMBER(agent!$O$27*(K50/Y50)*$W50),TRUNC(agent!$O$27*(K50/Y50)*$W50,3),"没有上级")</f>
        <v>1.2</v>
      </c>
      <c r="U50" s="33">
        <f>IF(ISNUMBER(agent!$O$30*(K50/Y50)*$W50),TRUNC(agent!$O$30*(K50/Y50)*$W50,3),"没有上级")</f>
        <v>1.6</v>
      </c>
      <c r="V50" s="33">
        <f>IF(ISNUMBER(agent!$O$33*(K50/Y50)*$W50),TRUNC(agent!$O$33*(K50/Y50)*$W50,3),"没有上级")</f>
        <v>1.2</v>
      </c>
      <c r="W50" s="33">
        <f>TRUNC(0.02,3)</f>
        <v>0.02</v>
      </c>
      <c r="Y50" s="33">
        <f>TRUNC(Z50-W50*(9.9-agent!L$3)*10,3)</f>
        <v>19.3</v>
      </c>
      <c r="Z50" s="33">
        <f>TRUNC(18+W50*99,3)</f>
        <v>19.98</v>
      </c>
      <c r="AA50" s="33" t="s">
        <v>100</v>
      </c>
      <c r="AB50" s="33" t="s">
        <v>112</v>
      </c>
      <c r="AD50" s="33" t="s">
        <v>113</v>
      </c>
      <c r="AE50" s="33" t="s">
        <v>225</v>
      </c>
    </row>
    <row r="51" spans="4:31" x14ac:dyDescent="0.15">
      <c r="D51" s="30" t="s">
        <v>19</v>
      </c>
      <c r="E51" s="31" t="s">
        <v>81</v>
      </c>
      <c r="F51" s="30" t="str">
        <f>PK10Source!E167</f>
        <v>01 02 08,03 04 09,01 05 06,02 07 08,03 09 10</v>
      </c>
      <c r="G51" s="30">
        <f t="shared" si="3"/>
        <v>1</v>
      </c>
      <c r="H51" s="30">
        <f t="shared" si="3"/>
        <v>1</v>
      </c>
      <c r="I51" s="33">
        <f>PK10Source!E179</f>
        <v>302400</v>
      </c>
      <c r="J51" s="30">
        <f t="shared" si="4"/>
        <v>0</v>
      </c>
      <c r="K51" s="33">
        <f>PK10Source!E150</f>
        <v>0</v>
      </c>
      <c r="L51" s="30" t="e">
        <f t="shared" si="1"/>
        <v>#VALUE!</v>
      </c>
      <c r="M51" s="30">
        <f>IF(ISNUMBER(agent!$O$6*(K51/Y51)*$W51),TRUNC(agent!$O$6*(K51/Y51)*$W51,3),"没有上级")</f>
        <v>0</v>
      </c>
      <c r="N51" s="30">
        <f>IF(ISNUMBER(agent!$O$9*(K51/Y51)*$W51),TRUNC(agent!$O$9*(K51/Y51)*$W51,3),"没有上级")</f>
        <v>0</v>
      </c>
      <c r="O51" s="30">
        <f>IF(ISNUMBER(agent!$O$12*(K51/Y51)*$W51),TRUNC(agent!$O$12*(K51/Y51)*$W51,3),"没有上级")</f>
        <v>0</v>
      </c>
      <c r="P51" s="30">
        <f>IF(ISNUMBER(agent!$O$15*(K51/Y51)*$W51),TRUNC(agent!$O$15*(K51/Y51)*$W51,3),"没有上级")</f>
        <v>0</v>
      </c>
      <c r="Q51" s="30">
        <f>IF(ISNUMBER(agent!$O$18*(K51/Y51)*$W51),TRUNC(agent!$O$18*(K51/Y51)*$W51,3),"没有上级")</f>
        <v>0</v>
      </c>
      <c r="R51" s="30">
        <f>IF(ISNUMBER(agent!$O$21*(K51/Y51)*$W51),TRUNC(agent!$O$21*(K51/Y51)*$W51,3),"没有上级")</f>
        <v>0</v>
      </c>
      <c r="S51" s="30">
        <f>IF(ISNUMBER(agent!$O$24*(K51/Y51)*$W51),TRUNC(agent!$O$24*(K51/Y51)*$W51,3),"没有上级")</f>
        <v>0</v>
      </c>
      <c r="T51" s="30">
        <f>IF(ISNUMBER(agent!$O$27*(K51/Y51)*$W51),TRUNC(agent!$O$27*(K51/Y51)*$W51,3),"没有上级")</f>
        <v>0</v>
      </c>
      <c r="U51" s="30">
        <f>IF(ISNUMBER(agent!$O$30*(K51/Y51)*$W51),TRUNC(agent!$O$30*(K51/Y51)*$W51,3),"没有上级")</f>
        <v>0</v>
      </c>
      <c r="V51" s="30">
        <f>IF(ISNUMBER(agent!$O$33*(K51/Y51)*$W51),TRUNC(agent!$O$33*(K51/Y51)*$W51,3),"没有上级")</f>
        <v>0</v>
      </c>
      <c r="W51" s="30">
        <f>TRUNC(60.48,3)</f>
        <v>60.48</v>
      </c>
      <c r="X51" s="30"/>
      <c r="Y51" s="30">
        <f>TRUNC(Z51-W51*(9.9-agent!L$3)*10,3)</f>
        <v>58363.199999999997</v>
      </c>
      <c r="Z51" s="30">
        <f>TRUNC(54432+W51*99,3)</f>
        <v>60419.519999999997</v>
      </c>
      <c r="AA51" s="31" t="s">
        <v>101</v>
      </c>
      <c r="AB51" s="30">
        <f>TRUNC(0.002257,3)</f>
        <v>2E-3</v>
      </c>
      <c r="AC51" s="30"/>
      <c r="AD51" s="30">
        <f>TRUNC(AE51-AB51*(9.9-agent!L$3)*10,3)</f>
        <v>2.1549999999999998</v>
      </c>
      <c r="AE51" s="30">
        <f>TRUNC(2.025+AB51*99,3)</f>
        <v>2.2229999999999999</v>
      </c>
    </row>
    <row r="52" spans="4:31" x14ac:dyDescent="0.15">
      <c r="D52" s="30" t="s">
        <v>19</v>
      </c>
      <c r="E52" s="30" t="s">
        <v>20</v>
      </c>
      <c r="F52" s="30" t="str">
        <f>PK10Source!E168</f>
        <v>08 09 01 02 03</v>
      </c>
      <c r="G52" s="30">
        <f t="shared" si="3"/>
        <v>3</v>
      </c>
      <c r="H52" s="30">
        <f t="shared" si="3"/>
        <v>1</v>
      </c>
      <c r="I52" s="33">
        <f>PK10Source!E180</f>
        <v>6</v>
      </c>
      <c r="J52" s="30">
        <f t="shared" si="4"/>
        <v>0</v>
      </c>
      <c r="K52" s="33">
        <f>PK10Source!E151</f>
        <v>0</v>
      </c>
      <c r="L52" s="30" t="e">
        <f t="shared" si="1"/>
        <v>#VALUE!</v>
      </c>
      <c r="M52" s="30">
        <f>IF(ISNUMBER(agent!$O$6*(K52/Y52)*$W52),TRUNC(agent!$O$6*(K52/Y52)*$W52,3),"没有上级")</f>
        <v>0</v>
      </c>
      <c r="N52" s="30">
        <f>IF(ISNUMBER(agent!$O$9*(K52/Y52)*$W52),TRUNC(agent!$O$9*(K52/Y52)*$W52,3),"没有上级")</f>
        <v>0</v>
      </c>
      <c r="O52" s="30">
        <f>IF(ISNUMBER(agent!$O$12*(K52/Y52)*$W52),TRUNC(agent!$O$12*(K52/Y52)*$W52,3),"没有上级")</f>
        <v>0</v>
      </c>
      <c r="P52" s="30">
        <f>IF(ISNUMBER(agent!$O$15*(K52/Y52)*$W52),TRUNC(agent!$O$15*(K52/Y52)*$W52,3),"没有上级")</f>
        <v>0</v>
      </c>
      <c r="Q52" s="30">
        <f>IF(ISNUMBER(agent!$O$18*(K52/Y52)*$W52),TRUNC(agent!$O$18*(K52/Y52)*$W52,3),"没有上级")</f>
        <v>0</v>
      </c>
      <c r="R52" s="30">
        <f>IF(ISNUMBER(agent!$O$21*(K52/Y52)*$W52),TRUNC(agent!$O$21*(K52/Y52)*$W52,3),"没有上级")</f>
        <v>0</v>
      </c>
      <c r="S52" s="30">
        <f>IF(ISNUMBER(agent!$O$24*(K52/Y52)*$W52),TRUNC(agent!$O$24*(K52/Y52)*$W52,3),"没有上级")</f>
        <v>0</v>
      </c>
      <c r="T52" s="30">
        <f>IF(ISNUMBER(agent!$O$27*(K52/Y52)*$W52),TRUNC(agent!$O$27*(K52/Y52)*$W52,3),"没有上级")</f>
        <v>0</v>
      </c>
      <c r="U52" s="30">
        <f>IF(ISNUMBER(agent!$O$30*(K52/Y52)*$W52),TRUNC(agent!$O$30*(K52/Y52)*$W52,3),"没有上级")</f>
        <v>0</v>
      </c>
      <c r="V52" s="30">
        <f>IF(ISNUMBER(agent!$O$33*(K52/Y52)*$W52),TRUNC(agent!$O$33*(K52/Y52)*$W52,3),"没有上级")</f>
        <v>0</v>
      </c>
      <c r="W52" s="30">
        <f>TRUNC(60.48,3)</f>
        <v>60.48</v>
      </c>
      <c r="X52" s="30"/>
      <c r="Y52" s="30">
        <f>TRUNC(Z52-W52*(9.9-agent!L$3)*10,3)</f>
        <v>58363.199999999997</v>
      </c>
      <c r="Z52" s="30">
        <f>TRUNC(54432+W52*99,3)</f>
        <v>60419.519999999997</v>
      </c>
      <c r="AA52" s="31" t="s">
        <v>102</v>
      </c>
      <c r="AB52" s="30">
        <f>TRUNC(0.0018,3)</f>
        <v>1E-3</v>
      </c>
      <c r="AC52" s="30"/>
      <c r="AD52" s="30">
        <f>TRUNC(AE52-AB52*(9.9-agent!L$3)*10,3)</f>
        <v>1.6850000000000001</v>
      </c>
      <c r="AE52" s="30">
        <f>TRUNC(1.62+AB52*99,3)</f>
        <v>1.7190000000000001</v>
      </c>
    </row>
    <row r="53" spans="4:31" x14ac:dyDescent="0.15">
      <c r="D53" s="30" t="s">
        <v>21</v>
      </c>
      <c r="E53" s="31" t="s">
        <v>81</v>
      </c>
      <c r="F53" s="30" t="str">
        <f>PK10Source!E169</f>
        <v>01 02 03 04 05 06 07 08 09 10,01 02 03 04 05 06 07 08 09 10,01 02 03 04 05 06 07 08 09 10,01 02 03 04 05 06 07 08 09 10</v>
      </c>
      <c r="G53" s="30">
        <f t="shared" si="3"/>
        <v>1</v>
      </c>
      <c r="H53" s="30">
        <f t="shared" si="3"/>
        <v>1</v>
      </c>
      <c r="I53" s="33">
        <f>PK10Source!E181</f>
        <v>10080</v>
      </c>
      <c r="J53" s="30">
        <f t="shared" si="4"/>
        <v>342.72</v>
      </c>
      <c r="K53" s="33">
        <f>PK10Source!E152</f>
        <v>9727.2000000000007</v>
      </c>
      <c r="L53" s="30" t="e">
        <f t="shared" si="1"/>
        <v>#VALUE!</v>
      </c>
      <c r="M53" s="30">
        <f>IF(ISNUMBER(agent!$O$6*(K53/Y53)*$W53),TRUNC(agent!$O$6*(K53/Y53)*$W53,3),"没有上级")</f>
        <v>10.08</v>
      </c>
      <c r="N53" s="30">
        <f>IF(ISNUMBER(agent!$O$9*(K53/Y53)*$W53),TRUNC(agent!$O$9*(K53/Y53)*$W53,3),"没有上级")</f>
        <v>60.48</v>
      </c>
      <c r="O53" s="30">
        <f>IF(ISNUMBER(agent!$O$12*(K53/Y53)*$W53),TRUNC(agent!$O$12*(K53/Y53)*$W53,3),"没有上级")</f>
        <v>20.16</v>
      </c>
      <c r="P53" s="30">
        <f>IF(ISNUMBER(agent!$O$15*(K53/Y53)*$W53),TRUNC(agent!$O$15*(K53/Y53)*$W53,3),"没有上级")</f>
        <v>40.32</v>
      </c>
      <c r="Q53" s="30">
        <f>IF(ISNUMBER(agent!$O$18*(K53/Y53)*$W53),TRUNC(agent!$O$18*(K53/Y53)*$W53,3),"没有上级")</f>
        <v>30.24</v>
      </c>
      <c r="R53" s="30">
        <f>IF(ISNUMBER(agent!$O$21*(K53/Y53)*$W53),TRUNC(agent!$O$21*(K53/Y53)*$W53,3),"没有上级")</f>
        <v>10.08</v>
      </c>
      <c r="S53" s="30">
        <f>IF(ISNUMBER(agent!$O$24*(K53/Y53)*$W53),TRUNC(agent!$O$24*(K53/Y53)*$W53,3),"没有上级")</f>
        <v>70.56</v>
      </c>
      <c r="T53" s="30">
        <f>IF(ISNUMBER(agent!$O$27*(K53/Y53)*$W53),TRUNC(agent!$O$27*(K53/Y53)*$W53,3),"没有上级")</f>
        <v>30.24</v>
      </c>
      <c r="U53" s="30">
        <f>IF(ISNUMBER(agent!$O$30*(K53/Y53)*$W53),TRUNC(agent!$O$30*(K53/Y53)*$W53,3),"没有上级")</f>
        <v>40.32</v>
      </c>
      <c r="V53" s="30">
        <f>IF(ISNUMBER(agent!$O$33*(K53/Y53)*$W53),TRUNC(agent!$O$33*(K53/Y53)*$W53,3),"没有上级")</f>
        <v>30.24</v>
      </c>
      <c r="W53" s="30">
        <f>TRUNC(10.08,3)</f>
        <v>10.08</v>
      </c>
      <c r="X53" s="30"/>
      <c r="Y53" s="30">
        <f>TRUNC(Z53-W53*(9.9-agent!L$3)*10,3)</f>
        <v>9727.2000000000007</v>
      </c>
      <c r="Z53" s="30">
        <f>TRUNC(9072+W53*99,3)</f>
        <v>10069.92</v>
      </c>
      <c r="AA53" s="31" t="s">
        <v>103</v>
      </c>
      <c r="AB53" s="30">
        <f>TRUNC(0.045,3)</f>
        <v>4.4999999999999998E-2</v>
      </c>
      <c r="AC53" s="30"/>
      <c r="AD53" s="30">
        <f>TRUNC(AE53-AB53*(9.9-agent!L$3)*10,3)</f>
        <v>43.424999999999997</v>
      </c>
      <c r="AE53" s="30">
        <f>TRUNC(40.5+AB53*99,3)</f>
        <v>44.954999999999998</v>
      </c>
    </row>
    <row r="54" spans="4:31" x14ac:dyDescent="0.15">
      <c r="D54" s="30" t="s">
        <v>21</v>
      </c>
      <c r="E54" s="30" t="s">
        <v>22</v>
      </c>
      <c r="F54" s="30" t="str">
        <f>PK10Source!E170</f>
        <v>08 09 01 02</v>
      </c>
      <c r="G54" s="30">
        <f t="shared" si="3"/>
        <v>2</v>
      </c>
      <c r="H54" s="30">
        <f t="shared" si="3"/>
        <v>1</v>
      </c>
      <c r="I54" s="33">
        <f>PK10Source!E182</f>
        <v>4</v>
      </c>
      <c r="J54" s="30">
        <f t="shared" si="4"/>
        <v>0</v>
      </c>
      <c r="K54" s="33">
        <f>PK10Source!E153</f>
        <v>0</v>
      </c>
      <c r="L54" s="30" t="e">
        <f t="shared" si="1"/>
        <v>#VALUE!</v>
      </c>
      <c r="M54" s="30">
        <f>IF(ISNUMBER(agent!$O$6*(K54/Y54)*$W54),TRUNC(agent!$O$6*(K54/Y54)*$W54,3),"没有上级")</f>
        <v>0</v>
      </c>
      <c r="N54" s="30">
        <f>IF(ISNUMBER(agent!$O$9*(K54/Y54)*$W54),TRUNC(agent!$O$9*(K54/Y54)*$W54,3),"没有上级")</f>
        <v>0</v>
      </c>
      <c r="O54" s="30">
        <f>IF(ISNUMBER(agent!$O$12*(K54/Y54)*$W54),TRUNC(agent!$O$12*(K54/Y54)*$W54,3),"没有上级")</f>
        <v>0</v>
      </c>
      <c r="P54" s="30">
        <f>IF(ISNUMBER(agent!$O$15*(K54/Y54)*$W54),TRUNC(agent!$O$15*(K54/Y54)*$W54,3),"没有上级")</f>
        <v>0</v>
      </c>
      <c r="Q54" s="30">
        <f>IF(ISNUMBER(agent!$O$18*(K54/Y54)*$W54),TRUNC(agent!$O$18*(K54/Y54)*$W54,3),"没有上级")</f>
        <v>0</v>
      </c>
      <c r="R54" s="30">
        <f>IF(ISNUMBER(agent!$O$21*(K54/Y54)*$W54),TRUNC(agent!$O$21*(K54/Y54)*$W54,3),"没有上级")</f>
        <v>0</v>
      </c>
      <c r="S54" s="30">
        <f>IF(ISNUMBER(agent!$O$24*(K54/Y54)*$W54),TRUNC(agent!$O$24*(K54/Y54)*$W54,3),"没有上级")</f>
        <v>0</v>
      </c>
      <c r="T54" s="30">
        <f>IF(ISNUMBER(agent!$O$27*(K54/Y54)*$W54),TRUNC(agent!$O$27*(K54/Y54)*$W54,3),"没有上级")</f>
        <v>0</v>
      </c>
      <c r="U54" s="30">
        <f>IF(ISNUMBER(agent!$O$30*(K54/Y54)*$W54),TRUNC(agent!$O$30*(K54/Y54)*$W54,3),"没有上级")</f>
        <v>0</v>
      </c>
      <c r="V54" s="30">
        <f>IF(ISNUMBER(agent!$O$33*(K54/Y54)*$W54),TRUNC(agent!$O$33*(K54/Y54)*$W54,3),"没有上级")</f>
        <v>0</v>
      </c>
      <c r="W54" s="30">
        <f>TRUNC(10.08,3)</f>
        <v>10.08</v>
      </c>
      <c r="X54" s="30"/>
      <c r="Y54" s="30">
        <f>TRUNC(Z54-W54*(9.9-agent!L$3)*10,3)</f>
        <v>9727.2000000000007</v>
      </c>
      <c r="Z54" s="30">
        <f>TRUNC(9072+W54*99,3)</f>
        <v>10069.92</v>
      </c>
      <c r="AA54" s="31" t="s">
        <v>104</v>
      </c>
      <c r="AB54" s="30">
        <f>TRUNC(0.0225,3)</f>
        <v>2.1999999999999999E-2</v>
      </c>
      <c r="AC54" s="30"/>
      <c r="AD54" s="30">
        <f>TRUNC(AE54-AB54*(9.9-agent!L$3)*10,3)</f>
        <v>21.68</v>
      </c>
      <c r="AE54" s="30">
        <f>TRUNC(20.25+AB54*99,3)</f>
        <v>22.428000000000001</v>
      </c>
    </row>
    <row r="55" spans="4:31" x14ac:dyDescent="0.15">
      <c r="D55" s="30" t="s">
        <v>23</v>
      </c>
      <c r="E55" s="31" t="s">
        <v>81</v>
      </c>
      <c r="F55" s="30" t="str">
        <f>PK10Source!E171</f>
        <v>01 02 03 04 05 06 07 08 09 10,01 02 03 04 05 06 07 08 09 10,01 02 03 04 05 06 07 08 09 10</v>
      </c>
      <c r="G55" s="30">
        <f t="shared" si="3"/>
        <v>4</v>
      </c>
      <c r="H55" s="30">
        <f t="shared" si="3"/>
        <v>1</v>
      </c>
      <c r="I55" s="33">
        <f>PK10Source!E183</f>
        <v>5760</v>
      </c>
      <c r="J55" s="30">
        <f t="shared" si="4"/>
        <v>195.84</v>
      </c>
      <c r="K55" s="33">
        <f>PK10Source!E154</f>
        <v>5558.4</v>
      </c>
      <c r="L55" s="30" t="e">
        <f t="shared" si="1"/>
        <v>#VALUE!</v>
      </c>
      <c r="M55" s="30">
        <f>IF(ISNUMBER(agent!$O$6*(K55/Y55)*$W55),TRUNC(agent!$O$6*(K55/Y55)*$W55,3),"没有上级")</f>
        <v>5.76</v>
      </c>
      <c r="N55" s="30">
        <f>IF(ISNUMBER(agent!$O$9*(K55/Y55)*$W55),TRUNC(agent!$O$9*(K55/Y55)*$W55,3),"没有上级")</f>
        <v>34.56</v>
      </c>
      <c r="O55" s="30">
        <f>IF(ISNUMBER(agent!$O$12*(K55/Y55)*$W55),TRUNC(agent!$O$12*(K55/Y55)*$W55,3),"没有上级")</f>
        <v>11.52</v>
      </c>
      <c r="P55" s="30">
        <f>IF(ISNUMBER(agent!$O$15*(K55/Y55)*$W55),TRUNC(agent!$O$15*(K55/Y55)*$W55,3),"没有上级")</f>
        <v>23.04</v>
      </c>
      <c r="Q55" s="30">
        <f>IF(ISNUMBER(agent!$O$18*(K55/Y55)*$W55),TRUNC(agent!$O$18*(K55/Y55)*$W55,3),"没有上级")</f>
        <v>17.28</v>
      </c>
      <c r="R55" s="30">
        <f>IF(ISNUMBER(agent!$O$21*(K55/Y55)*$W55),TRUNC(agent!$O$21*(K55/Y55)*$W55,3),"没有上级")</f>
        <v>5.76</v>
      </c>
      <c r="S55" s="30">
        <f>IF(ISNUMBER(agent!$O$24*(K55/Y55)*$W55),TRUNC(agent!$O$24*(K55/Y55)*$W55,3),"没有上级")</f>
        <v>40.32</v>
      </c>
      <c r="T55" s="30">
        <f>IF(ISNUMBER(agent!$O$27*(K55/Y55)*$W55),TRUNC(agent!$O$27*(K55/Y55)*$W55,3),"没有上级")</f>
        <v>17.28</v>
      </c>
      <c r="U55" s="30">
        <f>IF(ISNUMBER(agent!$O$30*(K55/Y55)*$W55),TRUNC(agent!$O$30*(K55/Y55)*$W55,3),"没有上级")</f>
        <v>23.04</v>
      </c>
      <c r="V55" s="30">
        <f>IF(ISNUMBER(agent!$O$33*(K55/Y55)*$W55),TRUNC(agent!$O$33*(K55/Y55)*$W55,3),"没有上级")</f>
        <v>17.28</v>
      </c>
      <c r="W55" s="30">
        <f>TRUNC(1.44,3)</f>
        <v>1.44</v>
      </c>
      <c r="X55" s="30"/>
      <c r="Y55" s="30">
        <f>TRUNC(Z55-W55*(9.9-agent!L$3)*10,3)</f>
        <v>1389.6</v>
      </c>
      <c r="Z55" s="30">
        <f>TRUNC(1296+W55*99,3)</f>
        <v>1438.56</v>
      </c>
      <c r="AA55" s="31" t="s">
        <v>105</v>
      </c>
      <c r="AB55" s="30">
        <f>TRUNC(0.015,3)</f>
        <v>1.4999999999999999E-2</v>
      </c>
      <c r="AC55" s="30"/>
      <c r="AD55" s="30">
        <f>TRUNC(AE55-AB55*(9.9-agent!L$3)*10,3)</f>
        <v>14.475</v>
      </c>
      <c r="AE55" s="30">
        <f>TRUNC(13.5+AB55*99,3)</f>
        <v>14.984999999999999</v>
      </c>
    </row>
    <row r="56" spans="4:31" x14ac:dyDescent="0.15">
      <c r="D56" s="30" t="s">
        <v>23</v>
      </c>
      <c r="E56" s="30" t="s">
        <v>24</v>
      </c>
      <c r="F56" s="30" t="str">
        <f>PK10Source!E172</f>
        <v>08 09 01</v>
      </c>
      <c r="G56" s="30">
        <f t="shared" si="3"/>
        <v>5</v>
      </c>
      <c r="H56" s="30">
        <f t="shared" si="3"/>
        <v>1</v>
      </c>
      <c r="I56" s="33">
        <f>PK10Source!E184</f>
        <v>10</v>
      </c>
      <c r="J56" s="30">
        <f t="shared" si="4"/>
        <v>0</v>
      </c>
      <c r="K56" s="33">
        <f>PK10Source!E155</f>
        <v>0</v>
      </c>
      <c r="L56" s="30" t="e">
        <f t="shared" si="1"/>
        <v>#VALUE!</v>
      </c>
      <c r="M56" s="30">
        <f>IF(ISNUMBER(agent!$O$6*(K56/Y56)*$W56),TRUNC(agent!$O$6*(K56/Y56)*$W56,3),"没有上级")</f>
        <v>0</v>
      </c>
      <c r="N56" s="30">
        <f>IF(ISNUMBER(agent!$O$9*(K56/Y56)*$W56),TRUNC(agent!$O$9*(K56/Y56)*$W56,3),"没有上级")</f>
        <v>0</v>
      </c>
      <c r="O56" s="30">
        <f>IF(ISNUMBER(agent!$O$12*(K56/Y56)*$W56),TRUNC(agent!$O$12*(K56/Y56)*$W56,3),"没有上级")</f>
        <v>0</v>
      </c>
      <c r="P56" s="30">
        <f>IF(ISNUMBER(agent!$O$15*(K56/Y56)*$W56),TRUNC(agent!$O$15*(K56/Y56)*$W56,3),"没有上级")</f>
        <v>0</v>
      </c>
      <c r="Q56" s="30">
        <f>IF(ISNUMBER(agent!$O$18*(K56/Y56)*$W56),TRUNC(agent!$O$18*(K56/Y56)*$W56,3),"没有上级")</f>
        <v>0</v>
      </c>
      <c r="R56" s="30">
        <f>IF(ISNUMBER(agent!$O$21*(K56/Y56)*$W56),TRUNC(agent!$O$21*(K56/Y56)*$W56,3),"没有上级")</f>
        <v>0</v>
      </c>
      <c r="S56" s="30">
        <f>IF(ISNUMBER(agent!$O$24*(K56/Y56)*$W56),TRUNC(agent!$O$24*(K56/Y56)*$W56,3),"没有上级")</f>
        <v>0</v>
      </c>
      <c r="T56" s="30">
        <f>IF(ISNUMBER(agent!$O$27*(K56/Y56)*$W56),TRUNC(agent!$O$27*(K56/Y56)*$W56,3),"没有上级")</f>
        <v>0</v>
      </c>
      <c r="U56" s="30">
        <f>IF(ISNUMBER(agent!$O$30*(K56/Y56)*$W56),TRUNC(agent!$O$30*(K56/Y56)*$W56,3),"没有上级")</f>
        <v>0</v>
      </c>
      <c r="V56" s="30">
        <f>IF(ISNUMBER(agent!$O$33*(K56/Y56)*$W56),TRUNC(agent!$O$33*(K56/Y56)*$W56,3),"没有上级")</f>
        <v>0</v>
      </c>
      <c r="W56" s="30">
        <f>TRUNC(1.44,3)</f>
        <v>1.44</v>
      </c>
      <c r="X56" s="30"/>
      <c r="Y56" s="30">
        <f>TRUNC(Z56-W56*(9.9-agent!L$3)*10,3)</f>
        <v>1389.6</v>
      </c>
      <c r="Z56" s="30">
        <f>TRUNC(1296+W56*99,3)</f>
        <v>1438.56</v>
      </c>
      <c r="AA56" s="31" t="s">
        <v>106</v>
      </c>
      <c r="AB56" s="30">
        <f>TRUNC(0.0112142857,3)</f>
        <v>1.0999999999999999E-2</v>
      </c>
      <c r="AC56" s="30"/>
      <c r="AD56" s="30">
        <f>TRUNC(AE56-AB56*(9.9-agent!L$3)*10,3)</f>
        <v>10.84</v>
      </c>
      <c r="AE56" s="30">
        <f>TRUNC(10.125+AB56*99,3)</f>
        <v>11.214</v>
      </c>
    </row>
    <row r="57" spans="4:31" x14ac:dyDescent="0.15">
      <c r="D57" s="30" t="s">
        <v>25</v>
      </c>
      <c r="E57" s="31" t="s">
        <v>81</v>
      </c>
      <c r="F57" s="30" t="str">
        <f>PK10Source!E173</f>
        <v>01 02 03 04 05 06 07 08 09 10,01 02 03 04 05 06 07 08 09 10</v>
      </c>
      <c r="G57" s="30">
        <f t="shared" si="3"/>
        <v>1</v>
      </c>
      <c r="H57" s="30">
        <f t="shared" si="3"/>
        <v>1</v>
      </c>
      <c r="I57" s="33">
        <f>PK10Source!E185</f>
        <v>180</v>
      </c>
      <c r="J57" s="30">
        <f t="shared" si="4"/>
        <v>6.12</v>
      </c>
      <c r="K57" s="33">
        <f>PK10Source!E156</f>
        <v>173.7</v>
      </c>
      <c r="L57" s="30" t="e">
        <f t="shared" si="1"/>
        <v>#VALUE!</v>
      </c>
      <c r="M57" s="30">
        <f>IF(ISNUMBER(agent!$O$6*(K57/Y57)*$W57),TRUNC(agent!$O$6*(K57/Y57)*$W57,3),"没有上级")</f>
        <v>0.18</v>
      </c>
      <c r="N57" s="30">
        <f>IF(ISNUMBER(agent!$O$9*(K57/Y57)*$W57),TRUNC(agent!$O$9*(K57/Y57)*$W57,3),"没有上级")</f>
        <v>1.08</v>
      </c>
      <c r="O57" s="30">
        <f>IF(ISNUMBER(agent!$O$12*(K57/Y57)*$W57),TRUNC(agent!$O$12*(K57/Y57)*$W57,3),"没有上级")</f>
        <v>0.36</v>
      </c>
      <c r="P57" s="30">
        <f>IF(ISNUMBER(agent!$O$15*(K57/Y57)*$W57),TRUNC(agent!$O$15*(K57/Y57)*$W57,3),"没有上级")</f>
        <v>0.72</v>
      </c>
      <c r="Q57" s="30">
        <f>IF(ISNUMBER(agent!$O$18*(K57/Y57)*$W57),TRUNC(agent!$O$18*(K57/Y57)*$W57,3),"没有上级")</f>
        <v>0.54</v>
      </c>
      <c r="R57" s="30">
        <f>IF(ISNUMBER(agent!$O$21*(K57/Y57)*$W57),TRUNC(agent!$O$21*(K57/Y57)*$W57,3),"没有上级")</f>
        <v>0.18</v>
      </c>
      <c r="S57" s="30">
        <f>IF(ISNUMBER(agent!$O$24*(K57/Y57)*$W57),TRUNC(agent!$O$24*(K57/Y57)*$W57,3),"没有上级")</f>
        <v>1.26</v>
      </c>
      <c r="T57" s="30">
        <f>IF(ISNUMBER(agent!$O$27*(K57/Y57)*$W57),TRUNC(agent!$O$27*(K57/Y57)*$W57,3),"没有上级")</f>
        <v>0.54</v>
      </c>
      <c r="U57" s="30">
        <f>IF(ISNUMBER(agent!$O$30*(K57/Y57)*$W57),TRUNC(agent!$O$30*(K57/Y57)*$W57,3),"没有上级")</f>
        <v>0.72</v>
      </c>
      <c r="V57" s="30">
        <f>IF(ISNUMBER(agent!$O$33*(K57/Y57)*$W57),TRUNC(agent!$O$33*(K57/Y57)*$W57,3),"没有上级")</f>
        <v>0.54</v>
      </c>
      <c r="W57" s="30">
        <f>TRUNC(0.18,3)</f>
        <v>0.18</v>
      </c>
      <c r="X57" s="30"/>
      <c r="Y57" s="30">
        <f>TRUNC(Z57-W57*(9.9-agent!L$3)*10,3)</f>
        <v>173.7</v>
      </c>
      <c r="Z57" s="30">
        <f>TRUNC(162+W57*99,3)</f>
        <v>179.82</v>
      </c>
      <c r="AA57" s="31" t="s">
        <v>107</v>
      </c>
      <c r="AB57" s="30">
        <f>TRUNC(0.009,3)</f>
        <v>8.9999999999999993E-3</v>
      </c>
      <c r="AC57" s="30"/>
      <c r="AD57" s="30">
        <f>TRUNC(AE57-AB57*(9.9-agent!L$3)*10,3)</f>
        <v>8.6850000000000005</v>
      </c>
      <c r="AE57" s="30">
        <f>TRUNC(8.1+AB57*99,3)</f>
        <v>8.9909999999999997</v>
      </c>
    </row>
    <row r="58" spans="4:31" x14ac:dyDescent="0.15">
      <c r="D58" s="30" t="s">
        <v>25</v>
      </c>
      <c r="E58" s="30" t="s">
        <v>24</v>
      </c>
      <c r="F58" s="30" t="str">
        <f>PK10Source!E174</f>
        <v>02 03,08 09,09 04,05 09</v>
      </c>
      <c r="G58" s="30">
        <f t="shared" si="3"/>
        <v>2</v>
      </c>
      <c r="H58" s="30">
        <f t="shared" si="3"/>
        <v>1</v>
      </c>
      <c r="I58" s="33">
        <f>PK10Source!E186</f>
        <v>12</v>
      </c>
      <c r="J58" s="30">
        <f t="shared" si="4"/>
        <v>0</v>
      </c>
      <c r="K58" s="33">
        <f>PK10Source!E157</f>
        <v>0</v>
      </c>
      <c r="L58" s="30" t="e">
        <f t="shared" si="1"/>
        <v>#VALUE!</v>
      </c>
      <c r="M58" s="30">
        <f>IF(ISNUMBER(agent!$O$6*(K58/Y58)*$W58),TRUNC(agent!$O$6*(K58/Y58)*$W58,3),"没有上级")</f>
        <v>0</v>
      </c>
      <c r="N58" s="30">
        <f>IF(ISNUMBER(agent!$O$9*(K58/Y58)*$W58),TRUNC(agent!$O$9*(K58/Y58)*$W58,3),"没有上级")</f>
        <v>0</v>
      </c>
      <c r="O58" s="30">
        <f>IF(ISNUMBER(agent!$O$12*(K58/Y58)*$W58),TRUNC(agent!$O$12*(K58/Y58)*$W58,3),"没有上级")</f>
        <v>0</v>
      </c>
      <c r="P58" s="30">
        <f>IF(ISNUMBER(agent!$O$15*(K58/Y58)*$W58),TRUNC(agent!$O$15*(K58/Y58)*$W58,3),"没有上级")</f>
        <v>0</v>
      </c>
      <c r="Q58" s="30">
        <f>IF(ISNUMBER(agent!$O$18*(K58/Y58)*$W58),TRUNC(agent!$O$18*(K58/Y58)*$W58,3),"没有上级")</f>
        <v>0</v>
      </c>
      <c r="R58" s="30">
        <f>IF(ISNUMBER(agent!$O$21*(K58/Y58)*$W58),TRUNC(agent!$O$21*(K58/Y58)*$W58,3),"没有上级")</f>
        <v>0</v>
      </c>
      <c r="S58" s="30">
        <f>IF(ISNUMBER(agent!$O$24*(K58/Y58)*$W58),TRUNC(agent!$O$24*(K58/Y58)*$W58,3),"没有上级")</f>
        <v>0</v>
      </c>
      <c r="T58" s="30">
        <f>IF(ISNUMBER(agent!$O$27*(K58/Y58)*$W58),TRUNC(agent!$O$27*(K58/Y58)*$W58,3),"没有上级")</f>
        <v>0</v>
      </c>
      <c r="U58" s="30">
        <f>IF(ISNUMBER(agent!$O$30*(K58/Y58)*$W58),TRUNC(agent!$O$30*(K58/Y58)*$W58,3),"没有上级")</f>
        <v>0</v>
      </c>
      <c r="V58" s="30">
        <f>IF(ISNUMBER(agent!$O$33*(K58/Y58)*$W58),TRUNC(agent!$O$33*(K58/Y58)*$W58,3),"没有上级")</f>
        <v>0</v>
      </c>
      <c r="W58" s="30">
        <f>TRUNC(0.18,3)</f>
        <v>0.18</v>
      </c>
      <c r="X58" s="30"/>
      <c r="Y58" s="30">
        <f>TRUNC(Z58-W58*(9.9-agent!L$3)*10,3)</f>
        <v>173.7</v>
      </c>
      <c r="Z58" s="30">
        <f>TRUNC(162+W58*99,3)</f>
        <v>179.82</v>
      </c>
      <c r="AA58" s="31" t="s">
        <v>108</v>
      </c>
      <c r="AB58" s="30">
        <f>AB56</f>
        <v>1.0999999999999999E-2</v>
      </c>
      <c r="AC58" s="30"/>
      <c r="AD58" s="30">
        <f>AD56</f>
        <v>10.84</v>
      </c>
      <c r="AE58" s="30">
        <f>AE56</f>
        <v>11.214</v>
      </c>
    </row>
    <row r="59" spans="4:31" x14ac:dyDescent="0.15">
      <c r="D59" s="30" t="s">
        <v>26</v>
      </c>
      <c r="E59" s="31" t="s">
        <v>81</v>
      </c>
      <c r="F59" s="30" t="str">
        <f>PK10Source!E175</f>
        <v xml:space="preserve">01 02 03 04 05 06 07 08 09 10 </v>
      </c>
      <c r="G59" s="30">
        <f t="shared" si="3"/>
        <v>3</v>
      </c>
      <c r="H59" s="30">
        <f t="shared" si="3"/>
        <v>1</v>
      </c>
      <c r="I59" s="33">
        <f>PK10Source!E187</f>
        <v>60</v>
      </c>
      <c r="J59" s="30">
        <f t="shared" si="4"/>
        <v>2.04</v>
      </c>
      <c r="K59" s="33">
        <f>PK10Source!E158</f>
        <v>57.900000000000006</v>
      </c>
      <c r="L59" s="30" t="e">
        <f t="shared" si="1"/>
        <v>#VALUE!</v>
      </c>
      <c r="M59" s="30">
        <f>IF(ISNUMBER(agent!$O$6*(K59/Y59)*$W59),TRUNC(agent!$O$6*(K59/Y59)*$W59,3),"没有上级")</f>
        <v>0.06</v>
      </c>
      <c r="N59" s="30">
        <f>IF(ISNUMBER(agent!$O$9*(K59/Y59)*$W59),TRUNC(agent!$O$9*(K59/Y59)*$W59,3),"没有上级")</f>
        <v>0.36</v>
      </c>
      <c r="O59" s="30">
        <f>IF(ISNUMBER(agent!$O$12*(K59/Y59)*$W59),TRUNC(agent!$O$12*(K59/Y59)*$W59,3),"没有上级")</f>
        <v>0.12</v>
      </c>
      <c r="P59" s="30">
        <f>IF(ISNUMBER(agent!$O$15*(K59/Y59)*$W59),TRUNC(agent!$O$15*(K59/Y59)*$W59,3),"没有上级")</f>
        <v>0.24</v>
      </c>
      <c r="Q59" s="30">
        <f>IF(ISNUMBER(agent!$O$18*(K59/Y59)*$W59),TRUNC(agent!$O$18*(K59/Y59)*$W59,3),"没有上级")</f>
        <v>0.18</v>
      </c>
      <c r="R59" s="30">
        <f>IF(ISNUMBER(agent!$O$21*(K59/Y59)*$W59),TRUNC(agent!$O$21*(K59/Y59)*$W59,3),"没有上级")</f>
        <v>0.06</v>
      </c>
      <c r="S59" s="30">
        <f>IF(ISNUMBER(agent!$O$24*(K59/Y59)*$W59),TRUNC(agent!$O$24*(K59/Y59)*$W59,3),"没有上级")</f>
        <v>0.42</v>
      </c>
      <c r="T59" s="30">
        <f>IF(ISNUMBER(agent!$O$27*(K59/Y59)*$W59),TRUNC(agent!$O$27*(K59/Y59)*$W59,3),"没有上级")</f>
        <v>0.18</v>
      </c>
      <c r="U59" s="30">
        <f>IF(ISNUMBER(agent!$O$30*(K59/Y59)*$W59),TRUNC(agent!$O$30*(K59/Y59)*$W59,3),"没有上级")</f>
        <v>0.24</v>
      </c>
      <c r="V59" s="30">
        <f>IF(ISNUMBER(agent!$O$33*(K59/Y59)*$W59),TRUNC(agent!$O$33*(K59/Y59)*$W59,3),"没有上级")</f>
        <v>0.18</v>
      </c>
      <c r="W59" s="30">
        <f>TRUNC(0.02,3)</f>
        <v>0.02</v>
      </c>
      <c r="X59" s="30"/>
      <c r="Y59" s="30">
        <f>TRUNC(Z59-W59*(9.9-agent!L$3)*10,3)</f>
        <v>19.3</v>
      </c>
      <c r="Z59" s="30">
        <f>TRUNC(18+W59*99,3)</f>
        <v>19.98</v>
      </c>
      <c r="AA59" s="31" t="s">
        <v>109</v>
      </c>
      <c r="AB59" s="30">
        <f>AB55</f>
        <v>1.4999999999999999E-2</v>
      </c>
      <c r="AC59" s="30"/>
      <c r="AD59" s="30">
        <f>AD55</f>
        <v>14.475</v>
      </c>
      <c r="AE59" s="30">
        <f>AE55</f>
        <v>14.984999999999999</v>
      </c>
    </row>
    <row r="60" spans="4:31" x14ac:dyDescent="0.15">
      <c r="D60" s="30" t="s">
        <v>27</v>
      </c>
      <c r="E60" s="30" t="s">
        <v>28</v>
      </c>
      <c r="F60" s="30" t="str">
        <f>PK10Source!E176</f>
        <v>和大 和小 和单 和双,03 04 05 06 07 08 09 10 11 12 13 14 15 16 17 18 19</v>
      </c>
      <c r="G60" s="30">
        <f t="shared" si="3"/>
        <v>1</v>
      </c>
      <c r="H60" s="30">
        <f t="shared" si="3"/>
        <v>3</v>
      </c>
      <c r="I60" s="33">
        <f>PK10Source!E188</f>
        <v>63</v>
      </c>
      <c r="J60" s="30">
        <f t="shared" si="4"/>
        <v>0</v>
      </c>
      <c r="K60" s="33">
        <f>PK10Source!E159</f>
        <v>0</v>
      </c>
      <c r="L60" s="30" t="e">
        <f t="shared" si="1"/>
        <v>#VALUE!</v>
      </c>
      <c r="M60" s="30" t="str">
        <f>IF(ISNUMBER(agent!$O$6*$Y60*$W60),TRUNC(agent!$O$6*H60*W60,3),"没有上级")</f>
        <v>没有上级</v>
      </c>
      <c r="N60" s="30" t="str">
        <f>IF(ISNUMBER(agent!$O$9*$Y60*$W60),TRUNC(agent!$O$9*H60*W60,3),"没有上级")</f>
        <v>没有上级</v>
      </c>
      <c r="O60" s="30" t="str">
        <f>IF(ISNUMBER(agent!$O$12*$Y60*$W60),TRUNC(agent!$O$12*H60*W60,3),"没有上级")</f>
        <v>没有上级</v>
      </c>
      <c r="P60" s="30" t="str">
        <f>IF(ISNUMBER(agent!$O$15*$Y60*$W60),TRUNC(agent!$O$15*H60*W60,3),"没有上级")</f>
        <v>没有上级</v>
      </c>
      <c r="Q60" s="30" t="str">
        <f>IF(ISNUMBER(agent!$O$18*$Y60*$W60),TRUNC(agent!$O$18*H60*W60,3),"没有上级")</f>
        <v>没有上级</v>
      </c>
      <c r="R60" s="30" t="str">
        <f>IF(ISNUMBER(agent!$O$21*$Y60*$W60),TRUNC(agent!$O$21*H60*W60,3),"没有上级")</f>
        <v>没有上级</v>
      </c>
      <c r="S60" s="30" t="str">
        <f>IF(ISNUMBER(agent!$O$24*$Y60*$W60),TRUNC(agent!$O$24*H60*W60,3),"没有上级")</f>
        <v>没有上级</v>
      </c>
      <c r="T60" s="30" t="str">
        <f>IF(ISNUMBER(agent!$O$27*$Y60*$W60),TRUNC(agent!$O$27*H60*W60,3),"没有上级")</f>
        <v>没有上级</v>
      </c>
      <c r="U60" s="30" t="str">
        <f>IF(ISNUMBER(agent!$O$30*$Y60*$W60),TRUNC(agent!$O$30*H60*W60,3),"没有上级")</f>
        <v>没有上级</v>
      </c>
      <c r="V60" s="30" t="str">
        <f>IF(ISNUMBER(agent!$O$33*$Y60*$W60),TRUNC(agent!$O$33*H60*W60,3),"没有上级")</f>
        <v>没有上级</v>
      </c>
      <c r="W60" s="30" t="e">
        <f>SUM(PK10Source!T77:T85)</f>
        <v>#VALUE!</v>
      </c>
      <c r="X60" s="30"/>
      <c r="Y60" s="30" t="e">
        <f>SUM(PK10Source!S77:S85)</f>
        <v>#VALUE!</v>
      </c>
      <c r="Z60" s="30" t="e">
        <f>SUM(PK10Source!U77:U85)</f>
        <v>#VALUE!</v>
      </c>
      <c r="AA60" s="31" t="s">
        <v>110</v>
      </c>
      <c r="AB60" s="30">
        <f>AB54</f>
        <v>2.1999999999999999E-2</v>
      </c>
      <c r="AC60" s="30"/>
      <c r="AD60" s="30">
        <f>AD54</f>
        <v>21.68</v>
      </c>
      <c r="AE60" s="30">
        <f>AE54</f>
        <v>22.428000000000001</v>
      </c>
    </row>
    <row r="61" spans="4:31" x14ac:dyDescent="0.15">
      <c r="D61" s="30" t="s">
        <v>29</v>
      </c>
      <c r="E61" s="30" t="s">
        <v>30</v>
      </c>
      <c r="F61" s="30" t="str">
        <f>PK10Source!E177</f>
        <v>大 小 单 双 龙 虎,大 小 单 双 龙 虎,大 小 单 双 龙 虎,大 小 单 双 龙 虎,大 小 单 双 龙 虎,大 小 单 双,大 小 单 双,大 小 单 双,大 小 单 双,大 小 单 双</v>
      </c>
      <c r="G61" s="30">
        <f t="shared" si="3"/>
        <v>1</v>
      </c>
      <c r="H61" s="30">
        <f t="shared" si="3"/>
        <v>4</v>
      </c>
      <c r="I61" s="33">
        <f>PK10Source!E189</f>
        <v>200</v>
      </c>
      <c r="J61" s="30">
        <f t="shared" si="4"/>
        <v>6.7999999999999989</v>
      </c>
      <c r="K61" s="33">
        <f>PK10Source!E160</f>
        <v>193</v>
      </c>
      <c r="L61" s="30" t="e">
        <f t="shared" si="1"/>
        <v>#VALUE!</v>
      </c>
      <c r="M61" s="30">
        <f>IF(ISNUMBER(agent!$O$6*(K61/Y61)*$W61),TRUNC(agent!$O$6*(K61/Y61)*$W61,3),"没有上级")</f>
        <v>0.2</v>
      </c>
      <c r="N61" s="30">
        <f>IF(ISNUMBER(agent!$O$9*(K61/Y61)*$W61),TRUNC(agent!$O$9*(K61/Y61)*$W61,3),"没有上级")</f>
        <v>1.2</v>
      </c>
      <c r="O61" s="30">
        <f>IF(ISNUMBER(agent!$O$12*(K61/Y61)*$W61),TRUNC(agent!$O$12*(K61/Y61)*$W61,3),"没有上级")</f>
        <v>0.4</v>
      </c>
      <c r="P61" s="30">
        <f>IF(ISNUMBER(agent!$O$15*(K61/Y61)*$W61),TRUNC(agent!$O$15*(K61/Y61)*$W61,3),"没有上级")</f>
        <v>0.8</v>
      </c>
      <c r="Q61" s="30">
        <f>IF(ISNUMBER(agent!$O$18*(K61/Y61)*$W61),TRUNC(agent!$O$18*(K61/Y61)*$W61,3),"没有上级")</f>
        <v>0.6</v>
      </c>
      <c r="R61" s="30">
        <f>IF(ISNUMBER(agent!$O$21*(K61/Y61)*$W61),TRUNC(agent!$O$21*(K61/Y61)*$W61,3),"没有上级")</f>
        <v>0.2</v>
      </c>
      <c r="S61" s="30">
        <f>IF(ISNUMBER(agent!$O$24*(K61/Y61)*$W61),TRUNC(agent!$O$24*(K61/Y61)*$W61,3),"没有上级")</f>
        <v>1.4</v>
      </c>
      <c r="T61" s="30">
        <f>IF(ISNUMBER(agent!$O$27*(K61/Y61)*$W61),TRUNC(agent!$O$27*(K61/Y61)*$W61,3),"没有上级")</f>
        <v>0.6</v>
      </c>
      <c r="U61" s="30">
        <f>IF(ISNUMBER(agent!$O$30*(K61/Y61)*$W61),TRUNC(agent!$O$30*(K61/Y61)*$W61,3),"没有上级")</f>
        <v>0.8</v>
      </c>
      <c r="V61" s="30">
        <f>IF(ISNUMBER(agent!$O$33*(K61/Y61)*$W61),TRUNC(agent!$O$33*(K61/Y61)*$W61,3),"没有上级")</f>
        <v>0.6</v>
      </c>
      <c r="W61" s="30">
        <f>TRUNC(0.002,3)</f>
        <v>2E-3</v>
      </c>
      <c r="X61" s="30"/>
      <c r="Y61" s="30">
        <f>TRUNC(Z61-W61*(9.9-agent!L$3)*10,3)</f>
        <v>1.93</v>
      </c>
      <c r="Z61" s="30">
        <f>TRUNC(1.8+W61*99,3)</f>
        <v>1.998</v>
      </c>
      <c r="AA61" s="31" t="s">
        <v>111</v>
      </c>
      <c r="AB61" s="30">
        <f>AB53</f>
        <v>4.4999999999999998E-2</v>
      </c>
      <c r="AC61" s="30"/>
      <c r="AD61" s="30">
        <f>AD53</f>
        <v>43.424999999999997</v>
      </c>
      <c r="AE61" s="30">
        <f>AE53</f>
        <v>44.954999999999998</v>
      </c>
    </row>
    <row r="62" spans="4:31" s="33" customFormat="1" x14ac:dyDescent="0.15">
      <c r="D62" s="33" t="s">
        <v>56</v>
      </c>
      <c r="E62" s="33" t="s">
        <v>18</v>
      </c>
      <c r="F62" s="30" t="str">
        <f>PK10Source!E207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62" s="30">
        <f t="shared" si="3"/>
        <v>2</v>
      </c>
      <c r="H62" s="30">
        <f t="shared" si="3"/>
        <v>1</v>
      </c>
      <c r="I62" s="33">
        <f>PK10Source!E219</f>
        <v>400</v>
      </c>
      <c r="J62" s="33">
        <f t="shared" si="4"/>
        <v>13.599999999999998</v>
      </c>
      <c r="K62" s="33">
        <f>PK10Source!E190</f>
        <v>386</v>
      </c>
      <c r="L62" s="30" t="e">
        <f t="shared" si="1"/>
        <v>#VALUE!</v>
      </c>
      <c r="M62" s="33">
        <f>IF(ISNUMBER(agent!$O$6*(K62/Y62)*$W62),TRUNC(agent!$O$6*(K62/Y62)*$W62,3),"没有上级")</f>
        <v>0.4</v>
      </c>
      <c r="N62" s="33">
        <f>IF(ISNUMBER(agent!$O$9*(K62/Y62)*$W62),TRUNC(agent!$O$9*(K62/Y62)*$W62,3),"没有上级")</f>
        <v>2.4</v>
      </c>
      <c r="O62" s="33">
        <f>IF(ISNUMBER(agent!$O$12*(K62/Y62)*$W62),TRUNC(agent!$O$12*(K62/Y62)*$W62,3),"没有上级")</f>
        <v>0.8</v>
      </c>
      <c r="P62" s="33">
        <f>IF(ISNUMBER(agent!$O$15*(K62/Y62)*$W62),TRUNC(agent!$O$15*(K62/Y62)*$W62,3),"没有上级")</f>
        <v>1.6</v>
      </c>
      <c r="Q62" s="33">
        <f>IF(ISNUMBER(agent!$O$18*(K62/Y62)*$W62),TRUNC(agent!$O$18*(K62/Y62)*$W62,3),"没有上级")</f>
        <v>1.2</v>
      </c>
      <c r="R62" s="33">
        <f>IF(ISNUMBER(agent!$O$21*(K62/Y62)*$W62),TRUNC(agent!$O$21*(K62/Y62)*$W62,3),"没有上级")</f>
        <v>0.4</v>
      </c>
      <c r="S62" s="33">
        <f>IF(ISNUMBER(agent!$O$24*(K62/Y62)*$W62),TRUNC(agent!$O$24*(K62/Y62)*$W62,3),"没有上级")</f>
        <v>2.8</v>
      </c>
      <c r="T62" s="33">
        <f>IF(ISNUMBER(agent!$O$27*(K62/Y62)*$W62),TRUNC(agent!$O$27*(K62/Y62)*$W62,3),"没有上级")</f>
        <v>1.2</v>
      </c>
      <c r="U62" s="33">
        <f>IF(ISNUMBER(agent!$O$30*(K62/Y62)*$W62),TRUNC(agent!$O$30*(K62/Y62)*$W62,3),"没有上级")</f>
        <v>1.6</v>
      </c>
      <c r="V62" s="33">
        <f>IF(ISNUMBER(agent!$O$33*(K62/Y62)*$W62),TRUNC(agent!$O$33*(K62/Y62)*$W62,3),"没有上级")</f>
        <v>1.2</v>
      </c>
      <c r="W62" s="33">
        <f>TRUNC(0.02,3)</f>
        <v>0.02</v>
      </c>
      <c r="Y62" s="33">
        <f>TRUNC(Z62-W62*(9.9-agent!L$3)*10,3)</f>
        <v>19.3</v>
      </c>
      <c r="Z62" s="33">
        <f>TRUNC(18+W62*99,3)</f>
        <v>19.98</v>
      </c>
      <c r="AA62" s="33" t="s">
        <v>100</v>
      </c>
      <c r="AB62" s="33" t="s">
        <v>112</v>
      </c>
      <c r="AD62" s="33" t="s">
        <v>113</v>
      </c>
      <c r="AE62" s="33" t="s">
        <v>224</v>
      </c>
    </row>
    <row r="63" spans="4:31" x14ac:dyDescent="0.15">
      <c r="D63" s="30" t="s">
        <v>19</v>
      </c>
      <c r="E63" s="31" t="s">
        <v>81</v>
      </c>
      <c r="F63" s="30" t="str">
        <f>PK10Source!E208</f>
        <v>01 02 08,03 04 09,01 05 06,02 07 08,03 09 10</v>
      </c>
      <c r="G63" s="30">
        <f t="shared" si="3"/>
        <v>1</v>
      </c>
      <c r="H63" s="30">
        <f t="shared" si="3"/>
        <v>1</v>
      </c>
      <c r="I63" s="33">
        <f>PK10Source!E220</f>
        <v>302400</v>
      </c>
      <c r="J63" s="30">
        <f t="shared" si="4"/>
        <v>0</v>
      </c>
      <c r="K63" s="33">
        <f>PK10Source!E191</f>
        <v>0</v>
      </c>
      <c r="L63" s="30" t="e">
        <f t="shared" si="1"/>
        <v>#VALUE!</v>
      </c>
      <c r="M63" s="30">
        <f>IF(ISNUMBER(agent!$O$6*(K63/Y63)*$W63),TRUNC(agent!$O$6*(K63/Y63)*$W63,3),"没有上级")</f>
        <v>0</v>
      </c>
      <c r="N63" s="30">
        <f>IF(ISNUMBER(agent!$O$9*(K63/Y63)*$W63),TRUNC(agent!$O$9*(K63/Y63)*$W63,3),"没有上级")</f>
        <v>0</v>
      </c>
      <c r="O63" s="30">
        <f>IF(ISNUMBER(agent!$O$12*(K63/Y63)*$W63),TRUNC(agent!$O$12*(K63/Y63)*$W63,3),"没有上级")</f>
        <v>0</v>
      </c>
      <c r="P63" s="30">
        <f>IF(ISNUMBER(agent!$O$15*(K63/Y63)*$W63),TRUNC(agent!$O$15*(K63/Y63)*$W63,3),"没有上级")</f>
        <v>0</v>
      </c>
      <c r="Q63" s="30">
        <f>IF(ISNUMBER(agent!$O$18*(K63/Y63)*$W63),TRUNC(agent!$O$18*(K63/Y63)*$W63,3),"没有上级")</f>
        <v>0</v>
      </c>
      <c r="R63" s="30">
        <f>IF(ISNUMBER(agent!$O$21*(K63/Y63)*$W63),TRUNC(agent!$O$21*(K63/Y63)*$W63,3),"没有上级")</f>
        <v>0</v>
      </c>
      <c r="S63" s="30">
        <f>IF(ISNUMBER(agent!$O$24*(K63/Y63)*$W63),TRUNC(agent!$O$24*(K63/Y63)*$W63,3),"没有上级")</f>
        <v>0</v>
      </c>
      <c r="T63" s="30">
        <f>IF(ISNUMBER(agent!$O$27*(K63/Y63)*$W63),TRUNC(agent!$O$27*(K63/Y63)*$W63,3),"没有上级")</f>
        <v>0</v>
      </c>
      <c r="U63" s="30">
        <f>IF(ISNUMBER(agent!$O$30*(K63/Y63)*$W63),TRUNC(agent!$O$30*(K63/Y63)*$W63,3),"没有上级")</f>
        <v>0</v>
      </c>
      <c r="V63" s="30">
        <f>IF(ISNUMBER(agent!$O$33*(K63/Y63)*$W63),TRUNC(agent!$O$33*(K63/Y63)*$W63,3),"没有上级")</f>
        <v>0</v>
      </c>
      <c r="W63" s="30">
        <f>TRUNC(60.48,3)</f>
        <v>60.48</v>
      </c>
      <c r="X63" s="30"/>
      <c r="Y63" s="30">
        <f>TRUNC(Z63-W63*(9.9-agent!L$3)*10,3)</f>
        <v>58363.199999999997</v>
      </c>
      <c r="Z63" s="30">
        <f>TRUNC(54432+W63*99,3)</f>
        <v>60419.519999999997</v>
      </c>
      <c r="AA63" s="31" t="s">
        <v>101</v>
      </c>
      <c r="AB63" s="30">
        <f>TRUNC(0.002257,3)</f>
        <v>2E-3</v>
      </c>
      <c r="AC63" s="30"/>
      <c r="AD63" s="30">
        <f>TRUNC(AE63-AB63*(9.9-agent!L$3)*10,3)</f>
        <v>2.1549999999999998</v>
      </c>
      <c r="AE63" s="30">
        <f>TRUNC(2.025+AB63*99,3)</f>
        <v>2.2229999999999999</v>
      </c>
    </row>
    <row r="64" spans="4:31" x14ac:dyDescent="0.15">
      <c r="D64" s="30" t="s">
        <v>19</v>
      </c>
      <c r="E64" s="30" t="s">
        <v>20</v>
      </c>
      <c r="F64" s="30" t="str">
        <f>PK10Source!E209</f>
        <v>08 09 01 02 03</v>
      </c>
      <c r="G64" s="30">
        <f t="shared" si="3"/>
        <v>3</v>
      </c>
      <c r="H64" s="30">
        <f t="shared" si="3"/>
        <v>1</v>
      </c>
      <c r="I64" s="33">
        <f>PK10Source!E221</f>
        <v>6</v>
      </c>
      <c r="J64" s="30">
        <f t="shared" si="4"/>
        <v>0</v>
      </c>
      <c r="K64" s="33">
        <f>PK10Source!E192</f>
        <v>0</v>
      </c>
      <c r="L64" s="30" t="e">
        <f t="shared" si="1"/>
        <v>#VALUE!</v>
      </c>
      <c r="M64" s="30">
        <f>IF(ISNUMBER(agent!$O$6*(K64/Y64)*$W64),TRUNC(agent!$O$6*(K64/Y64)*$W64,3),"没有上级")</f>
        <v>0</v>
      </c>
      <c r="N64" s="30">
        <f>IF(ISNUMBER(agent!$O$9*(K64/Y64)*$W64),TRUNC(agent!$O$9*(K64/Y64)*$W64,3),"没有上级")</f>
        <v>0</v>
      </c>
      <c r="O64" s="30">
        <f>IF(ISNUMBER(agent!$O$12*(K64/Y64)*$W64),TRUNC(agent!$O$12*(K64/Y64)*$W64,3),"没有上级")</f>
        <v>0</v>
      </c>
      <c r="P64" s="30">
        <f>IF(ISNUMBER(agent!$O$15*(K64/Y64)*$W64),TRUNC(agent!$O$15*(K64/Y64)*$W64,3),"没有上级")</f>
        <v>0</v>
      </c>
      <c r="Q64" s="30">
        <f>IF(ISNUMBER(agent!$O$18*(K64/Y64)*$W64),TRUNC(agent!$O$18*(K64/Y64)*$W64,3),"没有上级")</f>
        <v>0</v>
      </c>
      <c r="R64" s="30">
        <f>IF(ISNUMBER(agent!$O$21*(K64/Y64)*$W64),TRUNC(agent!$O$21*(K64/Y64)*$W64,3),"没有上级")</f>
        <v>0</v>
      </c>
      <c r="S64" s="30">
        <f>IF(ISNUMBER(agent!$O$24*(K64/Y64)*$W64),TRUNC(agent!$O$24*(K64/Y64)*$W64,3),"没有上级")</f>
        <v>0</v>
      </c>
      <c r="T64" s="30">
        <f>IF(ISNUMBER(agent!$O$27*(K64/Y64)*$W64),TRUNC(agent!$O$27*(K64/Y64)*$W64,3),"没有上级")</f>
        <v>0</v>
      </c>
      <c r="U64" s="30">
        <f>IF(ISNUMBER(agent!$O$30*(K64/Y64)*$W64),TRUNC(agent!$O$30*(K64/Y64)*$W64,3),"没有上级")</f>
        <v>0</v>
      </c>
      <c r="V64" s="30">
        <f>IF(ISNUMBER(agent!$O$33*(K64/Y64)*$W64),TRUNC(agent!$O$33*(K64/Y64)*$W64,3),"没有上级")</f>
        <v>0</v>
      </c>
      <c r="W64" s="30">
        <f>TRUNC(60.48,3)</f>
        <v>60.48</v>
      </c>
      <c r="X64" s="30"/>
      <c r="Y64" s="30">
        <f>TRUNC(Z64-W64*(9.9-agent!L$3)*10,3)</f>
        <v>58363.199999999997</v>
      </c>
      <c r="Z64" s="30">
        <f>TRUNC(54432+W64*99,3)</f>
        <v>60419.519999999997</v>
      </c>
      <c r="AA64" s="31" t="s">
        <v>102</v>
      </c>
      <c r="AB64" s="30">
        <f>TRUNC(0.0018,3)</f>
        <v>1E-3</v>
      </c>
      <c r="AC64" s="30"/>
      <c r="AD64" s="30">
        <f>TRUNC(AE64-AB64*(9.9-agent!L$3)*10,3)</f>
        <v>1.6850000000000001</v>
      </c>
      <c r="AE64" s="30">
        <f>TRUNC(1.62+AB64*99,3)</f>
        <v>1.7190000000000001</v>
      </c>
    </row>
    <row r="65" spans="4:31" x14ac:dyDescent="0.15">
      <c r="D65" s="30" t="s">
        <v>21</v>
      </c>
      <c r="E65" s="31" t="s">
        <v>81</v>
      </c>
      <c r="F65" s="30" t="str">
        <f>PK10Source!E210</f>
        <v>01 02 03 04 05 06 07 08 09 10,01 02 03 04 05 06 07 08 09 10,01 02 03 04 05 06 07 08 09 10,01 02 03 04 05 06 07 08 09 10</v>
      </c>
      <c r="G65" s="30">
        <f t="shared" si="3"/>
        <v>1</v>
      </c>
      <c r="H65" s="30">
        <f t="shared" si="3"/>
        <v>1</v>
      </c>
      <c r="I65" s="33">
        <f>PK10Source!E222</f>
        <v>10080</v>
      </c>
      <c r="J65" s="30">
        <f t="shared" si="4"/>
        <v>342.72</v>
      </c>
      <c r="K65" s="33">
        <f>PK10Source!E193</f>
        <v>9727.2000000000007</v>
      </c>
      <c r="L65" s="30" t="e">
        <f t="shared" si="1"/>
        <v>#VALUE!</v>
      </c>
      <c r="M65" s="30">
        <f>IF(ISNUMBER(agent!$O$6*(K65/Y65)*$W65),TRUNC(agent!$O$6*(K65/Y65)*$W65,3),"没有上级")</f>
        <v>10.08</v>
      </c>
      <c r="N65" s="30">
        <f>IF(ISNUMBER(agent!$O$9*(K65/Y65)*$W65),TRUNC(agent!$O$9*(K65/Y65)*$W65,3),"没有上级")</f>
        <v>60.48</v>
      </c>
      <c r="O65" s="30">
        <f>IF(ISNUMBER(agent!$O$12*(K65/Y65)*$W65),TRUNC(agent!$O$12*(K65/Y65)*$W65,3),"没有上级")</f>
        <v>20.16</v>
      </c>
      <c r="P65" s="30">
        <f>IF(ISNUMBER(agent!$O$15*(K65/Y65)*$W65),TRUNC(agent!$O$15*(K65/Y65)*$W65,3),"没有上级")</f>
        <v>40.32</v>
      </c>
      <c r="Q65" s="30">
        <f>IF(ISNUMBER(agent!$O$18*(K65/Y65)*$W65),TRUNC(agent!$O$18*(K65/Y65)*$W65,3),"没有上级")</f>
        <v>30.24</v>
      </c>
      <c r="R65" s="30">
        <f>IF(ISNUMBER(agent!$O$21*(K65/Y65)*$W65),TRUNC(agent!$O$21*(K65/Y65)*$W65,3),"没有上级")</f>
        <v>10.08</v>
      </c>
      <c r="S65" s="30">
        <f>IF(ISNUMBER(agent!$O$24*(K65/Y65)*$W65),TRUNC(agent!$O$24*(K65/Y65)*$W65,3),"没有上级")</f>
        <v>70.56</v>
      </c>
      <c r="T65" s="30">
        <f>IF(ISNUMBER(agent!$O$27*(K65/Y65)*$W65),TRUNC(agent!$O$27*(K65/Y65)*$W65,3),"没有上级")</f>
        <v>30.24</v>
      </c>
      <c r="U65" s="30">
        <f>IF(ISNUMBER(agent!$O$30*(K65/Y65)*$W65),TRUNC(agent!$O$30*(K65/Y65)*$W65,3),"没有上级")</f>
        <v>40.32</v>
      </c>
      <c r="V65" s="30">
        <f>IF(ISNUMBER(agent!$O$33*(K65/Y65)*$W65),TRUNC(agent!$O$33*(K65/Y65)*$W65,3),"没有上级")</f>
        <v>30.24</v>
      </c>
      <c r="W65" s="30">
        <f>TRUNC(10.08,3)</f>
        <v>10.08</v>
      </c>
      <c r="X65" s="30"/>
      <c r="Y65" s="30">
        <f>TRUNC(Z65-W65*(9.9-agent!L$3)*10,3)</f>
        <v>9727.2000000000007</v>
      </c>
      <c r="Z65" s="30">
        <f>TRUNC(9072+W65*99,3)</f>
        <v>10069.92</v>
      </c>
      <c r="AA65" s="31" t="s">
        <v>103</v>
      </c>
      <c r="AB65" s="30">
        <f>TRUNC(0.045,3)</f>
        <v>4.4999999999999998E-2</v>
      </c>
      <c r="AC65" s="30"/>
      <c r="AD65" s="30">
        <f>TRUNC(AE65-AB65*(9.9-agent!L$3)*10,3)</f>
        <v>43.424999999999997</v>
      </c>
      <c r="AE65" s="30">
        <f>TRUNC(40.5+AB65*99,3)</f>
        <v>44.954999999999998</v>
      </c>
    </row>
    <row r="66" spans="4:31" x14ac:dyDescent="0.15">
      <c r="D66" s="30" t="s">
        <v>21</v>
      </c>
      <c r="E66" s="30" t="s">
        <v>22</v>
      </c>
      <c r="F66" s="30" t="str">
        <f>PK10Source!E211</f>
        <v>08 09 01 02</v>
      </c>
      <c r="G66" s="30">
        <f t="shared" si="3"/>
        <v>2</v>
      </c>
      <c r="H66" s="30">
        <f t="shared" si="3"/>
        <v>1</v>
      </c>
      <c r="I66" s="33">
        <f>PK10Source!E223</f>
        <v>4</v>
      </c>
      <c r="J66" s="30">
        <f t="shared" ref="J66:J73" si="5">SUM(M66:V66)</f>
        <v>0</v>
      </c>
      <c r="K66" s="33">
        <f>PK10Source!E194</f>
        <v>0</v>
      </c>
      <c r="L66" s="30" t="e">
        <f t="shared" si="1"/>
        <v>#VALUE!</v>
      </c>
      <c r="M66" s="30">
        <f>IF(ISNUMBER(agent!$O$6*(K66/Y66)*$W66),TRUNC(agent!$O$6*(K66/Y66)*$W66,3),"没有上级")</f>
        <v>0</v>
      </c>
      <c r="N66" s="30">
        <f>IF(ISNUMBER(agent!$O$9*(K66/Y66)*$W66),TRUNC(agent!$O$9*(K66/Y66)*$W66,3),"没有上级")</f>
        <v>0</v>
      </c>
      <c r="O66" s="30">
        <f>IF(ISNUMBER(agent!$O$12*(K66/Y66)*$W66),TRUNC(agent!$O$12*(K66/Y66)*$W66,3),"没有上级")</f>
        <v>0</v>
      </c>
      <c r="P66" s="30">
        <f>IF(ISNUMBER(agent!$O$15*(K66/Y66)*$W66),TRUNC(agent!$O$15*(K66/Y66)*$W66,3),"没有上级")</f>
        <v>0</v>
      </c>
      <c r="Q66" s="30">
        <f>IF(ISNUMBER(agent!$O$18*(K66/Y66)*$W66),TRUNC(agent!$O$18*(K66/Y66)*$W66,3),"没有上级")</f>
        <v>0</v>
      </c>
      <c r="R66" s="30">
        <f>IF(ISNUMBER(agent!$O$21*(K66/Y66)*$W66),TRUNC(agent!$O$21*(K66/Y66)*$W66,3),"没有上级")</f>
        <v>0</v>
      </c>
      <c r="S66" s="30">
        <f>IF(ISNUMBER(agent!$O$24*(K66/Y66)*$W66),TRUNC(agent!$O$24*(K66/Y66)*$W66,3),"没有上级")</f>
        <v>0</v>
      </c>
      <c r="T66" s="30">
        <f>IF(ISNUMBER(agent!$O$27*(K66/Y66)*$W66),TRUNC(agent!$O$27*(K66/Y66)*$W66,3),"没有上级")</f>
        <v>0</v>
      </c>
      <c r="U66" s="30">
        <f>IF(ISNUMBER(agent!$O$30*(K66/Y66)*$W66),TRUNC(agent!$O$30*(K66/Y66)*$W66,3),"没有上级")</f>
        <v>0</v>
      </c>
      <c r="V66" s="30">
        <f>IF(ISNUMBER(agent!$O$33*(K66/Y66)*$W66),TRUNC(agent!$O$33*(K66/Y66)*$W66,3),"没有上级")</f>
        <v>0</v>
      </c>
      <c r="W66" s="30">
        <f>TRUNC(10.08,3)</f>
        <v>10.08</v>
      </c>
      <c r="X66" s="30"/>
      <c r="Y66" s="30">
        <f>TRUNC(Z66-W66*(9.9-agent!L$3)*10,3)</f>
        <v>9727.2000000000007</v>
      </c>
      <c r="Z66" s="30">
        <f>TRUNC(9072+W66*99,3)</f>
        <v>10069.92</v>
      </c>
      <c r="AA66" s="31" t="s">
        <v>104</v>
      </c>
      <c r="AB66" s="30">
        <f>TRUNC(0.0225,3)</f>
        <v>2.1999999999999999E-2</v>
      </c>
      <c r="AC66" s="30"/>
      <c r="AD66" s="30">
        <f>TRUNC(AE66-AB66*(9.9-agent!L$3)*10,3)</f>
        <v>21.68</v>
      </c>
      <c r="AE66" s="30">
        <f>TRUNC(20.25+AB66*99,3)</f>
        <v>22.428000000000001</v>
      </c>
    </row>
    <row r="67" spans="4:31" x14ac:dyDescent="0.15">
      <c r="D67" s="30" t="s">
        <v>23</v>
      </c>
      <c r="E67" s="31" t="s">
        <v>81</v>
      </c>
      <c r="F67" s="30" t="str">
        <f>PK10Source!E212</f>
        <v>01 02 03 04 05 06 07 08 09 10,01 02 03 04 05 06 07 08 09 10,01 02 03 04 05 06 07 08 09 10</v>
      </c>
      <c r="G67" s="30">
        <f t="shared" si="3"/>
        <v>4</v>
      </c>
      <c r="H67" s="30">
        <f t="shared" si="3"/>
        <v>1</v>
      </c>
      <c r="I67" s="33">
        <f>PK10Source!E224</f>
        <v>5760</v>
      </c>
      <c r="J67" s="30">
        <f t="shared" si="5"/>
        <v>195.84</v>
      </c>
      <c r="K67" s="33">
        <f>PK10Source!E195</f>
        <v>5558.4</v>
      </c>
      <c r="L67" s="30" t="e">
        <f t="shared" si="1"/>
        <v>#VALUE!</v>
      </c>
      <c r="M67" s="30">
        <f>IF(ISNUMBER(agent!$O$6*(K67/Y67)*$W67),TRUNC(agent!$O$6*(K67/Y67)*$W67,3),"没有上级")</f>
        <v>5.76</v>
      </c>
      <c r="N67" s="30">
        <f>IF(ISNUMBER(agent!$O$9*(K67/Y67)*$W67),TRUNC(agent!$O$9*(K67/Y67)*$W67,3),"没有上级")</f>
        <v>34.56</v>
      </c>
      <c r="O67" s="30">
        <f>IF(ISNUMBER(agent!$O$12*(K67/Y67)*$W67),TRUNC(agent!$O$12*(K67/Y67)*$W67,3),"没有上级")</f>
        <v>11.52</v>
      </c>
      <c r="P67" s="30">
        <f>IF(ISNUMBER(agent!$O$15*(K67/Y67)*$W67),TRUNC(agent!$O$15*(K67/Y67)*$W67,3),"没有上级")</f>
        <v>23.04</v>
      </c>
      <c r="Q67" s="30">
        <f>IF(ISNUMBER(agent!$O$18*(K67/Y67)*$W67),TRUNC(agent!$O$18*(K67/Y67)*$W67,3),"没有上级")</f>
        <v>17.28</v>
      </c>
      <c r="R67" s="30">
        <f>IF(ISNUMBER(agent!$O$21*(K67/Y67)*$W67),TRUNC(agent!$O$21*(K67/Y67)*$W67,3),"没有上级")</f>
        <v>5.76</v>
      </c>
      <c r="S67" s="30">
        <f>IF(ISNUMBER(agent!$O$24*(K67/Y67)*$W67),TRUNC(agent!$O$24*(K67/Y67)*$W67,3),"没有上级")</f>
        <v>40.32</v>
      </c>
      <c r="T67" s="30">
        <f>IF(ISNUMBER(agent!$O$27*(K67/Y67)*$W67),TRUNC(agent!$O$27*(K67/Y67)*$W67,3),"没有上级")</f>
        <v>17.28</v>
      </c>
      <c r="U67" s="30">
        <f>IF(ISNUMBER(agent!$O$30*(K67/Y67)*$W67),TRUNC(agent!$O$30*(K67/Y67)*$W67,3),"没有上级")</f>
        <v>23.04</v>
      </c>
      <c r="V67" s="30">
        <f>IF(ISNUMBER(agent!$O$33*(K67/Y67)*$W67),TRUNC(agent!$O$33*(K67/Y67)*$W67,3),"没有上级")</f>
        <v>17.28</v>
      </c>
      <c r="W67" s="30">
        <f>TRUNC(1.44,3)</f>
        <v>1.44</v>
      </c>
      <c r="X67" s="30"/>
      <c r="Y67" s="30">
        <f>TRUNC(Z67-W67*(9.9-agent!L$3)*10,3)</f>
        <v>1389.6</v>
      </c>
      <c r="Z67" s="30">
        <f>TRUNC(1296+W67*99,3)</f>
        <v>1438.56</v>
      </c>
      <c r="AA67" s="31" t="s">
        <v>105</v>
      </c>
      <c r="AB67" s="30">
        <f>TRUNC(0.015,3)</f>
        <v>1.4999999999999999E-2</v>
      </c>
      <c r="AC67" s="30"/>
      <c r="AD67" s="30">
        <f>TRUNC(AE67-AB67*(9.9-agent!L$3)*10,3)</f>
        <v>14.475</v>
      </c>
      <c r="AE67" s="30">
        <f>TRUNC(13.5+AB67*99,3)</f>
        <v>14.984999999999999</v>
      </c>
    </row>
    <row r="68" spans="4:31" x14ac:dyDescent="0.15">
      <c r="D68" s="30" t="s">
        <v>23</v>
      </c>
      <c r="E68" s="30" t="s">
        <v>24</v>
      </c>
      <c r="F68" s="30" t="str">
        <f>PK10Source!E213</f>
        <v>08 09 01</v>
      </c>
      <c r="G68" s="30">
        <f t="shared" si="3"/>
        <v>5</v>
      </c>
      <c r="H68" s="30">
        <f t="shared" si="3"/>
        <v>1</v>
      </c>
      <c r="I68" s="33">
        <f>PK10Source!E225</f>
        <v>10</v>
      </c>
      <c r="J68" s="30">
        <f t="shared" si="5"/>
        <v>0</v>
      </c>
      <c r="K68" s="33">
        <f>PK10Source!E196</f>
        <v>0</v>
      </c>
      <c r="L68" s="30" t="e">
        <f t="shared" ref="L68:L73" si="6">L67-I68+K68</f>
        <v>#VALUE!</v>
      </c>
      <c r="M68" s="30">
        <f>IF(ISNUMBER(agent!$O$6*(K68/Y68)*$W68),TRUNC(agent!$O$6*(K68/Y68)*$W68,3),"没有上级")</f>
        <v>0</v>
      </c>
      <c r="N68" s="30">
        <f>IF(ISNUMBER(agent!$O$9*(K68/Y68)*$W68),TRUNC(agent!$O$9*(K68/Y68)*$W68,3),"没有上级")</f>
        <v>0</v>
      </c>
      <c r="O68" s="30">
        <f>IF(ISNUMBER(agent!$O$12*(K68/Y68)*$W68),TRUNC(agent!$O$12*(K68/Y68)*$W68,3),"没有上级")</f>
        <v>0</v>
      </c>
      <c r="P68" s="30">
        <f>IF(ISNUMBER(agent!$O$15*(K68/Y68)*$W68),TRUNC(agent!$O$15*(K68/Y68)*$W68,3),"没有上级")</f>
        <v>0</v>
      </c>
      <c r="Q68" s="30">
        <f>IF(ISNUMBER(agent!$O$18*(K68/Y68)*$W68),TRUNC(agent!$O$18*(K68/Y68)*$W68,3),"没有上级")</f>
        <v>0</v>
      </c>
      <c r="R68" s="30">
        <f>IF(ISNUMBER(agent!$O$21*(K68/Y68)*$W68),TRUNC(agent!$O$21*(K68/Y68)*$W68,3),"没有上级")</f>
        <v>0</v>
      </c>
      <c r="S68" s="30">
        <f>IF(ISNUMBER(agent!$O$24*(K68/Y68)*$W68),TRUNC(agent!$O$24*(K68/Y68)*$W68,3),"没有上级")</f>
        <v>0</v>
      </c>
      <c r="T68" s="30">
        <f>IF(ISNUMBER(agent!$O$27*(K68/Y68)*$W68),TRUNC(agent!$O$27*(K68/Y68)*$W68,3),"没有上级")</f>
        <v>0</v>
      </c>
      <c r="U68" s="30">
        <f>IF(ISNUMBER(agent!$O$30*(K68/Y68)*$W68),TRUNC(agent!$O$30*(K68/Y68)*$W68,3),"没有上级")</f>
        <v>0</v>
      </c>
      <c r="V68" s="30">
        <f>IF(ISNUMBER(agent!$O$33*(K68/Y68)*$W68),TRUNC(agent!$O$33*(K68/Y68)*$W68,3),"没有上级")</f>
        <v>0</v>
      </c>
      <c r="W68" s="30">
        <f>TRUNC(1.44,3)</f>
        <v>1.44</v>
      </c>
      <c r="X68" s="30"/>
      <c r="Y68" s="30">
        <f>TRUNC(Z68-W68*(9.9-agent!L$3)*10,3)</f>
        <v>1389.6</v>
      </c>
      <c r="Z68" s="30">
        <f>TRUNC(1296+W68*99,3)</f>
        <v>1438.56</v>
      </c>
      <c r="AA68" s="31" t="s">
        <v>106</v>
      </c>
      <c r="AB68" s="30">
        <f>TRUNC(0.0112142857,3)</f>
        <v>1.0999999999999999E-2</v>
      </c>
      <c r="AC68" s="30"/>
      <c r="AD68" s="30">
        <f>TRUNC(AE68-AB68*(9.9-agent!L$3)*10,3)</f>
        <v>10.84</v>
      </c>
      <c r="AE68" s="30">
        <f>TRUNC(10.125+AB68*99,3)</f>
        <v>11.214</v>
      </c>
    </row>
    <row r="69" spans="4:31" x14ac:dyDescent="0.15">
      <c r="D69" s="30" t="s">
        <v>25</v>
      </c>
      <c r="E69" s="31" t="s">
        <v>81</v>
      </c>
      <c r="F69" s="30" t="str">
        <f>PK10Source!E214</f>
        <v>01 02 03 04 05 06 07 08 09 10,01 02 03 04 05 06 07 08 09 10</v>
      </c>
      <c r="G69" s="30">
        <f t="shared" si="3"/>
        <v>1</v>
      </c>
      <c r="H69" s="30">
        <f t="shared" si="3"/>
        <v>1</v>
      </c>
      <c r="I69" s="33">
        <f>PK10Source!E226</f>
        <v>180</v>
      </c>
      <c r="J69" s="30">
        <f t="shared" si="5"/>
        <v>6.12</v>
      </c>
      <c r="K69" s="33">
        <f>PK10Source!E197</f>
        <v>173.7</v>
      </c>
      <c r="L69" s="30" t="e">
        <f t="shared" si="6"/>
        <v>#VALUE!</v>
      </c>
      <c r="M69" s="30">
        <f>IF(ISNUMBER(agent!$O$6*(K69/Y69)*$W69),TRUNC(agent!$O$6*(K69/Y69)*$W69,3),"没有上级")</f>
        <v>0.18</v>
      </c>
      <c r="N69" s="30">
        <f>IF(ISNUMBER(agent!$O$9*(K69/Y69)*$W69),TRUNC(agent!$O$9*(K69/Y69)*$W69,3),"没有上级")</f>
        <v>1.08</v>
      </c>
      <c r="O69" s="30">
        <f>IF(ISNUMBER(agent!$O$12*(K69/Y69)*$W69),TRUNC(agent!$O$12*(K69/Y69)*$W69,3),"没有上级")</f>
        <v>0.36</v>
      </c>
      <c r="P69" s="30">
        <f>IF(ISNUMBER(agent!$O$15*(K69/Y69)*$W69),TRUNC(agent!$O$15*(K69/Y69)*$W69,3),"没有上级")</f>
        <v>0.72</v>
      </c>
      <c r="Q69" s="30">
        <f>IF(ISNUMBER(agent!$O$18*(K69/Y69)*$W69),TRUNC(agent!$O$18*(K69/Y69)*$W69,3),"没有上级")</f>
        <v>0.54</v>
      </c>
      <c r="R69" s="30">
        <f>IF(ISNUMBER(agent!$O$21*(K69/Y69)*$W69),TRUNC(agent!$O$21*(K69/Y69)*$W69,3),"没有上级")</f>
        <v>0.18</v>
      </c>
      <c r="S69" s="30">
        <f>IF(ISNUMBER(agent!$O$24*(K69/Y69)*$W69),TRUNC(agent!$O$24*(K69/Y69)*$W69,3),"没有上级")</f>
        <v>1.26</v>
      </c>
      <c r="T69" s="30">
        <f>IF(ISNUMBER(agent!$O$27*(K69/Y69)*$W69),TRUNC(agent!$O$27*(K69/Y69)*$W69,3),"没有上级")</f>
        <v>0.54</v>
      </c>
      <c r="U69" s="30">
        <f>IF(ISNUMBER(agent!$O$30*(K69/Y69)*$W69),TRUNC(agent!$O$30*(K69/Y69)*$W69,3),"没有上级")</f>
        <v>0.72</v>
      </c>
      <c r="V69" s="30">
        <f>IF(ISNUMBER(agent!$O$33*(K69/Y69)*$W69),TRUNC(agent!$O$33*(K69/Y69)*$W69,3),"没有上级")</f>
        <v>0.54</v>
      </c>
      <c r="W69" s="30">
        <f>TRUNC(0.18,3)</f>
        <v>0.18</v>
      </c>
      <c r="X69" s="30"/>
      <c r="Y69" s="30">
        <f>TRUNC(Z69-W69*(9.9-agent!L$3)*10,3)</f>
        <v>173.7</v>
      </c>
      <c r="Z69" s="30">
        <f>TRUNC(162+W69*99,3)</f>
        <v>179.82</v>
      </c>
      <c r="AA69" s="31" t="s">
        <v>107</v>
      </c>
      <c r="AB69" s="30">
        <f>TRUNC(0.009,3)</f>
        <v>8.9999999999999993E-3</v>
      </c>
      <c r="AC69" s="30"/>
      <c r="AD69" s="30">
        <f>TRUNC(AE69-AB69*(9.9-agent!L$3)*10,3)</f>
        <v>8.6850000000000005</v>
      </c>
      <c r="AE69" s="30">
        <f>TRUNC(8.1+AB69*99,3)</f>
        <v>8.9909999999999997</v>
      </c>
    </row>
    <row r="70" spans="4:31" x14ac:dyDescent="0.15">
      <c r="D70" s="30" t="s">
        <v>25</v>
      </c>
      <c r="E70" s="30" t="s">
        <v>24</v>
      </c>
      <c r="F70" s="30" t="str">
        <f>PK10Source!E215</f>
        <v>02 03,08 09,09 04,05 09</v>
      </c>
      <c r="G70" s="30">
        <f t="shared" si="3"/>
        <v>2</v>
      </c>
      <c r="H70" s="30">
        <f t="shared" si="3"/>
        <v>1</v>
      </c>
      <c r="I70" s="33">
        <f>PK10Source!E227</f>
        <v>12</v>
      </c>
      <c r="J70" s="30">
        <f t="shared" si="5"/>
        <v>0</v>
      </c>
      <c r="K70" s="33">
        <f>PK10Source!E198</f>
        <v>0</v>
      </c>
      <c r="L70" s="30" t="e">
        <f t="shared" si="6"/>
        <v>#VALUE!</v>
      </c>
      <c r="M70" s="30">
        <f>IF(ISNUMBER(agent!$O$6*(K70/Y70)*$W70),TRUNC(agent!$O$6*(K70/Y70)*$W70,3),"没有上级")</f>
        <v>0</v>
      </c>
      <c r="N70" s="30">
        <f>IF(ISNUMBER(agent!$O$9*(K70/Y70)*$W70),TRUNC(agent!$O$9*(K70/Y70)*$W70,3),"没有上级")</f>
        <v>0</v>
      </c>
      <c r="O70" s="30">
        <f>IF(ISNUMBER(agent!$O$12*(K70/Y70)*$W70),TRUNC(agent!$O$12*(K70/Y70)*$W70,3),"没有上级")</f>
        <v>0</v>
      </c>
      <c r="P70" s="30">
        <f>IF(ISNUMBER(agent!$O$15*(K70/Y70)*$W70),TRUNC(agent!$O$15*(K70/Y70)*$W70,3),"没有上级")</f>
        <v>0</v>
      </c>
      <c r="Q70" s="30">
        <f>IF(ISNUMBER(agent!$O$18*(K70/Y70)*$W70),TRUNC(agent!$O$18*(K70/Y70)*$W70,3),"没有上级")</f>
        <v>0</v>
      </c>
      <c r="R70" s="30">
        <f>IF(ISNUMBER(agent!$O$21*(K70/Y70)*$W70),TRUNC(agent!$O$21*(K70/Y70)*$W70,3),"没有上级")</f>
        <v>0</v>
      </c>
      <c r="S70" s="30">
        <f>IF(ISNUMBER(agent!$O$24*(K70/Y70)*$W70),TRUNC(agent!$O$24*(K70/Y70)*$W70,3),"没有上级")</f>
        <v>0</v>
      </c>
      <c r="T70" s="30">
        <f>IF(ISNUMBER(agent!$O$27*(K70/Y70)*$W70),TRUNC(agent!$O$27*(K70/Y70)*$W70,3),"没有上级")</f>
        <v>0</v>
      </c>
      <c r="U70" s="30">
        <f>IF(ISNUMBER(agent!$O$30*(K70/Y70)*$W70),TRUNC(agent!$O$30*(K70/Y70)*$W70,3),"没有上级")</f>
        <v>0</v>
      </c>
      <c r="V70" s="30">
        <f>IF(ISNUMBER(agent!$O$33*(K70/Y70)*$W70),TRUNC(agent!$O$33*(K70/Y70)*$W70,3),"没有上级")</f>
        <v>0</v>
      </c>
      <c r="W70" s="30">
        <f>TRUNC(0.18,3)</f>
        <v>0.18</v>
      </c>
      <c r="X70" s="30"/>
      <c r="Y70" s="30">
        <f>TRUNC(Z70-W70*(9.9-agent!L$3)*10,3)</f>
        <v>173.7</v>
      </c>
      <c r="Z70" s="30">
        <f>TRUNC(162+W70*99,3)</f>
        <v>179.82</v>
      </c>
      <c r="AA70" s="31" t="s">
        <v>108</v>
      </c>
      <c r="AB70" s="30">
        <f>AB68</f>
        <v>1.0999999999999999E-2</v>
      </c>
      <c r="AC70" s="30"/>
      <c r="AD70" s="30">
        <f>AD68</f>
        <v>10.84</v>
      </c>
      <c r="AE70" s="30">
        <f>AE68</f>
        <v>11.214</v>
      </c>
    </row>
    <row r="71" spans="4:31" x14ac:dyDescent="0.15">
      <c r="D71" s="30" t="s">
        <v>26</v>
      </c>
      <c r="E71" s="31" t="s">
        <v>81</v>
      </c>
      <c r="F71" s="30" t="str">
        <f>PK10Source!E216</f>
        <v xml:space="preserve">01 02 03 04 05 06 07 08 09 10 </v>
      </c>
      <c r="G71" s="30">
        <f t="shared" si="3"/>
        <v>3</v>
      </c>
      <c r="H71" s="30">
        <f t="shared" si="3"/>
        <v>1</v>
      </c>
      <c r="I71" s="33">
        <f>PK10Source!E228</f>
        <v>60</v>
      </c>
      <c r="J71" s="30">
        <f t="shared" si="5"/>
        <v>2.04</v>
      </c>
      <c r="K71" s="33">
        <f>PK10Source!E199</f>
        <v>57.900000000000006</v>
      </c>
      <c r="L71" s="30" t="e">
        <f t="shared" si="6"/>
        <v>#VALUE!</v>
      </c>
      <c r="M71" s="30">
        <f>IF(ISNUMBER(agent!$O$6*(K71/Y71)*$W71),TRUNC(agent!$O$6*(K71/Y71)*$W71,3),"没有上级")</f>
        <v>0.06</v>
      </c>
      <c r="N71" s="30">
        <f>IF(ISNUMBER(agent!$O$9*(K71/Y71)*$W71),TRUNC(agent!$O$9*(K71/Y71)*$W71,3),"没有上级")</f>
        <v>0.36</v>
      </c>
      <c r="O71" s="30">
        <f>IF(ISNUMBER(agent!$O$12*(K71/Y71)*$W71),TRUNC(agent!$O$12*(K71/Y71)*$W71,3),"没有上级")</f>
        <v>0.12</v>
      </c>
      <c r="P71" s="30">
        <f>IF(ISNUMBER(agent!$O$15*(K71/Y71)*$W71),TRUNC(agent!$O$15*(K71/Y71)*$W71,3),"没有上级")</f>
        <v>0.24</v>
      </c>
      <c r="Q71" s="30">
        <f>IF(ISNUMBER(agent!$O$18*(K71/Y71)*$W71),TRUNC(agent!$O$18*(K71/Y71)*$W71,3),"没有上级")</f>
        <v>0.18</v>
      </c>
      <c r="R71" s="30">
        <f>IF(ISNUMBER(agent!$O$21*(K71/Y71)*$W71),TRUNC(agent!$O$21*(K71/Y71)*$W71,3),"没有上级")</f>
        <v>0.06</v>
      </c>
      <c r="S71" s="30">
        <f>IF(ISNUMBER(agent!$O$24*(K71/Y71)*$W71),TRUNC(agent!$O$24*(K71/Y71)*$W71,3),"没有上级")</f>
        <v>0.42</v>
      </c>
      <c r="T71" s="30">
        <f>IF(ISNUMBER(agent!$O$27*(K71/Y71)*$W71),TRUNC(agent!$O$27*(K71/Y71)*$W71,3),"没有上级")</f>
        <v>0.18</v>
      </c>
      <c r="U71" s="30">
        <f>IF(ISNUMBER(agent!$O$30*(K71/Y71)*$W71),TRUNC(agent!$O$30*(K71/Y71)*$W71,3),"没有上级")</f>
        <v>0.24</v>
      </c>
      <c r="V71" s="30">
        <f>IF(ISNUMBER(agent!$O$33*(K71/Y71)*$W71),TRUNC(agent!$O$33*(K71/Y71)*$W71,3),"没有上级")</f>
        <v>0.18</v>
      </c>
      <c r="W71" s="30">
        <f>TRUNC(0.02,3)</f>
        <v>0.02</v>
      </c>
      <c r="X71" s="30"/>
      <c r="Y71" s="30">
        <f>TRUNC(Z71-W71*(9.9-agent!L$3)*10,3)</f>
        <v>19.3</v>
      </c>
      <c r="Z71" s="30">
        <f>TRUNC(18+W71*99,3)</f>
        <v>19.98</v>
      </c>
      <c r="AA71" s="31" t="s">
        <v>109</v>
      </c>
      <c r="AB71" s="30">
        <f>AB67</f>
        <v>1.4999999999999999E-2</v>
      </c>
      <c r="AC71" s="30"/>
      <c r="AD71" s="30">
        <f>AD67</f>
        <v>14.475</v>
      </c>
      <c r="AE71" s="30">
        <f>AE67</f>
        <v>14.984999999999999</v>
      </c>
    </row>
    <row r="72" spans="4:31" x14ac:dyDescent="0.15">
      <c r="D72" s="30" t="s">
        <v>27</v>
      </c>
      <c r="E72" s="30" t="s">
        <v>28</v>
      </c>
      <c r="F72" s="30" t="str">
        <f>PK10Source!E217</f>
        <v>和大 和小 和单 和双,03 04 05 06 07 08 09 10 11 12 13 14 15 16 17 18 19</v>
      </c>
      <c r="G72" s="30">
        <f t="shared" si="3"/>
        <v>1</v>
      </c>
      <c r="H72" s="30">
        <f t="shared" si="3"/>
        <v>3</v>
      </c>
      <c r="I72" s="33">
        <f>PK10Source!E229</f>
        <v>63</v>
      </c>
      <c r="J72" s="30">
        <f t="shared" si="5"/>
        <v>0</v>
      </c>
      <c r="K72" s="33">
        <f>PK10Source!E200</f>
        <v>0</v>
      </c>
      <c r="L72" s="30" t="e">
        <f t="shared" si="6"/>
        <v>#VALUE!</v>
      </c>
      <c r="M72" s="30">
        <f>IF(ISNUMBER(agent!$O$6*$Y72*$W72),TRUNC(agent!$O$6*H72*W72,3),"没有上级")</f>
        <v>0</v>
      </c>
      <c r="N72" s="30">
        <f>IF(ISNUMBER(agent!$O$9*$Y72*$W72),TRUNC(agent!$O$9*H72*W72,3),"没有上级")</f>
        <v>0</v>
      </c>
      <c r="O72" s="30">
        <f>IF(ISNUMBER(agent!$O$12*$Y72*$W72),TRUNC(agent!$O$12*H72*W72,3),"没有上级")</f>
        <v>0</v>
      </c>
      <c r="P72" s="30">
        <f>IF(ISNUMBER(agent!$O$15*$Y72*$W72),TRUNC(agent!$O$15*H72*W72,3),"没有上级")</f>
        <v>0</v>
      </c>
      <c r="Q72" s="30">
        <f>IF(ISNUMBER(agent!$O$18*$Y72*$W72),TRUNC(agent!$O$18*H72*W72,3),"没有上级")</f>
        <v>0</v>
      </c>
      <c r="R72" s="30">
        <f>IF(ISNUMBER(agent!$O$21*$Y72*$W72),TRUNC(agent!$O$21*H72*W72,3),"没有上级")</f>
        <v>0</v>
      </c>
      <c r="S72" s="30">
        <f>IF(ISNUMBER(agent!$O$24*$Y72*$W72),TRUNC(agent!$O$24*H72*W72,3),"没有上级")</f>
        <v>0</v>
      </c>
      <c r="T72" s="30">
        <f>IF(ISNUMBER(agent!$O$27*$Y72*$W72),TRUNC(agent!$O$27*H72*W72,3),"没有上级")</f>
        <v>0</v>
      </c>
      <c r="U72" s="30">
        <f>IF(ISNUMBER(agent!$O$30*$Y72*$W72),TRUNC(agent!$O$30*H72*W72,3),"没有上级")</f>
        <v>0</v>
      </c>
      <c r="V72" s="30">
        <f>IF(ISNUMBER(agent!$O$33*$Y72*$W72),TRUNC(agent!$O$33*H72*W72,3),"没有上级")</f>
        <v>0</v>
      </c>
      <c r="W72" s="30">
        <f>SUM(PK10Source!T89:T97)</f>
        <v>0</v>
      </c>
      <c r="X72" s="30"/>
      <c r="Y72" s="30">
        <f>SUM(PK10Source!S89:S97)</f>
        <v>0</v>
      </c>
      <c r="Z72" s="30">
        <f>SUM(PK10Source!U89:U97)</f>
        <v>0</v>
      </c>
      <c r="AA72" s="31" t="s">
        <v>110</v>
      </c>
      <c r="AB72" s="30">
        <f>AB66</f>
        <v>2.1999999999999999E-2</v>
      </c>
      <c r="AC72" s="30"/>
      <c r="AD72" s="30">
        <f>AD66</f>
        <v>21.68</v>
      </c>
      <c r="AE72" s="30">
        <f>AE66</f>
        <v>22.428000000000001</v>
      </c>
    </row>
    <row r="73" spans="4:31" x14ac:dyDescent="0.15">
      <c r="D73" s="30" t="s">
        <v>29</v>
      </c>
      <c r="E73" s="30" t="s">
        <v>30</v>
      </c>
      <c r="F73" s="30" t="str">
        <f>PK10Source!E218</f>
        <v>大 小 单 双 龙 虎,大 小 单 双 龙 虎,大 小 单 双 龙 虎,大 小 单 双 龙 虎,大 小 单 双 龙 虎,大 小 单 双,大 小 单 双,大 小 单 双,大 小 单 双,大 小 单 双</v>
      </c>
      <c r="G73" s="30">
        <f t="shared" si="3"/>
        <v>1</v>
      </c>
      <c r="H73" s="30">
        <f t="shared" si="3"/>
        <v>4</v>
      </c>
      <c r="I73" s="33">
        <f>PK10Source!E230</f>
        <v>200</v>
      </c>
      <c r="J73" s="30">
        <f t="shared" si="5"/>
        <v>6.7999999999999989</v>
      </c>
      <c r="K73" s="33">
        <f>PK10Source!E201</f>
        <v>193</v>
      </c>
      <c r="L73" s="30" t="e">
        <f t="shared" si="6"/>
        <v>#VALUE!</v>
      </c>
      <c r="M73" s="30">
        <f>IF(ISNUMBER(agent!$O$6*(K73/Y73)*$W73),TRUNC(agent!$O$6*(K73/Y73)*$W73,3),"没有上级")</f>
        <v>0.2</v>
      </c>
      <c r="N73" s="30">
        <f>IF(ISNUMBER(agent!$O$9*(K73/Y73)*$W73),TRUNC(agent!$O$9*(K73/Y73)*$W73,3),"没有上级")</f>
        <v>1.2</v>
      </c>
      <c r="O73" s="30">
        <f>IF(ISNUMBER(agent!$O$12*(K73/Y73)*$W73),TRUNC(agent!$O$12*(K73/Y73)*$W73,3),"没有上级")</f>
        <v>0.4</v>
      </c>
      <c r="P73" s="30">
        <f>IF(ISNUMBER(agent!$O$15*(K73/Y73)*$W73),TRUNC(agent!$O$15*(K73/Y73)*$W73,3),"没有上级")</f>
        <v>0.8</v>
      </c>
      <c r="Q73" s="30">
        <f>IF(ISNUMBER(agent!$O$18*(K73/Y73)*$W73),TRUNC(agent!$O$18*(K73/Y73)*$W73,3),"没有上级")</f>
        <v>0.6</v>
      </c>
      <c r="R73" s="30">
        <f>IF(ISNUMBER(agent!$O$21*(K73/Y73)*$W73),TRUNC(agent!$O$21*(K73/Y73)*$W73,3),"没有上级")</f>
        <v>0.2</v>
      </c>
      <c r="S73" s="30">
        <f>IF(ISNUMBER(agent!$O$24*(K73/Y73)*$W73),TRUNC(agent!$O$24*(K73/Y73)*$W73,3),"没有上级")</f>
        <v>1.4</v>
      </c>
      <c r="T73" s="30">
        <f>IF(ISNUMBER(agent!$O$27*(K73/Y73)*$W73),TRUNC(agent!$O$27*(K73/Y73)*$W73,3),"没有上级")</f>
        <v>0.6</v>
      </c>
      <c r="U73" s="30">
        <f>IF(ISNUMBER(agent!$O$30*(K73/Y73)*$W73),TRUNC(agent!$O$30*(K73/Y73)*$W73,3),"没有上级")</f>
        <v>0.8</v>
      </c>
      <c r="V73" s="30">
        <f>IF(ISNUMBER(agent!$O$33*(K73/Y73)*$W73),TRUNC(agent!$O$33*(K73/Y73)*$W73,3),"没有上级")</f>
        <v>0.6</v>
      </c>
      <c r="W73" s="30">
        <f>TRUNC(0.002,3)</f>
        <v>2E-3</v>
      </c>
      <c r="X73" s="30"/>
      <c r="Y73" s="30">
        <f>TRUNC(Z73-W73*(9.9-agent!L$3)*10,3)</f>
        <v>1.93</v>
      </c>
      <c r="Z73" s="30">
        <f>TRUNC(1.8+W73*99,3)</f>
        <v>1.998</v>
      </c>
      <c r="AA73" s="31" t="s">
        <v>111</v>
      </c>
      <c r="AB73" s="30">
        <f>AB65</f>
        <v>4.4999999999999998E-2</v>
      </c>
      <c r="AC73" s="30"/>
      <c r="AD73" s="30">
        <f>AD65</f>
        <v>43.424999999999997</v>
      </c>
      <c r="AE73" s="30">
        <f>AE65</f>
        <v>44.954999999999998</v>
      </c>
    </row>
  </sheetData>
  <autoFilter ref="A1:L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247"/>
  <sheetViews>
    <sheetView tabSelected="1" workbookViewId="0">
      <pane ySplit="1" topLeftCell="A2" activePane="bottomLeft" state="frozen"/>
      <selection pane="bottomLeft" activeCell="D12" sqref="D12:D16"/>
    </sheetView>
  </sheetViews>
  <sheetFormatPr defaultColWidth="9" defaultRowHeight="13.5" x14ac:dyDescent="0.15"/>
  <cols>
    <col min="1" max="1" width="9" style="5" customWidth="1"/>
    <col min="2" max="2" width="10.125" style="5" customWidth="1"/>
    <col min="3" max="3" width="44.5" style="12" customWidth="1"/>
    <col min="4" max="4" width="28.375" style="12" customWidth="1"/>
    <col min="5" max="5" width="27.875" style="32" customWidth="1"/>
    <col min="6" max="6" width="11.375" style="5" customWidth="1"/>
    <col min="7" max="7" width="6.75" style="5" customWidth="1"/>
    <col min="8" max="8" width="9.5" style="11" bestFit="1" customWidth="1"/>
    <col min="9" max="9" width="12.125" style="25" customWidth="1"/>
    <col min="10" max="10" width="9.875" style="5" customWidth="1"/>
    <col min="11" max="11" width="14.25" style="2" customWidth="1"/>
    <col min="12" max="13" width="12.75" style="5" bestFit="1" customWidth="1"/>
    <col min="14" max="15" width="9" style="30"/>
    <col min="16" max="16" width="18.375" style="30" customWidth="1"/>
    <col min="17" max="17" width="17.625" style="5" customWidth="1"/>
    <col min="18" max="18" width="22.75" style="6" customWidth="1"/>
    <col min="19" max="19" width="10.5" style="5" bestFit="1" customWidth="1"/>
    <col min="20" max="16384" width="9" style="5"/>
  </cols>
  <sheetData>
    <row r="1" spans="1:19" x14ac:dyDescent="0.15">
      <c r="A1" s="31" t="s">
        <v>222</v>
      </c>
      <c r="B1" s="5" t="s">
        <v>1</v>
      </c>
      <c r="D1" s="12" t="s">
        <v>11</v>
      </c>
      <c r="F1" s="5" t="s">
        <v>4</v>
      </c>
      <c r="G1" s="5" t="s">
        <v>12</v>
      </c>
      <c r="H1" s="11" t="s">
        <v>13</v>
      </c>
      <c r="I1" s="25" t="s">
        <v>7</v>
      </c>
      <c r="J1" s="5" t="s">
        <v>10</v>
      </c>
      <c r="K1" s="5" t="s">
        <v>5</v>
      </c>
      <c r="L1" s="26" t="s">
        <v>168</v>
      </c>
      <c r="M1" s="5" t="s">
        <v>8</v>
      </c>
      <c r="Q1" s="19" t="s">
        <v>31</v>
      </c>
      <c r="R1" s="5"/>
      <c r="S1" s="5" t="s">
        <v>9</v>
      </c>
    </row>
    <row r="2" spans="1:19" ht="21" customHeight="1" x14ac:dyDescent="0.15">
      <c r="A2" s="38" t="s">
        <v>221</v>
      </c>
      <c r="B2" s="37" t="s">
        <v>18</v>
      </c>
      <c r="C2" s="8" t="s">
        <v>227</v>
      </c>
      <c r="D2" s="39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32" t="str">
        <f>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F2" s="38">
        <v>2</v>
      </c>
      <c r="G2" s="38">
        <v>1</v>
      </c>
      <c r="H2" s="37">
        <f>(LEN(SUBSTITUTE(C2," ",))+LEN(SUBSTITUTE(C3," ",))+LEN(SUBSTITUTE(C4," ",))+LEN(SUBSTITUTE(C5," ",))+LEN(SUBSTITUTE(C6," ",))+LEN(SUBSTITUTE(C7," ",))+LEN(SUBSTITUTE(C8," ",))+LEN(SUBSTITUTE(C9," ",))+LEN(SUBSTITUTE(C10," ",))+LEN(SUBSTITUTE(C11," ",)))/2*F2*2</f>
        <v>400</v>
      </c>
      <c r="I2" s="39">
        <f>SUM(N(ISNUMBER(FIND(Q2,C2,1))),N(ISNUMBER(FIND(Q3,C3,1))),N(ISNUMBER(FIND(Q4,C4,1))),N(ISNUMBER(FIND(Q5,C5,1))),N(ISNUMBER(FIND(Q6,C6,1))),N(ISNUMBER(FIND(Q7,C7,1))),N(ISNUMBER(FIND(Q8,C8,1))),N(ISNUMBER(FIND(Q9,C9,1))),N(ISNUMBER(FIND(Q10,C10,1))),N(ISNUMBER(FIND(Q11,C11,1))))*L2*F2</f>
        <v>386</v>
      </c>
      <c r="J2" s="37">
        <f>S2-H2+I2</f>
        <v>99999986</v>
      </c>
      <c r="K2" s="37"/>
      <c r="L2" s="39">
        <f>'PK10'!Y2</f>
        <v>19.3</v>
      </c>
      <c r="M2" s="39"/>
      <c r="N2" s="32"/>
      <c r="O2" s="32"/>
      <c r="P2" s="8" t="s">
        <v>220</v>
      </c>
      <c r="Q2" s="16" t="str">
        <f>LEFT(R12,2)</f>
        <v>02</v>
      </c>
      <c r="S2" s="5">
        <v>100000000</v>
      </c>
    </row>
    <row r="3" spans="1:19" ht="81" x14ac:dyDescent="0.15">
      <c r="A3" s="38"/>
      <c r="B3" s="37"/>
      <c r="C3" s="8" t="s">
        <v>228</v>
      </c>
      <c r="D3" s="39"/>
      <c r="E3" s="32" t="str">
        <f>D12</f>
        <v>01 03 04 05 06 07 08 09 10,01 02 04 05 06 07 08 09 10,01 02 03 04 05 06 07 08 09 10,01 02 03 04 05 06 07 08 09 10,01 02 03 04 05 06 07 08 09 10</v>
      </c>
      <c r="F3" s="38"/>
      <c r="G3" s="38"/>
      <c r="H3" s="37"/>
      <c r="I3" s="39"/>
      <c r="J3" s="37"/>
      <c r="K3" s="37"/>
      <c r="L3" s="39"/>
      <c r="M3" s="39"/>
      <c r="N3" s="32"/>
      <c r="O3" s="32"/>
      <c r="P3" s="32"/>
      <c r="Q3" s="14" t="str">
        <f>MID(R12,4,2)</f>
        <v>06</v>
      </c>
      <c r="R3" s="15"/>
    </row>
    <row r="4" spans="1:19" ht="27" x14ac:dyDescent="0.15">
      <c r="A4" s="38"/>
      <c r="B4" s="37"/>
      <c r="C4" s="8" t="s">
        <v>54</v>
      </c>
      <c r="D4" s="39"/>
      <c r="E4" s="32" t="str">
        <f>D17</f>
        <v>01 02 03 04 05,06 07 08 09 10</v>
      </c>
      <c r="F4" s="38"/>
      <c r="G4" s="38"/>
      <c r="H4" s="37"/>
      <c r="I4" s="39"/>
      <c r="J4" s="37"/>
      <c r="K4" s="37"/>
      <c r="L4" s="39"/>
      <c r="M4" s="39"/>
      <c r="N4" s="32"/>
      <c r="O4" s="32"/>
      <c r="P4" s="32"/>
      <c r="Q4" s="27" t="str">
        <f>MID(R12,7,2)</f>
        <v>04</v>
      </c>
      <c r="R4" s="15"/>
    </row>
    <row r="5" spans="1:19" ht="23.25" customHeight="1" x14ac:dyDescent="0.15">
      <c r="A5" s="38"/>
      <c r="B5" s="37"/>
      <c r="C5" s="8" t="s">
        <v>54</v>
      </c>
      <c r="D5" s="39"/>
      <c r="E5" s="32" t="str">
        <f>D18</f>
        <v>01 02 03 04 05 06 07 08 09 10,01 02 03 04 05 06 07 08 09 10,01 02 03 04 05 06 07 08 09 10,01 02 03 04 05 06 07 08 09 10</v>
      </c>
      <c r="F5" s="38"/>
      <c r="G5" s="38"/>
      <c r="H5" s="37"/>
      <c r="I5" s="39"/>
      <c r="J5" s="37"/>
      <c r="K5" s="37"/>
      <c r="L5" s="39"/>
      <c r="M5" s="39"/>
      <c r="N5" s="32"/>
      <c r="O5" s="32"/>
      <c r="P5" s="32"/>
      <c r="Q5" s="27" t="str">
        <f>MID(R12,10,2)</f>
        <v>05</v>
      </c>
      <c r="R5" s="15"/>
    </row>
    <row r="6" spans="1:19" ht="27" x14ac:dyDescent="0.15">
      <c r="A6" s="38"/>
      <c r="B6" s="37"/>
      <c r="C6" s="8" t="s">
        <v>229</v>
      </c>
      <c r="D6" s="39"/>
      <c r="E6" s="32" t="str">
        <f>D22</f>
        <v>01 02 03 04,05 06 07 08,09 10 01 02</v>
      </c>
      <c r="F6" s="38"/>
      <c r="G6" s="38"/>
      <c r="H6" s="37"/>
      <c r="I6" s="39"/>
      <c r="J6" s="37"/>
      <c r="K6" s="37"/>
      <c r="L6" s="39"/>
      <c r="M6" s="39"/>
      <c r="N6" s="32"/>
      <c r="O6" s="32"/>
      <c r="P6" s="32"/>
      <c r="Q6" s="27" t="str">
        <f>MID(R12,13,2)</f>
        <v>07</v>
      </c>
      <c r="R6" s="15"/>
    </row>
    <row r="7" spans="1:19" ht="14.25" customHeight="1" x14ac:dyDescent="0.15">
      <c r="A7" s="38"/>
      <c r="B7" s="37"/>
      <c r="C7" s="8" t="s">
        <v>54</v>
      </c>
      <c r="D7" s="39"/>
      <c r="E7" s="32" t="str">
        <f>D23</f>
        <v>01 02 03 04 05 06 07 08 09 10,01 02 03 04 05 06 07 08 09 10,01 02 03 04 05 06 07 08 09 10</v>
      </c>
      <c r="F7" s="38"/>
      <c r="G7" s="38"/>
      <c r="H7" s="37"/>
      <c r="I7" s="39"/>
      <c r="J7" s="37"/>
      <c r="K7" s="37"/>
      <c r="L7" s="39"/>
      <c r="M7" s="39"/>
      <c r="N7" s="32"/>
      <c r="O7" s="32"/>
      <c r="P7" s="32"/>
      <c r="Q7" s="27" t="str">
        <f>MID(R12,16,2)</f>
        <v>09</v>
      </c>
      <c r="R7" s="15"/>
    </row>
    <row r="8" spans="1:19" x14ac:dyDescent="0.15">
      <c r="A8" s="38"/>
      <c r="B8" s="37"/>
      <c r="C8" s="8" t="s">
        <v>230</v>
      </c>
      <c r="D8" s="39"/>
      <c r="E8" s="32" t="str">
        <f>D26</f>
        <v>09 08 01</v>
      </c>
      <c r="F8" s="38"/>
      <c r="G8" s="38"/>
      <c r="H8" s="37"/>
      <c r="I8" s="39"/>
      <c r="J8" s="37"/>
      <c r="K8" s="37"/>
      <c r="L8" s="39"/>
      <c r="M8" s="39"/>
      <c r="N8" s="32"/>
      <c r="O8" s="32"/>
      <c r="P8" s="32"/>
      <c r="Q8" s="27" t="str">
        <f>MID(R12,19,2)</f>
        <v>10</v>
      </c>
      <c r="R8" s="15"/>
    </row>
    <row r="9" spans="1:19" ht="40.5" x14ac:dyDescent="0.15">
      <c r="A9" s="38"/>
      <c r="B9" s="37"/>
      <c r="C9" s="8" t="s">
        <v>229</v>
      </c>
      <c r="D9" s="39"/>
      <c r="E9" s="32" t="str">
        <f>D27</f>
        <v>01 02 03 04 05 06 07 08 09 10,01 02 03 04 05 06 07 08 09 10</v>
      </c>
      <c r="F9" s="38"/>
      <c r="G9" s="38"/>
      <c r="H9" s="37"/>
      <c r="I9" s="39"/>
      <c r="J9" s="37"/>
      <c r="K9" s="37"/>
      <c r="L9" s="39"/>
      <c r="M9" s="39"/>
      <c r="N9" s="32"/>
      <c r="O9" s="32"/>
      <c r="P9" s="32"/>
      <c r="Q9" s="27" t="str">
        <f>MID(R12,22,2)</f>
        <v>08</v>
      </c>
      <c r="R9" s="15"/>
    </row>
    <row r="10" spans="1:19" x14ac:dyDescent="0.15">
      <c r="A10" s="38"/>
      <c r="B10" s="37"/>
      <c r="C10" s="8" t="s">
        <v>34</v>
      </c>
      <c r="D10" s="39"/>
      <c r="E10" s="32" t="str">
        <f>D29</f>
        <v>02 03,08 09,09 04,05 09</v>
      </c>
      <c r="F10" s="38"/>
      <c r="G10" s="38"/>
      <c r="H10" s="37"/>
      <c r="I10" s="39"/>
      <c r="J10" s="37"/>
      <c r="K10" s="37"/>
      <c r="L10" s="39"/>
      <c r="M10" s="39"/>
      <c r="N10" s="32"/>
      <c r="O10" s="32"/>
      <c r="P10" s="32"/>
      <c r="Q10" s="27" t="str">
        <f>MID(R12,25,2)</f>
        <v>03</v>
      </c>
      <c r="R10" s="15"/>
    </row>
    <row r="11" spans="1:19" ht="27" x14ac:dyDescent="0.15">
      <c r="A11" s="38"/>
      <c r="B11" s="37"/>
      <c r="C11" s="8" t="s">
        <v>228</v>
      </c>
      <c r="D11" s="39"/>
      <c r="E11" s="32" t="str">
        <f>D30</f>
        <v xml:space="preserve">01 02 03 04 05 06 07 08 09 10 </v>
      </c>
      <c r="F11" s="38"/>
      <c r="G11" s="38"/>
      <c r="H11" s="37"/>
      <c r="I11" s="39"/>
      <c r="J11" s="37"/>
      <c r="K11" s="37"/>
      <c r="L11" s="39"/>
      <c r="M11" s="39"/>
      <c r="N11" s="32"/>
      <c r="O11" s="32"/>
      <c r="P11" s="32"/>
      <c r="Q11" s="27" t="str">
        <f>MID(R12,28,2)</f>
        <v>01</v>
      </c>
      <c r="R11" s="15"/>
    </row>
    <row r="12" spans="1:19" ht="18" customHeight="1" x14ac:dyDescent="0.15">
      <c r="A12" s="38" t="s">
        <v>58</v>
      </c>
      <c r="B12" s="38" t="s">
        <v>81</v>
      </c>
      <c r="C12" s="8" t="s">
        <v>233</v>
      </c>
      <c r="D12" s="39" t="str">
        <f>TRIM(IF(LEN(C12)=0,"-",C12))&amp;","&amp;TRIM(IF(LEN(C13)=0,"-",C13))&amp;","&amp;TRIM(IF(LEN(C14)=0,"-",C14))&amp;","&amp;TRIM(IF(LEN(C15)=0,"-",C15))&amp;","&amp;TRIM(IF(LEN(C16)=0,"-",C16))</f>
        <v>01 03 04 05 06 07 08 09 10,01 02 04 05 06 07 08 09 10,01 02 03 04 05 06 07 08 09 10,01 02 03 04 05 06 07 08 09 10,01 02 03 04 05 06 07 08 09 10</v>
      </c>
      <c r="E12" s="32" t="str">
        <f>D31</f>
        <v>和大 和小 和单 和双,03 04 05 06 07 08 09 10 11 12 13 14 15 16 17 18 19</v>
      </c>
      <c r="F12" s="38">
        <v>1</v>
      </c>
      <c r="G12" s="38">
        <v>1</v>
      </c>
      <c r="H12" s="37">
        <f>24528*F12*2</f>
        <v>49056</v>
      </c>
      <c r="I12" s="37">
        <f>N(AND(ISNUMBER(FIND(Q2,C12,1)),ISNUMBER(FIND(Q3,C13,1)),ISNUMBER(FIND(Q4,C14,1)),ISNUMBER(FIND(Q5,C15,1)),ISNUMBER(FIND(Q6,C16,1))))*L12*F12</f>
        <v>0</v>
      </c>
      <c r="J12" s="37">
        <f>J2-H12+I12</f>
        <v>99950930</v>
      </c>
      <c r="K12" s="37"/>
      <c r="L12" s="37">
        <f>'PK10'!Y3</f>
        <v>58363.199999999997</v>
      </c>
      <c r="M12" s="37">
        <f>IF(ISNUMBER(agent!$O$6*AC12*$AA12),TRUNC(agent!$O$6*SUM(PK10Source!S29:S30)*SUM(PK10Source!T29:T30)+agent!$O$6*SUM(PK10Source!S31:S32)*SUM(PK10Source!T31:T32)+agent!$O$6*SUM(PK10Source!S33:S37)*SUM(PK10Source!T33:T37),3),"没有上级")</f>
        <v>0.223</v>
      </c>
      <c r="Q12" s="32" t="str">
        <f>Q2&amp;" "&amp;Q3&amp;" "&amp;Q4&amp;" "&amp;Q5&amp;" "&amp;Q6&amp;" "&amp;Q7&amp;" "&amp;Q8&amp;" "&amp;Q9&amp;" "&amp;Q10&amp;" "&amp;Q11</f>
        <v>02 06 04 05 07 09 10 08 03 01</v>
      </c>
      <c r="R12" s="8" t="s">
        <v>247</v>
      </c>
    </row>
    <row r="13" spans="1:19" ht="21.75" customHeight="1" x14ac:dyDescent="0.15">
      <c r="A13" s="37"/>
      <c r="B13" s="37"/>
      <c r="C13" s="8" t="s">
        <v>234</v>
      </c>
      <c r="D13" s="39"/>
      <c r="E13" s="32" t="str">
        <f>D33</f>
        <v>大 小 单 双 龙 虎,大 小 单 双 龙 虎,大 小 单 双 龙 虎,大 小 单 双 龙 虎,大 小 单 双 龙 虎,大 小 单 双,大 小 单 双,大 小 单 双,大 小 单 双,大 小 单 双</v>
      </c>
      <c r="F13" s="38"/>
      <c r="G13" s="38"/>
      <c r="H13" s="37"/>
      <c r="I13" s="37"/>
      <c r="J13" s="37"/>
      <c r="K13" s="37"/>
      <c r="L13" s="37"/>
      <c r="M13" s="37"/>
      <c r="Q13" s="14" t="str">
        <f>IF(MOD(Q2,2)=0,"双","单")</f>
        <v>双</v>
      </c>
      <c r="R13" s="15" t="str">
        <f>IF(INT(Q2)&gt;5,"大","小")</f>
        <v>小</v>
      </c>
      <c r="S13" s="5" t="str">
        <f>IF(Q2&gt;Q11,"龙","虎")</f>
        <v>龙</v>
      </c>
    </row>
    <row r="14" spans="1:19" x14ac:dyDescent="0.15">
      <c r="A14" s="37"/>
      <c r="B14" s="37"/>
      <c r="C14" s="8" t="s">
        <v>232</v>
      </c>
      <c r="D14" s="39"/>
      <c r="E14" s="32">
        <f>H2</f>
        <v>400</v>
      </c>
      <c r="F14" s="38"/>
      <c r="G14" s="38"/>
      <c r="H14" s="37"/>
      <c r="I14" s="37"/>
      <c r="J14" s="37"/>
      <c r="K14" s="37"/>
      <c r="L14" s="37"/>
      <c r="M14" s="37"/>
      <c r="Q14" s="14" t="str">
        <f t="shared" ref="Q14:Q21" si="0">IF(MOD(Q3,2)=0,"双","单")</f>
        <v>双</v>
      </c>
      <c r="R14" s="15" t="str">
        <f t="shared" ref="R14:R22" si="1">IF(INT(Q3)&gt;5,"大","小")</f>
        <v>大</v>
      </c>
      <c r="S14" s="14" t="str">
        <f>IF(Q3&gt;Q10,"龙","虎")</f>
        <v>龙</v>
      </c>
    </row>
    <row r="15" spans="1:19" x14ac:dyDescent="0.15">
      <c r="A15" s="37"/>
      <c r="B15" s="37"/>
      <c r="C15" s="8" t="s">
        <v>235</v>
      </c>
      <c r="D15" s="39"/>
      <c r="E15" s="32">
        <f>H12</f>
        <v>49056</v>
      </c>
      <c r="F15" s="38"/>
      <c r="G15" s="38"/>
      <c r="H15" s="37"/>
      <c r="I15" s="37"/>
      <c r="J15" s="37"/>
      <c r="K15" s="37"/>
      <c r="L15" s="37"/>
      <c r="M15" s="37"/>
      <c r="Q15" s="14" t="str">
        <f t="shared" si="0"/>
        <v>双</v>
      </c>
      <c r="R15" s="15" t="str">
        <f t="shared" si="1"/>
        <v>小</v>
      </c>
      <c r="S15" s="14" t="str">
        <f>IF(Q4&gt;Q9,"龙","虎")</f>
        <v>虎</v>
      </c>
    </row>
    <row r="16" spans="1:19" x14ac:dyDescent="0.15">
      <c r="A16" s="37"/>
      <c r="B16" s="37"/>
      <c r="C16" s="8" t="s">
        <v>235</v>
      </c>
      <c r="D16" s="39"/>
      <c r="E16" s="32">
        <f>H17</f>
        <v>12</v>
      </c>
      <c r="F16" s="38"/>
      <c r="G16" s="38"/>
      <c r="H16" s="37"/>
      <c r="I16" s="37"/>
      <c r="J16" s="37"/>
      <c r="K16" s="37"/>
      <c r="L16" s="37"/>
      <c r="M16" s="37"/>
      <c r="Q16" s="14" t="str">
        <f t="shared" si="0"/>
        <v>单</v>
      </c>
      <c r="R16" s="15" t="str">
        <f t="shared" si="1"/>
        <v>小</v>
      </c>
      <c r="S16" s="14" t="str">
        <f>IF(Q5&gt;Q8,"龙","虎")</f>
        <v>虎</v>
      </c>
    </row>
    <row r="17" spans="1:21" ht="27" x14ac:dyDescent="0.15">
      <c r="A17" s="37"/>
      <c r="B17" s="5" t="s">
        <v>20</v>
      </c>
      <c r="C17" s="8" t="s">
        <v>248</v>
      </c>
      <c r="D17" s="8" t="str">
        <f>C17</f>
        <v>01 02 03 04 05,06 07 08 09 10</v>
      </c>
      <c r="E17" s="32">
        <f>H18</f>
        <v>10080</v>
      </c>
      <c r="F17" s="13">
        <v>3</v>
      </c>
      <c r="G17" s="5">
        <v>1</v>
      </c>
      <c r="H17" s="11">
        <f>M17*F17*2</f>
        <v>12</v>
      </c>
      <c r="I17" s="25">
        <f>IF(ISNUMBER(FIND(LEFT(Q12,14),D17,1)),F17*L17,0)</f>
        <v>0</v>
      </c>
      <c r="J17" s="9">
        <f>J12-H17+I17</f>
        <v>99950918</v>
      </c>
      <c r="K17" s="5"/>
      <c r="L17" s="8">
        <f>'PK10'!Y4</f>
        <v>58363.199999999997</v>
      </c>
      <c r="M17" s="7">
        <f>LEN(SUBSTITUTE(SUBSTITUTE(D17,",",)," ",))/10</f>
        <v>2</v>
      </c>
      <c r="N17" s="31"/>
      <c r="O17" s="31"/>
      <c r="P17" s="31"/>
      <c r="Q17" s="14" t="str">
        <f t="shared" si="0"/>
        <v>单</v>
      </c>
      <c r="R17" s="15" t="str">
        <f t="shared" si="1"/>
        <v>大</v>
      </c>
      <c r="S17" s="14" t="str">
        <f>IF(Q6&gt;Q7,"龙","虎")</f>
        <v>虎</v>
      </c>
    </row>
    <row r="18" spans="1:21" x14ac:dyDescent="0.15">
      <c r="A18" s="38" t="s">
        <v>60</v>
      </c>
      <c r="B18" s="38" t="s">
        <v>82</v>
      </c>
      <c r="C18" s="8" t="s">
        <v>37</v>
      </c>
      <c r="D18" s="39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32">
        <f>H22</f>
        <v>12</v>
      </c>
      <c r="F18" s="38">
        <v>1</v>
      </c>
      <c r="G18" s="38">
        <v>1</v>
      </c>
      <c r="H18" s="37">
        <f>5040*F18*2</f>
        <v>10080</v>
      </c>
      <c r="I18" s="37">
        <f>N(AND(ISNUMBER(FIND(Q2,C18,1)),ISNUMBER(FIND(Q3,C19,1)),ISNUMBER(FIND(Q4,C20,1)),ISNUMBER(FIND(Q5,C21,1))))*L18*F18</f>
        <v>9727.2000000000007</v>
      </c>
      <c r="J18" s="37">
        <f>J17-H18+I18</f>
        <v>99950565.200000003</v>
      </c>
      <c r="K18" s="37"/>
      <c r="L18" s="37">
        <f>'PK10'!Y5</f>
        <v>9727.2000000000007</v>
      </c>
      <c r="M18" s="37"/>
      <c r="Q18" s="14" t="str">
        <f t="shared" si="0"/>
        <v>单</v>
      </c>
      <c r="R18" s="15" t="str">
        <f t="shared" si="1"/>
        <v>大</v>
      </c>
      <c r="S18" s="14"/>
    </row>
    <row r="19" spans="1:21" x14ac:dyDescent="0.15">
      <c r="A19" s="37"/>
      <c r="B19" s="37"/>
      <c r="C19" s="8" t="s">
        <v>34</v>
      </c>
      <c r="D19" s="39"/>
      <c r="E19" s="32">
        <f>H23</f>
        <v>5760</v>
      </c>
      <c r="F19" s="38"/>
      <c r="G19" s="38"/>
      <c r="H19" s="37"/>
      <c r="I19" s="37"/>
      <c r="J19" s="37"/>
      <c r="K19" s="37"/>
      <c r="L19" s="37"/>
      <c r="M19" s="37"/>
      <c r="Q19" s="14" t="str">
        <f t="shared" si="0"/>
        <v>双</v>
      </c>
      <c r="R19" s="15" t="str">
        <f t="shared" si="1"/>
        <v>大</v>
      </c>
      <c r="S19" s="14"/>
    </row>
    <row r="20" spans="1:21" x14ac:dyDescent="0.15">
      <c r="A20" s="37"/>
      <c r="B20" s="37"/>
      <c r="C20" s="8" t="s">
        <v>38</v>
      </c>
      <c r="D20" s="39"/>
      <c r="E20" s="32">
        <f>H26</f>
        <v>10</v>
      </c>
      <c r="F20" s="38"/>
      <c r="G20" s="38"/>
      <c r="H20" s="37"/>
      <c r="I20" s="37"/>
      <c r="J20" s="37"/>
      <c r="K20" s="37"/>
      <c r="L20" s="37"/>
      <c r="M20" s="37"/>
      <c r="Q20" s="14" t="str">
        <f t="shared" si="0"/>
        <v>双</v>
      </c>
      <c r="R20" s="15" t="str">
        <f t="shared" si="1"/>
        <v>大</v>
      </c>
      <c r="S20" s="14"/>
    </row>
    <row r="21" spans="1:21" x14ac:dyDescent="0.15">
      <c r="A21" s="37"/>
      <c r="B21" s="37"/>
      <c r="C21" s="8" t="s">
        <v>38</v>
      </c>
      <c r="D21" s="39"/>
      <c r="E21" s="32">
        <f>H27</f>
        <v>180</v>
      </c>
      <c r="F21" s="38"/>
      <c r="G21" s="38"/>
      <c r="H21" s="37"/>
      <c r="I21" s="37"/>
      <c r="J21" s="37"/>
      <c r="K21" s="37"/>
      <c r="L21" s="37"/>
      <c r="M21" s="37"/>
      <c r="Q21" s="14" t="str">
        <f t="shared" si="0"/>
        <v>单</v>
      </c>
      <c r="R21" s="15" t="str">
        <f t="shared" si="1"/>
        <v>小</v>
      </c>
      <c r="S21" s="14"/>
    </row>
    <row r="22" spans="1:21" ht="27" customHeight="1" x14ac:dyDescent="0.15">
      <c r="A22" s="37"/>
      <c r="B22" s="5" t="s">
        <v>22</v>
      </c>
      <c r="C22" s="8" t="s">
        <v>231</v>
      </c>
      <c r="D22" s="8" t="str">
        <f>C22</f>
        <v>01 02 03 04,05 06 07 08,09 10 01 02</v>
      </c>
      <c r="E22" s="32">
        <f>H29</f>
        <v>16</v>
      </c>
      <c r="F22" s="13">
        <v>2</v>
      </c>
      <c r="G22" s="5">
        <v>1</v>
      </c>
      <c r="H22" s="14">
        <f>M22*F22*2</f>
        <v>12</v>
      </c>
      <c r="I22" s="25">
        <f>IF(ISNUMBER(FIND(LEFT(Q12,11),D22,1)),F22*L22,0)</f>
        <v>0</v>
      </c>
      <c r="J22" s="9">
        <f>J18-H22+I22</f>
        <v>99950553.200000003</v>
      </c>
      <c r="K22" s="5"/>
      <c r="L22" s="8">
        <f>'PK10'!Y6</f>
        <v>9727.2000000000007</v>
      </c>
      <c r="M22" s="36">
        <f>LEN(SUBSTITUTE(SUBSTITUTE(D22,",",)," ",))/8</f>
        <v>3</v>
      </c>
      <c r="N22" s="31"/>
      <c r="O22" s="31"/>
      <c r="P22" s="31"/>
      <c r="Q22" s="14" t="str">
        <f>IF(MOD(Q11,2)=0,"双","单")</f>
        <v>单</v>
      </c>
      <c r="R22" s="15" t="str">
        <f t="shared" si="1"/>
        <v>小</v>
      </c>
      <c r="S22" s="14"/>
    </row>
    <row r="23" spans="1:21" x14ac:dyDescent="0.15">
      <c r="A23" s="38" t="s">
        <v>62</v>
      </c>
      <c r="B23" s="38" t="s">
        <v>83</v>
      </c>
      <c r="C23" s="8" t="s">
        <v>34</v>
      </c>
      <c r="D23" s="39" t="str">
        <f>TRIM(IF(LEN(C23)=0,"-",C23))&amp;","&amp;TRIM(IF(LEN(C24)=0,"-",C24))&amp;","&amp;TRIM(IF(LEN(C25)=0,"-",C25))</f>
        <v>01 02 03 04 05 06 07 08 09 10,01 02 03 04 05 06 07 08 09 10,01 02 03 04 05 06 07 08 09 10</v>
      </c>
      <c r="E23" s="32">
        <f>H30</f>
        <v>60</v>
      </c>
      <c r="F23" s="38">
        <v>4</v>
      </c>
      <c r="G23" s="38">
        <v>1</v>
      </c>
      <c r="H23" s="37">
        <f>720*F23*2</f>
        <v>5760</v>
      </c>
      <c r="I23" s="37">
        <f>N(AND(ISNUMBER(FIND(Q2,C23,1)),ISNUMBER(FIND(Q3,C24,1)),ISNUMBER(FIND(Q4,C25,1))))*L23*F23</f>
        <v>5558.4</v>
      </c>
      <c r="J23" s="37">
        <f>J22-H23+I23</f>
        <v>99950351.600000009</v>
      </c>
      <c r="K23" s="37"/>
      <c r="L23" s="37">
        <f>'PK10'!Y7</f>
        <v>1389.6</v>
      </c>
      <c r="M23" s="37"/>
      <c r="Q23" s="14"/>
      <c r="R23" s="10"/>
    </row>
    <row r="24" spans="1:21" x14ac:dyDescent="0.15">
      <c r="A24" s="37"/>
      <c r="B24" s="37"/>
      <c r="C24" s="8" t="s">
        <v>36</v>
      </c>
      <c r="D24" s="39"/>
      <c r="E24" s="32">
        <f>H31</f>
        <v>63</v>
      </c>
      <c r="F24" s="38"/>
      <c r="G24" s="38"/>
      <c r="H24" s="37"/>
      <c r="I24" s="37"/>
      <c r="J24" s="37"/>
      <c r="K24" s="37"/>
      <c r="L24" s="37"/>
      <c r="M24" s="37"/>
      <c r="Q24" s="14"/>
      <c r="R24" s="10"/>
    </row>
    <row r="25" spans="1:21" x14ac:dyDescent="0.15">
      <c r="A25" s="37"/>
      <c r="B25" s="37"/>
      <c r="C25" s="8" t="s">
        <v>34</v>
      </c>
      <c r="D25" s="39"/>
      <c r="E25" s="32">
        <f>H33</f>
        <v>200</v>
      </c>
      <c r="F25" s="38"/>
      <c r="G25" s="38"/>
      <c r="H25" s="37"/>
      <c r="I25" s="37"/>
      <c r="J25" s="37"/>
      <c r="K25" s="37"/>
      <c r="L25" s="37"/>
      <c r="M25" s="37"/>
      <c r="Q25" s="14"/>
      <c r="R25" s="10"/>
    </row>
    <row r="26" spans="1:21" x14ac:dyDescent="0.15">
      <c r="A26" s="37"/>
      <c r="B26" s="5" t="s">
        <v>24</v>
      </c>
      <c r="C26" s="8" t="s">
        <v>69</v>
      </c>
      <c r="D26" s="8" t="str">
        <f>C26</f>
        <v>09 08 01</v>
      </c>
      <c r="E26" s="8">
        <f>I2</f>
        <v>386</v>
      </c>
      <c r="F26" s="13">
        <v>5</v>
      </c>
      <c r="G26" s="5">
        <v>1</v>
      </c>
      <c r="H26" s="14">
        <f>M26*F26*2</f>
        <v>10</v>
      </c>
      <c r="I26" s="25">
        <f>IF(ISNUMBER(FIND(LEFT(Q12,8),D26,1)),F26*L26,0)</f>
        <v>0</v>
      </c>
      <c r="J26" s="9">
        <f>J23-H26+I26</f>
        <v>99950341.600000009</v>
      </c>
      <c r="K26" s="5"/>
      <c r="L26" s="8">
        <f>'PK10'!Y8</f>
        <v>1389.6</v>
      </c>
      <c r="M26" s="36">
        <f>LEN(SUBSTITUTE(SUBSTITUTE(D26,",",)," ",))/6</f>
        <v>1</v>
      </c>
      <c r="N26" s="31"/>
      <c r="O26" s="31"/>
      <c r="P26" s="31"/>
      <c r="Q26" s="14"/>
      <c r="R26" s="10"/>
    </row>
    <row r="27" spans="1:21" x14ac:dyDescent="0.15">
      <c r="A27" s="38" t="s">
        <v>64</v>
      </c>
      <c r="B27" s="38" t="s">
        <v>84</v>
      </c>
      <c r="C27" s="8" t="s">
        <v>34</v>
      </c>
      <c r="D27" s="39" t="str">
        <f>TRIM(IF(LEN(C27)=0,"-",C27))&amp;","&amp;TRIM(IF(LEN(C28)=0,"-",C28))</f>
        <v>01 02 03 04 05 06 07 08 09 10,01 02 03 04 05 06 07 08 09 10</v>
      </c>
      <c r="E27" s="32">
        <f>I12</f>
        <v>0</v>
      </c>
      <c r="F27" s="38">
        <v>1</v>
      </c>
      <c r="G27" s="38">
        <v>1</v>
      </c>
      <c r="H27" s="37">
        <f>((LEN(SUBSTITUTE(C27," ",))/2*LEN(SUBSTITUTE(C28," ",))/2)-10)*F27*2</f>
        <v>180</v>
      </c>
      <c r="I27" s="37">
        <f>N(AND(ISNUMBER(FIND(Q2,C27,1)),ISNUMBER(FIND(Q3,C28,1))))*L27*F27</f>
        <v>173.7</v>
      </c>
      <c r="J27" s="37">
        <f>J26-H27+I27</f>
        <v>99950335.300000012</v>
      </c>
      <c r="K27" s="37"/>
      <c r="L27" s="37">
        <f>'PK10'!Y9</f>
        <v>173.7</v>
      </c>
      <c r="M27" s="37"/>
      <c r="Q27" s="14"/>
      <c r="R27" s="10"/>
    </row>
    <row r="28" spans="1:21" x14ac:dyDescent="0.15">
      <c r="A28" s="37"/>
      <c r="B28" s="37"/>
      <c r="C28" s="8" t="s">
        <v>35</v>
      </c>
      <c r="D28" s="39"/>
      <c r="E28" s="32">
        <f>I17</f>
        <v>0</v>
      </c>
      <c r="F28" s="38"/>
      <c r="G28" s="38"/>
      <c r="H28" s="37"/>
      <c r="I28" s="37"/>
      <c r="J28" s="37"/>
      <c r="K28" s="37"/>
      <c r="L28" s="37"/>
      <c r="M28" s="37"/>
      <c r="Q28" s="14"/>
      <c r="R28" s="10"/>
      <c r="S28" s="28" t="s">
        <v>215</v>
      </c>
      <c r="T28" s="28" t="s">
        <v>216</v>
      </c>
      <c r="U28" s="28" t="s">
        <v>217</v>
      </c>
    </row>
    <row r="29" spans="1:21" x14ac:dyDescent="0.15">
      <c r="A29" s="37"/>
      <c r="B29" s="5" t="s">
        <v>24</v>
      </c>
      <c r="C29" s="8" t="s">
        <v>70</v>
      </c>
      <c r="D29" s="8" t="s">
        <v>214</v>
      </c>
      <c r="E29" s="8">
        <f>I18</f>
        <v>9727.2000000000007</v>
      </c>
      <c r="F29" s="13">
        <v>2</v>
      </c>
      <c r="G29" s="5">
        <v>1</v>
      </c>
      <c r="H29" s="14">
        <f>M29*F29*2</f>
        <v>16</v>
      </c>
      <c r="I29" s="25">
        <f>IF(ISNUMBER(FIND(LEFT(Q12,5),D29,1)),F29*L29,0)</f>
        <v>0</v>
      </c>
      <c r="J29" s="5">
        <f>J27-H29+I29</f>
        <v>99950319.300000012</v>
      </c>
      <c r="K29" s="5"/>
      <c r="L29" s="8">
        <f>'PK10'!Y10</f>
        <v>173.7</v>
      </c>
      <c r="M29" s="36">
        <f>LEN(SUBSTITUTE(SUBSTITUTE(D29,",",)," ",))/4</f>
        <v>4</v>
      </c>
      <c r="Q29" s="16" t="s">
        <v>52</v>
      </c>
      <c r="R29" s="8">
        <f>N(AND(SUM(INT(Q2),INT(Q3))&gt;11,ISNUMBER(FIND(Q29,C31,1))))</f>
        <v>0</v>
      </c>
      <c r="S29" s="5">
        <f>R29*'PK10'!AD3</f>
        <v>0</v>
      </c>
      <c r="T29" s="5">
        <f>R29*'PK10'!AB3</f>
        <v>0</v>
      </c>
      <c r="U29" s="5">
        <f>R29*'PK10'!AE3</f>
        <v>0</v>
      </c>
    </row>
    <row r="30" spans="1:21" ht="27" x14ac:dyDescent="0.15">
      <c r="A30" s="16" t="s">
        <v>66</v>
      </c>
      <c r="B30" s="16" t="s">
        <v>81</v>
      </c>
      <c r="C30" s="8" t="s">
        <v>34</v>
      </c>
      <c r="D30" s="8" t="s">
        <v>54</v>
      </c>
      <c r="E30" s="8">
        <f>I22</f>
        <v>0</v>
      </c>
      <c r="F30" s="13">
        <v>3</v>
      </c>
      <c r="G30" s="5">
        <v>1</v>
      </c>
      <c r="H30" s="11">
        <f>LEN(SUBSTITUTE(C28," ",))/2*F30*2</f>
        <v>60</v>
      </c>
      <c r="I30" s="25">
        <f>N(AND(ISNUMBER(FIND(Q2,C30,1))))*L30*F30</f>
        <v>57.900000000000006</v>
      </c>
      <c r="J30" s="5">
        <f>J29-H30+I30</f>
        <v>99950317.200000018</v>
      </c>
      <c r="K30" s="5"/>
      <c r="L30" s="8">
        <f>'PK10'!Y11</f>
        <v>19.3</v>
      </c>
      <c r="Q30" s="16" t="s">
        <v>46</v>
      </c>
      <c r="R30" s="8">
        <f>N(AND(SUM(INT(Q2),INT(Q3))&lt;12,ISNUMBER(FIND(Q30,C31,1))))</f>
        <v>1</v>
      </c>
      <c r="S30" s="5">
        <f>R30*'PK10'!AD4</f>
        <v>1.6850000000000001</v>
      </c>
      <c r="T30" s="29">
        <f>R30*'PK10'!AB4</f>
        <v>1E-3</v>
      </c>
      <c r="U30" s="29">
        <f>R30*'PK10'!AE4</f>
        <v>1.7190000000000001</v>
      </c>
    </row>
    <row r="31" spans="1:21" x14ac:dyDescent="0.15">
      <c r="A31" s="37"/>
      <c r="B31" s="37" t="s">
        <v>28</v>
      </c>
      <c r="C31" s="8" t="s">
        <v>40</v>
      </c>
      <c r="D31" s="39" t="str">
        <f>TRIM(IF(LEN(C31)=0,"-",C31))&amp;","&amp;TRIM(IF(LEN(C32)=0,"-",C32))</f>
        <v>和大 和小 和单 和双,03 04 05 06 07 08 09 10 11 12 13 14 15 16 17 18 19</v>
      </c>
      <c r="E31" s="32">
        <f>I23</f>
        <v>5558.4</v>
      </c>
      <c r="F31" s="37">
        <v>1</v>
      </c>
      <c r="G31" s="38">
        <v>3</v>
      </c>
      <c r="H31" s="37">
        <f>(LEN(SUBSTITUTE(C31," ",))+LEN(SUBSTITUTE(C32," ",)))/2*G31</f>
        <v>63</v>
      </c>
      <c r="I31" s="37">
        <f>SUM(S29:S37)*G31</f>
        <v>54.944999999999993</v>
      </c>
      <c r="J31" s="37">
        <f>J30-H31+I31</f>
        <v>99950309.145000011</v>
      </c>
      <c r="K31" s="37"/>
      <c r="L31" s="37">
        <f>'PK10'!Y12</f>
        <v>18.314999999999998</v>
      </c>
      <c r="M31" s="37"/>
      <c r="Q31" s="16" t="s">
        <v>47</v>
      </c>
      <c r="R31" s="8">
        <f>N(AND(MOD(SUM(INT(Q2),INT(Q3)),2)=0,ISNUMBER(FIND(Q31,C31,1))))</f>
        <v>1</v>
      </c>
      <c r="S31" s="14">
        <f>R31*'PK10'!AD3</f>
        <v>2.1549999999999998</v>
      </c>
      <c r="T31" s="29">
        <f>R31*'PK10'!AB3</f>
        <v>2E-3</v>
      </c>
      <c r="U31" s="29">
        <f>R31*'PK10'!AE3</f>
        <v>2.2229999999999999</v>
      </c>
    </row>
    <row r="32" spans="1:21" s="11" customFormat="1" ht="27" x14ac:dyDescent="0.15">
      <c r="A32" s="37"/>
      <c r="B32" s="37"/>
      <c r="C32" s="8" t="s">
        <v>39</v>
      </c>
      <c r="D32" s="39"/>
      <c r="E32" s="32">
        <f>I26</f>
        <v>0</v>
      </c>
      <c r="F32" s="37"/>
      <c r="G32" s="38"/>
      <c r="H32" s="37"/>
      <c r="I32" s="37"/>
      <c r="J32" s="37"/>
      <c r="K32" s="37"/>
      <c r="L32" s="37"/>
      <c r="M32" s="37"/>
      <c r="N32" s="30"/>
      <c r="O32" s="30"/>
      <c r="P32" s="30"/>
      <c r="Q32" s="16" t="s">
        <v>53</v>
      </c>
      <c r="R32" s="8">
        <f>N(AND(MOD(SUM(INT(Q2),INT(Q3)),2)=1,ISNUMBER(FIND(Q32,C31,1))))</f>
        <v>0</v>
      </c>
      <c r="S32" s="14">
        <f>R32*'PK10'!AD4</f>
        <v>0</v>
      </c>
      <c r="T32" s="29">
        <f>R32*'PK10'!AB4</f>
        <v>0</v>
      </c>
      <c r="U32" s="29">
        <f>R32*'PK10'!AE4</f>
        <v>0</v>
      </c>
    </row>
    <row r="33" spans="1:21" x14ac:dyDescent="0.15">
      <c r="A33" s="37"/>
      <c r="B33" s="37" t="s">
        <v>30</v>
      </c>
      <c r="C33" s="8" t="s">
        <v>41</v>
      </c>
      <c r="D33" s="39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32">
        <f>I27</f>
        <v>173.7</v>
      </c>
      <c r="F33" s="37">
        <v>1</v>
      </c>
      <c r="G33" s="38">
        <v>4</v>
      </c>
      <c r="H33" s="37">
        <f>(LEN(SUBSTITUTE(C33," ",))+LEN(SUBSTITUTE(C34," ",))+LEN(SUBSTITUTE(C35," ",))+LEN(SUBSTITUTE(C36," ",))+LEN(SUBSTITUTE(C37," ",))+LEN(SUBSTITUTE(C38," ",))+LEN(SUBSTITUTE(C39," ",))+LEN(SUBSTITUTE(C40," ",))+LEN(SUBSTITUTE(C41," ",))+LEN(SUBSTITUTE(C42," ",)))*G33</f>
        <v>200</v>
      </c>
      <c r="I33" s="38">
        <f>SUM(M33:M42)</f>
        <v>193</v>
      </c>
      <c r="J33" s="37">
        <f>J31-H33+I33</f>
        <v>99950302.145000011</v>
      </c>
      <c r="K33" s="37"/>
      <c r="L33" s="37">
        <f>'PK10'!Y13</f>
        <v>1.93</v>
      </c>
      <c r="M33" s="9">
        <f>SUM(N(ISNUMBER(FIND($Q13,$C33,1))),N(ISNUMBER(FIND($R13,$C33,1))),N(ISNUMBER(FIND($S13,$C33,1))))*L33*G33</f>
        <v>23.16</v>
      </c>
      <c r="N33" s="9"/>
      <c r="O33" s="9"/>
      <c r="P33" s="9"/>
      <c r="Q33" s="16" t="s">
        <v>48</v>
      </c>
      <c r="R33" s="8">
        <f>IF(SUM(INT(Q2),INT(Q3))&lt;10,N(ISNUMBER(FIND((0&amp;SUM(INT(Q2),INT(Q3))),Q33,1))),N(ISNUMBER(FIND(SUM(INT(Q2),INT(Q3)),Q33,1))))</f>
        <v>0</v>
      </c>
      <c r="S33" s="5">
        <f>R33*'PK10'!AD5</f>
        <v>0</v>
      </c>
      <c r="T33" s="5">
        <f>R33*'PK10'!AB5</f>
        <v>0</v>
      </c>
      <c r="U33" s="5">
        <f>R33*'PK10'!AE5</f>
        <v>0</v>
      </c>
    </row>
    <row r="34" spans="1:21" x14ac:dyDescent="0.15">
      <c r="A34" s="37"/>
      <c r="B34" s="37"/>
      <c r="C34" s="8" t="s">
        <v>42</v>
      </c>
      <c r="D34" s="39"/>
      <c r="E34" s="32">
        <f>I29</f>
        <v>0</v>
      </c>
      <c r="F34" s="37"/>
      <c r="G34" s="38"/>
      <c r="H34" s="37"/>
      <c r="I34" s="37"/>
      <c r="J34" s="37"/>
      <c r="K34" s="37"/>
      <c r="L34" s="37"/>
      <c r="M34" s="9">
        <f>SUM(N(ISNUMBER(FIND($Q14,$C34,1))),N(ISNUMBER(FIND($R14,$C34,1))),N(ISNUMBER(FIND($S14,$C34,1))))*L33*G33</f>
        <v>23.16</v>
      </c>
      <c r="N34" s="9"/>
      <c r="O34" s="9"/>
      <c r="P34" s="9"/>
      <c r="Q34" s="16" t="s">
        <v>49</v>
      </c>
      <c r="R34" s="8">
        <f>IF(SUM(INT(Q2),INT(Q3))&lt;10,N(ISNUMBER(FIND((0&amp;SUM(INT(Q2),INT(Q3))),Q34,1))),N(ISNUMBER(FIND(SUM(INT(Q2),INT(Q3)),Q34,1))))</f>
        <v>0</v>
      </c>
      <c r="S34" s="5">
        <f>R34*'PK10'!AD6</f>
        <v>0</v>
      </c>
      <c r="T34" s="29">
        <f>R34*'PK10'!AB6</f>
        <v>0</v>
      </c>
      <c r="U34" s="29">
        <f>R34*'PK10'!AE6</f>
        <v>0</v>
      </c>
    </row>
    <row r="35" spans="1:21" x14ac:dyDescent="0.15">
      <c r="A35" s="37"/>
      <c r="B35" s="37"/>
      <c r="C35" s="8" t="s">
        <v>42</v>
      </c>
      <c r="D35" s="39"/>
      <c r="E35" s="32">
        <f>I30</f>
        <v>57.900000000000006</v>
      </c>
      <c r="F35" s="37"/>
      <c r="G35" s="38"/>
      <c r="H35" s="37"/>
      <c r="I35" s="37"/>
      <c r="J35" s="37"/>
      <c r="K35" s="37"/>
      <c r="L35" s="37"/>
      <c r="M35" s="9">
        <f>SUM(N(ISNUMBER(FIND($Q15,$C35,1))),N(ISNUMBER(FIND($R15,$C35,1))),N(ISNUMBER(FIND($S15,$C35,1))))*L33*G33</f>
        <v>23.16</v>
      </c>
      <c r="N35" s="9"/>
      <c r="O35" s="9"/>
      <c r="P35" s="9"/>
      <c r="Q35" s="16" t="s">
        <v>50</v>
      </c>
      <c r="R35" s="8">
        <f>IF(SUM(INT(Q2),INT(Q3))&lt;10,N(ISNUMBER(FIND((0&amp;SUM(INT(Q2),INT(Q3))),Q35,1))),N(ISNUMBER(FIND(SUM(INT(Q2),INT(Q3)),Q35,1))))</f>
        <v>1</v>
      </c>
      <c r="S35" s="5">
        <f>R35*'PK10'!AD7</f>
        <v>14.475</v>
      </c>
      <c r="T35" s="29">
        <f>R35*'PK10'!AB7</f>
        <v>1.4999999999999999E-2</v>
      </c>
      <c r="U35" s="29">
        <f>R35*'PK10'!AE7</f>
        <v>14.984999999999999</v>
      </c>
    </row>
    <row r="36" spans="1:21" x14ac:dyDescent="0.15">
      <c r="A36" s="37"/>
      <c r="B36" s="37"/>
      <c r="C36" s="8" t="s">
        <v>42</v>
      </c>
      <c r="D36" s="39"/>
      <c r="E36" s="32">
        <f>I31</f>
        <v>54.944999999999993</v>
      </c>
      <c r="F36" s="37"/>
      <c r="G36" s="38"/>
      <c r="H36" s="37"/>
      <c r="I36" s="37"/>
      <c r="J36" s="37"/>
      <c r="K36" s="37"/>
      <c r="L36" s="37"/>
      <c r="M36" s="9">
        <f>SUM(N(ISNUMBER(FIND($Q16,$C36,1))),N(ISNUMBER(FIND($R16,$C36,1))),N(ISNUMBER(FIND($S16,$C36,1))))*L33*G33</f>
        <v>23.16</v>
      </c>
      <c r="N36" s="9"/>
      <c r="O36" s="9"/>
      <c r="P36" s="9"/>
      <c r="Q36" s="16" t="s">
        <v>51</v>
      </c>
      <c r="R36" s="8">
        <f>IF(SUM(INT(Q2),INT(Q3))&lt;10,N(ISNUMBER(FIND((0&amp;SUM(INT(Q2),INT(Q3))),Q36,1))),N(ISNUMBER(FIND(SUM(INT(Q2),INT(Q3)),Q36,1))))</f>
        <v>0</v>
      </c>
      <c r="S36" s="5">
        <f>R36*'PK10'!AD8</f>
        <v>0</v>
      </c>
      <c r="T36" s="29">
        <f>R36*'PK10'!AB8</f>
        <v>0</v>
      </c>
      <c r="U36" s="29">
        <f>R36*'PK10'!AE8</f>
        <v>0</v>
      </c>
    </row>
    <row r="37" spans="1:21" x14ac:dyDescent="0.15">
      <c r="A37" s="37"/>
      <c r="B37" s="37"/>
      <c r="C37" s="8" t="s">
        <v>42</v>
      </c>
      <c r="D37" s="39"/>
      <c r="E37" s="32">
        <f>I33</f>
        <v>193</v>
      </c>
      <c r="F37" s="37"/>
      <c r="G37" s="38"/>
      <c r="H37" s="37"/>
      <c r="I37" s="37"/>
      <c r="J37" s="37"/>
      <c r="K37" s="37"/>
      <c r="L37" s="37"/>
      <c r="M37" s="9">
        <f>SUM(N(ISNUMBER(FIND($Q17,$C37,1))),N(ISNUMBER(FIND($R17,$C37,1))),N(ISNUMBER(FIND($S17,$C37,1))))*L33*G33</f>
        <v>23.16</v>
      </c>
      <c r="N37" s="9"/>
      <c r="O37" s="9"/>
      <c r="P37" s="9"/>
      <c r="Q37" s="5">
        <v>11</v>
      </c>
      <c r="R37" s="8">
        <f>IF(SUM(INT(Q2),INT(Q3))&lt;10,N(ISNUMBER(FIND((0&amp;SUM(INT(Q2),INT(Q3))),Q37,1))),N(ISNUMBER(FIND(SUM(INT(Q2),INT(Q3)),Q37,1))))</f>
        <v>0</v>
      </c>
      <c r="S37" s="5">
        <f>R37*'PK10'!AD9</f>
        <v>0</v>
      </c>
      <c r="T37" s="29">
        <f>R37*'PK10'!AB9</f>
        <v>0</v>
      </c>
      <c r="U37" s="29">
        <f>R37*'PK10'!AE9</f>
        <v>0</v>
      </c>
    </row>
    <row r="38" spans="1:21" x14ac:dyDescent="0.15">
      <c r="A38" s="37"/>
      <c r="B38" s="37"/>
      <c r="C38" s="8" t="s">
        <v>43</v>
      </c>
      <c r="D38" s="39"/>
      <c r="F38" s="37"/>
      <c r="G38" s="38"/>
      <c r="H38" s="37"/>
      <c r="I38" s="37"/>
      <c r="J38" s="37"/>
      <c r="K38" s="37"/>
      <c r="L38" s="37"/>
      <c r="M38" s="9">
        <f>SUM(N(ISNUMBER(FIND($Q18,$C38,1))),N(ISNUMBER(FIND($R18,$C38,1))))*L33*G33</f>
        <v>15.44</v>
      </c>
      <c r="N38" s="9"/>
      <c r="O38" s="9"/>
      <c r="P38" s="9"/>
      <c r="R38" s="10"/>
    </row>
    <row r="39" spans="1:21" x14ac:dyDescent="0.15">
      <c r="A39" s="37"/>
      <c r="B39" s="37"/>
      <c r="C39" s="8" t="s">
        <v>43</v>
      </c>
      <c r="D39" s="39"/>
      <c r="F39" s="37"/>
      <c r="G39" s="38"/>
      <c r="H39" s="37"/>
      <c r="I39" s="37"/>
      <c r="J39" s="37"/>
      <c r="K39" s="37"/>
      <c r="L39" s="37"/>
      <c r="M39" s="9">
        <f>SUM(N(ISNUMBER(FIND($Q19,$C39,1))),N(ISNUMBER(FIND($R19,$C39,1))))*L33*G33</f>
        <v>15.44</v>
      </c>
      <c r="N39" s="9"/>
      <c r="O39" s="9"/>
      <c r="P39" s="9"/>
    </row>
    <row r="40" spans="1:21" x14ac:dyDescent="0.15">
      <c r="A40" s="37"/>
      <c r="B40" s="37"/>
      <c r="C40" s="8" t="s">
        <v>44</v>
      </c>
      <c r="D40" s="39"/>
      <c r="F40" s="37"/>
      <c r="G40" s="38"/>
      <c r="H40" s="37"/>
      <c r="I40" s="37"/>
      <c r="J40" s="37"/>
      <c r="K40" s="37"/>
      <c r="L40" s="37"/>
      <c r="M40" s="9">
        <f>SUM(N(ISNUMBER(FIND($Q20,$C40,1))),N(ISNUMBER(FIND($R20,$C40,1))))*L33*G33</f>
        <v>15.44</v>
      </c>
      <c r="N40" s="9"/>
      <c r="O40" s="9"/>
      <c r="P40" s="9"/>
    </row>
    <row r="41" spans="1:21" x14ac:dyDescent="0.15">
      <c r="A41" s="37"/>
      <c r="B41" s="37"/>
      <c r="C41" s="8" t="s">
        <v>45</v>
      </c>
      <c r="D41" s="39"/>
      <c r="F41" s="37"/>
      <c r="G41" s="38"/>
      <c r="H41" s="37"/>
      <c r="I41" s="37"/>
      <c r="J41" s="37"/>
      <c r="K41" s="37"/>
      <c r="L41" s="37"/>
      <c r="M41" s="9">
        <f>SUM(N(ISNUMBER(FIND($Q21,$C41,1))),N(ISNUMBER(FIND($R21,$C41,1))))*L33*G33</f>
        <v>15.44</v>
      </c>
      <c r="N41" s="9"/>
      <c r="O41" s="9"/>
      <c r="P41" s="9"/>
    </row>
    <row r="42" spans="1:21" x14ac:dyDescent="0.15">
      <c r="A42" s="37"/>
      <c r="B42" s="37"/>
      <c r="C42" s="8" t="s">
        <v>43</v>
      </c>
      <c r="D42" s="39"/>
      <c r="F42" s="37"/>
      <c r="G42" s="38"/>
      <c r="H42" s="37"/>
      <c r="I42" s="37"/>
      <c r="J42" s="37"/>
      <c r="K42" s="37"/>
      <c r="L42" s="37"/>
      <c r="M42" s="9">
        <f>SUM(N(ISNUMBER(FIND($Q22,$C42,1))),N(ISNUMBER(FIND($R22,$C42,1))))*L33*G33</f>
        <v>15.44</v>
      </c>
      <c r="N42" s="9"/>
      <c r="O42" s="9"/>
      <c r="P42" s="9"/>
    </row>
    <row r="43" spans="1:21" s="33" customFormat="1" ht="17.25" customHeight="1" x14ac:dyDescent="0.15">
      <c r="A43" s="38" t="s">
        <v>221</v>
      </c>
      <c r="B43" s="37" t="s">
        <v>18</v>
      </c>
      <c r="C43" s="34" t="s">
        <v>33</v>
      </c>
      <c r="D43" s="39" t="str">
        <f>TRIM(IF(LEN(C43)=0,"-",C43))&amp;","&amp;TRIM(IF(LEN(C44)=0,"-",C44))&amp;","&amp;TRIM(IF(LEN(C45)=0,"-",C45))&amp;","&amp;TRIM(IF(LEN(C46)=0,"-",C46))&amp;","&amp;TRIM(IF(LEN(C47)=0,"-",C47))&amp;","&amp;TRIM(IF(LEN(C48)=0,"-",C48))&amp;","&amp;TRIM(IF(LEN(C49)=0,"-",C49))&amp;","&amp;TRIM(IF(LEN(C50)=0,"-",C50))&amp;","&amp;TRIM(IF(LEN(C51)=0,"-",C51))&amp;","&amp;TRIM(IF(LEN(C52)=0,"-",C52)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43" s="34" t="str">
        <f>D43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F43" s="38">
        <v>2</v>
      </c>
      <c r="G43" s="38">
        <v>1</v>
      </c>
      <c r="H43" s="37">
        <f>(LEN(SUBSTITUTE(C43," ",))+LEN(SUBSTITUTE(C44," ",))+LEN(SUBSTITUTE(C45," ",))+LEN(SUBSTITUTE(C46," ",))+LEN(SUBSTITUTE(C47," ",))+LEN(SUBSTITUTE(C48," ",))+LEN(SUBSTITUTE(C49," ",))+LEN(SUBSTITUTE(C50," ",))+LEN(SUBSTITUTE(C51," ",))+LEN(SUBSTITUTE(C52," ",)))/2*F43*2</f>
        <v>400</v>
      </c>
      <c r="I43" s="39">
        <f>SUM(N(ISNUMBER(FIND(Q43,C43,1))),N(ISNUMBER(FIND(Q44,C44,1))),N(ISNUMBER(FIND(Q45,C45,1))),N(ISNUMBER(FIND(Q46,C46,1))),N(ISNUMBER(FIND(Q47,C47,1))),N(ISNUMBER(FIND(Q48,C48,1))),N(ISNUMBER(FIND(Q49,C49,1))),N(ISNUMBER(FIND(Q50,C50,1))),N(ISNUMBER(FIND(Q51,C51,1))),N(ISNUMBER(FIND(Q52,C52,1))))*L43*F43</f>
        <v>386</v>
      </c>
      <c r="J43" s="37">
        <f>S43-H43+I43</f>
        <v>99999986</v>
      </c>
      <c r="K43" s="37"/>
      <c r="L43" s="39">
        <f>'PK10'!Y14</f>
        <v>19.3</v>
      </c>
      <c r="M43" s="39"/>
      <c r="N43" s="34"/>
      <c r="O43" s="34"/>
      <c r="P43" s="34" t="s">
        <v>226</v>
      </c>
      <c r="Q43" s="33" t="str">
        <f>LEFT(R53,2)</f>
        <v>07</v>
      </c>
      <c r="R43" s="34"/>
      <c r="S43" s="33">
        <v>100000000</v>
      </c>
    </row>
    <row r="44" spans="1:21" ht="12.75" customHeight="1" x14ac:dyDescent="0.15">
      <c r="A44" s="38"/>
      <c r="B44" s="37"/>
      <c r="C44" s="8" t="s">
        <v>33</v>
      </c>
      <c r="D44" s="39"/>
      <c r="E44" s="32" t="str">
        <f>D53</f>
        <v>01 02 08,03 04 09,01 05 06,02 07 08,03 09 10</v>
      </c>
      <c r="F44" s="38"/>
      <c r="G44" s="38"/>
      <c r="H44" s="37"/>
      <c r="I44" s="39"/>
      <c r="J44" s="37"/>
      <c r="K44" s="37"/>
      <c r="L44" s="39"/>
      <c r="M44" s="39"/>
      <c r="N44" s="32"/>
      <c r="O44" s="32"/>
      <c r="P44" s="32"/>
      <c r="Q44" s="30" t="str">
        <f>MID(R53,4,2)</f>
        <v>02</v>
      </c>
      <c r="R44" s="32"/>
      <c r="S44" s="30"/>
      <c r="T44" s="30"/>
      <c r="U44" s="30"/>
    </row>
    <row r="45" spans="1:21" x14ac:dyDescent="0.15">
      <c r="A45" s="38"/>
      <c r="B45" s="37"/>
      <c r="C45" s="8" t="s">
        <v>33</v>
      </c>
      <c r="D45" s="39"/>
      <c r="E45" s="32" t="str">
        <f>D58</f>
        <v>08 09 01 02 03</v>
      </c>
      <c r="F45" s="38"/>
      <c r="G45" s="38"/>
      <c r="H45" s="37"/>
      <c r="I45" s="39"/>
      <c r="J45" s="37"/>
      <c r="K45" s="37"/>
      <c r="L45" s="39"/>
      <c r="M45" s="39"/>
      <c r="N45" s="32"/>
      <c r="O45" s="32"/>
      <c r="P45" s="32"/>
      <c r="Q45" s="30" t="str">
        <f>MID(R53,7,2)</f>
        <v>10</v>
      </c>
      <c r="R45" s="32"/>
      <c r="S45" s="30"/>
      <c r="T45" s="30"/>
      <c r="U45" s="30"/>
    </row>
    <row r="46" spans="1:21" ht="18" customHeight="1" x14ac:dyDescent="0.15">
      <c r="A46" s="38"/>
      <c r="B46" s="37"/>
      <c r="C46" s="8" t="s">
        <v>33</v>
      </c>
      <c r="D46" s="39"/>
      <c r="E46" s="32" t="str">
        <f>D59</f>
        <v>01 02 03 04 05 06 07 08 09 10,01 02 03 04 05 06 07 08 09 10,01 02 03 04 05 06 07 08 09 10,01 02 03 04 05 06 07 08 09 10</v>
      </c>
      <c r="F46" s="38"/>
      <c r="G46" s="38"/>
      <c r="H46" s="37"/>
      <c r="I46" s="39"/>
      <c r="J46" s="37"/>
      <c r="K46" s="37"/>
      <c r="L46" s="39"/>
      <c r="M46" s="39"/>
      <c r="N46" s="32"/>
      <c r="O46" s="32"/>
      <c r="P46" s="32"/>
      <c r="Q46" s="30" t="str">
        <f>MID(R53,10,2)</f>
        <v>08</v>
      </c>
      <c r="R46" s="32"/>
      <c r="S46" s="30"/>
      <c r="T46" s="30"/>
      <c r="U46" s="30"/>
    </row>
    <row r="47" spans="1:21" x14ac:dyDescent="0.15">
      <c r="A47" s="38"/>
      <c r="B47" s="37"/>
      <c r="C47" s="8" t="s">
        <v>33</v>
      </c>
      <c r="D47" s="39"/>
      <c r="E47" s="32" t="str">
        <f>D63</f>
        <v>08 09 01 02</v>
      </c>
      <c r="F47" s="38"/>
      <c r="G47" s="38"/>
      <c r="H47" s="37"/>
      <c r="I47" s="39"/>
      <c r="J47" s="37"/>
      <c r="K47" s="37"/>
      <c r="L47" s="39"/>
      <c r="M47" s="39"/>
      <c r="N47" s="32"/>
      <c r="O47" s="32"/>
      <c r="P47" s="32"/>
      <c r="Q47" s="30" t="str">
        <f>MID(R53,13,2)</f>
        <v>09</v>
      </c>
      <c r="R47" s="32"/>
      <c r="S47" s="30"/>
      <c r="T47" s="30"/>
      <c r="U47" s="30"/>
    </row>
    <row r="48" spans="1:21" ht="21" customHeight="1" x14ac:dyDescent="0.15">
      <c r="A48" s="38"/>
      <c r="B48" s="37"/>
      <c r="C48" s="8" t="s">
        <v>33</v>
      </c>
      <c r="D48" s="39"/>
      <c r="E48" s="32" t="str">
        <f>D64</f>
        <v>01 02 03 04 05 06 07 08 09 10,01 02 03 04 05 06 07 08 09 10,01 02 03 04 05 06 07 08 09 10</v>
      </c>
      <c r="F48" s="38"/>
      <c r="G48" s="38"/>
      <c r="H48" s="37"/>
      <c r="I48" s="39"/>
      <c r="J48" s="37"/>
      <c r="K48" s="37"/>
      <c r="L48" s="39"/>
      <c r="M48" s="39"/>
      <c r="N48" s="32"/>
      <c r="O48" s="32"/>
      <c r="P48" s="32"/>
      <c r="Q48" s="30" t="str">
        <f>MID(R53,16,2)</f>
        <v>01</v>
      </c>
      <c r="R48" s="32"/>
      <c r="S48" s="30"/>
      <c r="T48" s="30"/>
      <c r="U48" s="30"/>
    </row>
    <row r="49" spans="1:21" x14ac:dyDescent="0.15">
      <c r="A49" s="38"/>
      <c r="B49" s="37"/>
      <c r="C49" s="8" t="s">
        <v>33</v>
      </c>
      <c r="D49" s="39"/>
      <c r="E49" s="22" t="str">
        <f>D67</f>
        <v>08 09 01</v>
      </c>
      <c r="F49" s="38"/>
      <c r="G49" s="38"/>
      <c r="H49" s="37"/>
      <c r="I49" s="39"/>
      <c r="J49" s="37"/>
      <c r="K49" s="37"/>
      <c r="L49" s="39"/>
      <c r="M49" s="39"/>
      <c r="N49" s="32"/>
      <c r="O49" s="32"/>
      <c r="P49" s="32"/>
      <c r="Q49" s="30" t="str">
        <f>MID(R53,19,2)</f>
        <v>06</v>
      </c>
      <c r="R49" s="32"/>
      <c r="S49" s="30"/>
      <c r="T49" s="30"/>
      <c r="U49" s="30"/>
    </row>
    <row r="50" spans="1:21" x14ac:dyDescent="0.15">
      <c r="A50" s="38"/>
      <c r="B50" s="37"/>
      <c r="C50" s="8" t="s">
        <v>33</v>
      </c>
      <c r="D50" s="39"/>
      <c r="E50" s="22" t="str">
        <f>D68</f>
        <v>01 02 03 04 05 06 07 08 09 10,01 02 03 04 05 06 07 08 09 10</v>
      </c>
      <c r="F50" s="38"/>
      <c r="G50" s="38"/>
      <c r="H50" s="37"/>
      <c r="I50" s="39"/>
      <c r="J50" s="37"/>
      <c r="K50" s="37"/>
      <c r="L50" s="39"/>
      <c r="M50" s="39"/>
      <c r="N50" s="32"/>
      <c r="O50" s="32"/>
      <c r="P50" s="32"/>
      <c r="Q50" s="30" t="str">
        <f>MID(R53,22,2)</f>
        <v>04</v>
      </c>
      <c r="R50" s="32"/>
      <c r="S50" s="30"/>
      <c r="T50" s="30"/>
      <c r="U50" s="30"/>
    </row>
    <row r="51" spans="1:21" x14ac:dyDescent="0.15">
      <c r="A51" s="38"/>
      <c r="B51" s="37"/>
      <c r="C51" s="8" t="s">
        <v>33</v>
      </c>
      <c r="D51" s="39"/>
      <c r="E51" s="22" t="str">
        <f>D70</f>
        <v>02 03,08 09,09 04,05 09</v>
      </c>
      <c r="F51" s="38"/>
      <c r="G51" s="38"/>
      <c r="H51" s="37"/>
      <c r="I51" s="39"/>
      <c r="J51" s="37"/>
      <c r="K51" s="37"/>
      <c r="L51" s="39"/>
      <c r="M51" s="39"/>
      <c r="N51" s="32"/>
      <c r="O51" s="32"/>
      <c r="P51" s="32"/>
      <c r="Q51" s="30" t="str">
        <f>MID(R53,25,2)</f>
        <v>03</v>
      </c>
      <c r="R51" s="32"/>
      <c r="S51" s="30"/>
      <c r="T51" s="30"/>
      <c r="U51" s="30"/>
    </row>
    <row r="52" spans="1:21" ht="27" x14ac:dyDescent="0.15">
      <c r="A52" s="38"/>
      <c r="B52" s="37"/>
      <c r="C52" s="8" t="s">
        <v>33</v>
      </c>
      <c r="D52" s="39"/>
      <c r="E52" s="32" t="str">
        <f>D71</f>
        <v xml:space="preserve">01 02 03 04 05 06 07 08 09 10 </v>
      </c>
      <c r="F52" s="38"/>
      <c r="G52" s="38"/>
      <c r="H52" s="37"/>
      <c r="I52" s="39"/>
      <c r="J52" s="37"/>
      <c r="K52" s="37"/>
      <c r="L52" s="39"/>
      <c r="M52" s="39"/>
      <c r="N52" s="32"/>
      <c r="O52" s="32"/>
      <c r="P52" s="32"/>
      <c r="Q52" s="30" t="str">
        <f>MID(R53,28,2)</f>
        <v>05</v>
      </c>
      <c r="R52" s="32"/>
      <c r="S52" s="30"/>
      <c r="T52" s="30"/>
      <c r="U52" s="30"/>
    </row>
    <row r="53" spans="1:21" ht="16.5" customHeight="1" x14ac:dyDescent="0.15">
      <c r="A53" s="38" t="s">
        <v>58</v>
      </c>
      <c r="B53" s="38" t="s">
        <v>81</v>
      </c>
      <c r="C53" s="8" t="s">
        <v>175</v>
      </c>
      <c r="D53" s="39" t="str">
        <f>TRIM(IF(LEN(C53)=0,"-",C53))&amp;","&amp;TRIM(IF(LEN(C54)=0,"-",C54))&amp;","&amp;TRIM(IF(LEN(C55)=0,"-",C55))&amp;","&amp;TRIM(IF(LEN(C56)=0,"-",C56))&amp;","&amp;TRIM(IF(LEN(C57)=0,"-",C57))</f>
        <v>01 02 08,03 04 09,01 05 06,02 07 08,03 09 10</v>
      </c>
      <c r="E53" s="32" t="str">
        <f>D72</f>
        <v>和大 和小 和单 和双,03 04 05 06 07 08 09 10 11 12 13 14 15 16 17 18 19</v>
      </c>
      <c r="F53" s="38">
        <v>5</v>
      </c>
      <c r="G53" s="38">
        <v>1</v>
      </c>
      <c r="H53" s="37">
        <f>30240*F53*2</f>
        <v>302400</v>
      </c>
      <c r="I53" s="37">
        <f>N(AND(ISNUMBER(FIND(Q43,C53,1)),ISNUMBER(FIND(Q44,C54,1)),ISNUMBER(FIND(Q45,C55,1)),ISNUMBER(FIND(Q46,C56,1)),ISNUMBER(FIND(Q47,C57,1))))*L53*F53</f>
        <v>0</v>
      </c>
      <c r="J53" s="37">
        <f>J43-H53+I53</f>
        <v>99697586</v>
      </c>
      <c r="K53" s="37"/>
      <c r="L53" s="37">
        <f>'PK10'!Y15</f>
        <v>58363.199999999997</v>
      </c>
      <c r="M53" s="37" t="e">
        <f>IF(ISNUMBER(agent!$O$6*AC53*$AA53),TRUNC(agent!$O$6*SUM(PK10Source!S70:S71)*SUM(PK10Source!T70:T71)+agent!$O$6*SUM(PK10Source!S72:S73)*SUM(PK10Source!T72:T73)+agent!$O$6*SUM(PK10Source!S74:S78)*SUM(PK10Source!T74:T78),3),"没有上级")</f>
        <v>#VALUE!</v>
      </c>
      <c r="Q53" s="32" t="str">
        <f>Q43&amp;" "&amp;Q44&amp;" "&amp;Q45&amp;" "&amp;Q46&amp;" "&amp;Q47&amp;" "&amp;Q48&amp;" "&amp;Q49&amp;" "&amp;Q50&amp;" "&amp;Q51&amp;" "&amp;Q52</f>
        <v>07 02 10 08 09 01 06 04 03 05</v>
      </c>
      <c r="R53" s="8" t="s">
        <v>219</v>
      </c>
      <c r="S53" s="30"/>
      <c r="T53" s="30"/>
      <c r="U53" s="30"/>
    </row>
    <row r="54" spans="1:21" ht="22.5" customHeight="1" x14ac:dyDescent="0.15">
      <c r="A54" s="37"/>
      <c r="B54" s="37"/>
      <c r="C54" s="8" t="s">
        <v>176</v>
      </c>
      <c r="D54" s="39"/>
      <c r="E54" s="32" t="str">
        <f>D74</f>
        <v>大 小 单 双 龙 虎,大 小 单 双 龙 虎,大 小 单 双 龙 虎,大 小 单 双 龙 虎,大 小 单 双 龙 虎,大 小 单 双,大 小 单 双,大 小 单 双,大 小 单 双,大 小 单 双</v>
      </c>
      <c r="F54" s="38"/>
      <c r="G54" s="38"/>
      <c r="H54" s="37"/>
      <c r="I54" s="37"/>
      <c r="J54" s="37"/>
      <c r="K54" s="37"/>
      <c r="L54" s="37"/>
      <c r="M54" s="37"/>
      <c r="Q54" s="30" t="str">
        <f>IF(MOD(Q43,2)=0,"双","单")</f>
        <v>单</v>
      </c>
      <c r="R54" s="32" t="str">
        <f>IF(INT(Q43)&gt;5,"大","小")</f>
        <v>大</v>
      </c>
      <c r="S54" s="30" t="str">
        <f>IF(Q43&gt;Q52,"龙","虎")</f>
        <v>龙</v>
      </c>
      <c r="T54" s="30"/>
      <c r="U54" s="30"/>
    </row>
    <row r="55" spans="1:21" x14ac:dyDescent="0.15">
      <c r="A55" s="37"/>
      <c r="B55" s="37"/>
      <c r="C55" s="8" t="s">
        <v>177</v>
      </c>
      <c r="D55" s="39"/>
      <c r="E55" s="32">
        <f>H43</f>
        <v>400</v>
      </c>
      <c r="F55" s="38"/>
      <c r="G55" s="38"/>
      <c r="H55" s="37"/>
      <c r="I55" s="37"/>
      <c r="J55" s="37"/>
      <c r="K55" s="37"/>
      <c r="L55" s="37"/>
      <c r="M55" s="37"/>
      <c r="Q55" s="30" t="str">
        <f t="shared" ref="Q55:Q62" si="2">IF(MOD(Q44,2)=0,"双","单")</f>
        <v>双</v>
      </c>
      <c r="R55" s="32" t="str">
        <f t="shared" ref="R55:R63" si="3">IF(INT(Q44)&gt;5,"大","小")</f>
        <v>小</v>
      </c>
      <c r="S55" s="30" t="str">
        <f>IF(Q44&gt;Q51,"龙","虎")</f>
        <v>虎</v>
      </c>
      <c r="T55" s="30"/>
      <c r="U55" s="30"/>
    </row>
    <row r="56" spans="1:21" x14ac:dyDescent="0.15">
      <c r="A56" s="37"/>
      <c r="B56" s="37"/>
      <c r="C56" s="8" t="s">
        <v>178</v>
      </c>
      <c r="D56" s="39"/>
      <c r="E56" s="32">
        <f>H53</f>
        <v>302400</v>
      </c>
      <c r="F56" s="38"/>
      <c r="G56" s="38"/>
      <c r="H56" s="37"/>
      <c r="I56" s="37"/>
      <c r="J56" s="37"/>
      <c r="K56" s="37"/>
      <c r="L56" s="37"/>
      <c r="M56" s="37"/>
      <c r="Q56" s="30" t="str">
        <f t="shared" si="2"/>
        <v>双</v>
      </c>
      <c r="R56" s="32" t="str">
        <f t="shared" si="3"/>
        <v>大</v>
      </c>
      <c r="S56" s="30" t="str">
        <f>IF(Q45&gt;Q50,"龙","虎")</f>
        <v>龙</v>
      </c>
      <c r="T56" s="30"/>
      <c r="U56" s="30"/>
    </row>
    <row r="57" spans="1:21" x14ac:dyDescent="0.15">
      <c r="A57" s="37"/>
      <c r="B57" s="37"/>
      <c r="C57" s="8" t="s">
        <v>179</v>
      </c>
      <c r="D57" s="39"/>
      <c r="E57" s="32">
        <f>H58</f>
        <v>6</v>
      </c>
      <c r="F57" s="38"/>
      <c r="G57" s="38"/>
      <c r="H57" s="37"/>
      <c r="I57" s="37"/>
      <c r="J57" s="37"/>
      <c r="K57" s="37"/>
      <c r="L57" s="37"/>
      <c r="M57" s="37"/>
      <c r="Q57" s="30" t="str">
        <f t="shared" si="2"/>
        <v>双</v>
      </c>
      <c r="R57" s="32" t="str">
        <f t="shared" si="3"/>
        <v>大</v>
      </c>
      <c r="S57" s="30" t="str">
        <f>IF(Q46&gt;Q49,"龙","虎")</f>
        <v>龙</v>
      </c>
      <c r="T57" s="30"/>
      <c r="U57" s="30"/>
    </row>
    <row r="58" spans="1:21" x14ac:dyDescent="0.15">
      <c r="A58" s="37"/>
      <c r="B58" s="30" t="s">
        <v>20</v>
      </c>
      <c r="C58" s="8" t="s">
        <v>67</v>
      </c>
      <c r="D58" s="8" t="s">
        <v>170</v>
      </c>
      <c r="E58" s="32">
        <f>H59</f>
        <v>10080</v>
      </c>
      <c r="F58" s="31">
        <v>3</v>
      </c>
      <c r="G58" s="30">
        <v>1</v>
      </c>
      <c r="H58" s="30">
        <f>M58*F58*2</f>
        <v>6</v>
      </c>
      <c r="I58" s="30">
        <f>IF(ISNUMBER(FIND(LEFT(Q53,14),D58,1)),F58*L58,0)</f>
        <v>0</v>
      </c>
      <c r="J58" s="9">
        <f>J53-H58+I58</f>
        <v>99697580</v>
      </c>
      <c r="K58" s="30"/>
      <c r="L58" s="8">
        <f>'PK10'!Y16</f>
        <v>58363.199999999997</v>
      </c>
      <c r="M58" s="31">
        <v>1</v>
      </c>
      <c r="N58" s="31"/>
      <c r="O58" s="31"/>
      <c r="P58" s="31"/>
      <c r="Q58" s="30" t="str">
        <f t="shared" si="2"/>
        <v>单</v>
      </c>
      <c r="R58" s="32" t="str">
        <f t="shared" si="3"/>
        <v>大</v>
      </c>
      <c r="S58" s="30" t="str">
        <f>IF(Q47&gt;Q48,"龙","虎")</f>
        <v>龙</v>
      </c>
      <c r="T58" s="30"/>
      <c r="U58" s="30"/>
    </row>
    <row r="59" spans="1:21" x14ac:dyDescent="0.15">
      <c r="A59" s="38" t="s">
        <v>60</v>
      </c>
      <c r="B59" s="38" t="s">
        <v>82</v>
      </c>
      <c r="C59" s="8" t="s">
        <v>33</v>
      </c>
      <c r="D59" s="39" t="str">
        <f>TRIM(IF(LEN(C59)=0,"-",C59))&amp;","&amp;TRIM(IF(LEN(C60)=0,"-",C60))&amp;","&amp;TRIM(IF(LEN(C61)=0,"-",C61))&amp;","&amp;TRIM(IF(LEN(C62)=0,"-",C62))</f>
        <v>01 02 03 04 05 06 07 08 09 10,01 02 03 04 05 06 07 08 09 10,01 02 03 04 05 06 07 08 09 10,01 02 03 04 05 06 07 08 09 10</v>
      </c>
      <c r="E59" s="32">
        <f>H63</f>
        <v>4</v>
      </c>
      <c r="F59" s="38">
        <v>1</v>
      </c>
      <c r="G59" s="38">
        <v>1</v>
      </c>
      <c r="H59" s="37">
        <f>5040*F59*2</f>
        <v>10080</v>
      </c>
      <c r="I59" s="37">
        <f>N(AND(ISNUMBER(FIND(Q43,C59,1)),ISNUMBER(FIND(Q44,C60,1)),ISNUMBER(FIND(Q45,C61,1)),ISNUMBER(FIND(Q46,C62,1))))*L59*F59</f>
        <v>9727.2000000000007</v>
      </c>
      <c r="J59" s="37">
        <f>J58-H59+I59</f>
        <v>99697227.200000003</v>
      </c>
      <c r="K59" s="37"/>
      <c r="L59" s="37">
        <f>'PK10'!Y17</f>
        <v>9727.2000000000007</v>
      </c>
      <c r="M59" s="37"/>
      <c r="Q59" s="30" t="str">
        <f t="shared" si="2"/>
        <v>单</v>
      </c>
      <c r="R59" s="32" t="str">
        <f t="shared" si="3"/>
        <v>小</v>
      </c>
      <c r="S59" s="30"/>
      <c r="T59" s="30"/>
      <c r="U59" s="30"/>
    </row>
    <row r="60" spans="1:21" x14ac:dyDescent="0.15">
      <c r="A60" s="37"/>
      <c r="B60" s="37"/>
      <c r="C60" s="8" t="s">
        <v>33</v>
      </c>
      <c r="D60" s="39"/>
      <c r="E60" s="32">
        <f>H64</f>
        <v>5760</v>
      </c>
      <c r="F60" s="38"/>
      <c r="G60" s="38"/>
      <c r="H60" s="37"/>
      <c r="I60" s="37"/>
      <c r="J60" s="37"/>
      <c r="K60" s="37"/>
      <c r="L60" s="37"/>
      <c r="M60" s="37"/>
      <c r="Q60" s="30" t="str">
        <f t="shared" si="2"/>
        <v>双</v>
      </c>
      <c r="R60" s="32" t="str">
        <f t="shared" si="3"/>
        <v>大</v>
      </c>
      <c r="S60" s="30"/>
      <c r="T60" s="30"/>
      <c r="U60" s="30"/>
    </row>
    <row r="61" spans="1:21" x14ac:dyDescent="0.15">
      <c r="A61" s="37"/>
      <c r="B61" s="37"/>
      <c r="C61" s="8" t="s">
        <v>33</v>
      </c>
      <c r="D61" s="39"/>
      <c r="E61" s="32">
        <f>H67</f>
        <v>10</v>
      </c>
      <c r="F61" s="38"/>
      <c r="G61" s="38"/>
      <c r="H61" s="37"/>
      <c r="I61" s="37"/>
      <c r="J61" s="37"/>
      <c r="K61" s="37"/>
      <c r="L61" s="37"/>
      <c r="M61" s="37"/>
      <c r="Q61" s="30" t="str">
        <f t="shared" si="2"/>
        <v>双</v>
      </c>
      <c r="R61" s="32" t="str">
        <f t="shared" si="3"/>
        <v>小</v>
      </c>
      <c r="S61" s="30"/>
      <c r="T61" s="30"/>
      <c r="U61" s="30"/>
    </row>
    <row r="62" spans="1:21" x14ac:dyDescent="0.15">
      <c r="A62" s="37"/>
      <c r="B62" s="37"/>
      <c r="C62" s="8" t="s">
        <v>33</v>
      </c>
      <c r="D62" s="39"/>
      <c r="E62" s="32">
        <f>H68</f>
        <v>180</v>
      </c>
      <c r="F62" s="38"/>
      <c r="G62" s="38"/>
      <c r="H62" s="37"/>
      <c r="I62" s="37"/>
      <c r="J62" s="37"/>
      <c r="K62" s="37"/>
      <c r="L62" s="37"/>
      <c r="M62" s="37"/>
      <c r="Q62" s="30" t="str">
        <f t="shared" si="2"/>
        <v>单</v>
      </c>
      <c r="R62" s="32" t="str">
        <f t="shared" si="3"/>
        <v>小</v>
      </c>
      <c r="S62" s="30"/>
      <c r="T62" s="30"/>
      <c r="U62" s="30"/>
    </row>
    <row r="63" spans="1:21" x14ac:dyDescent="0.15">
      <c r="A63" s="37"/>
      <c r="B63" s="30" t="s">
        <v>22</v>
      </c>
      <c r="C63" s="8" t="s">
        <v>68</v>
      </c>
      <c r="D63" s="8" t="s">
        <v>172</v>
      </c>
      <c r="E63" s="32">
        <f>H70</f>
        <v>12</v>
      </c>
      <c r="F63" s="31">
        <v>2</v>
      </c>
      <c r="G63" s="30">
        <v>1</v>
      </c>
      <c r="H63" s="30">
        <f>M63*F63*2</f>
        <v>4</v>
      </c>
      <c r="I63" s="30">
        <f>IF(ISNUMBER(FIND(LEFT(Q53,11),D63,1)),F63*L63,0)</f>
        <v>0</v>
      </c>
      <c r="J63" s="9">
        <f>J59-H63+I63</f>
        <v>99697223.200000003</v>
      </c>
      <c r="K63" s="30"/>
      <c r="L63" s="8">
        <f>'PK10'!Y18</f>
        <v>9727.2000000000007</v>
      </c>
      <c r="M63" s="31">
        <v>1</v>
      </c>
      <c r="N63" s="31"/>
      <c r="O63" s="31"/>
      <c r="P63" s="31"/>
      <c r="Q63" s="30" t="str">
        <f>IF(MOD(Q52,2)=0,"双","单")</f>
        <v>单</v>
      </c>
      <c r="R63" s="32" t="str">
        <f t="shared" si="3"/>
        <v>小</v>
      </c>
      <c r="S63" s="30"/>
      <c r="T63" s="30"/>
      <c r="U63" s="30"/>
    </row>
    <row r="64" spans="1:21" x14ac:dyDescent="0.15">
      <c r="A64" s="38" t="s">
        <v>62</v>
      </c>
      <c r="B64" s="38" t="s">
        <v>83</v>
      </c>
      <c r="C64" s="8" t="s">
        <v>33</v>
      </c>
      <c r="D64" s="39" t="str">
        <f>TRIM(IF(LEN(C64)=0,"-",C64))&amp;","&amp;TRIM(IF(LEN(C65)=0,"-",C65))&amp;","&amp;TRIM(IF(LEN(C66)=0,"-",C66))</f>
        <v>01 02 03 04 05 06 07 08 09 10,01 02 03 04 05 06 07 08 09 10,01 02 03 04 05 06 07 08 09 10</v>
      </c>
      <c r="E64" s="32">
        <f>H71</f>
        <v>60</v>
      </c>
      <c r="F64" s="38">
        <v>4</v>
      </c>
      <c r="G64" s="38">
        <v>1</v>
      </c>
      <c r="H64" s="37">
        <f>720*F64*2</f>
        <v>5760</v>
      </c>
      <c r="I64" s="37">
        <f>N(AND(ISNUMBER(FIND(Q43,C64,1)),ISNUMBER(FIND(Q44,C65,1)),ISNUMBER(FIND(Q45,C66,1))))*L64*F64</f>
        <v>5558.4</v>
      </c>
      <c r="J64" s="37">
        <f>J63-H64+I64</f>
        <v>99697021.600000009</v>
      </c>
      <c r="K64" s="37"/>
      <c r="L64" s="37">
        <f>'PK10'!Y19</f>
        <v>1389.6</v>
      </c>
      <c r="M64" s="37"/>
      <c r="Q64" s="30"/>
      <c r="R64" s="10"/>
      <c r="S64" s="30"/>
      <c r="T64" s="30"/>
      <c r="U64" s="30"/>
    </row>
    <row r="65" spans="1:21" x14ac:dyDescent="0.15">
      <c r="A65" s="37"/>
      <c r="B65" s="37"/>
      <c r="C65" s="8" t="s">
        <v>33</v>
      </c>
      <c r="D65" s="39"/>
      <c r="E65" s="32">
        <f>H72</f>
        <v>63</v>
      </c>
      <c r="F65" s="38"/>
      <c r="G65" s="38"/>
      <c r="H65" s="37"/>
      <c r="I65" s="37"/>
      <c r="J65" s="37"/>
      <c r="K65" s="37"/>
      <c r="L65" s="37"/>
      <c r="M65" s="37"/>
      <c r="Q65" s="30"/>
      <c r="R65" s="10"/>
      <c r="S65" s="30"/>
      <c r="T65" s="30"/>
      <c r="U65" s="30"/>
    </row>
    <row r="66" spans="1:21" x14ac:dyDescent="0.15">
      <c r="A66" s="37"/>
      <c r="B66" s="37"/>
      <c r="C66" s="8" t="s">
        <v>33</v>
      </c>
      <c r="D66" s="39"/>
      <c r="E66" s="32">
        <f>H74</f>
        <v>200</v>
      </c>
      <c r="F66" s="38"/>
      <c r="G66" s="38"/>
      <c r="H66" s="37"/>
      <c r="I66" s="37"/>
      <c r="J66" s="37"/>
      <c r="K66" s="37"/>
      <c r="L66" s="37"/>
      <c r="M66" s="37"/>
      <c r="Q66" s="30"/>
      <c r="R66" s="10"/>
      <c r="S66" s="30"/>
      <c r="T66" s="30"/>
      <c r="U66" s="30"/>
    </row>
    <row r="67" spans="1:21" x14ac:dyDescent="0.15">
      <c r="A67" s="37"/>
      <c r="B67" s="30" t="s">
        <v>24</v>
      </c>
      <c r="C67" s="8" t="s">
        <v>69</v>
      </c>
      <c r="D67" s="8" t="s">
        <v>174</v>
      </c>
      <c r="E67" s="8">
        <f>I43</f>
        <v>386</v>
      </c>
      <c r="F67" s="31">
        <v>5</v>
      </c>
      <c r="G67" s="30">
        <v>1</v>
      </c>
      <c r="H67" s="30">
        <f>M67*F67*2</f>
        <v>10</v>
      </c>
      <c r="I67" s="30">
        <f>IF(ISNUMBER(FIND(LEFT(Q53,8),D67,1)),F67*L67,0)</f>
        <v>0</v>
      </c>
      <c r="J67" s="9">
        <f>J64-H67+I67</f>
        <v>99697011.600000009</v>
      </c>
      <c r="K67" s="30"/>
      <c r="L67" s="8">
        <f>'PK10'!Y20</f>
        <v>1389.6</v>
      </c>
      <c r="M67" s="31">
        <v>1</v>
      </c>
      <c r="N67" s="31"/>
      <c r="O67" s="31"/>
      <c r="P67" s="31"/>
      <c r="Q67" s="30"/>
      <c r="R67" s="10"/>
      <c r="S67" s="30"/>
      <c r="T67" s="30"/>
      <c r="U67" s="30"/>
    </row>
    <row r="68" spans="1:21" x14ac:dyDescent="0.15">
      <c r="A68" s="38" t="s">
        <v>64</v>
      </c>
      <c r="B68" s="38" t="s">
        <v>81</v>
      </c>
      <c r="C68" s="8" t="s">
        <v>33</v>
      </c>
      <c r="D68" s="39" t="str">
        <f>TRIM(IF(LEN(C68)=0,"-",C68))&amp;","&amp;TRIM(IF(LEN(C69)=0,"-",C69))</f>
        <v>01 02 03 04 05 06 07 08 09 10,01 02 03 04 05 06 07 08 09 10</v>
      </c>
      <c r="E68" s="32">
        <f>I53</f>
        <v>0</v>
      </c>
      <c r="F68" s="38">
        <v>1</v>
      </c>
      <c r="G68" s="38">
        <v>1</v>
      </c>
      <c r="H68" s="37">
        <f>((LEN(SUBSTITUTE(C68," ",))/2*LEN(SUBSTITUTE(C69," ",))/2)-10)*F68*2</f>
        <v>180</v>
      </c>
      <c r="I68" s="37">
        <f>N(AND(ISNUMBER(FIND(Q43,C68,1)),ISNUMBER(FIND(Q44,C69,1))))*L68*F68</f>
        <v>173.7</v>
      </c>
      <c r="J68" s="37">
        <f>J67-H68+I68</f>
        <v>99697005.300000012</v>
      </c>
      <c r="K68" s="37"/>
      <c r="L68" s="37">
        <f>'PK10'!Y21</f>
        <v>173.7</v>
      </c>
      <c r="M68" s="37"/>
      <c r="Q68" s="30"/>
      <c r="R68" s="10"/>
      <c r="S68" s="30"/>
      <c r="T68" s="30"/>
      <c r="U68" s="30"/>
    </row>
    <row r="69" spans="1:21" x14ac:dyDescent="0.15">
      <c r="A69" s="37"/>
      <c r="B69" s="37"/>
      <c r="C69" s="8" t="s">
        <v>33</v>
      </c>
      <c r="D69" s="39"/>
      <c r="E69" s="32">
        <f>I58</f>
        <v>0</v>
      </c>
      <c r="F69" s="38"/>
      <c r="G69" s="38"/>
      <c r="H69" s="37"/>
      <c r="I69" s="37"/>
      <c r="J69" s="37"/>
      <c r="K69" s="37"/>
      <c r="L69" s="37"/>
      <c r="M69" s="37"/>
      <c r="Q69" s="30"/>
      <c r="R69" s="10"/>
      <c r="S69" s="31" t="s">
        <v>113</v>
      </c>
      <c r="T69" s="31" t="s">
        <v>216</v>
      </c>
      <c r="U69" s="31" t="s">
        <v>114</v>
      </c>
    </row>
    <row r="70" spans="1:21" x14ac:dyDescent="0.15">
      <c r="A70" s="37"/>
      <c r="B70" s="30" t="s">
        <v>24</v>
      </c>
      <c r="C70" s="8" t="s">
        <v>70</v>
      </c>
      <c r="D70" s="8" t="s">
        <v>214</v>
      </c>
      <c r="E70" s="8">
        <f>I59</f>
        <v>9727.2000000000007</v>
      </c>
      <c r="F70" s="31">
        <v>2</v>
      </c>
      <c r="G70" s="30">
        <v>1</v>
      </c>
      <c r="H70" s="30">
        <f>M70*F70*2</f>
        <v>12</v>
      </c>
      <c r="I70" s="30">
        <f>IF(ISNUMBER(FIND(LEFT(Q53,5),D70,1)),F70*L70,0)</f>
        <v>0</v>
      </c>
      <c r="J70" s="30">
        <f>J68-H70+I70</f>
        <v>99696993.300000012</v>
      </c>
      <c r="K70" s="30"/>
      <c r="L70" s="8">
        <f>'PK10'!Y22</f>
        <v>173.7</v>
      </c>
      <c r="M70" s="30">
        <v>3</v>
      </c>
      <c r="Q70" s="31" t="s">
        <v>52</v>
      </c>
      <c r="R70" s="8">
        <f>N(AND(SUM(INT(Q$2),INT(Q44))&gt;11,ISNUMBER(FIND(Q70,C72,1))))</f>
        <v>0</v>
      </c>
      <c r="S70" s="30">
        <f>R70*'PK10'!AD44</f>
        <v>0</v>
      </c>
      <c r="T70" s="30">
        <f>R70*'PK10'!AB44</f>
        <v>0</v>
      </c>
      <c r="U70" s="30">
        <f>R70*'PK10'!AE44</f>
        <v>0</v>
      </c>
    </row>
    <row r="71" spans="1:21" ht="27" x14ac:dyDescent="0.15">
      <c r="A71" s="31" t="s">
        <v>66</v>
      </c>
      <c r="B71" s="31" t="s">
        <v>81</v>
      </c>
      <c r="C71" s="8" t="s">
        <v>33</v>
      </c>
      <c r="D71" s="8" t="s">
        <v>33</v>
      </c>
      <c r="E71" s="8">
        <f>I63</f>
        <v>0</v>
      </c>
      <c r="F71" s="31">
        <v>3</v>
      </c>
      <c r="G71" s="30">
        <v>1</v>
      </c>
      <c r="H71" s="30">
        <f>LEN(SUBSTITUTE(C69," ",))/2*F71*2</f>
        <v>60</v>
      </c>
      <c r="I71" s="30">
        <f>N(AND(ISNUMBER(FIND(Q43,C71,1))))*L71*F71</f>
        <v>57.900000000000006</v>
      </c>
      <c r="J71" s="30">
        <f>J70-H71+I71</f>
        <v>99696991.200000018</v>
      </c>
      <c r="K71" s="30"/>
      <c r="L71" s="8">
        <f>'PK10'!Y23</f>
        <v>19.3</v>
      </c>
      <c r="M71" s="30"/>
      <c r="Q71" s="31" t="s">
        <v>46</v>
      </c>
      <c r="R71" s="8">
        <f>N(AND(SUM(INT(Q43),INT(Q44))&lt;12,ISNUMBER(FIND(Q71,C72,1))))</f>
        <v>1</v>
      </c>
      <c r="S71" s="30">
        <f>R71*'PK10'!AD45</f>
        <v>8.6850000000000005</v>
      </c>
      <c r="T71" s="30">
        <f>R71*'PK10'!AB45</f>
        <v>8.9999999999999993E-3</v>
      </c>
      <c r="U71" s="30">
        <f>R71*'PK10'!AE45</f>
        <v>8.9909999999999997</v>
      </c>
    </row>
    <row r="72" spans="1:21" x14ac:dyDescent="0.15">
      <c r="A72" s="37"/>
      <c r="B72" s="37" t="s">
        <v>28</v>
      </c>
      <c r="C72" s="8" t="s">
        <v>40</v>
      </c>
      <c r="D72" s="39" t="str">
        <f>TRIM(IF(LEN(C72)=0,"-",C72))&amp;","&amp;TRIM(IF(LEN(C73)=0,"-",C73))</f>
        <v>和大 和小 和单 和双,03 04 05 06 07 08 09 10 11 12 13 14 15 16 17 18 19</v>
      </c>
      <c r="E72" s="32">
        <f>I64</f>
        <v>5558.4</v>
      </c>
      <c r="F72" s="37">
        <v>1</v>
      </c>
      <c r="G72" s="38">
        <v>3</v>
      </c>
      <c r="H72" s="37">
        <f>(LEN(SUBSTITUTE(C72," ",))+LEN(SUBSTITUTE(C73," ",)))/2*G72</f>
        <v>63</v>
      </c>
      <c r="I72" s="37" t="e">
        <f>SUM(S70:S78)*G72</f>
        <v>#VALUE!</v>
      </c>
      <c r="J72" s="37" t="e">
        <f>J71-H72+I72</f>
        <v>#VALUE!</v>
      </c>
      <c r="K72" s="37"/>
      <c r="L72" s="37">
        <f>'PK10'!Y24</f>
        <v>100000000</v>
      </c>
      <c r="M72" s="37"/>
      <c r="Q72" s="31" t="s">
        <v>47</v>
      </c>
      <c r="R72" s="8">
        <f>N(AND(MOD(SUM(INT(Q43),INT(Q44)),2)=0,ISNUMBER(FIND(Q72,C72,1))))</f>
        <v>0</v>
      </c>
      <c r="S72" s="30">
        <f>R72*'PK10'!AD44</f>
        <v>0</v>
      </c>
      <c r="T72" s="30">
        <f>R72*'PK10'!AB44</f>
        <v>0</v>
      </c>
      <c r="U72" s="30">
        <f>R72*'PK10'!AE44</f>
        <v>0</v>
      </c>
    </row>
    <row r="73" spans="1:21" ht="27" x14ac:dyDescent="0.15">
      <c r="A73" s="37"/>
      <c r="B73" s="37"/>
      <c r="C73" s="8" t="s">
        <v>39</v>
      </c>
      <c r="D73" s="39"/>
      <c r="E73" s="32">
        <f>I67</f>
        <v>0</v>
      </c>
      <c r="F73" s="37"/>
      <c r="G73" s="38"/>
      <c r="H73" s="37"/>
      <c r="I73" s="37"/>
      <c r="J73" s="37"/>
      <c r="K73" s="37"/>
      <c r="L73" s="37"/>
      <c r="M73" s="37"/>
      <c r="Q73" s="31" t="s">
        <v>53</v>
      </c>
      <c r="R73" s="8">
        <f>N(AND(MOD(SUM(INT(Q43),INT(Q44)),2)=1,ISNUMBER(FIND(Q73,C72,1))))</f>
        <v>1</v>
      </c>
      <c r="S73" s="30">
        <f>R73*'PK10'!AD45</f>
        <v>8.6850000000000005</v>
      </c>
      <c r="T73" s="30">
        <f>R73*'PK10'!AB45</f>
        <v>8.9999999999999993E-3</v>
      </c>
      <c r="U73" s="30">
        <f>R73*'PK10'!AE45</f>
        <v>8.9909999999999997</v>
      </c>
    </row>
    <row r="74" spans="1:21" x14ac:dyDescent="0.15">
      <c r="A74" s="37"/>
      <c r="B74" s="37" t="s">
        <v>30</v>
      </c>
      <c r="C74" s="8" t="s">
        <v>41</v>
      </c>
      <c r="D74" s="39" t="str">
        <f>TRIM(IF(LEN(C74)=0,"-",C74))&amp;","&amp;TRIM(IF(LEN(C75)=0,"-",C75))&amp;","&amp;TRIM(IF(LEN(C76)=0,"-",C76))&amp;","&amp;TRIM(IF(LEN(C77)=0,"-",C77))&amp;","&amp;TRIM(IF(LEN(C78)=0,"-",C78))&amp;","&amp;TRIM(IF(LEN(C79)=0,"-",C79))&amp;","&amp;TRIM(IF(LEN(C80)=0,"-",C80))&amp;","&amp;TRIM(IF(LEN(C81)=0,"-",C81))&amp;","&amp;TRIM(IF(LEN(C82)=0,"-",C82))&amp;","&amp;TRIM(IF(LEN(C83)=0,"-",C83))</f>
        <v>大 小 单 双 龙 虎,大 小 单 双 龙 虎,大 小 单 双 龙 虎,大 小 单 双 龙 虎,大 小 单 双 龙 虎,大 小 单 双,大 小 单 双,大 小 单 双,大 小 单 双,大 小 单 双</v>
      </c>
      <c r="E74" s="32">
        <f>I68</f>
        <v>173.7</v>
      </c>
      <c r="F74" s="37">
        <v>1</v>
      </c>
      <c r="G74" s="38">
        <v>4</v>
      </c>
      <c r="H74" s="37">
        <f>(LEN(SUBSTITUTE(C74," ",))+LEN(SUBSTITUTE(C75," ",))+LEN(SUBSTITUTE(C76," ",))+LEN(SUBSTITUTE(C77," ",))+LEN(SUBSTITUTE(C78," ",))+LEN(SUBSTITUTE(C79," ",))+LEN(SUBSTITUTE(C80," ",))+LEN(SUBSTITUTE(C81," ",))+LEN(SUBSTITUTE(C82," ",))+LEN(SUBSTITUTE(C83," ",)))*G74</f>
        <v>200</v>
      </c>
      <c r="I74" s="38">
        <f>SUM(M74:M83)</f>
        <v>193</v>
      </c>
      <c r="J74" s="37" t="e">
        <f>J72-H74+I74</f>
        <v>#VALUE!</v>
      </c>
      <c r="K74" s="37"/>
      <c r="L74" s="37">
        <f>'PK10'!Y25</f>
        <v>1.93</v>
      </c>
      <c r="M74" s="9">
        <f>SUM(N(ISNUMBER(FIND($Q54,$C74,1))),N(ISNUMBER(FIND($R54,$C74,1))),N(ISNUMBER(FIND($S54,$C74,1))))*L74*G74</f>
        <v>23.16</v>
      </c>
      <c r="N74" s="9"/>
      <c r="O74" s="9"/>
      <c r="P74" s="9"/>
      <c r="Q74" s="31" t="s">
        <v>48</v>
      </c>
      <c r="R74" s="8">
        <f>IF(SUM(INT(Q43),INT(Q44))&lt;10,N(ISNUMBER(FIND((0&amp;SUM(INT(Q43),INT(Q44))),Q74,1))),N(ISNUMBER(FIND(SUM(INT(Q43),INT(Q44)),Q74,1))))</f>
        <v>0</v>
      </c>
      <c r="S74" s="30">
        <f>R74*'PK10'!AD46</f>
        <v>0</v>
      </c>
      <c r="T74" s="30">
        <f>R74*'PK10'!AB46</f>
        <v>0</v>
      </c>
      <c r="U74" s="30">
        <f>R74*'PK10'!AE46</f>
        <v>0</v>
      </c>
    </row>
    <row r="75" spans="1:21" x14ac:dyDescent="0.15">
      <c r="A75" s="37"/>
      <c r="B75" s="37"/>
      <c r="C75" s="8" t="s">
        <v>41</v>
      </c>
      <c r="D75" s="39"/>
      <c r="E75" s="32">
        <f>I70</f>
        <v>0</v>
      </c>
      <c r="F75" s="37"/>
      <c r="G75" s="38"/>
      <c r="H75" s="37"/>
      <c r="I75" s="37"/>
      <c r="J75" s="37"/>
      <c r="K75" s="37"/>
      <c r="L75" s="37"/>
      <c r="M75" s="9">
        <f>SUM(N(ISNUMBER(FIND($Q55,$C75,1))),N(ISNUMBER(FIND($R55,$C75,1))),N(ISNUMBER(FIND($S55,$C75,1))))*L74*G74</f>
        <v>23.16</v>
      </c>
      <c r="N75" s="9"/>
      <c r="O75" s="9"/>
      <c r="P75" s="9"/>
      <c r="Q75" s="31" t="s">
        <v>49</v>
      </c>
      <c r="R75" s="8">
        <f>IF(SUM(INT(Q43),INT(Q44))&lt;10,N(ISNUMBER(FIND((0&amp;SUM(INT(Q43),INT(Q44))),Q75,1))),N(ISNUMBER(FIND(SUM(INT(Q43),INT(Q44)),Q75,1))))</f>
        <v>0</v>
      </c>
      <c r="S75" s="30">
        <f>R75*'PK10'!AD47</f>
        <v>0</v>
      </c>
      <c r="T75" s="30">
        <f>R75*'PK10'!AB47</f>
        <v>0</v>
      </c>
      <c r="U75" s="30">
        <f>R75*'PK10'!AE47</f>
        <v>0</v>
      </c>
    </row>
    <row r="76" spans="1:21" x14ac:dyDescent="0.15">
      <c r="A76" s="37"/>
      <c r="B76" s="37"/>
      <c r="C76" s="8" t="s">
        <v>41</v>
      </c>
      <c r="D76" s="39"/>
      <c r="E76" s="32">
        <f>I71</f>
        <v>57.900000000000006</v>
      </c>
      <c r="F76" s="37"/>
      <c r="G76" s="38"/>
      <c r="H76" s="37"/>
      <c r="I76" s="37"/>
      <c r="J76" s="37"/>
      <c r="K76" s="37"/>
      <c r="L76" s="37"/>
      <c r="M76" s="9">
        <f>SUM(N(ISNUMBER(FIND($Q56,$C76,1))),N(ISNUMBER(FIND($R56,$C76,1))),N(ISNUMBER(FIND($S56,$C76,1))))*L74*G74</f>
        <v>23.16</v>
      </c>
      <c r="N76" s="9"/>
      <c r="O76" s="9"/>
      <c r="P76" s="9"/>
      <c r="Q76" s="31" t="s">
        <v>50</v>
      </c>
      <c r="R76" s="8">
        <f>IF(SUM(INT(Q43),INT(Q44))&lt;10,N(ISNUMBER(FIND((0&amp;SUM(INT(Q43),INT(Q44))),Q76,1))),N(ISNUMBER(FIND(SUM(INT(Q43),INT(Q44)),Q76,1))))</f>
        <v>0</v>
      </c>
      <c r="S76" s="30">
        <f>R76*'PK10'!AD48</f>
        <v>0</v>
      </c>
      <c r="T76" s="30">
        <f>R76*'PK10'!AB48</f>
        <v>0</v>
      </c>
      <c r="U76" s="30">
        <f>R76*'PK10'!AE48</f>
        <v>0</v>
      </c>
    </row>
    <row r="77" spans="1:21" x14ac:dyDescent="0.15">
      <c r="A77" s="37"/>
      <c r="B77" s="37"/>
      <c r="C77" s="8" t="s">
        <v>41</v>
      </c>
      <c r="D77" s="39"/>
      <c r="E77" s="32" t="e">
        <f>I72</f>
        <v>#VALUE!</v>
      </c>
      <c r="F77" s="37"/>
      <c r="G77" s="38"/>
      <c r="H77" s="37"/>
      <c r="I77" s="37"/>
      <c r="J77" s="37"/>
      <c r="K77" s="37"/>
      <c r="L77" s="37"/>
      <c r="M77" s="9">
        <f>SUM(N(ISNUMBER(FIND($Q57,$C77,1))),N(ISNUMBER(FIND($R57,$C77,1))),N(ISNUMBER(FIND($S57,$C77,1))))*L74*G74</f>
        <v>23.16</v>
      </c>
      <c r="N77" s="9"/>
      <c r="O77" s="9"/>
      <c r="P77" s="9"/>
      <c r="Q77" s="31" t="s">
        <v>51</v>
      </c>
      <c r="R77" s="8">
        <f>IF(SUM(INT(Q43),INT(Q44))&lt;10,N(ISNUMBER(FIND((0&amp;SUM(INT(Q43),INT(Q44))),Q77,1))),N(ISNUMBER(FIND(SUM(INT(Q43),INT(Q44)),Q77,1))))</f>
        <v>1</v>
      </c>
      <c r="S77" s="30">
        <f>R77*'PK10'!AD49</f>
        <v>43.424999999999997</v>
      </c>
      <c r="T77" s="30">
        <f>R77*'PK10'!AB49</f>
        <v>4.4999999999999998E-2</v>
      </c>
      <c r="U77" s="30">
        <f>R77*'PK10'!AE49</f>
        <v>44.954999999999998</v>
      </c>
    </row>
    <row r="78" spans="1:21" x14ac:dyDescent="0.15">
      <c r="A78" s="37"/>
      <c r="B78" s="37"/>
      <c r="C78" s="8" t="s">
        <v>41</v>
      </c>
      <c r="D78" s="39"/>
      <c r="E78" s="32">
        <f>I74</f>
        <v>193</v>
      </c>
      <c r="F78" s="37"/>
      <c r="G78" s="38"/>
      <c r="H78" s="37"/>
      <c r="I78" s="37"/>
      <c r="J78" s="37"/>
      <c r="K78" s="37"/>
      <c r="L78" s="37"/>
      <c r="M78" s="9">
        <f>SUM(N(ISNUMBER(FIND($Q58,$C78,1))),N(ISNUMBER(FIND($R58,$C78,1))),N(ISNUMBER(FIND($S58,$C78,1))))*L74*G74</f>
        <v>23.16</v>
      </c>
      <c r="N78" s="9"/>
      <c r="O78" s="9"/>
      <c r="P78" s="9"/>
      <c r="Q78" s="30">
        <v>11</v>
      </c>
      <c r="R78" s="8">
        <f>IF(SUM(INT(Q43),INT(Q44))&lt;10,N(ISNUMBER(FIND((0&amp;SUM(INT(Q43),INT(Q44))),Q78,1))),N(ISNUMBER(FIND(SUM(INT(Q43),INT(Q44)),Q78,1))))</f>
        <v>0</v>
      </c>
      <c r="S78" s="30" t="e">
        <f>R78*'PK10'!AD50</f>
        <v>#VALUE!</v>
      </c>
      <c r="T78" s="30" t="e">
        <f>R78*'PK10'!AB50</f>
        <v>#VALUE!</v>
      </c>
      <c r="U78" s="30" t="e">
        <f>R78*'PK10'!AE50</f>
        <v>#VALUE!</v>
      </c>
    </row>
    <row r="79" spans="1:21" x14ac:dyDescent="0.15">
      <c r="A79" s="37"/>
      <c r="B79" s="37"/>
      <c r="C79" s="8" t="s">
        <v>43</v>
      </c>
      <c r="D79" s="39"/>
      <c r="F79" s="37"/>
      <c r="G79" s="38"/>
      <c r="H79" s="37"/>
      <c r="I79" s="37"/>
      <c r="J79" s="37"/>
      <c r="K79" s="37"/>
      <c r="L79" s="37"/>
      <c r="M79" s="9">
        <f>SUM(N(ISNUMBER(FIND($Q59,$C79,1))),N(ISNUMBER(FIND($R59,$C79,1))))*L74*G74</f>
        <v>15.44</v>
      </c>
      <c r="N79" s="9"/>
      <c r="O79" s="9"/>
      <c r="P79" s="9"/>
      <c r="Q79" s="30"/>
      <c r="R79" s="10"/>
      <c r="S79" s="30"/>
      <c r="T79" s="30"/>
      <c r="U79" s="30"/>
    </row>
    <row r="80" spans="1:21" x14ac:dyDescent="0.15">
      <c r="A80" s="37"/>
      <c r="B80" s="37"/>
      <c r="C80" s="8" t="s">
        <v>43</v>
      </c>
      <c r="D80" s="39"/>
      <c r="F80" s="37"/>
      <c r="G80" s="38"/>
      <c r="H80" s="37"/>
      <c r="I80" s="37"/>
      <c r="J80" s="37"/>
      <c r="K80" s="37"/>
      <c r="L80" s="37"/>
      <c r="M80" s="9">
        <f>SUM(N(ISNUMBER(FIND($Q60,$C80,1))),N(ISNUMBER(FIND($R60,$C80,1))))*L74*G74</f>
        <v>15.44</v>
      </c>
      <c r="N80" s="9"/>
      <c r="O80" s="9"/>
      <c r="P80" s="9"/>
      <c r="Q80" s="30"/>
      <c r="R80" s="32"/>
      <c r="S80" s="30"/>
      <c r="T80" s="30"/>
      <c r="U80" s="30"/>
    </row>
    <row r="81" spans="1:21" x14ac:dyDescent="0.15">
      <c r="A81" s="37"/>
      <c r="B81" s="37"/>
      <c r="C81" s="8" t="s">
        <v>43</v>
      </c>
      <c r="D81" s="39"/>
      <c r="F81" s="37"/>
      <c r="G81" s="38"/>
      <c r="H81" s="37"/>
      <c r="I81" s="37"/>
      <c r="J81" s="37"/>
      <c r="K81" s="37"/>
      <c r="L81" s="37"/>
      <c r="M81" s="9">
        <f>SUM(N(ISNUMBER(FIND($Q61,$C81,1))),N(ISNUMBER(FIND($R61,$C81,1))))*L74*G74</f>
        <v>15.44</v>
      </c>
      <c r="N81" s="9"/>
      <c r="O81" s="9"/>
      <c r="P81" s="9"/>
      <c r="Q81" s="30"/>
      <c r="R81" s="32"/>
      <c r="S81" s="30"/>
      <c r="T81" s="30"/>
      <c r="U81" s="30"/>
    </row>
    <row r="82" spans="1:21" x14ac:dyDescent="0.15">
      <c r="A82" s="37"/>
      <c r="B82" s="37"/>
      <c r="C82" s="8" t="s">
        <v>43</v>
      </c>
      <c r="D82" s="39"/>
      <c r="F82" s="37"/>
      <c r="G82" s="38"/>
      <c r="H82" s="37"/>
      <c r="I82" s="37"/>
      <c r="J82" s="37"/>
      <c r="K82" s="37"/>
      <c r="L82" s="37"/>
      <c r="M82" s="9">
        <f>SUM(N(ISNUMBER(FIND($Q62,$C82,1))),N(ISNUMBER(FIND($R62,$C82,1))))*L74*G74</f>
        <v>15.44</v>
      </c>
      <c r="N82" s="9"/>
      <c r="O82" s="9"/>
      <c r="P82" s="9"/>
      <c r="Q82" s="30"/>
      <c r="R82" s="32"/>
      <c r="S82" s="30"/>
      <c r="T82" s="30"/>
      <c r="U82" s="30"/>
    </row>
    <row r="83" spans="1:21" x14ac:dyDescent="0.15">
      <c r="A83" s="37"/>
      <c r="B83" s="37"/>
      <c r="C83" s="8" t="s">
        <v>43</v>
      </c>
      <c r="D83" s="39"/>
      <c r="F83" s="37"/>
      <c r="G83" s="38"/>
      <c r="H83" s="37"/>
      <c r="I83" s="37"/>
      <c r="J83" s="37"/>
      <c r="K83" s="37"/>
      <c r="L83" s="37"/>
      <c r="M83" s="9">
        <f>SUM(N(ISNUMBER(FIND($Q63,$C83,1))),N(ISNUMBER(FIND($R63,$C83,1))))*L74*G74</f>
        <v>15.44</v>
      </c>
      <c r="N83" s="9"/>
      <c r="O83" s="9"/>
      <c r="P83" s="9"/>
      <c r="Q83" s="30"/>
      <c r="R83" s="32"/>
      <c r="S83" s="30"/>
      <c r="T83" s="30"/>
      <c r="U83" s="30"/>
    </row>
    <row r="84" spans="1:21" ht="162" x14ac:dyDescent="0.15">
      <c r="A84" s="38" t="s">
        <v>221</v>
      </c>
      <c r="B84" s="37" t="s">
        <v>18</v>
      </c>
      <c r="C84" s="8" t="s">
        <v>33</v>
      </c>
      <c r="D84" s="40" t="str">
        <f>TRIM(IF(LEN(C84)=0,"-",C84))&amp;","&amp;TRIM(IF(LEN(C85)=0,"-",C85))&amp;","&amp;TRIM(IF(LEN(C86)=0,"-",C86))&amp;","&amp;TRIM(IF(LEN(C87)=0,"-",C87))&amp;","&amp;TRIM(IF(LEN(C88)=0,"-",C88))&amp;","&amp;TRIM(IF(LEN(C89)=0,"-",C89))&amp;","&amp;TRIM(IF(LEN(C90)=0,"-",C90))&amp;","&amp;TRIM(IF(LEN(C91)=0,"-",C91))&amp;","&amp;TRIM(IF(LEN(C92)=0,"-",C92))&amp;","&amp;TRIM(IF(LEN(C93)=0,"-",C93)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84" s="32" t="str">
        <f>D84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F84" s="38">
        <v>2</v>
      </c>
      <c r="G84" s="38">
        <v>1</v>
      </c>
      <c r="H84" s="37">
        <f>(LEN(SUBSTITUTE(C84," ",))+LEN(SUBSTITUTE(C85," ",))+LEN(SUBSTITUTE(C86," ",))+LEN(SUBSTITUTE(C87," ",))+LEN(SUBSTITUTE(C88," ",))+LEN(SUBSTITUTE(C89," ",))+LEN(SUBSTITUTE(C90," ",))+LEN(SUBSTITUTE(C91," ",))+LEN(SUBSTITUTE(C92," ",))+LEN(SUBSTITUTE(C93," ",)))/2*F84*2</f>
        <v>400</v>
      </c>
      <c r="I84" s="39">
        <f>SUM(N(ISNUMBER(FIND(Q84,C84,1))),N(ISNUMBER(FIND(Q85,C85,1))),N(ISNUMBER(FIND(Q86,C86,1))),N(ISNUMBER(FIND(Q87,C87,1))),N(ISNUMBER(FIND(Q88,C88,1))),N(ISNUMBER(FIND(Q89,C89,1))),N(ISNUMBER(FIND(Q90,C90,1))),N(ISNUMBER(FIND(Q91,C91,1))),N(ISNUMBER(FIND(Q92,C92,1))),N(ISNUMBER(FIND(Q93,C93,1))))*L84*F84</f>
        <v>386</v>
      </c>
      <c r="J84" s="37">
        <f>S84-H84+I84</f>
        <v>99999986</v>
      </c>
      <c r="K84" s="37"/>
      <c r="L84" s="39">
        <f>'PK10'!Y26</f>
        <v>19.3</v>
      </c>
      <c r="M84" s="39"/>
      <c r="N84" s="32"/>
      <c r="O84" s="32"/>
      <c r="P84" s="8" t="s">
        <v>220</v>
      </c>
      <c r="Q84" s="31" t="str">
        <f>LEFT(R94,2)</f>
        <v>07</v>
      </c>
      <c r="R84" s="32"/>
      <c r="S84" s="30">
        <v>100000000</v>
      </c>
      <c r="T84" s="30"/>
      <c r="U84" s="30"/>
    </row>
    <row r="85" spans="1:21" ht="27" x14ac:dyDescent="0.15">
      <c r="A85" s="38"/>
      <c r="B85" s="37"/>
      <c r="C85" s="8" t="s">
        <v>33</v>
      </c>
      <c r="D85" s="40"/>
      <c r="E85" s="32" t="str">
        <f>D94</f>
        <v>01 02 08,03 04 09,01 05 06,02 07 08,03 09 10</v>
      </c>
      <c r="F85" s="38"/>
      <c r="G85" s="38"/>
      <c r="H85" s="37"/>
      <c r="I85" s="39"/>
      <c r="J85" s="37"/>
      <c r="K85" s="37"/>
      <c r="L85" s="39"/>
      <c r="M85" s="39"/>
      <c r="N85" s="32"/>
      <c r="O85" s="32"/>
      <c r="P85" s="32"/>
      <c r="Q85" s="30" t="str">
        <f>MID(R94,4,2)</f>
        <v>02</v>
      </c>
      <c r="R85" s="32"/>
      <c r="S85" s="30"/>
      <c r="T85" s="30"/>
      <c r="U85" s="30"/>
    </row>
    <row r="86" spans="1:21" x14ac:dyDescent="0.15">
      <c r="A86" s="38"/>
      <c r="B86" s="37"/>
      <c r="C86" s="8" t="s">
        <v>33</v>
      </c>
      <c r="D86" s="40"/>
      <c r="E86" s="32" t="str">
        <f>D99</f>
        <v>08 09 01 02 03</v>
      </c>
      <c r="F86" s="38"/>
      <c r="G86" s="38"/>
      <c r="H86" s="37"/>
      <c r="I86" s="39"/>
      <c r="J86" s="37"/>
      <c r="K86" s="37"/>
      <c r="L86" s="39"/>
      <c r="M86" s="39"/>
      <c r="N86" s="32"/>
      <c r="O86" s="32"/>
      <c r="P86" s="32"/>
      <c r="Q86" s="30" t="str">
        <f>MID(R94,7,2)</f>
        <v>10</v>
      </c>
      <c r="R86" s="32"/>
      <c r="S86" s="30"/>
      <c r="T86" s="30"/>
      <c r="U86" s="30"/>
    </row>
    <row r="87" spans="1:21" ht="67.5" x14ac:dyDescent="0.15">
      <c r="A87" s="38"/>
      <c r="B87" s="37"/>
      <c r="C87" s="8" t="s">
        <v>33</v>
      </c>
      <c r="D87" s="40"/>
      <c r="E87" s="32" t="str">
        <f>D100</f>
        <v>01 02 03 04 05 06 07 08 09 10,01 02 03 04 05 06 07 08 09 10,01 02 03 04 05 06 07 08 09 10,01 02 03 04 05 06 07 08 09 10</v>
      </c>
      <c r="F87" s="38"/>
      <c r="G87" s="38"/>
      <c r="H87" s="37"/>
      <c r="I87" s="39"/>
      <c r="J87" s="37"/>
      <c r="K87" s="37"/>
      <c r="L87" s="39"/>
      <c r="M87" s="39"/>
      <c r="N87" s="32"/>
      <c r="O87" s="32"/>
      <c r="P87" s="32"/>
      <c r="Q87" s="30" t="str">
        <f>MID(R94,10,2)</f>
        <v>08</v>
      </c>
      <c r="R87" s="32"/>
      <c r="S87" s="30"/>
      <c r="T87" s="30"/>
      <c r="U87" s="30"/>
    </row>
    <row r="88" spans="1:21" x14ac:dyDescent="0.15">
      <c r="A88" s="38"/>
      <c r="B88" s="37"/>
      <c r="C88" s="8" t="s">
        <v>33</v>
      </c>
      <c r="D88" s="40"/>
      <c r="E88" s="32" t="str">
        <f>D104</f>
        <v>08 09 01 02</v>
      </c>
      <c r="F88" s="38"/>
      <c r="G88" s="38"/>
      <c r="H88" s="37"/>
      <c r="I88" s="39"/>
      <c r="J88" s="37"/>
      <c r="K88" s="37"/>
      <c r="L88" s="39"/>
      <c r="M88" s="39"/>
      <c r="N88" s="32"/>
      <c r="O88" s="32"/>
      <c r="P88" s="32"/>
      <c r="Q88" s="30" t="str">
        <f>MID(R94,13,2)</f>
        <v>09</v>
      </c>
      <c r="R88" s="32"/>
      <c r="S88" s="30"/>
      <c r="T88" s="30"/>
      <c r="U88" s="30"/>
    </row>
    <row r="89" spans="1:21" ht="54" x14ac:dyDescent="0.15">
      <c r="A89" s="38"/>
      <c r="B89" s="37"/>
      <c r="C89" s="8" t="s">
        <v>33</v>
      </c>
      <c r="D89" s="40"/>
      <c r="E89" s="32" t="str">
        <f>D105</f>
        <v>01 02 03 04 05 06 07 08 09 10,01 02 03 04 05 06 07 08 09 10,01 02 03 04 05 06 07 08 09 10</v>
      </c>
      <c r="F89" s="38"/>
      <c r="G89" s="38"/>
      <c r="H89" s="37"/>
      <c r="I89" s="39"/>
      <c r="J89" s="37"/>
      <c r="K89" s="37"/>
      <c r="L89" s="39"/>
      <c r="M89" s="39"/>
      <c r="N89" s="32"/>
      <c r="O89" s="32"/>
      <c r="P89" s="32"/>
      <c r="Q89" s="30" t="str">
        <f>MID(R94,16,2)</f>
        <v>01</v>
      </c>
      <c r="R89" s="32"/>
      <c r="S89" s="30"/>
      <c r="T89" s="30"/>
      <c r="U89" s="30"/>
    </row>
    <row r="90" spans="1:21" x14ac:dyDescent="0.15">
      <c r="A90" s="38"/>
      <c r="B90" s="37"/>
      <c r="C90" s="8" t="s">
        <v>33</v>
      </c>
      <c r="D90" s="40"/>
      <c r="E90" s="32" t="str">
        <f>D108</f>
        <v>08 09 01</v>
      </c>
      <c r="F90" s="38"/>
      <c r="G90" s="38"/>
      <c r="H90" s="37"/>
      <c r="I90" s="39"/>
      <c r="J90" s="37"/>
      <c r="K90" s="37"/>
      <c r="L90" s="39"/>
      <c r="M90" s="39"/>
      <c r="N90" s="32"/>
      <c r="O90" s="32"/>
      <c r="P90" s="32"/>
      <c r="Q90" s="30" t="str">
        <f>MID(R94,19,2)</f>
        <v>06</v>
      </c>
      <c r="R90" s="32"/>
      <c r="S90" s="30"/>
      <c r="T90" s="30"/>
      <c r="U90" s="30"/>
    </row>
    <row r="91" spans="1:21" ht="40.5" x14ac:dyDescent="0.15">
      <c r="A91" s="38"/>
      <c r="B91" s="37"/>
      <c r="C91" s="8" t="s">
        <v>33</v>
      </c>
      <c r="D91" s="40"/>
      <c r="E91" s="32" t="str">
        <f>D109</f>
        <v>01 02 03 04 05 06 07 08 09 10,01 02 03 04 05 06 07 08 09 10</v>
      </c>
      <c r="F91" s="38"/>
      <c r="G91" s="38"/>
      <c r="H91" s="37"/>
      <c r="I91" s="39"/>
      <c r="J91" s="37"/>
      <c r="K91" s="37"/>
      <c r="L91" s="39"/>
      <c r="M91" s="39"/>
      <c r="N91" s="32"/>
      <c r="O91" s="32"/>
      <c r="P91" s="32"/>
      <c r="Q91" s="30" t="str">
        <f>MID(R94,22,2)</f>
        <v>04</v>
      </c>
      <c r="R91" s="32"/>
      <c r="S91" s="30"/>
      <c r="T91" s="30"/>
      <c r="U91" s="30"/>
    </row>
    <row r="92" spans="1:21" x14ac:dyDescent="0.15">
      <c r="A92" s="38"/>
      <c r="B92" s="37"/>
      <c r="C92" s="8" t="s">
        <v>33</v>
      </c>
      <c r="D92" s="40"/>
      <c r="E92" s="32" t="str">
        <f>D111</f>
        <v>02 03,08 09,09 04,05 09</v>
      </c>
      <c r="F92" s="38"/>
      <c r="G92" s="38"/>
      <c r="H92" s="37"/>
      <c r="I92" s="39"/>
      <c r="J92" s="37"/>
      <c r="K92" s="37"/>
      <c r="L92" s="39"/>
      <c r="M92" s="39"/>
      <c r="N92" s="32"/>
      <c r="O92" s="32"/>
      <c r="P92" s="32"/>
      <c r="Q92" s="30" t="str">
        <f>MID(R94,25,2)</f>
        <v>03</v>
      </c>
      <c r="R92" s="32"/>
      <c r="S92" s="30"/>
      <c r="T92" s="30"/>
      <c r="U92" s="30"/>
    </row>
    <row r="93" spans="1:21" ht="27" x14ac:dyDescent="0.15">
      <c r="A93" s="38"/>
      <c r="B93" s="37"/>
      <c r="C93" s="8" t="s">
        <v>33</v>
      </c>
      <c r="D93" s="40"/>
      <c r="E93" s="32" t="str">
        <f>D112</f>
        <v xml:space="preserve">01 02 03 04 05 06 07 08 09 10 </v>
      </c>
      <c r="F93" s="38"/>
      <c r="G93" s="38"/>
      <c r="H93" s="37"/>
      <c r="I93" s="39"/>
      <c r="J93" s="37"/>
      <c r="K93" s="37"/>
      <c r="L93" s="39"/>
      <c r="M93" s="39"/>
      <c r="N93" s="32"/>
      <c r="O93" s="32"/>
      <c r="P93" s="32"/>
      <c r="Q93" s="30" t="str">
        <f>MID(R94,28,2)</f>
        <v>05</v>
      </c>
      <c r="R93" s="32"/>
      <c r="S93" s="30"/>
      <c r="T93" s="30"/>
      <c r="U93" s="30"/>
    </row>
    <row r="94" spans="1:21" ht="40.5" x14ac:dyDescent="0.15">
      <c r="A94" s="38" t="s">
        <v>58</v>
      </c>
      <c r="B94" s="38" t="s">
        <v>81</v>
      </c>
      <c r="C94" s="8" t="s">
        <v>175</v>
      </c>
      <c r="D94" s="39" t="str">
        <f>TRIM(IF(LEN(C94)=0,"-",C94))&amp;","&amp;TRIM(IF(LEN(C95)=0,"-",C95))&amp;","&amp;TRIM(IF(LEN(C96)=0,"-",C96))&amp;","&amp;TRIM(IF(LEN(C97)=0,"-",C97))&amp;","&amp;TRIM(IF(LEN(C98)=0,"-",C98))</f>
        <v>01 02 08,03 04 09,01 05 06,02 07 08,03 09 10</v>
      </c>
      <c r="E94" s="32" t="str">
        <f>D113</f>
        <v>和大 和小 和单 和双,03 04 05 06 07 08 09 10 11 12 13 14 15 16 17 18 19</v>
      </c>
      <c r="F94" s="38">
        <v>5</v>
      </c>
      <c r="G94" s="38">
        <v>1</v>
      </c>
      <c r="H94" s="37">
        <f>30240*F94*2</f>
        <v>302400</v>
      </c>
      <c r="I94" s="37">
        <f>N(AND(ISNUMBER(FIND(Q84,C94,1)),ISNUMBER(FIND(Q85,C95,1)),ISNUMBER(FIND(Q86,C96,1)),ISNUMBER(FIND(Q87,C97,1)),ISNUMBER(FIND(Q88,C98,1))))*L94*F94</f>
        <v>0</v>
      </c>
      <c r="J94" s="37">
        <f>J84-H94+I94</f>
        <v>99697586</v>
      </c>
      <c r="K94" s="37"/>
      <c r="L94" s="37">
        <f>'PK10'!Y27</f>
        <v>58363.199999999997</v>
      </c>
      <c r="M94" s="37">
        <f>IF(ISNUMBER(agent!$O$6*AC94*$AA94),TRUNC(agent!$O$6*SUM(PK10Source!S111:S112)*SUM(PK10Source!T111:T112)+agent!$O$6*SUM(PK10Source!S113:S114)*SUM(PK10Source!T113:T114)+agent!$O$6*SUM(PK10Source!S115:S119)*SUM(PK10Source!T115:T119),3),"没有上级")</f>
        <v>0</v>
      </c>
      <c r="Q94" s="32" t="str">
        <f>Q84&amp;" "&amp;Q85&amp;" "&amp;Q86&amp;" "&amp;Q87&amp;" "&amp;Q88&amp;" "&amp;Q89&amp;" "&amp;Q90&amp;" "&amp;Q91&amp;" "&amp;Q92&amp;" "&amp;Q93</f>
        <v>07 02 10 08 09 01 06 04 03 05</v>
      </c>
      <c r="R94" s="8" t="s">
        <v>219</v>
      </c>
      <c r="S94" s="30"/>
      <c r="T94" s="30"/>
      <c r="U94" s="30"/>
    </row>
    <row r="95" spans="1:21" ht="81" x14ac:dyDescent="0.15">
      <c r="A95" s="37"/>
      <c r="B95" s="37"/>
      <c r="C95" s="8" t="s">
        <v>176</v>
      </c>
      <c r="D95" s="39"/>
      <c r="E95" s="32" t="str">
        <f>D115</f>
        <v>大 小 单 双 龙 虎,大 小 单 双 龙 虎,大 小 单 双 龙 虎,大 小 单 双 龙 虎,大 小 单 双 龙 虎,大 小 单 双,大 小 单 双,大 小 单 双,大 小 单 双,大 小 单 双</v>
      </c>
      <c r="F95" s="38"/>
      <c r="G95" s="38"/>
      <c r="H95" s="37"/>
      <c r="I95" s="37"/>
      <c r="J95" s="37"/>
      <c r="K95" s="37"/>
      <c r="L95" s="37"/>
      <c r="M95" s="37"/>
      <c r="Q95" s="30" t="str">
        <f>IF(MOD(Q84,2)=0,"双","单")</f>
        <v>单</v>
      </c>
      <c r="R95" s="32" t="str">
        <f>IF(INT(Q84)&gt;5,"大","小")</f>
        <v>大</v>
      </c>
      <c r="S95" s="30" t="str">
        <f>IF(Q84&gt;Q93,"龙","虎")</f>
        <v>龙</v>
      </c>
      <c r="T95" s="30"/>
      <c r="U95" s="30"/>
    </row>
    <row r="96" spans="1:21" x14ac:dyDescent="0.15">
      <c r="A96" s="37"/>
      <c r="B96" s="37"/>
      <c r="C96" s="8" t="s">
        <v>177</v>
      </c>
      <c r="D96" s="39"/>
      <c r="E96" s="32">
        <f>H84</f>
        <v>400</v>
      </c>
      <c r="F96" s="38"/>
      <c r="G96" s="38"/>
      <c r="H96" s="37"/>
      <c r="I96" s="37"/>
      <c r="J96" s="37"/>
      <c r="K96" s="37"/>
      <c r="L96" s="37"/>
      <c r="M96" s="37"/>
      <c r="Q96" s="30" t="str">
        <f t="shared" ref="Q96:Q103" si="4">IF(MOD(Q85,2)=0,"双","单")</f>
        <v>双</v>
      </c>
      <c r="R96" s="32" t="str">
        <f t="shared" ref="R96:R104" si="5">IF(INT(Q85)&gt;5,"大","小")</f>
        <v>小</v>
      </c>
      <c r="S96" s="30" t="str">
        <f>IF(Q85&gt;Q92,"龙","虎")</f>
        <v>虎</v>
      </c>
      <c r="T96" s="30"/>
      <c r="U96" s="30"/>
    </row>
    <row r="97" spans="1:21" x14ac:dyDescent="0.15">
      <c r="A97" s="37"/>
      <c r="B97" s="37"/>
      <c r="C97" s="8" t="s">
        <v>178</v>
      </c>
      <c r="D97" s="39"/>
      <c r="E97" s="32">
        <f>H94</f>
        <v>302400</v>
      </c>
      <c r="F97" s="38"/>
      <c r="G97" s="38"/>
      <c r="H97" s="37"/>
      <c r="I97" s="37"/>
      <c r="J97" s="37"/>
      <c r="K97" s="37"/>
      <c r="L97" s="37"/>
      <c r="M97" s="37"/>
      <c r="Q97" s="30" t="str">
        <f t="shared" si="4"/>
        <v>双</v>
      </c>
      <c r="R97" s="32" t="str">
        <f t="shared" si="5"/>
        <v>大</v>
      </c>
      <c r="S97" s="30" t="str">
        <f>IF(Q86&gt;Q91,"龙","虎")</f>
        <v>龙</v>
      </c>
      <c r="T97" s="30"/>
      <c r="U97" s="30"/>
    </row>
    <row r="98" spans="1:21" x14ac:dyDescent="0.15">
      <c r="A98" s="37"/>
      <c r="B98" s="37"/>
      <c r="C98" s="8" t="s">
        <v>179</v>
      </c>
      <c r="D98" s="39"/>
      <c r="E98" s="32">
        <f>H99</f>
        <v>6</v>
      </c>
      <c r="F98" s="38"/>
      <c r="G98" s="38"/>
      <c r="H98" s="37"/>
      <c r="I98" s="37"/>
      <c r="J98" s="37"/>
      <c r="K98" s="37"/>
      <c r="L98" s="37"/>
      <c r="M98" s="37"/>
      <c r="Q98" s="30" t="str">
        <f t="shared" si="4"/>
        <v>双</v>
      </c>
      <c r="R98" s="32" t="str">
        <f t="shared" si="5"/>
        <v>大</v>
      </c>
      <c r="S98" s="30" t="str">
        <f>IF(Q87&gt;Q90,"龙","虎")</f>
        <v>龙</v>
      </c>
      <c r="T98" s="30"/>
      <c r="U98" s="30"/>
    </row>
    <row r="99" spans="1:21" x14ac:dyDescent="0.15">
      <c r="A99" s="37"/>
      <c r="B99" s="30" t="s">
        <v>20</v>
      </c>
      <c r="C99" s="8" t="s">
        <v>67</v>
      </c>
      <c r="D99" s="8" t="s">
        <v>170</v>
      </c>
      <c r="E99" s="32">
        <f>H100</f>
        <v>10080</v>
      </c>
      <c r="F99" s="31">
        <v>3</v>
      </c>
      <c r="G99" s="30">
        <v>1</v>
      </c>
      <c r="H99" s="30">
        <f>M99*F99*2</f>
        <v>6</v>
      </c>
      <c r="I99" s="30">
        <f>IF(ISNUMBER(FIND(LEFT(Q94,14),D99,1)),F99*L99,0)</f>
        <v>0</v>
      </c>
      <c r="J99" s="9">
        <f>J94-H99+I99</f>
        <v>99697580</v>
      </c>
      <c r="K99" s="30"/>
      <c r="L99" s="8">
        <f>'PK10'!Y28</f>
        <v>58363.199999999997</v>
      </c>
      <c r="M99" s="31">
        <v>1</v>
      </c>
      <c r="N99" s="31"/>
      <c r="O99" s="31"/>
      <c r="P99" s="31"/>
      <c r="Q99" s="30" t="str">
        <f t="shared" si="4"/>
        <v>单</v>
      </c>
      <c r="R99" s="32" t="str">
        <f t="shared" si="5"/>
        <v>大</v>
      </c>
      <c r="S99" s="30" t="str">
        <f>IF(Q88&gt;Q89,"龙","虎")</f>
        <v>龙</v>
      </c>
      <c r="T99" s="30"/>
      <c r="U99" s="30"/>
    </row>
    <row r="100" spans="1:21" x14ac:dyDescent="0.15">
      <c r="A100" s="38" t="s">
        <v>60</v>
      </c>
      <c r="B100" s="38" t="s">
        <v>82</v>
      </c>
      <c r="C100" s="8" t="s">
        <v>33</v>
      </c>
      <c r="D100" s="39" t="str">
        <f>TRIM(IF(LEN(C100)=0,"-",C100))&amp;","&amp;TRIM(IF(LEN(C101)=0,"-",C101))&amp;","&amp;TRIM(IF(LEN(C102)=0,"-",C102))&amp;","&amp;TRIM(IF(LEN(C103)=0,"-",C103))</f>
        <v>01 02 03 04 05 06 07 08 09 10,01 02 03 04 05 06 07 08 09 10,01 02 03 04 05 06 07 08 09 10,01 02 03 04 05 06 07 08 09 10</v>
      </c>
      <c r="E100" s="32">
        <f>H104</f>
        <v>4</v>
      </c>
      <c r="F100" s="38">
        <v>1</v>
      </c>
      <c r="G100" s="38">
        <v>1</v>
      </c>
      <c r="H100" s="37">
        <f>5040*F100*2</f>
        <v>10080</v>
      </c>
      <c r="I100" s="37">
        <f>N(AND(ISNUMBER(FIND(Q84,C100,1)),ISNUMBER(FIND(Q85,C101,1)),ISNUMBER(FIND(Q86,C102,1)),ISNUMBER(FIND(Q87,C103,1))))*L100*F100</f>
        <v>9727.2000000000007</v>
      </c>
      <c r="J100" s="37">
        <f>J99-H100+I100</f>
        <v>99697227.200000003</v>
      </c>
      <c r="K100" s="37"/>
      <c r="L100" s="37">
        <f>'PK10'!Y29</f>
        <v>9727.2000000000007</v>
      </c>
      <c r="M100" s="37"/>
      <c r="Q100" s="30" t="str">
        <f t="shared" si="4"/>
        <v>单</v>
      </c>
      <c r="R100" s="32" t="str">
        <f t="shared" si="5"/>
        <v>小</v>
      </c>
      <c r="S100" s="30"/>
      <c r="T100" s="30"/>
      <c r="U100" s="30"/>
    </row>
    <row r="101" spans="1:21" x14ac:dyDescent="0.15">
      <c r="A101" s="37"/>
      <c r="B101" s="37"/>
      <c r="C101" s="8" t="s">
        <v>33</v>
      </c>
      <c r="D101" s="39"/>
      <c r="E101" s="32">
        <f>H105</f>
        <v>5760</v>
      </c>
      <c r="F101" s="38"/>
      <c r="G101" s="38"/>
      <c r="H101" s="37"/>
      <c r="I101" s="37"/>
      <c r="J101" s="37"/>
      <c r="K101" s="37"/>
      <c r="L101" s="37"/>
      <c r="M101" s="37"/>
      <c r="Q101" s="30" t="str">
        <f t="shared" si="4"/>
        <v>双</v>
      </c>
      <c r="R101" s="32" t="str">
        <f t="shared" si="5"/>
        <v>大</v>
      </c>
      <c r="S101" s="30"/>
      <c r="T101" s="30"/>
      <c r="U101" s="30"/>
    </row>
    <row r="102" spans="1:21" x14ac:dyDescent="0.15">
      <c r="A102" s="37"/>
      <c r="B102" s="37"/>
      <c r="C102" s="8" t="s">
        <v>33</v>
      </c>
      <c r="D102" s="39"/>
      <c r="E102" s="32">
        <f>H108</f>
        <v>10</v>
      </c>
      <c r="F102" s="38"/>
      <c r="G102" s="38"/>
      <c r="H102" s="37"/>
      <c r="I102" s="37"/>
      <c r="J102" s="37"/>
      <c r="K102" s="37"/>
      <c r="L102" s="37"/>
      <c r="M102" s="37"/>
      <c r="Q102" s="30" t="str">
        <f t="shared" si="4"/>
        <v>双</v>
      </c>
      <c r="R102" s="32" t="str">
        <f t="shared" si="5"/>
        <v>小</v>
      </c>
      <c r="S102" s="30"/>
      <c r="T102" s="30"/>
      <c r="U102" s="30"/>
    </row>
    <row r="103" spans="1:21" x14ac:dyDescent="0.15">
      <c r="A103" s="37"/>
      <c r="B103" s="37"/>
      <c r="C103" s="8" t="s">
        <v>33</v>
      </c>
      <c r="D103" s="39"/>
      <c r="E103" s="32">
        <f>H109</f>
        <v>180</v>
      </c>
      <c r="F103" s="38"/>
      <c r="G103" s="38"/>
      <c r="H103" s="37"/>
      <c r="I103" s="37"/>
      <c r="J103" s="37"/>
      <c r="K103" s="37"/>
      <c r="L103" s="37"/>
      <c r="M103" s="37"/>
      <c r="Q103" s="30" t="str">
        <f t="shared" si="4"/>
        <v>单</v>
      </c>
      <c r="R103" s="32" t="str">
        <f t="shared" si="5"/>
        <v>小</v>
      </c>
      <c r="S103" s="30"/>
      <c r="T103" s="30"/>
      <c r="U103" s="30"/>
    </row>
    <row r="104" spans="1:21" x14ac:dyDescent="0.15">
      <c r="A104" s="37"/>
      <c r="B104" s="30" t="s">
        <v>22</v>
      </c>
      <c r="C104" s="8" t="s">
        <v>68</v>
      </c>
      <c r="D104" s="8" t="s">
        <v>172</v>
      </c>
      <c r="E104" s="32">
        <f>H111</f>
        <v>12</v>
      </c>
      <c r="F104" s="31">
        <v>2</v>
      </c>
      <c r="G104" s="30">
        <v>1</v>
      </c>
      <c r="H104" s="30">
        <f>M104*F104*2</f>
        <v>4</v>
      </c>
      <c r="I104" s="30">
        <f>IF(ISNUMBER(FIND(LEFT(Q94,11),D104,1)),F104*L104,0)</f>
        <v>0</v>
      </c>
      <c r="J104" s="9">
        <f>J100-H104+I104</f>
        <v>99697223.200000003</v>
      </c>
      <c r="K104" s="30"/>
      <c r="L104" s="8">
        <f>'PK10'!Y30</f>
        <v>9727.2000000000007</v>
      </c>
      <c r="M104" s="31">
        <v>1</v>
      </c>
      <c r="N104" s="31"/>
      <c r="O104" s="31"/>
      <c r="P104" s="31"/>
      <c r="Q104" s="30" t="str">
        <f>IF(MOD(Q93,2)=0,"双","单")</f>
        <v>单</v>
      </c>
      <c r="R104" s="32" t="str">
        <f t="shared" si="5"/>
        <v>小</v>
      </c>
      <c r="S104" s="30"/>
      <c r="T104" s="30"/>
      <c r="U104" s="30"/>
    </row>
    <row r="105" spans="1:21" x14ac:dyDescent="0.15">
      <c r="A105" s="38" t="s">
        <v>62</v>
      </c>
      <c r="B105" s="38" t="s">
        <v>83</v>
      </c>
      <c r="C105" s="8" t="s">
        <v>33</v>
      </c>
      <c r="D105" s="39" t="str">
        <f>TRIM(IF(LEN(C105)=0,"-",C105))&amp;","&amp;TRIM(IF(LEN(C106)=0,"-",C106))&amp;","&amp;TRIM(IF(LEN(C107)=0,"-",C107))</f>
        <v>01 02 03 04 05 06 07 08 09 10,01 02 03 04 05 06 07 08 09 10,01 02 03 04 05 06 07 08 09 10</v>
      </c>
      <c r="E105" s="32">
        <f>H112</f>
        <v>60</v>
      </c>
      <c r="F105" s="38">
        <v>4</v>
      </c>
      <c r="G105" s="38">
        <v>1</v>
      </c>
      <c r="H105" s="37">
        <f>720*F105*2</f>
        <v>5760</v>
      </c>
      <c r="I105" s="37">
        <f>N(AND(ISNUMBER(FIND(Q84,C105,1)),ISNUMBER(FIND(Q85,C106,1)),ISNUMBER(FIND(Q86,C107,1))))*L105*F105</f>
        <v>5558.4</v>
      </c>
      <c r="J105" s="37">
        <f>J104-H105+I105</f>
        <v>99697021.600000009</v>
      </c>
      <c r="K105" s="37"/>
      <c r="L105" s="37">
        <f>'PK10'!Y31</f>
        <v>1389.6</v>
      </c>
      <c r="M105" s="37"/>
      <c r="Q105" s="30"/>
      <c r="R105" s="10"/>
      <c r="S105" s="30"/>
      <c r="T105" s="30"/>
      <c r="U105" s="30"/>
    </row>
    <row r="106" spans="1:21" x14ac:dyDescent="0.15">
      <c r="A106" s="37"/>
      <c r="B106" s="37"/>
      <c r="C106" s="8" t="s">
        <v>33</v>
      </c>
      <c r="D106" s="39"/>
      <c r="E106" s="32">
        <f>H113</f>
        <v>63</v>
      </c>
      <c r="F106" s="38"/>
      <c r="G106" s="38"/>
      <c r="H106" s="37"/>
      <c r="I106" s="37"/>
      <c r="J106" s="37"/>
      <c r="K106" s="37"/>
      <c r="L106" s="37"/>
      <c r="M106" s="37"/>
      <c r="Q106" s="30"/>
      <c r="R106" s="10"/>
      <c r="S106" s="30"/>
      <c r="T106" s="30"/>
      <c r="U106" s="30"/>
    </row>
    <row r="107" spans="1:21" x14ac:dyDescent="0.15">
      <c r="A107" s="37"/>
      <c r="B107" s="37"/>
      <c r="C107" s="8" t="s">
        <v>33</v>
      </c>
      <c r="D107" s="39"/>
      <c r="E107" s="32">
        <f>H115</f>
        <v>200</v>
      </c>
      <c r="F107" s="38"/>
      <c r="G107" s="38"/>
      <c r="H107" s="37"/>
      <c r="I107" s="37"/>
      <c r="J107" s="37"/>
      <c r="K107" s="37"/>
      <c r="L107" s="37"/>
      <c r="M107" s="37"/>
      <c r="Q107" s="30"/>
      <c r="R107" s="10"/>
      <c r="S107" s="30"/>
      <c r="T107" s="30"/>
      <c r="U107" s="30"/>
    </row>
    <row r="108" spans="1:21" x14ac:dyDescent="0.15">
      <c r="A108" s="37"/>
      <c r="B108" s="30" t="s">
        <v>24</v>
      </c>
      <c r="C108" s="8" t="s">
        <v>69</v>
      </c>
      <c r="D108" s="8" t="s">
        <v>174</v>
      </c>
      <c r="E108" s="8">
        <f>I84</f>
        <v>386</v>
      </c>
      <c r="F108" s="31">
        <v>5</v>
      </c>
      <c r="G108" s="30">
        <v>1</v>
      </c>
      <c r="H108" s="30">
        <f>M108*F108*2</f>
        <v>10</v>
      </c>
      <c r="I108" s="30">
        <f>IF(ISNUMBER(FIND(LEFT(Q94,8),D108,1)),F108*L108,0)</f>
        <v>0</v>
      </c>
      <c r="J108" s="9">
        <f>J105-H108+I108</f>
        <v>99697011.600000009</v>
      </c>
      <c r="K108" s="30"/>
      <c r="L108" s="8">
        <f>'PK10'!Y32</f>
        <v>1389.6</v>
      </c>
      <c r="M108" s="31">
        <v>1</v>
      </c>
      <c r="N108" s="31"/>
      <c r="O108" s="31"/>
      <c r="P108" s="31"/>
      <c r="Q108" s="30"/>
      <c r="R108" s="10"/>
      <c r="S108" s="30"/>
      <c r="T108" s="30"/>
      <c r="U108" s="30"/>
    </row>
    <row r="109" spans="1:21" x14ac:dyDescent="0.15">
      <c r="A109" s="38" t="s">
        <v>64</v>
      </c>
      <c r="B109" s="38" t="s">
        <v>81</v>
      </c>
      <c r="C109" s="8" t="s">
        <v>33</v>
      </c>
      <c r="D109" s="39" t="str">
        <f>TRIM(IF(LEN(C109)=0,"-",C109))&amp;","&amp;TRIM(IF(LEN(C110)=0,"-",C110))</f>
        <v>01 02 03 04 05 06 07 08 09 10,01 02 03 04 05 06 07 08 09 10</v>
      </c>
      <c r="E109" s="32">
        <f>I94</f>
        <v>0</v>
      </c>
      <c r="F109" s="38">
        <v>1</v>
      </c>
      <c r="G109" s="38">
        <v>1</v>
      </c>
      <c r="H109" s="37">
        <f>((LEN(SUBSTITUTE(C109," ",))/2*LEN(SUBSTITUTE(C110," ",))/2)-10)*F109*2</f>
        <v>180</v>
      </c>
      <c r="I109" s="37">
        <f>N(AND(ISNUMBER(FIND(Q84,C109,1)),ISNUMBER(FIND(Q85,C110,1))))*L109*F109</f>
        <v>173.7</v>
      </c>
      <c r="J109" s="37">
        <f>J108-H109+I109</f>
        <v>99697005.300000012</v>
      </c>
      <c r="K109" s="37"/>
      <c r="L109" s="37">
        <f>'PK10'!Y33</f>
        <v>173.7</v>
      </c>
      <c r="M109" s="37"/>
      <c r="Q109" s="30"/>
      <c r="R109" s="10"/>
      <c r="S109" s="30"/>
      <c r="T109" s="30"/>
      <c r="U109" s="30"/>
    </row>
    <row r="110" spans="1:21" x14ac:dyDescent="0.15">
      <c r="A110" s="37"/>
      <c r="B110" s="37"/>
      <c r="C110" s="8" t="s">
        <v>33</v>
      </c>
      <c r="D110" s="39"/>
      <c r="E110" s="32">
        <f>I99</f>
        <v>0</v>
      </c>
      <c r="F110" s="38"/>
      <c r="G110" s="38"/>
      <c r="H110" s="37"/>
      <c r="I110" s="37"/>
      <c r="J110" s="37"/>
      <c r="K110" s="37"/>
      <c r="L110" s="37"/>
      <c r="M110" s="37"/>
      <c r="Q110" s="30"/>
      <c r="R110" s="10"/>
      <c r="S110" s="31" t="s">
        <v>113</v>
      </c>
      <c r="T110" s="31" t="s">
        <v>216</v>
      </c>
      <c r="U110" s="31" t="s">
        <v>114</v>
      </c>
    </row>
    <row r="111" spans="1:21" x14ac:dyDescent="0.15">
      <c r="A111" s="37"/>
      <c r="B111" s="30" t="s">
        <v>24</v>
      </c>
      <c r="C111" s="8" t="s">
        <v>70</v>
      </c>
      <c r="D111" s="8" t="s">
        <v>214</v>
      </c>
      <c r="E111" s="8">
        <f>I100</f>
        <v>9727.2000000000007</v>
      </c>
      <c r="F111" s="31">
        <v>2</v>
      </c>
      <c r="G111" s="30">
        <v>1</v>
      </c>
      <c r="H111" s="30">
        <f>M111*F111*2</f>
        <v>12</v>
      </c>
      <c r="I111" s="30">
        <f>IF(ISNUMBER(FIND(LEFT(Q94,5),D111,1)),F111*L111,0)</f>
        <v>0</v>
      </c>
      <c r="J111" s="30">
        <f>J109-H111+I111</f>
        <v>99696993.300000012</v>
      </c>
      <c r="K111" s="30"/>
      <c r="L111" s="8">
        <f>'PK10'!Y34</f>
        <v>173.7</v>
      </c>
      <c r="M111" s="30">
        <v>3</v>
      </c>
      <c r="Q111" s="31" t="s">
        <v>52</v>
      </c>
      <c r="R111" s="8">
        <f>N(AND(SUM(INT(Q$2),INT(Q85))&gt;11,ISNUMBER(FIND(Q111,C113,1))))</f>
        <v>0</v>
      </c>
      <c r="S111" s="30">
        <f>R111*'PK10'!Y100</f>
        <v>0</v>
      </c>
      <c r="T111" s="30">
        <f>R111*'PK10'!W100</f>
        <v>0</v>
      </c>
      <c r="U111" s="30">
        <f>R111*'PK10'!Z100</f>
        <v>0</v>
      </c>
    </row>
    <row r="112" spans="1:21" ht="27" x14ac:dyDescent="0.15">
      <c r="A112" s="31" t="s">
        <v>66</v>
      </c>
      <c r="B112" s="31" t="s">
        <v>81</v>
      </c>
      <c r="C112" s="8" t="s">
        <v>33</v>
      </c>
      <c r="D112" s="8" t="s">
        <v>33</v>
      </c>
      <c r="E112" s="8">
        <f>I104</f>
        <v>0</v>
      </c>
      <c r="F112" s="31">
        <v>3</v>
      </c>
      <c r="G112" s="30">
        <v>1</v>
      </c>
      <c r="H112" s="30">
        <f>LEN(SUBSTITUTE(C110," ",))/2*F112*2</f>
        <v>60</v>
      </c>
      <c r="I112" s="30">
        <f>N(AND(ISNUMBER(FIND(Q84,C112,1))))*L112*F112</f>
        <v>57.900000000000006</v>
      </c>
      <c r="J112" s="30">
        <f>J111-H112+I112</f>
        <v>99696991.200000018</v>
      </c>
      <c r="K112" s="30"/>
      <c r="L112" s="8">
        <f>'PK10'!Y35</f>
        <v>19.3</v>
      </c>
      <c r="M112" s="30"/>
      <c r="Q112" s="31" t="s">
        <v>46</v>
      </c>
      <c r="R112" s="8">
        <f>N(AND(SUM(INT(Q84),INT(Q85))&lt;12,ISNUMBER(FIND(Q112,C113,1))))</f>
        <v>1</v>
      </c>
      <c r="S112" s="30">
        <f>R112*'PK10'!Y101</f>
        <v>0</v>
      </c>
      <c r="T112" s="30">
        <f>R112*'PK10'!W101</f>
        <v>0</v>
      </c>
      <c r="U112" s="30">
        <f>R112*'PK10'!Z101</f>
        <v>0</v>
      </c>
    </row>
    <row r="113" spans="1:21" x14ac:dyDescent="0.15">
      <c r="A113" s="37"/>
      <c r="B113" s="37" t="s">
        <v>28</v>
      </c>
      <c r="C113" s="8" t="s">
        <v>40</v>
      </c>
      <c r="D113" s="39" t="str">
        <f>TRIM(IF(LEN(C113)=0,"-",C113))&amp;","&amp;TRIM(IF(LEN(C114)=0,"-",C114))</f>
        <v>和大 和小 和单 和双,03 04 05 06 07 08 09 10 11 12 13 14 15 16 17 18 19</v>
      </c>
      <c r="E113" s="32">
        <f>I105</f>
        <v>5558.4</v>
      </c>
      <c r="F113" s="37">
        <v>1</v>
      </c>
      <c r="G113" s="38">
        <v>3</v>
      </c>
      <c r="H113" s="37">
        <f>(LEN(SUBSTITUTE(C113," ",))+LEN(SUBSTITUTE(C114," ",)))/2*G113</f>
        <v>63</v>
      </c>
      <c r="I113" s="37">
        <f>SUM(S111:S119)*G113</f>
        <v>0</v>
      </c>
      <c r="J113" s="37">
        <f>J112-H113+I113</f>
        <v>99696928.200000018</v>
      </c>
      <c r="K113" s="37"/>
      <c r="L113" s="37">
        <f>'PK10'!Y36</f>
        <v>0</v>
      </c>
      <c r="M113" s="37"/>
      <c r="Q113" s="31" t="s">
        <v>47</v>
      </c>
      <c r="R113" s="8">
        <f>N(AND(MOD(SUM(INT(Q84),INT(Q85)),2)=0,ISNUMBER(FIND(Q113,C113,1))))</f>
        <v>0</v>
      </c>
      <c r="S113" s="30">
        <f>R113*'PK10'!Y100</f>
        <v>0</v>
      </c>
      <c r="T113" s="30">
        <f>R113*'PK10'!W100</f>
        <v>0</v>
      </c>
      <c r="U113" s="30">
        <f>R113*'PK10'!Z100</f>
        <v>0</v>
      </c>
    </row>
    <row r="114" spans="1:21" ht="27" x14ac:dyDescent="0.15">
      <c r="A114" s="37"/>
      <c r="B114" s="37"/>
      <c r="C114" s="8" t="s">
        <v>39</v>
      </c>
      <c r="D114" s="39"/>
      <c r="E114" s="32">
        <f>I108</f>
        <v>0</v>
      </c>
      <c r="F114" s="37"/>
      <c r="G114" s="38"/>
      <c r="H114" s="37"/>
      <c r="I114" s="37"/>
      <c r="J114" s="37"/>
      <c r="K114" s="37"/>
      <c r="L114" s="37"/>
      <c r="M114" s="37"/>
      <c r="Q114" s="31" t="s">
        <v>53</v>
      </c>
      <c r="R114" s="8">
        <f>N(AND(MOD(SUM(INT(Q84),INT(Q85)),2)=1,ISNUMBER(FIND(Q114,C113,1))))</f>
        <v>1</v>
      </c>
      <c r="S114" s="30">
        <f>R114*'PK10'!Y101</f>
        <v>0</v>
      </c>
      <c r="T114" s="30">
        <f>R114*'PK10'!W101</f>
        <v>0</v>
      </c>
      <c r="U114" s="30">
        <f>R114*'PK10'!Z101</f>
        <v>0</v>
      </c>
    </row>
    <row r="115" spans="1:21" x14ac:dyDescent="0.15">
      <c r="A115" s="37"/>
      <c r="B115" s="37" t="s">
        <v>30</v>
      </c>
      <c r="C115" s="8" t="s">
        <v>41</v>
      </c>
      <c r="D115" s="39" t="str">
        <f>TRIM(IF(LEN(C115)=0,"-",C115))&amp;","&amp;TRIM(IF(LEN(C116)=0,"-",C116))&amp;","&amp;TRIM(IF(LEN(C117)=0,"-",C117))&amp;","&amp;TRIM(IF(LEN(C118)=0,"-",C118))&amp;","&amp;TRIM(IF(LEN(C119)=0,"-",C119))&amp;","&amp;TRIM(IF(LEN(C120)=0,"-",C120))&amp;","&amp;TRIM(IF(LEN(C121)=0,"-",C121))&amp;","&amp;TRIM(IF(LEN(C122)=0,"-",C122))&amp;","&amp;TRIM(IF(LEN(C123)=0,"-",C123))&amp;","&amp;TRIM(IF(LEN(C124)=0,"-",C124))</f>
        <v>大 小 单 双 龙 虎,大 小 单 双 龙 虎,大 小 单 双 龙 虎,大 小 单 双 龙 虎,大 小 单 双 龙 虎,大 小 单 双,大 小 单 双,大 小 单 双,大 小 单 双,大 小 单 双</v>
      </c>
      <c r="E115" s="32">
        <f>I109</f>
        <v>173.7</v>
      </c>
      <c r="F115" s="37">
        <v>1</v>
      </c>
      <c r="G115" s="38">
        <v>4</v>
      </c>
      <c r="H115" s="37">
        <f>(LEN(SUBSTITUTE(C115," ",))+LEN(SUBSTITUTE(C116," ",))+LEN(SUBSTITUTE(C117," ",))+LEN(SUBSTITUTE(C118," ",))+LEN(SUBSTITUTE(C119," ",))+LEN(SUBSTITUTE(C120," ",))+LEN(SUBSTITUTE(C121," ",))+LEN(SUBSTITUTE(C122," ",))+LEN(SUBSTITUTE(C123," ",))+LEN(SUBSTITUTE(C124," ",)))*G115</f>
        <v>200</v>
      </c>
      <c r="I115" s="38">
        <f>SUM(M115:M124)</f>
        <v>193</v>
      </c>
      <c r="J115" s="37">
        <f>J113-H115+I115</f>
        <v>99696921.200000018</v>
      </c>
      <c r="K115" s="37"/>
      <c r="L115" s="37">
        <f>'PK10'!Y37</f>
        <v>1.93</v>
      </c>
      <c r="M115" s="9">
        <f>SUM(N(ISNUMBER(FIND($Q95,$C115,1))),N(ISNUMBER(FIND($R95,$C115,1))),N(ISNUMBER(FIND($S95,$C115,1))))*L115*G115</f>
        <v>23.16</v>
      </c>
      <c r="N115" s="9"/>
      <c r="O115" s="9"/>
      <c r="P115" s="9"/>
      <c r="Q115" s="31" t="s">
        <v>48</v>
      </c>
      <c r="R115" s="8">
        <f>IF(SUM(INT(Q84),INT(Q85))&lt;10,N(ISNUMBER(FIND((0&amp;SUM(INT(Q84),INT(Q85))),Q115,1))),N(ISNUMBER(FIND(SUM(INT(Q84),INT(Q85)),Q115,1))))</f>
        <v>0</v>
      </c>
      <c r="S115" s="30">
        <f>R115*'PK10'!Y102</f>
        <v>0</v>
      </c>
      <c r="T115" s="30">
        <f>R115*'PK10'!W102</f>
        <v>0</v>
      </c>
      <c r="U115" s="30">
        <f>R115*'PK10'!Z102</f>
        <v>0</v>
      </c>
    </row>
    <row r="116" spans="1:21" x14ac:dyDescent="0.15">
      <c r="A116" s="37"/>
      <c r="B116" s="37"/>
      <c r="C116" s="8" t="s">
        <v>41</v>
      </c>
      <c r="D116" s="39"/>
      <c r="E116" s="32">
        <f>I111</f>
        <v>0</v>
      </c>
      <c r="F116" s="37"/>
      <c r="G116" s="38"/>
      <c r="H116" s="37"/>
      <c r="I116" s="37"/>
      <c r="J116" s="37"/>
      <c r="K116" s="37"/>
      <c r="L116" s="37"/>
      <c r="M116" s="9">
        <f>SUM(N(ISNUMBER(FIND($Q96,$C116,1))),N(ISNUMBER(FIND($R96,$C116,1))),N(ISNUMBER(FIND($S96,$C116,1))))*L115*G115</f>
        <v>23.16</v>
      </c>
      <c r="N116" s="9"/>
      <c r="O116" s="9"/>
      <c r="P116" s="9"/>
      <c r="Q116" s="31" t="s">
        <v>49</v>
      </c>
      <c r="R116" s="8">
        <f>IF(SUM(INT(Q84),INT(Q85))&lt;10,N(ISNUMBER(FIND((0&amp;SUM(INT(Q84),INT(Q85))),Q116,1))),N(ISNUMBER(FIND(SUM(INT(Q84),INT(Q85)),Q116,1))))</f>
        <v>0</v>
      </c>
      <c r="S116" s="30">
        <f>R116*'PK10'!Y103</f>
        <v>0</v>
      </c>
      <c r="T116" s="30">
        <f>R116*'PK10'!W103</f>
        <v>0</v>
      </c>
      <c r="U116" s="30">
        <f>R116*'PK10'!Z103</f>
        <v>0</v>
      </c>
    </row>
    <row r="117" spans="1:21" x14ac:dyDescent="0.15">
      <c r="A117" s="37"/>
      <c r="B117" s="37"/>
      <c r="C117" s="8" t="s">
        <v>41</v>
      </c>
      <c r="D117" s="39"/>
      <c r="E117" s="32">
        <f>I112</f>
        <v>57.900000000000006</v>
      </c>
      <c r="F117" s="37"/>
      <c r="G117" s="38"/>
      <c r="H117" s="37"/>
      <c r="I117" s="37"/>
      <c r="J117" s="37"/>
      <c r="K117" s="37"/>
      <c r="L117" s="37"/>
      <c r="M117" s="9">
        <f>SUM(N(ISNUMBER(FIND($Q97,$C117,1))),N(ISNUMBER(FIND($R97,$C117,1))),N(ISNUMBER(FIND($S97,$C117,1))))*L115*G115</f>
        <v>23.16</v>
      </c>
      <c r="N117" s="9"/>
      <c r="O117" s="9"/>
      <c r="P117" s="9"/>
      <c r="Q117" s="31" t="s">
        <v>50</v>
      </c>
      <c r="R117" s="8">
        <f>IF(SUM(INT(Q84),INT(Q85))&lt;10,N(ISNUMBER(FIND((0&amp;SUM(INT(Q84),INT(Q85))),Q117,1))),N(ISNUMBER(FIND(SUM(INT(Q84),INT(Q85)),Q117,1))))</f>
        <v>0</v>
      </c>
      <c r="S117" s="30">
        <f>R117*'PK10'!Y104</f>
        <v>0</v>
      </c>
      <c r="T117" s="30">
        <f>R117*'PK10'!W104</f>
        <v>0</v>
      </c>
      <c r="U117" s="30">
        <f>R117*'PK10'!Z104</f>
        <v>0</v>
      </c>
    </row>
    <row r="118" spans="1:21" x14ac:dyDescent="0.15">
      <c r="A118" s="37"/>
      <c r="B118" s="37"/>
      <c r="C118" s="8" t="s">
        <v>41</v>
      </c>
      <c r="D118" s="39"/>
      <c r="E118" s="32">
        <f>I113</f>
        <v>0</v>
      </c>
      <c r="F118" s="37"/>
      <c r="G118" s="38"/>
      <c r="H118" s="37"/>
      <c r="I118" s="37"/>
      <c r="J118" s="37"/>
      <c r="K118" s="37"/>
      <c r="L118" s="37"/>
      <c r="M118" s="9">
        <f>SUM(N(ISNUMBER(FIND($Q98,$C118,1))),N(ISNUMBER(FIND($R98,$C118,1))),N(ISNUMBER(FIND($S98,$C118,1))))*L115*G115</f>
        <v>23.16</v>
      </c>
      <c r="N118" s="9"/>
      <c r="O118" s="9"/>
      <c r="P118" s="9"/>
      <c r="Q118" s="31" t="s">
        <v>51</v>
      </c>
      <c r="R118" s="8">
        <f>IF(SUM(INT(Q84),INT(Q85))&lt;10,N(ISNUMBER(FIND((0&amp;SUM(INT(Q84),INT(Q85))),Q118,1))),N(ISNUMBER(FIND(SUM(INT(Q84),INT(Q85)),Q118,1))))</f>
        <v>1</v>
      </c>
      <c r="S118" s="30">
        <f>R118*'PK10'!Y105</f>
        <v>0</v>
      </c>
      <c r="T118" s="30">
        <f>R118*'PK10'!W105</f>
        <v>0</v>
      </c>
      <c r="U118" s="30">
        <f>R118*'PK10'!Z105</f>
        <v>0</v>
      </c>
    </row>
    <row r="119" spans="1:21" x14ac:dyDescent="0.15">
      <c r="A119" s="37"/>
      <c r="B119" s="37"/>
      <c r="C119" s="8" t="s">
        <v>41</v>
      </c>
      <c r="D119" s="39"/>
      <c r="E119" s="32">
        <f>I115</f>
        <v>193</v>
      </c>
      <c r="F119" s="37"/>
      <c r="G119" s="38"/>
      <c r="H119" s="37"/>
      <c r="I119" s="37"/>
      <c r="J119" s="37"/>
      <c r="K119" s="37"/>
      <c r="L119" s="37"/>
      <c r="M119" s="9">
        <f>SUM(N(ISNUMBER(FIND($Q99,$C119,1))),N(ISNUMBER(FIND($R99,$C119,1))),N(ISNUMBER(FIND($S99,$C119,1))))*L115*G115</f>
        <v>23.16</v>
      </c>
      <c r="N119" s="9"/>
      <c r="O119" s="9"/>
      <c r="P119" s="9"/>
      <c r="Q119" s="30">
        <v>11</v>
      </c>
      <c r="R119" s="8">
        <f>IF(SUM(INT(Q84),INT(Q85))&lt;10,N(ISNUMBER(FIND((0&amp;SUM(INT(Q84),INT(Q85))),Q119,1))),N(ISNUMBER(FIND(SUM(INT(Q84),INT(Q85)),Q119,1))))</f>
        <v>0</v>
      </c>
      <c r="S119" s="30">
        <f>R119*'PK10'!Y106</f>
        <v>0</v>
      </c>
      <c r="T119" s="30">
        <f>R119*'PK10'!W106</f>
        <v>0</v>
      </c>
      <c r="U119" s="30">
        <f>R119*'PK10'!Z106</f>
        <v>0</v>
      </c>
    </row>
    <row r="120" spans="1:21" x14ac:dyDescent="0.15">
      <c r="A120" s="37"/>
      <c r="B120" s="37"/>
      <c r="C120" s="8" t="s">
        <v>43</v>
      </c>
      <c r="D120" s="39"/>
      <c r="F120" s="37"/>
      <c r="G120" s="38"/>
      <c r="H120" s="37"/>
      <c r="I120" s="37"/>
      <c r="J120" s="37"/>
      <c r="K120" s="37"/>
      <c r="L120" s="37"/>
      <c r="M120" s="9">
        <f>SUM(N(ISNUMBER(FIND($Q100,$C120,1))),N(ISNUMBER(FIND($R100,$C120,1))))*L115*G115</f>
        <v>15.44</v>
      </c>
      <c r="N120" s="9"/>
      <c r="O120" s="9"/>
      <c r="P120" s="9"/>
      <c r="Q120" s="30"/>
      <c r="R120" s="10"/>
      <c r="S120" s="30"/>
      <c r="T120" s="30"/>
      <c r="U120" s="30"/>
    </row>
    <row r="121" spans="1:21" x14ac:dyDescent="0.15">
      <c r="A121" s="37"/>
      <c r="B121" s="37"/>
      <c r="C121" s="8" t="s">
        <v>43</v>
      </c>
      <c r="D121" s="39"/>
      <c r="F121" s="37"/>
      <c r="G121" s="38"/>
      <c r="H121" s="37"/>
      <c r="I121" s="37"/>
      <c r="J121" s="37"/>
      <c r="K121" s="37"/>
      <c r="L121" s="37"/>
      <c r="M121" s="9">
        <f>SUM(N(ISNUMBER(FIND($Q101,$C121,1))),N(ISNUMBER(FIND($R101,$C121,1))))*L115*G115</f>
        <v>15.44</v>
      </c>
      <c r="N121" s="9"/>
      <c r="O121" s="9"/>
      <c r="P121" s="9"/>
      <c r="Q121" s="30"/>
      <c r="R121" s="32"/>
      <c r="S121" s="30"/>
      <c r="T121" s="30"/>
      <c r="U121" s="30"/>
    </row>
    <row r="122" spans="1:21" x14ac:dyDescent="0.15">
      <c r="A122" s="37"/>
      <c r="B122" s="37"/>
      <c r="C122" s="8" t="s">
        <v>43</v>
      </c>
      <c r="D122" s="39"/>
      <c r="F122" s="37"/>
      <c r="G122" s="38"/>
      <c r="H122" s="37"/>
      <c r="I122" s="37"/>
      <c r="J122" s="37"/>
      <c r="K122" s="37"/>
      <c r="L122" s="37"/>
      <c r="M122" s="9">
        <f>SUM(N(ISNUMBER(FIND($Q102,$C122,1))),N(ISNUMBER(FIND($R102,$C122,1))))*L115*G115</f>
        <v>15.44</v>
      </c>
      <c r="N122" s="9"/>
      <c r="O122" s="9"/>
      <c r="P122" s="9"/>
      <c r="Q122" s="30"/>
      <c r="R122" s="32"/>
      <c r="S122" s="30"/>
      <c r="T122" s="30"/>
      <c r="U122" s="30"/>
    </row>
    <row r="123" spans="1:21" x14ac:dyDescent="0.15">
      <c r="A123" s="37"/>
      <c r="B123" s="37"/>
      <c r="C123" s="8" t="s">
        <v>43</v>
      </c>
      <c r="D123" s="39"/>
      <c r="F123" s="37"/>
      <c r="G123" s="38"/>
      <c r="H123" s="37"/>
      <c r="I123" s="37"/>
      <c r="J123" s="37"/>
      <c r="K123" s="37"/>
      <c r="L123" s="37"/>
      <c r="M123" s="9">
        <f>SUM(N(ISNUMBER(FIND($Q103,$C123,1))),N(ISNUMBER(FIND($R103,$C123,1))))*L115*G115</f>
        <v>15.44</v>
      </c>
      <c r="N123" s="9"/>
      <c r="O123" s="9"/>
      <c r="P123" s="9"/>
      <c r="Q123" s="30"/>
      <c r="R123" s="32"/>
      <c r="S123" s="30"/>
      <c r="T123" s="30"/>
      <c r="U123" s="30"/>
    </row>
    <row r="124" spans="1:21" x14ac:dyDescent="0.15">
      <c r="A124" s="37"/>
      <c r="B124" s="37"/>
      <c r="C124" s="8" t="s">
        <v>43</v>
      </c>
      <c r="D124" s="39"/>
      <c r="F124" s="37"/>
      <c r="G124" s="38"/>
      <c r="H124" s="37"/>
      <c r="I124" s="37"/>
      <c r="J124" s="37"/>
      <c r="K124" s="37"/>
      <c r="L124" s="37"/>
      <c r="M124" s="9">
        <f>SUM(N(ISNUMBER(FIND($Q104,$C124,1))),N(ISNUMBER(FIND($R104,$C124,1))))*L115*G115</f>
        <v>15.44</v>
      </c>
      <c r="N124" s="9"/>
      <c r="O124" s="9"/>
      <c r="P124" s="9"/>
      <c r="Q124" s="30"/>
      <c r="R124" s="32"/>
      <c r="S124" s="30"/>
      <c r="T124" s="30"/>
      <c r="U124" s="30"/>
    </row>
    <row r="125" spans="1:21" ht="162" x14ac:dyDescent="0.15">
      <c r="A125" s="38" t="s">
        <v>221</v>
      </c>
      <c r="B125" s="37" t="s">
        <v>18</v>
      </c>
      <c r="C125" s="8" t="s">
        <v>33</v>
      </c>
      <c r="D125" s="39" t="str">
        <f>TRIM(IF(LEN(C125)=0,"-",C125))&amp;","&amp;TRIM(IF(LEN(C126)=0,"-",C126))&amp;","&amp;TRIM(IF(LEN(C127)=0,"-",C127))&amp;","&amp;TRIM(IF(LEN(C128)=0,"-",C128))&amp;","&amp;TRIM(IF(LEN(C129)=0,"-",C129))&amp;","&amp;TRIM(IF(LEN(C130)=0,"-",C130))&amp;","&amp;TRIM(IF(LEN(C131)=0,"-",C131))&amp;","&amp;TRIM(IF(LEN(C132)=0,"-",C132))&amp;","&amp;TRIM(IF(LEN(C133)=0,"-",C133))&amp;","&amp;TRIM(IF(LEN(C134)=0,"-",C134)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125" s="32" t="str">
        <f>D125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F125" s="38">
        <v>2</v>
      </c>
      <c r="G125" s="38">
        <v>1</v>
      </c>
      <c r="H125" s="37">
        <f>(LEN(SUBSTITUTE(C125," ",))+LEN(SUBSTITUTE(C126," ",))+LEN(SUBSTITUTE(C127," ",))+LEN(SUBSTITUTE(C128," ",))+LEN(SUBSTITUTE(C129," ",))+LEN(SUBSTITUTE(C130," ",))+LEN(SUBSTITUTE(C131," ",))+LEN(SUBSTITUTE(C132," ",))+LEN(SUBSTITUTE(C133," ",))+LEN(SUBSTITUTE(C134," ",)))/2*F125*2</f>
        <v>400</v>
      </c>
      <c r="I125" s="39">
        <f>SUM(N(ISNUMBER(FIND(Q125,C125,1))),N(ISNUMBER(FIND(Q126,C126,1))),N(ISNUMBER(FIND(Q127,C127,1))),N(ISNUMBER(FIND(Q128,C128,1))),N(ISNUMBER(FIND(Q129,C129,1))),N(ISNUMBER(FIND(Q130,C130,1))),N(ISNUMBER(FIND(Q131,C131,1))),N(ISNUMBER(FIND(Q132,C132,1))),N(ISNUMBER(FIND(Q133,C133,1))),N(ISNUMBER(FIND(Q134,C134,1))))*L125*F125</f>
        <v>386</v>
      </c>
      <c r="J125" s="37">
        <f>S125-H125+I125</f>
        <v>99999986</v>
      </c>
      <c r="K125" s="37"/>
      <c r="L125" s="39">
        <f>'PK10'!Y38</f>
        <v>19.3</v>
      </c>
      <c r="M125" s="39"/>
      <c r="N125" s="32"/>
      <c r="O125" s="32"/>
      <c r="P125" s="8" t="s">
        <v>220</v>
      </c>
      <c r="Q125" s="31" t="str">
        <f>LEFT(R135,2)</f>
        <v>07</v>
      </c>
      <c r="R125" s="32"/>
      <c r="S125" s="30">
        <v>100000000</v>
      </c>
      <c r="T125" s="30"/>
      <c r="U125" s="30"/>
    </row>
    <row r="126" spans="1:21" ht="27" x14ac:dyDescent="0.15">
      <c r="A126" s="38"/>
      <c r="B126" s="37"/>
      <c r="C126" s="8" t="s">
        <v>33</v>
      </c>
      <c r="D126" s="39"/>
      <c r="E126" s="32" t="str">
        <f>D135</f>
        <v>01 02 08,03 04 09,01 05 06,02 07 08,03 09 10</v>
      </c>
      <c r="F126" s="38"/>
      <c r="G126" s="38"/>
      <c r="H126" s="37"/>
      <c r="I126" s="39"/>
      <c r="J126" s="37"/>
      <c r="K126" s="37"/>
      <c r="L126" s="39"/>
      <c r="M126" s="39"/>
      <c r="N126" s="32"/>
      <c r="O126" s="32"/>
      <c r="P126" s="32"/>
      <c r="Q126" s="30" t="str">
        <f>MID(R135,4,2)</f>
        <v>02</v>
      </c>
      <c r="R126" s="32"/>
      <c r="S126" s="30"/>
      <c r="T126" s="30"/>
      <c r="U126" s="30"/>
    </row>
    <row r="127" spans="1:21" x14ac:dyDescent="0.15">
      <c r="A127" s="38"/>
      <c r="B127" s="37"/>
      <c r="C127" s="8" t="s">
        <v>33</v>
      </c>
      <c r="D127" s="39"/>
      <c r="E127" s="32" t="str">
        <f>D140</f>
        <v>08 09 01 02 03</v>
      </c>
      <c r="F127" s="38"/>
      <c r="G127" s="38"/>
      <c r="H127" s="37"/>
      <c r="I127" s="39"/>
      <c r="J127" s="37"/>
      <c r="K127" s="37"/>
      <c r="L127" s="39"/>
      <c r="M127" s="39"/>
      <c r="N127" s="32"/>
      <c r="O127" s="32"/>
      <c r="P127" s="32"/>
      <c r="Q127" s="30" t="str">
        <f>MID(R135,7,2)</f>
        <v>10</v>
      </c>
      <c r="R127" s="32"/>
      <c r="S127" s="30"/>
      <c r="T127" s="30"/>
      <c r="U127" s="30"/>
    </row>
    <row r="128" spans="1:21" ht="67.5" x14ac:dyDescent="0.15">
      <c r="A128" s="38"/>
      <c r="B128" s="37"/>
      <c r="C128" s="8" t="s">
        <v>33</v>
      </c>
      <c r="D128" s="39"/>
      <c r="E128" s="32" t="str">
        <f>D141</f>
        <v>01 02 03 04 05 06 07 08 09 10,01 02 03 04 05 06 07 08 09 10,01 02 03 04 05 06 07 08 09 10,01 02 03 04 05 06 07 08 09 10</v>
      </c>
      <c r="F128" s="38"/>
      <c r="G128" s="38"/>
      <c r="H128" s="37"/>
      <c r="I128" s="39"/>
      <c r="J128" s="37"/>
      <c r="K128" s="37"/>
      <c r="L128" s="39"/>
      <c r="M128" s="39"/>
      <c r="N128" s="32"/>
      <c r="O128" s="32"/>
      <c r="P128" s="32"/>
      <c r="Q128" s="30" t="str">
        <f>MID(R135,10,2)</f>
        <v>08</v>
      </c>
      <c r="R128" s="32"/>
      <c r="S128" s="30"/>
      <c r="T128" s="30"/>
      <c r="U128" s="30"/>
    </row>
    <row r="129" spans="1:21" x14ac:dyDescent="0.15">
      <c r="A129" s="38"/>
      <c r="B129" s="37"/>
      <c r="C129" s="8" t="s">
        <v>33</v>
      </c>
      <c r="D129" s="39"/>
      <c r="E129" s="32" t="str">
        <f>D145</f>
        <v>08 09 01 02</v>
      </c>
      <c r="F129" s="38"/>
      <c r="G129" s="38"/>
      <c r="H129" s="37"/>
      <c r="I129" s="39"/>
      <c r="J129" s="37"/>
      <c r="K129" s="37"/>
      <c r="L129" s="39"/>
      <c r="M129" s="39"/>
      <c r="N129" s="32"/>
      <c r="O129" s="32"/>
      <c r="P129" s="32"/>
      <c r="Q129" s="30" t="str">
        <f>MID(R135,13,2)</f>
        <v>09</v>
      </c>
      <c r="R129" s="32"/>
      <c r="S129" s="30"/>
      <c r="T129" s="30"/>
      <c r="U129" s="30"/>
    </row>
    <row r="130" spans="1:21" ht="54" x14ac:dyDescent="0.15">
      <c r="A130" s="38"/>
      <c r="B130" s="37"/>
      <c r="C130" s="8" t="s">
        <v>33</v>
      </c>
      <c r="D130" s="39"/>
      <c r="E130" s="32" t="str">
        <f>D146</f>
        <v>01 02 03 04 05 06 07 08 09 10,01 02 03 04 05 06 07 08 09 10,01 02 03 04 05 06 07 08 09 10</v>
      </c>
      <c r="F130" s="38"/>
      <c r="G130" s="38"/>
      <c r="H130" s="37"/>
      <c r="I130" s="39"/>
      <c r="J130" s="37"/>
      <c r="K130" s="37"/>
      <c r="L130" s="39"/>
      <c r="M130" s="39"/>
      <c r="N130" s="32"/>
      <c r="O130" s="32"/>
      <c r="P130" s="32"/>
      <c r="Q130" s="30" t="str">
        <f>MID(R135,16,2)</f>
        <v>01</v>
      </c>
      <c r="R130" s="32"/>
      <c r="S130" s="30"/>
      <c r="T130" s="30"/>
      <c r="U130" s="30"/>
    </row>
    <row r="131" spans="1:21" x14ac:dyDescent="0.15">
      <c r="A131" s="38"/>
      <c r="B131" s="37"/>
      <c r="C131" s="8" t="s">
        <v>33</v>
      </c>
      <c r="D131" s="39"/>
      <c r="E131" s="32" t="str">
        <f>D149</f>
        <v>08 09 01</v>
      </c>
      <c r="F131" s="38"/>
      <c r="G131" s="38"/>
      <c r="H131" s="37"/>
      <c r="I131" s="39"/>
      <c r="J131" s="37"/>
      <c r="K131" s="37"/>
      <c r="L131" s="39"/>
      <c r="M131" s="39"/>
      <c r="N131" s="32"/>
      <c r="O131" s="32"/>
      <c r="P131" s="32"/>
      <c r="Q131" s="30" t="str">
        <f>MID(R135,19,2)</f>
        <v>06</v>
      </c>
      <c r="R131" s="32"/>
      <c r="S131" s="30"/>
      <c r="T131" s="30"/>
      <c r="U131" s="30"/>
    </row>
    <row r="132" spans="1:21" ht="40.5" x14ac:dyDescent="0.15">
      <c r="A132" s="38"/>
      <c r="B132" s="37"/>
      <c r="C132" s="8" t="s">
        <v>33</v>
      </c>
      <c r="D132" s="39"/>
      <c r="E132" s="32" t="str">
        <f>D150</f>
        <v>01 02 03 04 05 06 07 08 09 10,01 02 03 04 05 06 07 08 09 10</v>
      </c>
      <c r="F132" s="38"/>
      <c r="G132" s="38"/>
      <c r="H132" s="37"/>
      <c r="I132" s="39"/>
      <c r="J132" s="37"/>
      <c r="K132" s="37"/>
      <c r="L132" s="39"/>
      <c r="M132" s="39"/>
      <c r="N132" s="32"/>
      <c r="O132" s="32"/>
      <c r="P132" s="32"/>
      <c r="Q132" s="30" t="str">
        <f>MID(R135,22,2)</f>
        <v>04</v>
      </c>
      <c r="R132" s="32"/>
      <c r="S132" s="30"/>
      <c r="T132" s="30"/>
      <c r="U132" s="30"/>
    </row>
    <row r="133" spans="1:21" x14ac:dyDescent="0.15">
      <c r="A133" s="38"/>
      <c r="B133" s="37"/>
      <c r="C133" s="8" t="s">
        <v>33</v>
      </c>
      <c r="D133" s="39"/>
      <c r="E133" s="32" t="str">
        <f>D152</f>
        <v>02 03,08 09,09 04,05 09</v>
      </c>
      <c r="F133" s="38"/>
      <c r="G133" s="38"/>
      <c r="H133" s="37"/>
      <c r="I133" s="39"/>
      <c r="J133" s="37"/>
      <c r="K133" s="37"/>
      <c r="L133" s="39"/>
      <c r="M133" s="39"/>
      <c r="N133" s="32"/>
      <c r="O133" s="32"/>
      <c r="P133" s="32"/>
      <c r="Q133" s="30" t="str">
        <f>MID(R135,25,2)</f>
        <v>03</v>
      </c>
      <c r="R133" s="32"/>
      <c r="S133" s="30"/>
      <c r="T133" s="30"/>
      <c r="U133" s="30"/>
    </row>
    <row r="134" spans="1:21" ht="27" x14ac:dyDescent="0.15">
      <c r="A134" s="38"/>
      <c r="B134" s="37"/>
      <c r="C134" s="8" t="s">
        <v>33</v>
      </c>
      <c r="D134" s="39"/>
      <c r="E134" s="32" t="str">
        <f>D153</f>
        <v xml:space="preserve">01 02 03 04 05 06 07 08 09 10 </v>
      </c>
      <c r="F134" s="38"/>
      <c r="G134" s="38"/>
      <c r="H134" s="37"/>
      <c r="I134" s="39"/>
      <c r="J134" s="37"/>
      <c r="K134" s="37"/>
      <c r="L134" s="39"/>
      <c r="M134" s="39"/>
      <c r="N134" s="32"/>
      <c r="O134" s="32"/>
      <c r="P134" s="32"/>
      <c r="Q134" s="30" t="str">
        <f>MID(R135,28,2)</f>
        <v>05</v>
      </c>
      <c r="R134" s="32"/>
      <c r="S134" s="30"/>
      <c r="T134" s="30"/>
      <c r="U134" s="30"/>
    </row>
    <row r="135" spans="1:21" ht="40.5" x14ac:dyDescent="0.15">
      <c r="A135" s="38" t="s">
        <v>58</v>
      </c>
      <c r="B135" s="38" t="s">
        <v>81</v>
      </c>
      <c r="C135" s="8" t="s">
        <v>175</v>
      </c>
      <c r="D135" s="39" t="str">
        <f>TRIM(IF(LEN(C135)=0,"-",C135))&amp;","&amp;TRIM(IF(LEN(C136)=0,"-",C136))&amp;","&amp;TRIM(IF(LEN(C137)=0,"-",C137))&amp;","&amp;TRIM(IF(LEN(C138)=0,"-",C138))&amp;","&amp;TRIM(IF(LEN(C139)=0,"-",C139))</f>
        <v>01 02 08,03 04 09,01 05 06,02 07 08,03 09 10</v>
      </c>
      <c r="E135" s="32" t="str">
        <f>D154</f>
        <v>和大 和小 和单 和双,03 04 05 06 07 08 09 10 11 12 13 14 15 16 17 18 19</v>
      </c>
      <c r="F135" s="38">
        <v>5</v>
      </c>
      <c r="G135" s="38">
        <v>1</v>
      </c>
      <c r="H135" s="37">
        <f>30240*F135*2</f>
        <v>302400</v>
      </c>
      <c r="I135" s="37">
        <f>N(AND(ISNUMBER(FIND(Q125,C135,1)),ISNUMBER(FIND(Q126,C136,1)),ISNUMBER(FIND(Q127,C137,1)),ISNUMBER(FIND(Q128,C138,1)),ISNUMBER(FIND(Q129,C139,1))))*L135*F135</f>
        <v>0</v>
      </c>
      <c r="J135" s="37">
        <f>J125-H135+I135</f>
        <v>99697586</v>
      </c>
      <c r="K135" s="37"/>
      <c r="L135" s="37">
        <f>'PK10'!Y39</f>
        <v>58363.199999999997</v>
      </c>
      <c r="M135" s="37">
        <f>IF(ISNUMBER(agent!$O$6*AC135*$AA135),TRUNC(agent!$O$6*SUM(PK10Source!S152:S153)*SUM(PK10Source!T152:T153)+agent!$O$6*SUM(PK10Source!S154:S155)*SUM(PK10Source!T154:T155)+agent!$O$6*SUM(PK10Source!S156:S160)*SUM(PK10Source!T156:T160),3),"没有上级")</f>
        <v>0</v>
      </c>
      <c r="Q135" s="32" t="str">
        <f>Q125&amp;" "&amp;Q126&amp;" "&amp;Q127&amp;" "&amp;Q128&amp;" "&amp;Q129&amp;" "&amp;Q130&amp;" "&amp;Q131&amp;" "&amp;Q132&amp;" "&amp;Q133&amp;" "&amp;Q134</f>
        <v>07 02 10 08 09 01 06 04 03 05</v>
      </c>
      <c r="R135" s="8" t="s">
        <v>219</v>
      </c>
      <c r="S135" s="30"/>
      <c r="T135" s="30"/>
      <c r="U135" s="30"/>
    </row>
    <row r="136" spans="1:21" ht="81" x14ac:dyDescent="0.15">
      <c r="A136" s="37"/>
      <c r="B136" s="37"/>
      <c r="C136" s="8" t="s">
        <v>176</v>
      </c>
      <c r="D136" s="39"/>
      <c r="E136" s="32" t="str">
        <f>D156</f>
        <v>大 小 单 双 龙 虎,大 小 单 双 龙 虎,大 小 单 双 龙 虎,大 小 单 双 龙 虎,大 小 单 双 龙 虎,大 小 单 双,大 小 单 双,大 小 单 双,大 小 单 双,大 小 单 双</v>
      </c>
      <c r="F136" s="38"/>
      <c r="G136" s="38"/>
      <c r="H136" s="37"/>
      <c r="I136" s="37"/>
      <c r="J136" s="37"/>
      <c r="K136" s="37"/>
      <c r="L136" s="37"/>
      <c r="M136" s="37"/>
      <c r="Q136" s="30" t="str">
        <f>IF(MOD(Q125,2)=0,"双","单")</f>
        <v>单</v>
      </c>
      <c r="R136" s="32" t="str">
        <f>IF(INT(Q125)&gt;5,"大","小")</f>
        <v>大</v>
      </c>
      <c r="S136" s="30" t="str">
        <f>IF(Q125&gt;Q134,"龙","虎")</f>
        <v>龙</v>
      </c>
      <c r="T136" s="30"/>
      <c r="U136" s="30"/>
    </row>
    <row r="137" spans="1:21" x14ac:dyDescent="0.15">
      <c r="A137" s="37"/>
      <c r="B137" s="37"/>
      <c r="C137" s="8" t="s">
        <v>177</v>
      </c>
      <c r="D137" s="39"/>
      <c r="E137" s="32">
        <f>H125</f>
        <v>400</v>
      </c>
      <c r="F137" s="38"/>
      <c r="G137" s="38"/>
      <c r="H137" s="37"/>
      <c r="I137" s="37"/>
      <c r="J137" s="37"/>
      <c r="K137" s="37"/>
      <c r="L137" s="37"/>
      <c r="M137" s="37"/>
      <c r="Q137" s="30" t="str">
        <f t="shared" ref="Q137:Q144" si="6">IF(MOD(Q126,2)=0,"双","单")</f>
        <v>双</v>
      </c>
      <c r="R137" s="32" t="str">
        <f t="shared" ref="R137:R145" si="7">IF(INT(Q126)&gt;5,"大","小")</f>
        <v>小</v>
      </c>
      <c r="S137" s="30" t="str">
        <f>IF(Q126&gt;Q133,"龙","虎")</f>
        <v>虎</v>
      </c>
      <c r="T137" s="30"/>
      <c r="U137" s="30"/>
    </row>
    <row r="138" spans="1:21" x14ac:dyDescent="0.15">
      <c r="A138" s="37"/>
      <c r="B138" s="37"/>
      <c r="C138" s="8" t="s">
        <v>178</v>
      </c>
      <c r="D138" s="39"/>
      <c r="E138" s="32">
        <f>H135</f>
        <v>302400</v>
      </c>
      <c r="F138" s="38"/>
      <c r="G138" s="38"/>
      <c r="H138" s="37"/>
      <c r="I138" s="37"/>
      <c r="J138" s="37"/>
      <c r="K138" s="37"/>
      <c r="L138" s="37"/>
      <c r="M138" s="37"/>
      <c r="Q138" s="30" t="str">
        <f t="shared" si="6"/>
        <v>双</v>
      </c>
      <c r="R138" s="32" t="str">
        <f t="shared" si="7"/>
        <v>大</v>
      </c>
      <c r="S138" s="30" t="str">
        <f>IF(Q127&gt;Q132,"龙","虎")</f>
        <v>龙</v>
      </c>
      <c r="T138" s="30"/>
      <c r="U138" s="30"/>
    </row>
    <row r="139" spans="1:21" x14ac:dyDescent="0.15">
      <c r="A139" s="37"/>
      <c r="B139" s="37"/>
      <c r="C139" s="8" t="s">
        <v>179</v>
      </c>
      <c r="D139" s="39"/>
      <c r="E139" s="32">
        <f>H140</f>
        <v>6</v>
      </c>
      <c r="F139" s="38"/>
      <c r="G139" s="38"/>
      <c r="H139" s="37"/>
      <c r="I139" s="37"/>
      <c r="J139" s="37"/>
      <c r="K139" s="37"/>
      <c r="L139" s="37"/>
      <c r="M139" s="37"/>
      <c r="Q139" s="30" t="str">
        <f t="shared" si="6"/>
        <v>双</v>
      </c>
      <c r="R139" s="32" t="str">
        <f t="shared" si="7"/>
        <v>大</v>
      </c>
      <c r="S139" s="30" t="str">
        <f>IF(Q128&gt;Q131,"龙","虎")</f>
        <v>龙</v>
      </c>
      <c r="T139" s="30"/>
      <c r="U139" s="30"/>
    </row>
    <row r="140" spans="1:21" x14ac:dyDescent="0.15">
      <c r="A140" s="37"/>
      <c r="B140" s="30" t="s">
        <v>20</v>
      </c>
      <c r="C140" s="8" t="s">
        <v>67</v>
      </c>
      <c r="D140" s="8" t="s">
        <v>170</v>
      </c>
      <c r="E140" s="32">
        <f>H141</f>
        <v>10080</v>
      </c>
      <c r="F140" s="31">
        <v>3</v>
      </c>
      <c r="G140" s="30">
        <v>1</v>
      </c>
      <c r="H140" s="30">
        <f>M140*F140*2</f>
        <v>6</v>
      </c>
      <c r="I140" s="30">
        <f>IF(ISNUMBER(FIND(LEFT(Q135,14),D140,1)),F140*L140,0)</f>
        <v>0</v>
      </c>
      <c r="J140" s="9">
        <f>J135-H140+I140</f>
        <v>99697580</v>
      </c>
      <c r="K140" s="30"/>
      <c r="L140" s="8">
        <f>'PK10'!Y40</f>
        <v>58363.199999999997</v>
      </c>
      <c r="M140" s="31">
        <v>1</v>
      </c>
      <c r="N140" s="31"/>
      <c r="O140" s="31"/>
      <c r="P140" s="31"/>
      <c r="Q140" s="30" t="str">
        <f t="shared" si="6"/>
        <v>单</v>
      </c>
      <c r="R140" s="32" t="str">
        <f t="shared" si="7"/>
        <v>大</v>
      </c>
      <c r="S140" s="30" t="str">
        <f>IF(Q129&gt;Q130,"龙","虎")</f>
        <v>龙</v>
      </c>
      <c r="T140" s="30"/>
      <c r="U140" s="30"/>
    </row>
    <row r="141" spans="1:21" x14ac:dyDescent="0.15">
      <c r="A141" s="38" t="s">
        <v>60</v>
      </c>
      <c r="B141" s="38" t="s">
        <v>82</v>
      </c>
      <c r="C141" s="8" t="s">
        <v>33</v>
      </c>
      <c r="D141" s="39" t="str">
        <f>TRIM(IF(LEN(C141)=0,"-",C141))&amp;","&amp;TRIM(IF(LEN(C142)=0,"-",C142))&amp;","&amp;TRIM(IF(LEN(C143)=0,"-",C143))&amp;","&amp;TRIM(IF(LEN(C144)=0,"-",C144))</f>
        <v>01 02 03 04 05 06 07 08 09 10,01 02 03 04 05 06 07 08 09 10,01 02 03 04 05 06 07 08 09 10,01 02 03 04 05 06 07 08 09 10</v>
      </c>
      <c r="E141" s="32">
        <f>H145</f>
        <v>4</v>
      </c>
      <c r="F141" s="38">
        <v>1</v>
      </c>
      <c r="G141" s="38">
        <v>1</v>
      </c>
      <c r="H141" s="37">
        <f>5040*F141*2</f>
        <v>10080</v>
      </c>
      <c r="I141" s="37">
        <f>N(AND(ISNUMBER(FIND(Q125,C141,1)),ISNUMBER(FIND(Q126,C142,1)),ISNUMBER(FIND(Q127,C143,1)),ISNUMBER(FIND(Q128,C144,1))))*L141*F141</f>
        <v>9727.2000000000007</v>
      </c>
      <c r="J141" s="37">
        <f>J140-H141+I141</f>
        <v>99697227.200000003</v>
      </c>
      <c r="K141" s="37"/>
      <c r="L141" s="37">
        <f>'PK10'!Y41</f>
        <v>9727.2000000000007</v>
      </c>
      <c r="M141" s="37"/>
      <c r="Q141" s="30" t="str">
        <f t="shared" si="6"/>
        <v>单</v>
      </c>
      <c r="R141" s="32" t="str">
        <f t="shared" si="7"/>
        <v>小</v>
      </c>
      <c r="S141" s="30"/>
      <c r="T141" s="30"/>
      <c r="U141" s="30"/>
    </row>
    <row r="142" spans="1:21" x14ac:dyDescent="0.15">
      <c r="A142" s="37"/>
      <c r="B142" s="37"/>
      <c r="C142" s="8" t="s">
        <v>33</v>
      </c>
      <c r="D142" s="39"/>
      <c r="E142" s="32">
        <f>H146</f>
        <v>5760</v>
      </c>
      <c r="F142" s="38"/>
      <c r="G142" s="38"/>
      <c r="H142" s="37"/>
      <c r="I142" s="37"/>
      <c r="J142" s="37"/>
      <c r="K142" s="37"/>
      <c r="L142" s="37"/>
      <c r="M142" s="37"/>
      <c r="Q142" s="30" t="str">
        <f t="shared" si="6"/>
        <v>双</v>
      </c>
      <c r="R142" s="32" t="str">
        <f t="shared" si="7"/>
        <v>大</v>
      </c>
      <c r="S142" s="30"/>
      <c r="T142" s="30"/>
      <c r="U142" s="30"/>
    </row>
    <row r="143" spans="1:21" x14ac:dyDescent="0.15">
      <c r="A143" s="37"/>
      <c r="B143" s="37"/>
      <c r="C143" s="8" t="s">
        <v>33</v>
      </c>
      <c r="D143" s="39"/>
      <c r="E143" s="32">
        <f>H149</f>
        <v>10</v>
      </c>
      <c r="F143" s="38"/>
      <c r="G143" s="38"/>
      <c r="H143" s="37"/>
      <c r="I143" s="37"/>
      <c r="J143" s="37"/>
      <c r="K143" s="37"/>
      <c r="L143" s="37"/>
      <c r="M143" s="37"/>
      <c r="Q143" s="30" t="str">
        <f t="shared" si="6"/>
        <v>双</v>
      </c>
      <c r="R143" s="32" t="str">
        <f t="shared" si="7"/>
        <v>小</v>
      </c>
      <c r="S143" s="30"/>
      <c r="T143" s="30"/>
      <c r="U143" s="30"/>
    </row>
    <row r="144" spans="1:21" x14ac:dyDescent="0.15">
      <c r="A144" s="37"/>
      <c r="B144" s="37"/>
      <c r="C144" s="8" t="s">
        <v>33</v>
      </c>
      <c r="D144" s="39"/>
      <c r="E144" s="32">
        <f>H150</f>
        <v>180</v>
      </c>
      <c r="F144" s="38"/>
      <c r="G144" s="38"/>
      <c r="H144" s="37"/>
      <c r="I144" s="37"/>
      <c r="J144" s="37"/>
      <c r="K144" s="37"/>
      <c r="L144" s="37"/>
      <c r="M144" s="37"/>
      <c r="Q144" s="30" t="str">
        <f t="shared" si="6"/>
        <v>单</v>
      </c>
      <c r="R144" s="32" t="str">
        <f t="shared" si="7"/>
        <v>小</v>
      </c>
      <c r="S144" s="30"/>
      <c r="T144" s="30"/>
      <c r="U144" s="30"/>
    </row>
    <row r="145" spans="1:21" x14ac:dyDescent="0.15">
      <c r="A145" s="37"/>
      <c r="B145" s="30" t="s">
        <v>22</v>
      </c>
      <c r="C145" s="8" t="s">
        <v>68</v>
      </c>
      <c r="D145" s="8" t="s">
        <v>172</v>
      </c>
      <c r="E145" s="32">
        <f>H152</f>
        <v>12</v>
      </c>
      <c r="F145" s="31">
        <v>2</v>
      </c>
      <c r="G145" s="30">
        <v>1</v>
      </c>
      <c r="H145" s="30">
        <f>M145*F145*2</f>
        <v>4</v>
      </c>
      <c r="I145" s="30">
        <f>IF(ISNUMBER(FIND(LEFT(Q135,11),D145,1)),F145*L145,0)</f>
        <v>0</v>
      </c>
      <c r="J145" s="9">
        <f>J141-H145+I145</f>
        <v>99697223.200000003</v>
      </c>
      <c r="K145" s="30"/>
      <c r="L145" s="8">
        <f>'PK10'!Y42</f>
        <v>9727.2000000000007</v>
      </c>
      <c r="M145" s="31">
        <v>1</v>
      </c>
      <c r="N145" s="31"/>
      <c r="O145" s="31"/>
      <c r="P145" s="31"/>
      <c r="Q145" s="30" t="str">
        <f>IF(MOD(Q134,2)=0,"双","单")</f>
        <v>单</v>
      </c>
      <c r="R145" s="32" t="str">
        <f t="shared" si="7"/>
        <v>小</v>
      </c>
      <c r="S145" s="30"/>
      <c r="T145" s="30"/>
      <c r="U145" s="30"/>
    </row>
    <row r="146" spans="1:21" x14ac:dyDescent="0.15">
      <c r="A146" s="38" t="s">
        <v>62</v>
      </c>
      <c r="B146" s="38" t="s">
        <v>83</v>
      </c>
      <c r="C146" s="8" t="s">
        <v>33</v>
      </c>
      <c r="D146" s="39" t="str">
        <f>TRIM(IF(LEN(C146)=0,"-",C146))&amp;","&amp;TRIM(IF(LEN(C147)=0,"-",C147))&amp;","&amp;TRIM(IF(LEN(C148)=0,"-",C148))</f>
        <v>01 02 03 04 05 06 07 08 09 10,01 02 03 04 05 06 07 08 09 10,01 02 03 04 05 06 07 08 09 10</v>
      </c>
      <c r="E146" s="32">
        <f>H153</f>
        <v>60</v>
      </c>
      <c r="F146" s="38">
        <v>4</v>
      </c>
      <c r="G146" s="38">
        <v>1</v>
      </c>
      <c r="H146" s="37">
        <f>720*F146*2</f>
        <v>5760</v>
      </c>
      <c r="I146" s="37">
        <f>N(AND(ISNUMBER(FIND(Q125,C146,1)),ISNUMBER(FIND(Q126,C147,1)),ISNUMBER(FIND(Q127,C148,1))))*L146*F146</f>
        <v>5558.4</v>
      </c>
      <c r="J146" s="37">
        <f>J145-H146+I146</f>
        <v>99697021.600000009</v>
      </c>
      <c r="K146" s="37"/>
      <c r="L146" s="37">
        <f>'PK10'!Y43</f>
        <v>1389.6</v>
      </c>
      <c r="M146" s="37"/>
      <c r="Q146" s="30"/>
      <c r="R146" s="10"/>
      <c r="S146" s="30"/>
      <c r="T146" s="30"/>
      <c r="U146" s="30"/>
    </row>
    <row r="147" spans="1:21" x14ac:dyDescent="0.15">
      <c r="A147" s="37"/>
      <c r="B147" s="37"/>
      <c r="C147" s="8" t="s">
        <v>33</v>
      </c>
      <c r="D147" s="39"/>
      <c r="E147" s="32">
        <f>H154</f>
        <v>63</v>
      </c>
      <c r="F147" s="38"/>
      <c r="G147" s="38"/>
      <c r="H147" s="37"/>
      <c r="I147" s="37"/>
      <c r="J147" s="37"/>
      <c r="K147" s="37"/>
      <c r="L147" s="37"/>
      <c r="M147" s="37"/>
      <c r="Q147" s="30"/>
      <c r="R147" s="10"/>
      <c r="S147" s="30"/>
      <c r="T147" s="30"/>
      <c r="U147" s="30"/>
    </row>
    <row r="148" spans="1:21" x14ac:dyDescent="0.15">
      <c r="A148" s="37"/>
      <c r="B148" s="37"/>
      <c r="C148" s="8" t="s">
        <v>33</v>
      </c>
      <c r="D148" s="39"/>
      <c r="E148" s="32">
        <f>H156</f>
        <v>200</v>
      </c>
      <c r="F148" s="38"/>
      <c r="G148" s="38"/>
      <c r="H148" s="37"/>
      <c r="I148" s="37"/>
      <c r="J148" s="37"/>
      <c r="K148" s="37"/>
      <c r="L148" s="37"/>
      <c r="M148" s="37"/>
      <c r="Q148" s="30"/>
      <c r="R148" s="10"/>
      <c r="S148" s="30"/>
      <c r="T148" s="30"/>
      <c r="U148" s="30"/>
    </row>
    <row r="149" spans="1:21" x14ac:dyDescent="0.15">
      <c r="A149" s="37"/>
      <c r="B149" s="30" t="s">
        <v>24</v>
      </c>
      <c r="C149" s="8" t="s">
        <v>69</v>
      </c>
      <c r="D149" s="8" t="s">
        <v>174</v>
      </c>
      <c r="E149" s="8">
        <f>I125</f>
        <v>386</v>
      </c>
      <c r="F149" s="31">
        <v>5</v>
      </c>
      <c r="G149" s="30">
        <v>1</v>
      </c>
      <c r="H149" s="30">
        <f>M149*F149*2</f>
        <v>10</v>
      </c>
      <c r="I149" s="30">
        <f>IF(ISNUMBER(FIND(LEFT(Q135,8),D149,1)),F149*L149,0)</f>
        <v>0</v>
      </c>
      <c r="J149" s="9">
        <f>J146-H149+I149</f>
        <v>99697011.600000009</v>
      </c>
      <c r="K149" s="30"/>
      <c r="L149" s="8">
        <f>'PK10'!Y44</f>
        <v>1389.6</v>
      </c>
      <c r="M149" s="31">
        <v>1</v>
      </c>
      <c r="N149" s="31"/>
      <c r="O149" s="31"/>
      <c r="P149" s="31"/>
      <c r="Q149" s="30"/>
      <c r="R149" s="10"/>
      <c r="S149" s="30"/>
      <c r="T149" s="30"/>
      <c r="U149" s="30"/>
    </row>
    <row r="150" spans="1:21" x14ac:dyDescent="0.15">
      <c r="A150" s="38" t="s">
        <v>64</v>
      </c>
      <c r="B150" s="38" t="s">
        <v>81</v>
      </c>
      <c r="C150" s="8" t="s">
        <v>33</v>
      </c>
      <c r="D150" s="39" t="str">
        <f>TRIM(IF(LEN(C150)=0,"-",C150))&amp;","&amp;TRIM(IF(LEN(C151)=0,"-",C151))</f>
        <v>01 02 03 04 05 06 07 08 09 10,01 02 03 04 05 06 07 08 09 10</v>
      </c>
      <c r="E150" s="32">
        <f>I135</f>
        <v>0</v>
      </c>
      <c r="F150" s="38">
        <v>1</v>
      </c>
      <c r="G150" s="38">
        <v>1</v>
      </c>
      <c r="H150" s="37">
        <f>((LEN(SUBSTITUTE(C150," ",))/2*LEN(SUBSTITUTE(C151," ",))/2)-10)*F150*2</f>
        <v>180</v>
      </c>
      <c r="I150" s="37">
        <f>N(AND(ISNUMBER(FIND(Q125,C150,1)),ISNUMBER(FIND(Q126,C151,1))))*L150*F150</f>
        <v>173.7</v>
      </c>
      <c r="J150" s="37">
        <f>J149-H150+I150</f>
        <v>99697005.300000012</v>
      </c>
      <c r="K150" s="37"/>
      <c r="L150" s="37">
        <f>'PK10'!Y45</f>
        <v>173.7</v>
      </c>
      <c r="M150" s="37"/>
      <c r="Q150" s="30"/>
      <c r="R150" s="10"/>
      <c r="S150" s="30"/>
      <c r="T150" s="30"/>
      <c r="U150" s="30"/>
    </row>
    <row r="151" spans="1:21" x14ac:dyDescent="0.15">
      <c r="A151" s="37"/>
      <c r="B151" s="37"/>
      <c r="C151" s="8" t="s">
        <v>33</v>
      </c>
      <c r="D151" s="39"/>
      <c r="E151" s="32">
        <f>I140</f>
        <v>0</v>
      </c>
      <c r="F151" s="38"/>
      <c r="G151" s="38"/>
      <c r="H151" s="37"/>
      <c r="I151" s="37"/>
      <c r="J151" s="37"/>
      <c r="K151" s="37"/>
      <c r="L151" s="37"/>
      <c r="M151" s="37"/>
      <c r="Q151" s="30"/>
      <c r="R151" s="10"/>
      <c r="S151" s="31" t="s">
        <v>113</v>
      </c>
      <c r="T151" s="31" t="s">
        <v>216</v>
      </c>
      <c r="U151" s="31" t="s">
        <v>114</v>
      </c>
    </row>
    <row r="152" spans="1:21" x14ac:dyDescent="0.15">
      <c r="A152" s="37"/>
      <c r="B152" s="30" t="s">
        <v>24</v>
      </c>
      <c r="C152" s="8" t="s">
        <v>70</v>
      </c>
      <c r="D152" s="8" t="s">
        <v>214</v>
      </c>
      <c r="E152" s="8">
        <f>I141</f>
        <v>9727.2000000000007</v>
      </c>
      <c r="F152" s="31">
        <v>2</v>
      </c>
      <c r="G152" s="30">
        <v>1</v>
      </c>
      <c r="H152" s="30">
        <f>M152*F152*2</f>
        <v>12</v>
      </c>
      <c r="I152" s="30">
        <f>IF(ISNUMBER(FIND(LEFT(Q135,5),D152,1)),F152*L152,0)</f>
        <v>0</v>
      </c>
      <c r="J152" s="30">
        <f>J150-H152+I152</f>
        <v>99696993.300000012</v>
      </c>
      <c r="K152" s="30"/>
      <c r="L152" s="8">
        <f>'PK10'!Y46</f>
        <v>173.7</v>
      </c>
      <c r="M152" s="30">
        <v>3</v>
      </c>
      <c r="Q152" s="31" t="s">
        <v>52</v>
      </c>
      <c r="R152" s="8">
        <f>N(AND(SUM(INT(Q$2),INT(Q126))&gt;11,ISNUMBER(FIND(Q152,C154,1))))</f>
        <v>0</v>
      </c>
      <c r="S152" s="30">
        <f>R152*'PK10'!Y141</f>
        <v>0</v>
      </c>
      <c r="T152" s="30">
        <f>R152*'PK10'!W141</f>
        <v>0</v>
      </c>
      <c r="U152" s="30">
        <f>R152*'PK10'!Z141</f>
        <v>0</v>
      </c>
    </row>
    <row r="153" spans="1:21" ht="27" x14ac:dyDescent="0.15">
      <c r="A153" s="31" t="s">
        <v>66</v>
      </c>
      <c r="B153" s="31" t="s">
        <v>81</v>
      </c>
      <c r="C153" s="8" t="s">
        <v>33</v>
      </c>
      <c r="D153" s="8" t="s">
        <v>33</v>
      </c>
      <c r="E153" s="8">
        <f>I145</f>
        <v>0</v>
      </c>
      <c r="F153" s="31">
        <v>3</v>
      </c>
      <c r="G153" s="30">
        <v>1</v>
      </c>
      <c r="H153" s="30">
        <f>LEN(SUBSTITUTE(C151," ",))/2*F153*2</f>
        <v>60</v>
      </c>
      <c r="I153" s="30">
        <f>N(AND(ISNUMBER(FIND(Q125,C153,1))))*L153*F153</f>
        <v>57.900000000000006</v>
      </c>
      <c r="J153" s="30">
        <f>J152-H153+I153</f>
        <v>99696991.200000018</v>
      </c>
      <c r="K153" s="30"/>
      <c r="L153" s="8">
        <f>'PK10'!Y47</f>
        <v>19.3</v>
      </c>
      <c r="M153" s="30"/>
      <c r="Q153" s="31" t="s">
        <v>46</v>
      </c>
      <c r="R153" s="8">
        <f>N(AND(SUM(INT(Q125),INT(Q126))&lt;12,ISNUMBER(FIND(Q153,C154,1))))</f>
        <v>1</v>
      </c>
      <c r="S153" s="30">
        <f>R153*'PK10'!Y142</f>
        <v>0</v>
      </c>
      <c r="T153" s="30">
        <f>R153*'PK10'!W142</f>
        <v>0</v>
      </c>
      <c r="U153" s="30">
        <f>R153*'PK10'!Z142</f>
        <v>0</v>
      </c>
    </row>
    <row r="154" spans="1:21" x14ac:dyDescent="0.15">
      <c r="A154" s="37"/>
      <c r="B154" s="37" t="s">
        <v>28</v>
      </c>
      <c r="C154" s="8" t="s">
        <v>40</v>
      </c>
      <c r="D154" s="39" t="str">
        <f>TRIM(IF(LEN(C154)=0,"-",C154))&amp;","&amp;TRIM(IF(LEN(C155)=0,"-",C155))</f>
        <v>和大 和小 和单 和双,03 04 05 06 07 08 09 10 11 12 13 14 15 16 17 18 19</v>
      </c>
      <c r="E154" s="32">
        <f>I146</f>
        <v>5558.4</v>
      </c>
      <c r="F154" s="37">
        <v>1</v>
      </c>
      <c r="G154" s="38">
        <v>3</v>
      </c>
      <c r="H154" s="37">
        <f>(LEN(SUBSTITUTE(C154," ",))+LEN(SUBSTITUTE(C155," ",)))/2*G154</f>
        <v>63</v>
      </c>
      <c r="I154" s="37">
        <f>SUM(S152:S160)*G154</f>
        <v>0</v>
      </c>
      <c r="J154" s="37">
        <f>J153-H154+I154</f>
        <v>99696928.200000018</v>
      </c>
      <c r="K154" s="37"/>
      <c r="L154" s="37">
        <f>'PK10'!Y48</f>
        <v>17.37</v>
      </c>
      <c r="M154" s="37"/>
      <c r="Q154" s="31" t="s">
        <v>47</v>
      </c>
      <c r="R154" s="8">
        <f>N(AND(MOD(SUM(INT(Q125),INT(Q126)),2)=0,ISNUMBER(FIND(Q154,C154,1))))</f>
        <v>0</v>
      </c>
      <c r="S154" s="30">
        <f>R154*'PK10'!Y141</f>
        <v>0</v>
      </c>
      <c r="T154" s="30">
        <f>R154*'PK10'!W141</f>
        <v>0</v>
      </c>
      <c r="U154" s="30">
        <f>R154*'PK10'!Z141</f>
        <v>0</v>
      </c>
    </row>
    <row r="155" spans="1:21" ht="27" x14ac:dyDescent="0.15">
      <c r="A155" s="37"/>
      <c r="B155" s="37"/>
      <c r="C155" s="8" t="s">
        <v>39</v>
      </c>
      <c r="D155" s="39"/>
      <c r="E155" s="32">
        <f>I149</f>
        <v>0</v>
      </c>
      <c r="F155" s="37"/>
      <c r="G155" s="38"/>
      <c r="H155" s="37"/>
      <c r="I155" s="37"/>
      <c r="J155" s="37"/>
      <c r="K155" s="37"/>
      <c r="L155" s="37"/>
      <c r="M155" s="37"/>
      <c r="Q155" s="31" t="s">
        <v>53</v>
      </c>
      <c r="R155" s="8">
        <f>N(AND(MOD(SUM(INT(Q125),INT(Q126)),2)=1,ISNUMBER(FIND(Q155,C154,1))))</f>
        <v>1</v>
      </c>
      <c r="S155" s="30">
        <f>R155*'PK10'!Y142</f>
        <v>0</v>
      </c>
      <c r="T155" s="30">
        <f>R155*'PK10'!W142</f>
        <v>0</v>
      </c>
      <c r="U155" s="30">
        <f>R155*'PK10'!Z142</f>
        <v>0</v>
      </c>
    </row>
    <row r="156" spans="1:21" x14ac:dyDescent="0.15">
      <c r="A156" s="37"/>
      <c r="B156" s="37" t="s">
        <v>30</v>
      </c>
      <c r="C156" s="8" t="s">
        <v>41</v>
      </c>
      <c r="D156" s="39" t="str">
        <f>TRIM(IF(LEN(C156)=0,"-",C156))&amp;","&amp;TRIM(IF(LEN(C157)=0,"-",C157))&amp;","&amp;TRIM(IF(LEN(C158)=0,"-",C158))&amp;","&amp;TRIM(IF(LEN(C159)=0,"-",C159))&amp;","&amp;TRIM(IF(LEN(C160)=0,"-",C160))&amp;","&amp;TRIM(IF(LEN(C161)=0,"-",C161))&amp;","&amp;TRIM(IF(LEN(C162)=0,"-",C162))&amp;","&amp;TRIM(IF(LEN(C163)=0,"-",C163))&amp;","&amp;TRIM(IF(LEN(C164)=0,"-",C164))&amp;","&amp;TRIM(IF(LEN(C165)=0,"-",C165))</f>
        <v>大 小 单 双 龙 虎,大 小 单 双 龙 虎,大 小 单 双 龙 虎,大 小 单 双 龙 虎,大 小 单 双 龙 虎,大 小 单 双,大 小 单 双,大 小 单 双,大 小 单 双,大 小 单 双</v>
      </c>
      <c r="E156" s="32">
        <f>I150</f>
        <v>173.7</v>
      </c>
      <c r="F156" s="37">
        <v>1</v>
      </c>
      <c r="G156" s="38">
        <v>4</v>
      </c>
      <c r="H156" s="37">
        <f>(LEN(SUBSTITUTE(C156," ",))+LEN(SUBSTITUTE(C157," ",))+LEN(SUBSTITUTE(C158," ",))+LEN(SUBSTITUTE(C159," ",))+LEN(SUBSTITUTE(C160," ",))+LEN(SUBSTITUTE(C161," ",))+LEN(SUBSTITUTE(C162," ",))+LEN(SUBSTITUTE(C163," ",))+LEN(SUBSTITUTE(C164," ",))+LEN(SUBSTITUTE(C165," ",)))*G156</f>
        <v>200</v>
      </c>
      <c r="I156" s="38">
        <f>SUM(M156:M165)</f>
        <v>193</v>
      </c>
      <c r="J156" s="37">
        <f>J154-H156+I156</f>
        <v>99696921.200000018</v>
      </c>
      <c r="K156" s="37"/>
      <c r="L156" s="37">
        <f>'PK10'!Y49</f>
        <v>1.93</v>
      </c>
      <c r="M156" s="9">
        <f>SUM(N(ISNUMBER(FIND($Q136,$C156,1))),N(ISNUMBER(FIND($R136,$C156,1))),N(ISNUMBER(FIND($S136,$C156,1))))*L156*G156</f>
        <v>23.16</v>
      </c>
      <c r="N156" s="9"/>
      <c r="O156" s="9"/>
      <c r="P156" s="9"/>
      <c r="Q156" s="31" t="s">
        <v>48</v>
      </c>
      <c r="R156" s="8">
        <f>IF(SUM(INT(Q125),INT(Q126))&lt;10,N(ISNUMBER(FIND((0&amp;SUM(INT(Q125),INT(Q126))),Q156,1))),N(ISNUMBER(FIND(SUM(INT(Q125),INT(Q126)),Q156,1))))</f>
        <v>0</v>
      </c>
      <c r="S156" s="30">
        <f>R156*'PK10'!Y143</f>
        <v>0</v>
      </c>
      <c r="T156" s="30">
        <f>R156*'PK10'!W143</f>
        <v>0</v>
      </c>
      <c r="U156" s="30">
        <f>R156*'PK10'!Z143</f>
        <v>0</v>
      </c>
    </row>
    <row r="157" spans="1:21" x14ac:dyDescent="0.15">
      <c r="A157" s="37"/>
      <c r="B157" s="37"/>
      <c r="C157" s="8" t="s">
        <v>41</v>
      </c>
      <c r="D157" s="39"/>
      <c r="E157" s="32">
        <f>I152</f>
        <v>0</v>
      </c>
      <c r="F157" s="37"/>
      <c r="G157" s="38"/>
      <c r="H157" s="37"/>
      <c r="I157" s="37"/>
      <c r="J157" s="37"/>
      <c r="K157" s="37"/>
      <c r="L157" s="37"/>
      <c r="M157" s="9">
        <f>SUM(N(ISNUMBER(FIND($Q137,$C157,1))),N(ISNUMBER(FIND($R137,$C157,1))),N(ISNUMBER(FIND($S137,$C157,1))))*L156*G156</f>
        <v>23.16</v>
      </c>
      <c r="N157" s="9"/>
      <c r="O157" s="9"/>
      <c r="P157" s="9"/>
      <c r="Q157" s="31" t="s">
        <v>49</v>
      </c>
      <c r="R157" s="8">
        <f>IF(SUM(INT(Q125),INT(Q126))&lt;10,N(ISNUMBER(FIND((0&amp;SUM(INT(Q125),INT(Q126))),Q157,1))),N(ISNUMBER(FIND(SUM(INT(Q125),INT(Q126)),Q157,1))))</f>
        <v>0</v>
      </c>
      <c r="S157" s="30">
        <f>R157*'PK10'!Y144</f>
        <v>0</v>
      </c>
      <c r="T157" s="30">
        <f>R157*'PK10'!W144</f>
        <v>0</v>
      </c>
      <c r="U157" s="30">
        <f>R157*'PK10'!Z144</f>
        <v>0</v>
      </c>
    </row>
    <row r="158" spans="1:21" x14ac:dyDescent="0.15">
      <c r="A158" s="37"/>
      <c r="B158" s="37"/>
      <c r="C158" s="8" t="s">
        <v>41</v>
      </c>
      <c r="D158" s="39"/>
      <c r="E158" s="32">
        <f>I153</f>
        <v>57.900000000000006</v>
      </c>
      <c r="F158" s="37"/>
      <c r="G158" s="38"/>
      <c r="H158" s="37"/>
      <c r="I158" s="37"/>
      <c r="J158" s="37"/>
      <c r="K158" s="37"/>
      <c r="L158" s="37"/>
      <c r="M158" s="9">
        <f>SUM(N(ISNUMBER(FIND($Q138,$C158,1))),N(ISNUMBER(FIND($R138,$C158,1))),N(ISNUMBER(FIND($S138,$C158,1))))*L156*G156</f>
        <v>23.16</v>
      </c>
      <c r="N158" s="9"/>
      <c r="O158" s="9"/>
      <c r="P158" s="9"/>
      <c r="Q158" s="31" t="s">
        <v>50</v>
      </c>
      <c r="R158" s="8">
        <f>IF(SUM(INT(Q125),INT(Q126))&lt;10,N(ISNUMBER(FIND((0&amp;SUM(INT(Q125),INT(Q126))),Q158,1))),N(ISNUMBER(FIND(SUM(INT(Q125),INT(Q126)),Q158,1))))</f>
        <v>0</v>
      </c>
      <c r="S158" s="30">
        <f>R158*'PK10'!Y145</f>
        <v>0</v>
      </c>
      <c r="T158" s="30">
        <f>R158*'PK10'!W145</f>
        <v>0</v>
      </c>
      <c r="U158" s="30">
        <f>R158*'PK10'!Z145</f>
        <v>0</v>
      </c>
    </row>
    <row r="159" spans="1:21" x14ac:dyDescent="0.15">
      <c r="A159" s="37"/>
      <c r="B159" s="37"/>
      <c r="C159" s="8" t="s">
        <v>41</v>
      </c>
      <c r="D159" s="39"/>
      <c r="E159" s="32">
        <f>I154</f>
        <v>0</v>
      </c>
      <c r="F159" s="37"/>
      <c r="G159" s="38"/>
      <c r="H159" s="37"/>
      <c r="I159" s="37"/>
      <c r="J159" s="37"/>
      <c r="K159" s="37"/>
      <c r="L159" s="37"/>
      <c r="M159" s="9">
        <f>SUM(N(ISNUMBER(FIND($Q139,$C159,1))),N(ISNUMBER(FIND($R139,$C159,1))),N(ISNUMBER(FIND($S139,$C159,1))))*L156*G156</f>
        <v>23.16</v>
      </c>
      <c r="N159" s="9"/>
      <c r="O159" s="9"/>
      <c r="P159" s="9"/>
      <c r="Q159" s="31" t="s">
        <v>51</v>
      </c>
      <c r="R159" s="8">
        <f>IF(SUM(INT(Q125),INT(Q126))&lt;10,N(ISNUMBER(FIND((0&amp;SUM(INT(Q125),INT(Q126))),Q159,1))),N(ISNUMBER(FIND(SUM(INT(Q125),INT(Q126)),Q159,1))))</f>
        <v>1</v>
      </c>
      <c r="S159" s="30">
        <f>R159*'PK10'!Y146</f>
        <v>0</v>
      </c>
      <c r="T159" s="30">
        <f>R159*'PK10'!W146</f>
        <v>0</v>
      </c>
      <c r="U159" s="30">
        <f>R159*'PK10'!Z146</f>
        <v>0</v>
      </c>
    </row>
    <row r="160" spans="1:21" x14ac:dyDescent="0.15">
      <c r="A160" s="37"/>
      <c r="B160" s="37"/>
      <c r="C160" s="8" t="s">
        <v>41</v>
      </c>
      <c r="D160" s="39"/>
      <c r="E160" s="32">
        <f>I156</f>
        <v>193</v>
      </c>
      <c r="F160" s="37"/>
      <c r="G160" s="38"/>
      <c r="H160" s="37"/>
      <c r="I160" s="37"/>
      <c r="J160" s="37"/>
      <c r="K160" s="37"/>
      <c r="L160" s="37"/>
      <c r="M160" s="9">
        <f>SUM(N(ISNUMBER(FIND($Q140,$C160,1))),N(ISNUMBER(FIND($R140,$C160,1))),N(ISNUMBER(FIND($S140,$C160,1))))*L156*G156</f>
        <v>23.16</v>
      </c>
      <c r="N160" s="9"/>
      <c r="O160" s="9"/>
      <c r="P160" s="9"/>
      <c r="Q160" s="30">
        <v>11</v>
      </c>
      <c r="R160" s="8">
        <f>IF(SUM(INT(Q125),INT(Q126))&lt;10,N(ISNUMBER(FIND((0&amp;SUM(INT(Q125),INT(Q126))),Q160,1))),N(ISNUMBER(FIND(SUM(INT(Q125),INT(Q126)),Q160,1))))</f>
        <v>0</v>
      </c>
      <c r="S160" s="30">
        <f>R160*'PK10'!Y147</f>
        <v>0</v>
      </c>
      <c r="T160" s="30">
        <f>R160*'PK10'!W147</f>
        <v>0</v>
      </c>
      <c r="U160" s="30">
        <f>R160*'PK10'!Z147</f>
        <v>0</v>
      </c>
    </row>
    <row r="161" spans="1:21" x14ac:dyDescent="0.15">
      <c r="A161" s="37"/>
      <c r="B161" s="37"/>
      <c r="C161" s="8" t="s">
        <v>43</v>
      </c>
      <c r="D161" s="39"/>
      <c r="F161" s="37"/>
      <c r="G161" s="38"/>
      <c r="H161" s="37"/>
      <c r="I161" s="37"/>
      <c r="J161" s="37"/>
      <c r="K161" s="37"/>
      <c r="L161" s="37"/>
      <c r="M161" s="9">
        <f>SUM(N(ISNUMBER(FIND($Q141,$C161,1))),N(ISNUMBER(FIND($R141,$C161,1))))*L156*G156</f>
        <v>15.44</v>
      </c>
      <c r="N161" s="9"/>
      <c r="O161" s="9"/>
      <c r="P161" s="9"/>
      <c r="Q161" s="30"/>
      <c r="R161" s="10"/>
      <c r="S161" s="30"/>
      <c r="T161" s="30"/>
      <c r="U161" s="30"/>
    </row>
    <row r="162" spans="1:21" x14ac:dyDescent="0.15">
      <c r="A162" s="37"/>
      <c r="B162" s="37"/>
      <c r="C162" s="8" t="s">
        <v>43</v>
      </c>
      <c r="D162" s="39"/>
      <c r="F162" s="37"/>
      <c r="G162" s="38"/>
      <c r="H162" s="37"/>
      <c r="I162" s="37"/>
      <c r="J162" s="37"/>
      <c r="K162" s="37"/>
      <c r="L162" s="37"/>
      <c r="M162" s="9">
        <f>SUM(N(ISNUMBER(FIND($Q142,$C162,1))),N(ISNUMBER(FIND($R142,$C162,1))))*L156*G156</f>
        <v>15.44</v>
      </c>
      <c r="N162" s="9"/>
      <c r="O162" s="9"/>
      <c r="P162" s="9"/>
      <c r="Q162" s="30"/>
      <c r="R162" s="32"/>
      <c r="S162" s="30"/>
      <c r="T162" s="30"/>
      <c r="U162" s="30"/>
    </row>
    <row r="163" spans="1:21" x14ac:dyDescent="0.15">
      <c r="A163" s="37"/>
      <c r="B163" s="37"/>
      <c r="C163" s="8" t="s">
        <v>43</v>
      </c>
      <c r="D163" s="39"/>
      <c r="F163" s="37"/>
      <c r="G163" s="38"/>
      <c r="H163" s="37"/>
      <c r="I163" s="37"/>
      <c r="J163" s="37"/>
      <c r="K163" s="37"/>
      <c r="L163" s="37"/>
      <c r="M163" s="9">
        <f>SUM(N(ISNUMBER(FIND($Q143,$C163,1))),N(ISNUMBER(FIND($R143,$C163,1))))*L156*G156</f>
        <v>15.44</v>
      </c>
      <c r="N163" s="9"/>
      <c r="O163" s="9"/>
      <c r="P163" s="9"/>
      <c r="Q163" s="30"/>
      <c r="R163" s="32"/>
      <c r="S163" s="30"/>
      <c r="T163" s="30"/>
      <c r="U163" s="30"/>
    </row>
    <row r="164" spans="1:21" x14ac:dyDescent="0.15">
      <c r="A164" s="37"/>
      <c r="B164" s="37"/>
      <c r="C164" s="8" t="s">
        <v>43</v>
      </c>
      <c r="D164" s="39"/>
      <c r="F164" s="37"/>
      <c r="G164" s="38"/>
      <c r="H164" s="37"/>
      <c r="I164" s="37"/>
      <c r="J164" s="37"/>
      <c r="K164" s="37"/>
      <c r="L164" s="37"/>
      <c r="M164" s="9">
        <f>SUM(N(ISNUMBER(FIND($Q144,$C164,1))),N(ISNUMBER(FIND($R144,$C164,1))))*L156*G156</f>
        <v>15.44</v>
      </c>
      <c r="N164" s="9"/>
      <c r="O164" s="9"/>
      <c r="P164" s="9"/>
      <c r="Q164" s="30"/>
      <c r="R164" s="32"/>
      <c r="S164" s="30"/>
      <c r="T164" s="30"/>
      <c r="U164" s="30"/>
    </row>
    <row r="165" spans="1:21" x14ac:dyDescent="0.15">
      <c r="A165" s="37"/>
      <c r="B165" s="37"/>
      <c r="C165" s="8" t="s">
        <v>43</v>
      </c>
      <c r="D165" s="39"/>
      <c r="F165" s="37"/>
      <c r="G165" s="38"/>
      <c r="H165" s="37"/>
      <c r="I165" s="37"/>
      <c r="J165" s="37"/>
      <c r="K165" s="37"/>
      <c r="L165" s="37"/>
      <c r="M165" s="9">
        <f>SUM(N(ISNUMBER(FIND($Q145,$C165,1))),N(ISNUMBER(FIND($R145,$C165,1))))*L156*G156</f>
        <v>15.44</v>
      </c>
      <c r="N165" s="9"/>
      <c r="O165" s="9"/>
      <c r="P165" s="9"/>
      <c r="Q165" s="30"/>
      <c r="R165" s="32"/>
      <c r="S165" s="30"/>
      <c r="T165" s="30"/>
      <c r="U165" s="30"/>
    </row>
    <row r="166" spans="1:21" ht="162" x14ac:dyDescent="0.15">
      <c r="A166" s="38" t="s">
        <v>221</v>
      </c>
      <c r="B166" s="37" t="s">
        <v>18</v>
      </c>
      <c r="C166" s="8" t="s">
        <v>33</v>
      </c>
      <c r="D166" s="39" t="str">
        <f>TRIM(IF(LEN(C166)=0,"-",C166))&amp;","&amp;TRIM(IF(LEN(C167)=0,"-",C167))&amp;","&amp;TRIM(IF(LEN(C168)=0,"-",C168))&amp;","&amp;TRIM(IF(LEN(C169)=0,"-",C169))&amp;","&amp;TRIM(IF(LEN(C170)=0,"-",C170))&amp;","&amp;TRIM(IF(LEN(C171)=0,"-",C171))&amp;","&amp;TRIM(IF(LEN(C172)=0,"-",C172))&amp;","&amp;TRIM(IF(LEN(C173)=0,"-",C173))&amp;","&amp;TRIM(IF(LEN(C174)=0,"-",C174))&amp;","&amp;TRIM(IF(LEN(C175)=0,"-",C175)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166" s="32" t="str">
        <f>D166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F166" s="38">
        <v>2</v>
      </c>
      <c r="G166" s="38">
        <v>1</v>
      </c>
      <c r="H166" s="37">
        <f>(LEN(SUBSTITUTE(C166," ",))+LEN(SUBSTITUTE(C167," ",))+LEN(SUBSTITUTE(C168," ",))+LEN(SUBSTITUTE(C169," ",))+LEN(SUBSTITUTE(C170," ",))+LEN(SUBSTITUTE(C171," ",))+LEN(SUBSTITUTE(C172," ",))+LEN(SUBSTITUTE(C173," ",))+LEN(SUBSTITUTE(C174," ",))+LEN(SUBSTITUTE(C175," ",)))/2*F166*2</f>
        <v>400</v>
      </c>
      <c r="I166" s="39">
        <f>SUM(N(ISNUMBER(FIND(Q166,C166,1))),N(ISNUMBER(FIND(Q167,C167,1))),N(ISNUMBER(FIND(Q168,C168,1))),N(ISNUMBER(FIND(Q169,C169,1))),N(ISNUMBER(FIND(Q170,C170,1))),N(ISNUMBER(FIND(Q171,C171,1))),N(ISNUMBER(FIND(Q172,C172,1))),N(ISNUMBER(FIND(Q173,C173,1))),N(ISNUMBER(FIND(Q174,C174,1))),N(ISNUMBER(FIND(Q175,C175,1))))*L166*F166</f>
        <v>386</v>
      </c>
      <c r="J166" s="37">
        <f>S166-H166+I166</f>
        <v>99999986</v>
      </c>
      <c r="K166" s="37"/>
      <c r="L166" s="39">
        <f>'PK10'!Y50</f>
        <v>19.3</v>
      </c>
      <c r="M166" s="39"/>
      <c r="N166" s="32"/>
      <c r="O166" s="32"/>
      <c r="P166" s="8" t="s">
        <v>220</v>
      </c>
      <c r="Q166" s="31" t="str">
        <f>LEFT(R176,2)</f>
        <v>07</v>
      </c>
      <c r="R166" s="32"/>
      <c r="S166" s="30">
        <v>100000000</v>
      </c>
      <c r="T166" s="30"/>
      <c r="U166" s="30"/>
    </row>
    <row r="167" spans="1:21" ht="27" x14ac:dyDescent="0.15">
      <c r="A167" s="38"/>
      <c r="B167" s="37"/>
      <c r="C167" s="8" t="s">
        <v>33</v>
      </c>
      <c r="D167" s="39"/>
      <c r="E167" s="32" t="str">
        <f>D176</f>
        <v>01 02 08,03 04 09,01 05 06,02 07 08,03 09 10</v>
      </c>
      <c r="F167" s="38"/>
      <c r="G167" s="38"/>
      <c r="H167" s="37"/>
      <c r="I167" s="39"/>
      <c r="J167" s="37"/>
      <c r="K167" s="37"/>
      <c r="L167" s="39"/>
      <c r="M167" s="39"/>
      <c r="N167" s="32"/>
      <c r="O167" s="32"/>
      <c r="P167" s="32"/>
      <c r="Q167" s="30" t="str">
        <f>MID(R176,4,2)</f>
        <v>02</v>
      </c>
      <c r="R167" s="32"/>
      <c r="S167" s="30"/>
      <c r="T167" s="30"/>
      <c r="U167" s="30"/>
    </row>
    <row r="168" spans="1:21" x14ac:dyDescent="0.15">
      <c r="A168" s="38"/>
      <c r="B168" s="37"/>
      <c r="C168" s="8" t="s">
        <v>33</v>
      </c>
      <c r="D168" s="39"/>
      <c r="E168" s="32" t="str">
        <f>D181</f>
        <v>08 09 01 02 03</v>
      </c>
      <c r="F168" s="38"/>
      <c r="G168" s="38"/>
      <c r="H168" s="37"/>
      <c r="I168" s="39"/>
      <c r="J168" s="37"/>
      <c r="K168" s="37"/>
      <c r="L168" s="39"/>
      <c r="M168" s="39"/>
      <c r="N168" s="32"/>
      <c r="O168" s="32"/>
      <c r="P168" s="32"/>
      <c r="Q168" s="30" t="str">
        <f>MID(R176,7,2)</f>
        <v>10</v>
      </c>
      <c r="R168" s="32"/>
      <c r="S168" s="30"/>
      <c r="T168" s="30"/>
      <c r="U168" s="30"/>
    </row>
    <row r="169" spans="1:21" ht="67.5" x14ac:dyDescent="0.15">
      <c r="A169" s="38"/>
      <c r="B169" s="37"/>
      <c r="C169" s="8" t="s">
        <v>33</v>
      </c>
      <c r="D169" s="39"/>
      <c r="E169" s="32" t="str">
        <f>D182</f>
        <v>01 02 03 04 05 06 07 08 09 10,01 02 03 04 05 06 07 08 09 10,01 02 03 04 05 06 07 08 09 10,01 02 03 04 05 06 07 08 09 10</v>
      </c>
      <c r="F169" s="38"/>
      <c r="G169" s="38"/>
      <c r="H169" s="37"/>
      <c r="I169" s="39"/>
      <c r="J169" s="37"/>
      <c r="K169" s="37"/>
      <c r="L169" s="39"/>
      <c r="M169" s="39"/>
      <c r="N169" s="32"/>
      <c r="O169" s="32"/>
      <c r="P169" s="32"/>
      <c r="Q169" s="30" t="str">
        <f>MID(R176,10,2)</f>
        <v>08</v>
      </c>
      <c r="R169" s="32"/>
      <c r="S169" s="30"/>
      <c r="T169" s="30"/>
      <c r="U169" s="30"/>
    </row>
    <row r="170" spans="1:21" x14ac:dyDescent="0.15">
      <c r="A170" s="38"/>
      <c r="B170" s="37"/>
      <c r="C170" s="8" t="s">
        <v>33</v>
      </c>
      <c r="D170" s="39"/>
      <c r="E170" s="32" t="str">
        <f>D186</f>
        <v>08 09 01 02</v>
      </c>
      <c r="F170" s="38"/>
      <c r="G170" s="38"/>
      <c r="H170" s="37"/>
      <c r="I170" s="39"/>
      <c r="J170" s="37"/>
      <c r="K170" s="37"/>
      <c r="L170" s="39"/>
      <c r="M170" s="39"/>
      <c r="N170" s="32"/>
      <c r="O170" s="32"/>
      <c r="P170" s="32"/>
      <c r="Q170" s="30" t="str">
        <f>MID(R176,13,2)</f>
        <v>09</v>
      </c>
      <c r="R170" s="32"/>
      <c r="S170" s="30"/>
      <c r="T170" s="30"/>
      <c r="U170" s="30"/>
    </row>
    <row r="171" spans="1:21" ht="54" x14ac:dyDescent="0.15">
      <c r="A171" s="38"/>
      <c r="B171" s="37"/>
      <c r="C171" s="8" t="s">
        <v>33</v>
      </c>
      <c r="D171" s="39"/>
      <c r="E171" s="32" t="str">
        <f>D187</f>
        <v>01 02 03 04 05 06 07 08 09 10,01 02 03 04 05 06 07 08 09 10,01 02 03 04 05 06 07 08 09 10</v>
      </c>
      <c r="F171" s="38"/>
      <c r="G171" s="38"/>
      <c r="H171" s="37"/>
      <c r="I171" s="39"/>
      <c r="J171" s="37"/>
      <c r="K171" s="37"/>
      <c r="L171" s="39"/>
      <c r="M171" s="39"/>
      <c r="N171" s="32"/>
      <c r="O171" s="32"/>
      <c r="P171" s="32"/>
      <c r="Q171" s="30" t="str">
        <f>MID(R176,16,2)</f>
        <v>01</v>
      </c>
      <c r="R171" s="32"/>
      <c r="S171" s="30"/>
      <c r="T171" s="30"/>
      <c r="U171" s="30"/>
    </row>
    <row r="172" spans="1:21" x14ac:dyDescent="0.15">
      <c r="A172" s="38"/>
      <c r="B172" s="37"/>
      <c r="C172" s="8" t="s">
        <v>33</v>
      </c>
      <c r="D172" s="39"/>
      <c r="E172" s="32" t="str">
        <f>D190</f>
        <v>08 09 01</v>
      </c>
      <c r="F172" s="38"/>
      <c r="G172" s="38"/>
      <c r="H172" s="37"/>
      <c r="I172" s="39"/>
      <c r="J172" s="37"/>
      <c r="K172" s="37"/>
      <c r="L172" s="39"/>
      <c r="M172" s="39"/>
      <c r="N172" s="32"/>
      <c r="O172" s="32"/>
      <c r="P172" s="32"/>
      <c r="Q172" s="30" t="str">
        <f>MID(R176,19,2)</f>
        <v>06</v>
      </c>
      <c r="R172" s="32"/>
      <c r="S172" s="30"/>
      <c r="T172" s="30"/>
      <c r="U172" s="30"/>
    </row>
    <row r="173" spans="1:21" ht="40.5" x14ac:dyDescent="0.15">
      <c r="A173" s="38"/>
      <c r="B173" s="37"/>
      <c r="C173" s="8" t="s">
        <v>33</v>
      </c>
      <c r="D173" s="39"/>
      <c r="E173" s="32" t="str">
        <f>D191</f>
        <v>01 02 03 04 05 06 07 08 09 10,01 02 03 04 05 06 07 08 09 10</v>
      </c>
      <c r="F173" s="38"/>
      <c r="G173" s="38"/>
      <c r="H173" s="37"/>
      <c r="I173" s="39"/>
      <c r="J173" s="37"/>
      <c r="K173" s="37"/>
      <c r="L173" s="39"/>
      <c r="M173" s="39"/>
      <c r="N173" s="32"/>
      <c r="O173" s="32"/>
      <c r="P173" s="32"/>
      <c r="Q173" s="30" t="str">
        <f>MID(R176,22,2)</f>
        <v>04</v>
      </c>
      <c r="R173" s="32"/>
      <c r="S173" s="30"/>
      <c r="T173" s="30"/>
      <c r="U173" s="30"/>
    </row>
    <row r="174" spans="1:21" x14ac:dyDescent="0.15">
      <c r="A174" s="38"/>
      <c r="B174" s="37"/>
      <c r="C174" s="8" t="s">
        <v>33</v>
      </c>
      <c r="D174" s="39"/>
      <c r="E174" s="32" t="str">
        <f>D193</f>
        <v>02 03,08 09,09 04,05 09</v>
      </c>
      <c r="F174" s="38"/>
      <c r="G174" s="38"/>
      <c r="H174" s="37"/>
      <c r="I174" s="39"/>
      <c r="J174" s="37"/>
      <c r="K174" s="37"/>
      <c r="L174" s="39"/>
      <c r="M174" s="39"/>
      <c r="N174" s="32"/>
      <c r="O174" s="32"/>
      <c r="P174" s="32"/>
      <c r="Q174" s="30" t="str">
        <f>MID(R176,25,2)</f>
        <v>03</v>
      </c>
      <c r="R174" s="32"/>
      <c r="S174" s="30"/>
      <c r="T174" s="30"/>
      <c r="U174" s="30"/>
    </row>
    <row r="175" spans="1:21" ht="27" x14ac:dyDescent="0.15">
      <c r="A175" s="38"/>
      <c r="B175" s="37"/>
      <c r="C175" s="8" t="s">
        <v>33</v>
      </c>
      <c r="D175" s="39"/>
      <c r="E175" s="32" t="str">
        <f>D194</f>
        <v xml:space="preserve">01 02 03 04 05 06 07 08 09 10 </v>
      </c>
      <c r="F175" s="38"/>
      <c r="G175" s="38"/>
      <c r="H175" s="37"/>
      <c r="I175" s="39"/>
      <c r="J175" s="37"/>
      <c r="K175" s="37"/>
      <c r="L175" s="39"/>
      <c r="M175" s="39"/>
      <c r="N175" s="32"/>
      <c r="O175" s="32"/>
      <c r="P175" s="32"/>
      <c r="Q175" s="30" t="str">
        <f>MID(R176,28,2)</f>
        <v>05</v>
      </c>
      <c r="R175" s="32"/>
      <c r="S175" s="30"/>
      <c r="T175" s="30"/>
      <c r="U175" s="30"/>
    </row>
    <row r="176" spans="1:21" ht="40.5" x14ac:dyDescent="0.15">
      <c r="A176" s="38" t="s">
        <v>58</v>
      </c>
      <c r="B176" s="38" t="s">
        <v>81</v>
      </c>
      <c r="C176" s="8" t="s">
        <v>175</v>
      </c>
      <c r="D176" s="39" t="str">
        <f>TRIM(IF(LEN(C176)=0,"-",C176))&amp;","&amp;TRIM(IF(LEN(C177)=0,"-",C177))&amp;","&amp;TRIM(IF(LEN(C178)=0,"-",C178))&amp;","&amp;TRIM(IF(LEN(C179)=0,"-",C179))&amp;","&amp;TRIM(IF(LEN(C180)=0,"-",C180))</f>
        <v>01 02 08,03 04 09,01 05 06,02 07 08,03 09 10</v>
      </c>
      <c r="E176" s="32" t="str">
        <f>D195</f>
        <v>和大 和小 和单 和双,03 04 05 06 07 08 09 10 11 12 13 14 15 16 17 18 19</v>
      </c>
      <c r="F176" s="38">
        <v>5</v>
      </c>
      <c r="G176" s="38">
        <v>1</v>
      </c>
      <c r="H176" s="37">
        <f>30240*F176*2</f>
        <v>302400</v>
      </c>
      <c r="I176" s="37">
        <f>N(AND(ISNUMBER(FIND(Q166,C176,1)),ISNUMBER(FIND(Q167,C177,1)),ISNUMBER(FIND(Q168,C178,1)),ISNUMBER(FIND(Q169,C179,1)),ISNUMBER(FIND(Q170,C180,1))))*L176*F176</f>
        <v>0</v>
      </c>
      <c r="J176" s="37">
        <f>J166-H176+I176</f>
        <v>99697586</v>
      </c>
      <c r="K176" s="37"/>
      <c r="L176" s="37">
        <f>'PK10'!Y51</f>
        <v>58363.199999999997</v>
      </c>
      <c r="M176" s="37">
        <f>IF(ISNUMBER(agent!$O$6*AC176*$AA176),TRUNC(agent!$O$6*SUM(PK10Source!S193:S194)*SUM(PK10Source!T193:T194)+agent!$O$6*SUM(PK10Source!S195:S196)*SUM(PK10Source!T195:T196)+agent!$O$6*SUM(PK10Source!S197:S201)*SUM(PK10Source!T197:T201),3),"没有上级")</f>
        <v>0</v>
      </c>
      <c r="Q176" s="32" t="str">
        <f>Q166&amp;" "&amp;Q167&amp;" "&amp;Q168&amp;" "&amp;Q169&amp;" "&amp;Q170&amp;" "&amp;Q171&amp;" "&amp;Q172&amp;" "&amp;Q173&amp;" "&amp;Q174&amp;" "&amp;Q175</f>
        <v>07 02 10 08 09 01 06 04 03 05</v>
      </c>
      <c r="R176" s="8" t="s">
        <v>219</v>
      </c>
      <c r="S176" s="30"/>
      <c r="T176" s="30"/>
      <c r="U176" s="30"/>
    </row>
    <row r="177" spans="1:21" ht="81" x14ac:dyDescent="0.15">
      <c r="A177" s="37"/>
      <c r="B177" s="37"/>
      <c r="C177" s="8" t="s">
        <v>176</v>
      </c>
      <c r="D177" s="39"/>
      <c r="E177" s="32" t="str">
        <f>D197</f>
        <v>大 小 单 双 龙 虎,大 小 单 双 龙 虎,大 小 单 双 龙 虎,大 小 单 双 龙 虎,大 小 单 双 龙 虎,大 小 单 双,大 小 单 双,大 小 单 双,大 小 单 双,大 小 单 双</v>
      </c>
      <c r="F177" s="38"/>
      <c r="G177" s="38"/>
      <c r="H177" s="37"/>
      <c r="I177" s="37"/>
      <c r="J177" s="37"/>
      <c r="K177" s="37"/>
      <c r="L177" s="37"/>
      <c r="M177" s="37"/>
      <c r="Q177" s="30" t="str">
        <f>IF(MOD(Q166,2)=0,"双","单")</f>
        <v>单</v>
      </c>
      <c r="R177" s="32" t="str">
        <f>IF(INT(Q166)&gt;5,"大","小")</f>
        <v>大</v>
      </c>
      <c r="S177" s="30" t="str">
        <f>IF(Q166&gt;Q175,"龙","虎")</f>
        <v>龙</v>
      </c>
      <c r="T177" s="30"/>
      <c r="U177" s="30"/>
    </row>
    <row r="178" spans="1:21" x14ac:dyDescent="0.15">
      <c r="A178" s="37"/>
      <c r="B178" s="37"/>
      <c r="C178" s="8" t="s">
        <v>177</v>
      </c>
      <c r="D178" s="39"/>
      <c r="E178" s="32">
        <f>H166</f>
        <v>400</v>
      </c>
      <c r="F178" s="38"/>
      <c r="G178" s="38"/>
      <c r="H178" s="37"/>
      <c r="I178" s="37"/>
      <c r="J178" s="37"/>
      <c r="K178" s="37"/>
      <c r="L178" s="37"/>
      <c r="M178" s="37"/>
      <c r="Q178" s="30" t="str">
        <f t="shared" ref="Q178:Q185" si="8">IF(MOD(Q167,2)=0,"双","单")</f>
        <v>双</v>
      </c>
      <c r="R178" s="32" t="str">
        <f t="shared" ref="R178:R186" si="9">IF(INT(Q167)&gt;5,"大","小")</f>
        <v>小</v>
      </c>
      <c r="S178" s="30" t="str">
        <f>IF(Q167&gt;Q174,"龙","虎")</f>
        <v>虎</v>
      </c>
      <c r="T178" s="30"/>
      <c r="U178" s="30"/>
    </row>
    <row r="179" spans="1:21" x14ac:dyDescent="0.15">
      <c r="A179" s="37"/>
      <c r="B179" s="37"/>
      <c r="C179" s="8" t="s">
        <v>178</v>
      </c>
      <c r="D179" s="39"/>
      <c r="E179" s="32">
        <f>H176</f>
        <v>302400</v>
      </c>
      <c r="F179" s="38"/>
      <c r="G179" s="38"/>
      <c r="H179" s="37"/>
      <c r="I179" s="37"/>
      <c r="J179" s="37"/>
      <c r="K179" s="37"/>
      <c r="L179" s="37"/>
      <c r="M179" s="37"/>
      <c r="Q179" s="30" t="str">
        <f t="shared" si="8"/>
        <v>双</v>
      </c>
      <c r="R179" s="32" t="str">
        <f t="shared" si="9"/>
        <v>大</v>
      </c>
      <c r="S179" s="30" t="str">
        <f>IF(Q168&gt;Q173,"龙","虎")</f>
        <v>龙</v>
      </c>
      <c r="T179" s="30"/>
      <c r="U179" s="30"/>
    </row>
    <row r="180" spans="1:21" x14ac:dyDescent="0.15">
      <c r="A180" s="37"/>
      <c r="B180" s="37"/>
      <c r="C180" s="8" t="s">
        <v>179</v>
      </c>
      <c r="D180" s="39"/>
      <c r="E180" s="32">
        <f>H181</f>
        <v>6</v>
      </c>
      <c r="F180" s="38"/>
      <c r="G180" s="38"/>
      <c r="H180" s="37"/>
      <c r="I180" s="37"/>
      <c r="J180" s="37"/>
      <c r="K180" s="37"/>
      <c r="L180" s="37"/>
      <c r="M180" s="37"/>
      <c r="Q180" s="30" t="str">
        <f t="shared" si="8"/>
        <v>双</v>
      </c>
      <c r="R180" s="32" t="str">
        <f t="shared" si="9"/>
        <v>大</v>
      </c>
      <c r="S180" s="30" t="str">
        <f>IF(Q169&gt;Q172,"龙","虎")</f>
        <v>龙</v>
      </c>
      <c r="T180" s="30"/>
      <c r="U180" s="30"/>
    </row>
    <row r="181" spans="1:21" x14ac:dyDescent="0.15">
      <c r="A181" s="37"/>
      <c r="B181" s="30" t="s">
        <v>20</v>
      </c>
      <c r="C181" s="8" t="s">
        <v>67</v>
      </c>
      <c r="D181" s="8" t="s">
        <v>170</v>
      </c>
      <c r="E181" s="32">
        <f>H182</f>
        <v>10080</v>
      </c>
      <c r="F181" s="31">
        <v>3</v>
      </c>
      <c r="G181" s="30">
        <v>1</v>
      </c>
      <c r="H181" s="30">
        <f>M181*F181*2</f>
        <v>6</v>
      </c>
      <c r="I181" s="30">
        <f>IF(ISNUMBER(FIND(LEFT(Q176,14),D181,1)),F181*L181,0)</f>
        <v>0</v>
      </c>
      <c r="J181" s="9">
        <f>J176-H181+I181</f>
        <v>99697580</v>
      </c>
      <c r="K181" s="30"/>
      <c r="L181" s="8">
        <f>'PK10'!Y52</f>
        <v>58363.199999999997</v>
      </c>
      <c r="M181" s="31">
        <v>1</v>
      </c>
      <c r="N181" s="31"/>
      <c r="O181" s="31"/>
      <c r="P181" s="31"/>
      <c r="Q181" s="30" t="str">
        <f t="shared" si="8"/>
        <v>单</v>
      </c>
      <c r="R181" s="32" t="str">
        <f t="shared" si="9"/>
        <v>大</v>
      </c>
      <c r="S181" s="30" t="str">
        <f>IF(Q170&gt;Q171,"龙","虎")</f>
        <v>龙</v>
      </c>
      <c r="T181" s="30"/>
      <c r="U181" s="30"/>
    </row>
    <row r="182" spans="1:21" x14ac:dyDescent="0.15">
      <c r="A182" s="38" t="s">
        <v>60</v>
      </c>
      <c r="B182" s="38" t="s">
        <v>82</v>
      </c>
      <c r="C182" s="8" t="s">
        <v>33</v>
      </c>
      <c r="D182" s="39" t="str">
        <f>TRIM(IF(LEN(C182)=0,"-",C182))&amp;","&amp;TRIM(IF(LEN(C183)=0,"-",C183))&amp;","&amp;TRIM(IF(LEN(C184)=0,"-",C184))&amp;","&amp;TRIM(IF(LEN(C185)=0,"-",C185))</f>
        <v>01 02 03 04 05 06 07 08 09 10,01 02 03 04 05 06 07 08 09 10,01 02 03 04 05 06 07 08 09 10,01 02 03 04 05 06 07 08 09 10</v>
      </c>
      <c r="E182" s="32">
        <f>H186</f>
        <v>4</v>
      </c>
      <c r="F182" s="38">
        <v>1</v>
      </c>
      <c r="G182" s="38">
        <v>1</v>
      </c>
      <c r="H182" s="37">
        <f>5040*F182*2</f>
        <v>10080</v>
      </c>
      <c r="I182" s="37">
        <f>N(AND(ISNUMBER(FIND(Q166,C182,1)),ISNUMBER(FIND(Q167,C183,1)),ISNUMBER(FIND(Q168,C184,1)),ISNUMBER(FIND(Q169,C185,1))))*L182*F182</f>
        <v>9727.2000000000007</v>
      </c>
      <c r="J182" s="37">
        <f>J181-H182+I182</f>
        <v>99697227.200000003</v>
      </c>
      <c r="K182" s="37"/>
      <c r="L182" s="37">
        <f>'PK10'!Y53</f>
        <v>9727.2000000000007</v>
      </c>
      <c r="M182" s="37"/>
      <c r="Q182" s="30" t="str">
        <f t="shared" si="8"/>
        <v>单</v>
      </c>
      <c r="R182" s="32" t="str">
        <f t="shared" si="9"/>
        <v>小</v>
      </c>
      <c r="S182" s="30"/>
      <c r="T182" s="30"/>
      <c r="U182" s="30"/>
    </row>
    <row r="183" spans="1:21" x14ac:dyDescent="0.15">
      <c r="A183" s="37"/>
      <c r="B183" s="37"/>
      <c r="C183" s="8" t="s">
        <v>33</v>
      </c>
      <c r="D183" s="39"/>
      <c r="E183" s="32">
        <f>H187</f>
        <v>5760</v>
      </c>
      <c r="F183" s="38"/>
      <c r="G183" s="38"/>
      <c r="H183" s="37"/>
      <c r="I183" s="37"/>
      <c r="J183" s="37"/>
      <c r="K183" s="37"/>
      <c r="L183" s="37"/>
      <c r="M183" s="37"/>
      <c r="Q183" s="30" t="str">
        <f t="shared" si="8"/>
        <v>双</v>
      </c>
      <c r="R183" s="32" t="str">
        <f t="shared" si="9"/>
        <v>大</v>
      </c>
      <c r="S183" s="30"/>
      <c r="T183" s="30"/>
      <c r="U183" s="30"/>
    </row>
    <row r="184" spans="1:21" x14ac:dyDescent="0.15">
      <c r="A184" s="37"/>
      <c r="B184" s="37"/>
      <c r="C184" s="8" t="s">
        <v>33</v>
      </c>
      <c r="D184" s="39"/>
      <c r="E184" s="32">
        <f>H190</f>
        <v>10</v>
      </c>
      <c r="F184" s="38"/>
      <c r="G184" s="38"/>
      <c r="H184" s="37"/>
      <c r="I184" s="37"/>
      <c r="J184" s="37"/>
      <c r="K184" s="37"/>
      <c r="L184" s="37"/>
      <c r="M184" s="37"/>
      <c r="Q184" s="30" t="str">
        <f t="shared" si="8"/>
        <v>双</v>
      </c>
      <c r="R184" s="32" t="str">
        <f t="shared" si="9"/>
        <v>小</v>
      </c>
      <c r="S184" s="30"/>
      <c r="T184" s="30"/>
      <c r="U184" s="30"/>
    </row>
    <row r="185" spans="1:21" x14ac:dyDescent="0.15">
      <c r="A185" s="37"/>
      <c r="B185" s="37"/>
      <c r="C185" s="8" t="s">
        <v>33</v>
      </c>
      <c r="D185" s="39"/>
      <c r="E185" s="32">
        <f>H191</f>
        <v>180</v>
      </c>
      <c r="F185" s="38"/>
      <c r="G185" s="38"/>
      <c r="H185" s="37"/>
      <c r="I185" s="37"/>
      <c r="J185" s="37"/>
      <c r="K185" s="37"/>
      <c r="L185" s="37"/>
      <c r="M185" s="37"/>
      <c r="Q185" s="30" t="str">
        <f t="shared" si="8"/>
        <v>单</v>
      </c>
      <c r="R185" s="32" t="str">
        <f t="shared" si="9"/>
        <v>小</v>
      </c>
      <c r="S185" s="30"/>
      <c r="T185" s="30"/>
      <c r="U185" s="30"/>
    </row>
    <row r="186" spans="1:21" x14ac:dyDescent="0.15">
      <c r="A186" s="37"/>
      <c r="B186" s="30" t="s">
        <v>22</v>
      </c>
      <c r="C186" s="8" t="s">
        <v>68</v>
      </c>
      <c r="D186" s="8" t="s">
        <v>172</v>
      </c>
      <c r="E186" s="32">
        <f>H193</f>
        <v>12</v>
      </c>
      <c r="F186" s="31">
        <v>2</v>
      </c>
      <c r="G186" s="30">
        <v>1</v>
      </c>
      <c r="H186" s="30">
        <f>M186*F186*2</f>
        <v>4</v>
      </c>
      <c r="I186" s="30">
        <f>IF(ISNUMBER(FIND(LEFT(Q176,11),D186,1)),F186*L186,0)</f>
        <v>0</v>
      </c>
      <c r="J186" s="9">
        <f>J182-H186+I186</f>
        <v>99697223.200000003</v>
      </c>
      <c r="K186" s="30"/>
      <c r="L186" s="8">
        <f>'PK10'!Y54</f>
        <v>9727.2000000000007</v>
      </c>
      <c r="M186" s="31">
        <v>1</v>
      </c>
      <c r="N186" s="31"/>
      <c r="O186" s="31"/>
      <c r="P186" s="31"/>
      <c r="Q186" s="30" t="str">
        <f>IF(MOD(Q175,2)=0,"双","单")</f>
        <v>单</v>
      </c>
      <c r="R186" s="32" t="str">
        <f t="shared" si="9"/>
        <v>小</v>
      </c>
      <c r="S186" s="30"/>
      <c r="T186" s="30"/>
      <c r="U186" s="30"/>
    </row>
    <row r="187" spans="1:21" x14ac:dyDescent="0.15">
      <c r="A187" s="38" t="s">
        <v>62</v>
      </c>
      <c r="B187" s="38" t="s">
        <v>83</v>
      </c>
      <c r="C187" s="8" t="s">
        <v>33</v>
      </c>
      <c r="D187" s="39" t="str">
        <f>TRIM(IF(LEN(C187)=0,"-",C187))&amp;","&amp;TRIM(IF(LEN(C188)=0,"-",C188))&amp;","&amp;TRIM(IF(LEN(C189)=0,"-",C189))</f>
        <v>01 02 03 04 05 06 07 08 09 10,01 02 03 04 05 06 07 08 09 10,01 02 03 04 05 06 07 08 09 10</v>
      </c>
      <c r="E187" s="32">
        <f>H194</f>
        <v>60</v>
      </c>
      <c r="F187" s="38">
        <v>4</v>
      </c>
      <c r="G187" s="38">
        <v>1</v>
      </c>
      <c r="H187" s="37">
        <f>720*F187*2</f>
        <v>5760</v>
      </c>
      <c r="I187" s="37">
        <f>N(AND(ISNUMBER(FIND(Q166,C187,1)),ISNUMBER(FIND(Q167,C188,1)),ISNUMBER(FIND(Q168,C189,1))))*L187*F187</f>
        <v>5558.4</v>
      </c>
      <c r="J187" s="37">
        <f>J186-H187+I187</f>
        <v>99697021.600000009</v>
      </c>
      <c r="K187" s="37"/>
      <c r="L187" s="37">
        <f>'PK10'!Y55</f>
        <v>1389.6</v>
      </c>
      <c r="M187" s="37"/>
      <c r="Q187" s="30"/>
      <c r="R187" s="10"/>
      <c r="S187" s="30"/>
      <c r="T187" s="30"/>
      <c r="U187" s="30"/>
    </row>
    <row r="188" spans="1:21" x14ac:dyDescent="0.15">
      <c r="A188" s="37"/>
      <c r="B188" s="37"/>
      <c r="C188" s="8" t="s">
        <v>33</v>
      </c>
      <c r="D188" s="39"/>
      <c r="E188" s="32">
        <f>H195</f>
        <v>63</v>
      </c>
      <c r="F188" s="38"/>
      <c r="G188" s="38"/>
      <c r="H188" s="37"/>
      <c r="I188" s="37"/>
      <c r="J188" s="37"/>
      <c r="K188" s="37"/>
      <c r="L188" s="37"/>
      <c r="M188" s="37"/>
      <c r="Q188" s="30"/>
      <c r="R188" s="10"/>
      <c r="S188" s="30"/>
      <c r="T188" s="30"/>
      <c r="U188" s="30"/>
    </row>
    <row r="189" spans="1:21" x14ac:dyDescent="0.15">
      <c r="A189" s="37"/>
      <c r="B189" s="37"/>
      <c r="C189" s="8" t="s">
        <v>33</v>
      </c>
      <c r="D189" s="39"/>
      <c r="E189" s="32">
        <f>H197</f>
        <v>200</v>
      </c>
      <c r="F189" s="38"/>
      <c r="G189" s="38"/>
      <c r="H189" s="37"/>
      <c r="I189" s="37"/>
      <c r="J189" s="37"/>
      <c r="K189" s="37"/>
      <c r="L189" s="37"/>
      <c r="M189" s="37"/>
      <c r="Q189" s="30"/>
      <c r="R189" s="10"/>
      <c r="S189" s="30"/>
      <c r="T189" s="30"/>
      <c r="U189" s="30"/>
    </row>
    <row r="190" spans="1:21" x14ac:dyDescent="0.15">
      <c r="A190" s="37"/>
      <c r="B190" s="30" t="s">
        <v>24</v>
      </c>
      <c r="C190" s="8" t="s">
        <v>69</v>
      </c>
      <c r="D190" s="8" t="s">
        <v>174</v>
      </c>
      <c r="E190" s="8">
        <f>I166</f>
        <v>386</v>
      </c>
      <c r="F190" s="31">
        <v>5</v>
      </c>
      <c r="G190" s="30">
        <v>1</v>
      </c>
      <c r="H190" s="30">
        <f>M190*F190*2</f>
        <v>10</v>
      </c>
      <c r="I190" s="30">
        <f>IF(ISNUMBER(FIND(LEFT(Q176,8),D190,1)),F190*L190,0)</f>
        <v>0</v>
      </c>
      <c r="J190" s="9">
        <f>J187-H190+I190</f>
        <v>99697011.600000009</v>
      </c>
      <c r="K190" s="30"/>
      <c r="L190" s="8">
        <f>'PK10'!Y56</f>
        <v>1389.6</v>
      </c>
      <c r="M190" s="31">
        <v>1</v>
      </c>
      <c r="N190" s="31"/>
      <c r="O190" s="31"/>
      <c r="P190" s="31"/>
      <c r="Q190" s="30"/>
      <c r="R190" s="10"/>
      <c r="S190" s="30"/>
      <c r="T190" s="30"/>
      <c r="U190" s="30"/>
    </row>
    <row r="191" spans="1:21" x14ac:dyDescent="0.15">
      <c r="A191" s="38" t="s">
        <v>64</v>
      </c>
      <c r="B191" s="38" t="s">
        <v>81</v>
      </c>
      <c r="C191" s="8" t="s">
        <v>33</v>
      </c>
      <c r="D191" s="39" t="str">
        <f>TRIM(IF(LEN(C191)=0,"-",C191))&amp;","&amp;TRIM(IF(LEN(C192)=0,"-",C192))</f>
        <v>01 02 03 04 05 06 07 08 09 10,01 02 03 04 05 06 07 08 09 10</v>
      </c>
      <c r="E191" s="32">
        <f>I176</f>
        <v>0</v>
      </c>
      <c r="F191" s="38">
        <v>1</v>
      </c>
      <c r="G191" s="38">
        <v>1</v>
      </c>
      <c r="H191" s="37">
        <f>((LEN(SUBSTITUTE(C191," ",))/2*LEN(SUBSTITUTE(C192," ",))/2)-10)*F191*2</f>
        <v>180</v>
      </c>
      <c r="I191" s="37">
        <f>N(AND(ISNUMBER(FIND(Q166,C191,1)),ISNUMBER(FIND(Q167,C192,1))))*L191*F191</f>
        <v>173.7</v>
      </c>
      <c r="J191" s="37">
        <f>J190-H191+I191</f>
        <v>99697005.300000012</v>
      </c>
      <c r="K191" s="37"/>
      <c r="L191" s="37">
        <f>'PK10'!Y57</f>
        <v>173.7</v>
      </c>
      <c r="M191" s="37"/>
      <c r="Q191" s="30"/>
      <c r="R191" s="10"/>
      <c r="S191" s="30"/>
      <c r="T191" s="30"/>
      <c r="U191" s="30"/>
    </row>
    <row r="192" spans="1:21" x14ac:dyDescent="0.15">
      <c r="A192" s="37"/>
      <c r="B192" s="37"/>
      <c r="C192" s="8" t="s">
        <v>33</v>
      </c>
      <c r="D192" s="39"/>
      <c r="E192" s="32">
        <f>I181</f>
        <v>0</v>
      </c>
      <c r="F192" s="38"/>
      <c r="G192" s="38"/>
      <c r="H192" s="37"/>
      <c r="I192" s="37"/>
      <c r="J192" s="37"/>
      <c r="K192" s="37"/>
      <c r="L192" s="37"/>
      <c r="M192" s="37"/>
      <c r="Q192" s="30"/>
      <c r="R192" s="10"/>
      <c r="S192" s="31" t="s">
        <v>113</v>
      </c>
      <c r="T192" s="31" t="s">
        <v>216</v>
      </c>
      <c r="U192" s="31" t="s">
        <v>114</v>
      </c>
    </row>
    <row r="193" spans="1:21" x14ac:dyDescent="0.15">
      <c r="A193" s="37"/>
      <c r="B193" s="30" t="s">
        <v>24</v>
      </c>
      <c r="C193" s="8" t="s">
        <v>70</v>
      </c>
      <c r="D193" s="8" t="s">
        <v>214</v>
      </c>
      <c r="E193" s="8">
        <f>I182</f>
        <v>9727.2000000000007</v>
      </c>
      <c r="F193" s="31">
        <v>2</v>
      </c>
      <c r="G193" s="30">
        <v>1</v>
      </c>
      <c r="H193" s="30">
        <f>M193*F193*2</f>
        <v>12</v>
      </c>
      <c r="I193" s="30">
        <f>IF(ISNUMBER(FIND(LEFT(Q176,5),D193,1)),F193*L193,0)</f>
        <v>0</v>
      </c>
      <c r="J193" s="30">
        <f>J191-H193+I193</f>
        <v>99696993.300000012</v>
      </c>
      <c r="K193" s="30"/>
      <c r="L193" s="8">
        <f>'PK10'!Y58</f>
        <v>173.7</v>
      </c>
      <c r="M193" s="30">
        <v>3</v>
      </c>
      <c r="Q193" s="31" t="s">
        <v>52</v>
      </c>
      <c r="R193" s="8">
        <f>N(AND(SUM(INT(Q$2),INT(Q167))&gt;11,ISNUMBER(FIND(Q193,C195,1))))</f>
        <v>0</v>
      </c>
      <c r="S193" s="30">
        <f>R193*'PK10'!Y182</f>
        <v>0</v>
      </c>
      <c r="T193" s="30">
        <f>R193*'PK10'!W182</f>
        <v>0</v>
      </c>
      <c r="U193" s="30">
        <f>R193*'PK10'!Z182</f>
        <v>0</v>
      </c>
    </row>
    <row r="194" spans="1:21" ht="27" x14ac:dyDescent="0.15">
      <c r="A194" s="31" t="s">
        <v>66</v>
      </c>
      <c r="B194" s="31" t="s">
        <v>81</v>
      </c>
      <c r="C194" s="8" t="s">
        <v>33</v>
      </c>
      <c r="D194" s="8" t="s">
        <v>33</v>
      </c>
      <c r="E194" s="8">
        <f>I186</f>
        <v>0</v>
      </c>
      <c r="F194" s="31">
        <v>3</v>
      </c>
      <c r="G194" s="30">
        <v>1</v>
      </c>
      <c r="H194" s="30">
        <f>LEN(SUBSTITUTE(C192," ",))/2*F194*2</f>
        <v>60</v>
      </c>
      <c r="I194" s="30">
        <f>N(AND(ISNUMBER(FIND(Q166,C194,1))))*L194*F194</f>
        <v>57.900000000000006</v>
      </c>
      <c r="J194" s="30">
        <f>J193-H194+I194</f>
        <v>99696991.200000018</v>
      </c>
      <c r="K194" s="30"/>
      <c r="L194" s="8">
        <f>'PK10'!Y59</f>
        <v>19.3</v>
      </c>
      <c r="M194" s="30"/>
      <c r="Q194" s="31" t="s">
        <v>46</v>
      </c>
      <c r="R194" s="8">
        <f>N(AND(SUM(INT(Q166),INT(Q167))&lt;12,ISNUMBER(FIND(Q194,C195,1))))</f>
        <v>1</v>
      </c>
      <c r="S194" s="30">
        <f>R194*'PK10'!Y183</f>
        <v>0</v>
      </c>
      <c r="T194" s="30">
        <f>R194*'PK10'!W183</f>
        <v>0</v>
      </c>
      <c r="U194" s="30">
        <f>R194*'PK10'!Z183</f>
        <v>0</v>
      </c>
    </row>
    <row r="195" spans="1:21" x14ac:dyDescent="0.15">
      <c r="A195" s="37"/>
      <c r="B195" s="37" t="s">
        <v>28</v>
      </c>
      <c r="C195" s="8" t="s">
        <v>40</v>
      </c>
      <c r="D195" s="39" t="str">
        <f>TRIM(IF(LEN(C195)=0,"-",C195))&amp;","&amp;TRIM(IF(LEN(C196)=0,"-",C196))</f>
        <v>和大 和小 和单 和双,03 04 05 06 07 08 09 10 11 12 13 14 15 16 17 18 19</v>
      </c>
      <c r="E195" s="32">
        <f>I187</f>
        <v>5558.4</v>
      </c>
      <c r="F195" s="37">
        <v>1</v>
      </c>
      <c r="G195" s="38">
        <v>3</v>
      </c>
      <c r="H195" s="37">
        <f>(LEN(SUBSTITUTE(C195," ",))+LEN(SUBSTITUTE(C196," ",)))/2*G195</f>
        <v>63</v>
      </c>
      <c r="I195" s="37">
        <f>SUM(S193:S201)*G195</f>
        <v>0</v>
      </c>
      <c r="J195" s="37">
        <f>J194-H195+I195</f>
        <v>99696928.200000018</v>
      </c>
      <c r="K195" s="37"/>
      <c r="L195" s="37" t="e">
        <f>'PK10'!Y60</f>
        <v>#VALUE!</v>
      </c>
      <c r="M195" s="37"/>
      <c r="Q195" s="31" t="s">
        <v>47</v>
      </c>
      <c r="R195" s="8">
        <f>N(AND(MOD(SUM(INT(Q166),INT(Q167)),2)=0,ISNUMBER(FIND(Q195,C195,1))))</f>
        <v>0</v>
      </c>
      <c r="S195" s="30">
        <f>R195*'PK10'!Y182</f>
        <v>0</v>
      </c>
      <c r="T195" s="30">
        <f>R195*'PK10'!W182</f>
        <v>0</v>
      </c>
      <c r="U195" s="30">
        <f>R195*'PK10'!Z182</f>
        <v>0</v>
      </c>
    </row>
    <row r="196" spans="1:21" ht="27" x14ac:dyDescent="0.15">
      <c r="A196" s="37"/>
      <c r="B196" s="37"/>
      <c r="C196" s="8" t="s">
        <v>39</v>
      </c>
      <c r="D196" s="39"/>
      <c r="E196" s="32">
        <f>I190</f>
        <v>0</v>
      </c>
      <c r="F196" s="37"/>
      <c r="G196" s="38"/>
      <c r="H196" s="37"/>
      <c r="I196" s="37"/>
      <c r="J196" s="37"/>
      <c r="K196" s="37"/>
      <c r="L196" s="37"/>
      <c r="M196" s="37"/>
      <c r="Q196" s="31" t="s">
        <v>53</v>
      </c>
      <c r="R196" s="8">
        <f>N(AND(MOD(SUM(INT(Q166),INT(Q167)),2)=1,ISNUMBER(FIND(Q196,C195,1))))</f>
        <v>1</v>
      </c>
      <c r="S196" s="30">
        <f>R196*'PK10'!Y183</f>
        <v>0</v>
      </c>
      <c r="T196" s="30">
        <f>R196*'PK10'!W183</f>
        <v>0</v>
      </c>
      <c r="U196" s="30">
        <f>R196*'PK10'!Z183</f>
        <v>0</v>
      </c>
    </row>
    <row r="197" spans="1:21" x14ac:dyDescent="0.15">
      <c r="A197" s="37"/>
      <c r="B197" s="37" t="s">
        <v>30</v>
      </c>
      <c r="C197" s="8" t="s">
        <v>41</v>
      </c>
      <c r="D197" s="39" t="str">
        <f>TRIM(IF(LEN(C197)=0,"-",C197))&amp;","&amp;TRIM(IF(LEN(C198)=0,"-",C198))&amp;","&amp;TRIM(IF(LEN(C199)=0,"-",C199))&amp;","&amp;TRIM(IF(LEN(C200)=0,"-",C200))&amp;","&amp;TRIM(IF(LEN(C201)=0,"-",C201))&amp;","&amp;TRIM(IF(LEN(C202)=0,"-",C202))&amp;","&amp;TRIM(IF(LEN(C203)=0,"-",C203))&amp;","&amp;TRIM(IF(LEN(C204)=0,"-",C204))&amp;","&amp;TRIM(IF(LEN(C205)=0,"-",C205))&amp;","&amp;TRIM(IF(LEN(C206)=0,"-",C206))</f>
        <v>大 小 单 双 龙 虎,大 小 单 双 龙 虎,大 小 单 双 龙 虎,大 小 单 双 龙 虎,大 小 单 双 龙 虎,大 小 单 双,大 小 单 双,大 小 单 双,大 小 单 双,大 小 单 双</v>
      </c>
      <c r="E197" s="32">
        <f>I191</f>
        <v>173.7</v>
      </c>
      <c r="F197" s="37">
        <v>1</v>
      </c>
      <c r="G197" s="38">
        <v>4</v>
      </c>
      <c r="H197" s="37">
        <f>(LEN(SUBSTITUTE(C197," ",))+LEN(SUBSTITUTE(C198," ",))+LEN(SUBSTITUTE(C199," ",))+LEN(SUBSTITUTE(C200," ",))+LEN(SUBSTITUTE(C201," ",))+LEN(SUBSTITUTE(C202," ",))+LEN(SUBSTITUTE(C203," ",))+LEN(SUBSTITUTE(C204," ",))+LEN(SUBSTITUTE(C205," ",))+LEN(SUBSTITUTE(C206," ",)))*G197</f>
        <v>200</v>
      </c>
      <c r="I197" s="38">
        <f>SUM(M197:M206)</f>
        <v>193</v>
      </c>
      <c r="J197" s="37">
        <f>J195-H197+I197</f>
        <v>99696921.200000018</v>
      </c>
      <c r="K197" s="37"/>
      <c r="L197" s="37">
        <f>'PK10'!Y61</f>
        <v>1.93</v>
      </c>
      <c r="M197" s="9">
        <f>SUM(N(ISNUMBER(FIND($Q177,$C197,1))),N(ISNUMBER(FIND($R177,$C197,1))),N(ISNUMBER(FIND($S177,$C197,1))))*L197*G197</f>
        <v>23.16</v>
      </c>
      <c r="N197" s="9"/>
      <c r="O197" s="9"/>
      <c r="P197" s="9"/>
      <c r="Q197" s="31" t="s">
        <v>48</v>
      </c>
      <c r="R197" s="8">
        <f>IF(SUM(INT(Q166),INT(Q167))&lt;10,N(ISNUMBER(FIND((0&amp;SUM(INT(Q166),INT(Q167))),Q197,1))),N(ISNUMBER(FIND(SUM(INT(Q166),INT(Q167)),Q197,1))))</f>
        <v>0</v>
      </c>
      <c r="S197" s="30">
        <f>R197*'PK10'!Y184</f>
        <v>0</v>
      </c>
      <c r="T197" s="30">
        <f>R197*'PK10'!W184</f>
        <v>0</v>
      </c>
      <c r="U197" s="30">
        <f>R197*'PK10'!Z184</f>
        <v>0</v>
      </c>
    </row>
    <row r="198" spans="1:21" x14ac:dyDescent="0.15">
      <c r="A198" s="37"/>
      <c r="B198" s="37"/>
      <c r="C198" s="8" t="s">
        <v>41</v>
      </c>
      <c r="D198" s="39"/>
      <c r="E198" s="32">
        <f>I193</f>
        <v>0</v>
      </c>
      <c r="F198" s="37"/>
      <c r="G198" s="38"/>
      <c r="H198" s="37"/>
      <c r="I198" s="37"/>
      <c r="J198" s="37"/>
      <c r="K198" s="37"/>
      <c r="L198" s="37"/>
      <c r="M198" s="9">
        <f>SUM(N(ISNUMBER(FIND($Q178,$C198,1))),N(ISNUMBER(FIND($R178,$C198,1))),N(ISNUMBER(FIND($S178,$C198,1))))*L197*G197</f>
        <v>23.16</v>
      </c>
      <c r="N198" s="9"/>
      <c r="O198" s="9"/>
      <c r="P198" s="9"/>
      <c r="Q198" s="31" t="s">
        <v>49</v>
      </c>
      <c r="R198" s="8">
        <f>IF(SUM(INT(Q166),INT(Q167))&lt;10,N(ISNUMBER(FIND((0&amp;SUM(INT(Q166),INT(Q167))),Q198,1))),N(ISNUMBER(FIND(SUM(INT(Q166),INT(Q167)),Q198,1))))</f>
        <v>0</v>
      </c>
      <c r="S198" s="30">
        <f>R198*'PK10'!Y185</f>
        <v>0</v>
      </c>
      <c r="T198" s="30">
        <f>R198*'PK10'!W185</f>
        <v>0</v>
      </c>
      <c r="U198" s="30">
        <f>R198*'PK10'!Z185</f>
        <v>0</v>
      </c>
    </row>
    <row r="199" spans="1:21" x14ac:dyDescent="0.15">
      <c r="A199" s="37"/>
      <c r="B199" s="37"/>
      <c r="C199" s="8" t="s">
        <v>41</v>
      </c>
      <c r="D199" s="39"/>
      <c r="E199" s="32">
        <f>I194</f>
        <v>57.900000000000006</v>
      </c>
      <c r="F199" s="37"/>
      <c r="G199" s="38"/>
      <c r="H199" s="37"/>
      <c r="I199" s="37"/>
      <c r="J199" s="37"/>
      <c r="K199" s="37"/>
      <c r="L199" s="37"/>
      <c r="M199" s="9">
        <f>SUM(N(ISNUMBER(FIND($Q179,$C199,1))),N(ISNUMBER(FIND($R179,$C199,1))),N(ISNUMBER(FIND($S179,$C199,1))))*L197*G197</f>
        <v>23.16</v>
      </c>
      <c r="N199" s="9"/>
      <c r="O199" s="9"/>
      <c r="P199" s="9"/>
      <c r="Q199" s="31" t="s">
        <v>50</v>
      </c>
      <c r="R199" s="8">
        <f>IF(SUM(INT(Q166),INT(Q167))&lt;10,N(ISNUMBER(FIND((0&amp;SUM(INT(Q166),INT(Q167))),Q199,1))),N(ISNUMBER(FIND(SUM(INT(Q166),INT(Q167)),Q199,1))))</f>
        <v>0</v>
      </c>
      <c r="S199" s="30">
        <f>R199*'PK10'!Y186</f>
        <v>0</v>
      </c>
      <c r="T199" s="30">
        <f>R199*'PK10'!W186</f>
        <v>0</v>
      </c>
      <c r="U199" s="30">
        <f>R199*'PK10'!Z186</f>
        <v>0</v>
      </c>
    </row>
    <row r="200" spans="1:21" x14ac:dyDescent="0.15">
      <c r="A200" s="37"/>
      <c r="B200" s="37"/>
      <c r="C200" s="8" t="s">
        <v>41</v>
      </c>
      <c r="D200" s="39"/>
      <c r="E200" s="32">
        <f>I195</f>
        <v>0</v>
      </c>
      <c r="F200" s="37"/>
      <c r="G200" s="38"/>
      <c r="H200" s="37"/>
      <c r="I200" s="37"/>
      <c r="J200" s="37"/>
      <c r="K200" s="37"/>
      <c r="L200" s="37"/>
      <c r="M200" s="9">
        <f>SUM(N(ISNUMBER(FIND($Q180,$C200,1))),N(ISNUMBER(FIND($R180,$C200,1))),N(ISNUMBER(FIND($S180,$C200,1))))*L197*G197</f>
        <v>23.16</v>
      </c>
      <c r="N200" s="9"/>
      <c r="O200" s="9"/>
      <c r="P200" s="9"/>
      <c r="Q200" s="31" t="s">
        <v>51</v>
      </c>
      <c r="R200" s="8">
        <f>IF(SUM(INT(Q166),INT(Q167))&lt;10,N(ISNUMBER(FIND((0&amp;SUM(INT(Q166),INT(Q167))),Q200,1))),N(ISNUMBER(FIND(SUM(INT(Q166),INT(Q167)),Q200,1))))</f>
        <v>1</v>
      </c>
      <c r="S200" s="30">
        <f>R200*'PK10'!Y187</f>
        <v>0</v>
      </c>
      <c r="T200" s="30">
        <f>R200*'PK10'!W187</f>
        <v>0</v>
      </c>
      <c r="U200" s="30">
        <f>R200*'PK10'!Z187</f>
        <v>0</v>
      </c>
    </row>
    <row r="201" spans="1:21" x14ac:dyDescent="0.15">
      <c r="A201" s="37"/>
      <c r="B201" s="37"/>
      <c r="C201" s="8" t="s">
        <v>41</v>
      </c>
      <c r="D201" s="39"/>
      <c r="E201" s="32">
        <f>I197</f>
        <v>193</v>
      </c>
      <c r="F201" s="37"/>
      <c r="G201" s="38"/>
      <c r="H201" s="37"/>
      <c r="I201" s="37"/>
      <c r="J201" s="37"/>
      <c r="K201" s="37"/>
      <c r="L201" s="37"/>
      <c r="M201" s="9">
        <f>SUM(N(ISNUMBER(FIND($Q181,$C201,1))),N(ISNUMBER(FIND($R181,$C201,1))),N(ISNUMBER(FIND($S181,$C201,1))))*L197*G197</f>
        <v>23.16</v>
      </c>
      <c r="N201" s="9"/>
      <c r="O201" s="9"/>
      <c r="P201" s="9"/>
      <c r="Q201" s="30">
        <v>11</v>
      </c>
      <c r="R201" s="8">
        <f>IF(SUM(INT(Q166),INT(Q167))&lt;10,N(ISNUMBER(FIND((0&amp;SUM(INT(Q166),INT(Q167))),Q201,1))),N(ISNUMBER(FIND(SUM(INT(Q166),INT(Q167)),Q201,1))))</f>
        <v>0</v>
      </c>
      <c r="S201" s="30">
        <f>R201*'PK10'!Y188</f>
        <v>0</v>
      </c>
      <c r="T201" s="30">
        <f>R201*'PK10'!W188</f>
        <v>0</v>
      </c>
      <c r="U201" s="30">
        <f>R201*'PK10'!Z188</f>
        <v>0</v>
      </c>
    </row>
    <row r="202" spans="1:21" x14ac:dyDescent="0.15">
      <c r="A202" s="37"/>
      <c r="B202" s="37"/>
      <c r="C202" s="8" t="s">
        <v>43</v>
      </c>
      <c r="D202" s="39"/>
      <c r="F202" s="37"/>
      <c r="G202" s="38"/>
      <c r="H202" s="37"/>
      <c r="I202" s="37"/>
      <c r="J202" s="37"/>
      <c r="K202" s="37"/>
      <c r="L202" s="37"/>
      <c r="M202" s="9">
        <f>SUM(N(ISNUMBER(FIND($Q182,$C202,1))),N(ISNUMBER(FIND($R182,$C202,1))))*L197*G197</f>
        <v>15.44</v>
      </c>
      <c r="N202" s="9"/>
      <c r="O202" s="9"/>
      <c r="P202" s="9"/>
      <c r="Q202" s="30"/>
      <c r="R202" s="10"/>
      <c r="S202" s="30"/>
      <c r="T202" s="30"/>
      <c r="U202" s="30"/>
    </row>
    <row r="203" spans="1:21" x14ac:dyDescent="0.15">
      <c r="A203" s="37"/>
      <c r="B203" s="37"/>
      <c r="C203" s="8" t="s">
        <v>43</v>
      </c>
      <c r="D203" s="39"/>
      <c r="F203" s="37"/>
      <c r="G203" s="38"/>
      <c r="H203" s="37"/>
      <c r="I203" s="37"/>
      <c r="J203" s="37"/>
      <c r="K203" s="37"/>
      <c r="L203" s="37"/>
      <c r="M203" s="9">
        <f>SUM(N(ISNUMBER(FIND($Q183,$C203,1))),N(ISNUMBER(FIND($R183,$C203,1))))*L197*G197</f>
        <v>15.44</v>
      </c>
      <c r="N203" s="9"/>
      <c r="O203" s="9"/>
      <c r="P203" s="9"/>
      <c r="Q203" s="30"/>
      <c r="R203" s="32"/>
      <c r="S203" s="30"/>
      <c r="T203" s="30"/>
      <c r="U203" s="30"/>
    </row>
    <row r="204" spans="1:21" x14ac:dyDescent="0.15">
      <c r="A204" s="37"/>
      <c r="B204" s="37"/>
      <c r="C204" s="8" t="s">
        <v>43</v>
      </c>
      <c r="D204" s="39"/>
      <c r="F204" s="37"/>
      <c r="G204" s="38"/>
      <c r="H204" s="37"/>
      <c r="I204" s="37"/>
      <c r="J204" s="37"/>
      <c r="K204" s="37"/>
      <c r="L204" s="37"/>
      <c r="M204" s="9">
        <f>SUM(N(ISNUMBER(FIND($Q184,$C204,1))),N(ISNUMBER(FIND($R184,$C204,1))))*L197*G197</f>
        <v>15.44</v>
      </c>
      <c r="N204" s="9"/>
      <c r="O204" s="9"/>
      <c r="P204" s="9"/>
      <c r="Q204" s="30"/>
      <c r="R204" s="32"/>
      <c r="S204" s="30"/>
      <c r="T204" s="30"/>
      <c r="U204" s="30"/>
    </row>
    <row r="205" spans="1:21" x14ac:dyDescent="0.15">
      <c r="A205" s="37"/>
      <c r="B205" s="37"/>
      <c r="C205" s="8" t="s">
        <v>43</v>
      </c>
      <c r="D205" s="39"/>
      <c r="F205" s="37"/>
      <c r="G205" s="38"/>
      <c r="H205" s="37"/>
      <c r="I205" s="37"/>
      <c r="J205" s="37"/>
      <c r="K205" s="37"/>
      <c r="L205" s="37"/>
      <c r="M205" s="9">
        <f>SUM(N(ISNUMBER(FIND($Q185,$C205,1))),N(ISNUMBER(FIND($R185,$C205,1))))*L197*G197</f>
        <v>15.44</v>
      </c>
      <c r="N205" s="9"/>
      <c r="O205" s="9"/>
      <c r="P205" s="9"/>
      <c r="Q205" s="30"/>
      <c r="R205" s="32"/>
      <c r="S205" s="30"/>
      <c r="T205" s="30"/>
      <c r="U205" s="30"/>
    </row>
    <row r="206" spans="1:21" x14ac:dyDescent="0.15">
      <c r="A206" s="37"/>
      <c r="B206" s="37"/>
      <c r="C206" s="8" t="s">
        <v>43</v>
      </c>
      <c r="D206" s="39"/>
      <c r="F206" s="37"/>
      <c r="G206" s="38"/>
      <c r="H206" s="37"/>
      <c r="I206" s="37"/>
      <c r="J206" s="37"/>
      <c r="K206" s="37"/>
      <c r="L206" s="37"/>
      <c r="M206" s="9">
        <f>SUM(N(ISNUMBER(FIND($Q186,$C206,1))),N(ISNUMBER(FIND($R186,$C206,1))))*L197*G197</f>
        <v>15.44</v>
      </c>
      <c r="N206" s="9"/>
      <c r="O206" s="9"/>
      <c r="P206" s="9"/>
      <c r="Q206" s="30"/>
      <c r="R206" s="32"/>
      <c r="S206" s="30"/>
      <c r="T206" s="30"/>
      <c r="U206" s="30"/>
    </row>
    <row r="207" spans="1:21" ht="162" x14ac:dyDescent="0.15">
      <c r="A207" s="38" t="s">
        <v>221</v>
      </c>
      <c r="B207" s="37" t="s">
        <v>18</v>
      </c>
      <c r="C207" s="8" t="s">
        <v>33</v>
      </c>
      <c r="D207" s="39" t="str">
        <f>TRIM(IF(LEN(C207)=0,"-",C207))&amp;","&amp;TRIM(IF(LEN(C208)=0,"-",C208))&amp;","&amp;TRIM(IF(LEN(C209)=0,"-",C209))&amp;","&amp;TRIM(IF(LEN(C210)=0,"-",C210))&amp;","&amp;TRIM(IF(LEN(C211)=0,"-",C211))&amp;","&amp;TRIM(IF(LEN(C212)=0,"-",C212))&amp;","&amp;TRIM(IF(LEN(C213)=0,"-",C213))&amp;","&amp;TRIM(IF(LEN(C214)=0,"-",C214))&amp;","&amp;TRIM(IF(LEN(C215)=0,"-",C215))&amp;","&amp;TRIM(IF(LEN(C216)=0,"-",C216)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07" s="32" t="str">
        <f>D207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F207" s="38">
        <v>2</v>
      </c>
      <c r="G207" s="38">
        <v>1</v>
      </c>
      <c r="H207" s="37">
        <f>(LEN(SUBSTITUTE(C207," ",))+LEN(SUBSTITUTE(C208," ",))+LEN(SUBSTITUTE(C209," ",))+LEN(SUBSTITUTE(C210," ",))+LEN(SUBSTITUTE(C211," ",))+LEN(SUBSTITUTE(C212," ",))+LEN(SUBSTITUTE(C213," ",))+LEN(SUBSTITUTE(C214," ",))+LEN(SUBSTITUTE(C215," ",))+LEN(SUBSTITUTE(C216," ",)))/2*F207*2</f>
        <v>400</v>
      </c>
      <c r="I207" s="39">
        <f>SUM(N(ISNUMBER(FIND(Q207,C207,1))),N(ISNUMBER(FIND(Q208,C208,1))),N(ISNUMBER(FIND(Q209,C209,1))),N(ISNUMBER(FIND(Q210,C210,1))),N(ISNUMBER(FIND(Q211,C211,1))),N(ISNUMBER(FIND(Q212,C212,1))),N(ISNUMBER(FIND(Q213,C213,1))),N(ISNUMBER(FIND(Q214,C214,1))),N(ISNUMBER(FIND(Q215,C215,1))),N(ISNUMBER(FIND(Q216,C216,1))))*L207*F207</f>
        <v>386</v>
      </c>
      <c r="J207" s="37">
        <f>S207-H207+I207</f>
        <v>99999986</v>
      </c>
      <c r="K207" s="37"/>
      <c r="L207" s="39">
        <f>'PK10'!Y62</f>
        <v>19.3</v>
      </c>
      <c r="M207" s="39"/>
      <c r="N207" s="32"/>
      <c r="O207" s="32"/>
      <c r="P207" s="8" t="s">
        <v>220</v>
      </c>
      <c r="Q207" s="31" t="str">
        <f>LEFT(R217,2)</f>
        <v>07</v>
      </c>
      <c r="R207" s="32"/>
      <c r="S207" s="30">
        <v>100000000</v>
      </c>
      <c r="T207" s="30"/>
      <c r="U207" s="30"/>
    </row>
    <row r="208" spans="1:21" ht="27" x14ac:dyDescent="0.15">
      <c r="A208" s="38"/>
      <c r="B208" s="37"/>
      <c r="C208" s="8" t="s">
        <v>33</v>
      </c>
      <c r="D208" s="39"/>
      <c r="E208" s="32" t="str">
        <f>D217</f>
        <v>01 02 08,03 04 09,01 05 06,02 07 08,03 09 10</v>
      </c>
      <c r="F208" s="38"/>
      <c r="G208" s="38"/>
      <c r="H208" s="37"/>
      <c r="I208" s="39"/>
      <c r="J208" s="37"/>
      <c r="K208" s="37"/>
      <c r="L208" s="39"/>
      <c r="M208" s="39"/>
      <c r="N208" s="32"/>
      <c r="O208" s="32"/>
      <c r="P208" s="32"/>
      <c r="Q208" s="30" t="str">
        <f>MID(R217,4,2)</f>
        <v>02</v>
      </c>
      <c r="R208" s="32"/>
      <c r="S208" s="30"/>
      <c r="T208" s="30"/>
      <c r="U208" s="30"/>
    </row>
    <row r="209" spans="1:21" x14ac:dyDescent="0.15">
      <c r="A209" s="38"/>
      <c r="B209" s="37"/>
      <c r="C209" s="8" t="s">
        <v>33</v>
      </c>
      <c r="D209" s="39"/>
      <c r="E209" s="32" t="str">
        <f>D222</f>
        <v>08 09 01 02 03</v>
      </c>
      <c r="F209" s="38"/>
      <c r="G209" s="38"/>
      <c r="H209" s="37"/>
      <c r="I209" s="39"/>
      <c r="J209" s="37"/>
      <c r="K209" s="37"/>
      <c r="L209" s="39"/>
      <c r="M209" s="39"/>
      <c r="N209" s="32"/>
      <c r="O209" s="32"/>
      <c r="P209" s="32"/>
      <c r="Q209" s="30" t="str">
        <f>MID(R217,7,2)</f>
        <v>10</v>
      </c>
      <c r="R209" s="32"/>
      <c r="S209" s="30"/>
      <c r="T209" s="30"/>
      <c r="U209" s="30"/>
    </row>
    <row r="210" spans="1:21" ht="67.5" x14ac:dyDescent="0.15">
      <c r="A210" s="38"/>
      <c r="B210" s="37"/>
      <c r="C210" s="8" t="s">
        <v>33</v>
      </c>
      <c r="D210" s="39"/>
      <c r="E210" s="32" t="str">
        <f>D223</f>
        <v>01 02 03 04 05 06 07 08 09 10,01 02 03 04 05 06 07 08 09 10,01 02 03 04 05 06 07 08 09 10,01 02 03 04 05 06 07 08 09 10</v>
      </c>
      <c r="F210" s="38"/>
      <c r="G210" s="38"/>
      <c r="H210" s="37"/>
      <c r="I210" s="39"/>
      <c r="J210" s="37"/>
      <c r="K210" s="37"/>
      <c r="L210" s="39"/>
      <c r="M210" s="39"/>
      <c r="N210" s="32"/>
      <c r="O210" s="32"/>
      <c r="P210" s="32"/>
      <c r="Q210" s="30" t="str">
        <f>MID(R217,10,2)</f>
        <v>08</v>
      </c>
      <c r="R210" s="32"/>
      <c r="S210" s="30"/>
      <c r="T210" s="30"/>
      <c r="U210" s="30"/>
    </row>
    <row r="211" spans="1:21" x14ac:dyDescent="0.15">
      <c r="A211" s="38"/>
      <c r="B211" s="37"/>
      <c r="C211" s="8" t="s">
        <v>33</v>
      </c>
      <c r="D211" s="39"/>
      <c r="E211" s="32" t="str">
        <f>D227</f>
        <v>08 09 01 02</v>
      </c>
      <c r="F211" s="38"/>
      <c r="G211" s="38"/>
      <c r="H211" s="37"/>
      <c r="I211" s="39"/>
      <c r="J211" s="37"/>
      <c r="K211" s="37"/>
      <c r="L211" s="39"/>
      <c r="M211" s="39"/>
      <c r="N211" s="32"/>
      <c r="O211" s="32"/>
      <c r="P211" s="32"/>
      <c r="Q211" s="30" t="str">
        <f>MID(R217,13,2)</f>
        <v>09</v>
      </c>
      <c r="R211" s="32"/>
      <c r="S211" s="30"/>
      <c r="T211" s="30"/>
      <c r="U211" s="30"/>
    </row>
    <row r="212" spans="1:21" ht="54" x14ac:dyDescent="0.15">
      <c r="A212" s="38"/>
      <c r="B212" s="37"/>
      <c r="C212" s="8" t="s">
        <v>33</v>
      </c>
      <c r="D212" s="39"/>
      <c r="E212" s="32" t="str">
        <f>D228</f>
        <v>01 02 03 04 05 06 07 08 09 10,01 02 03 04 05 06 07 08 09 10,01 02 03 04 05 06 07 08 09 10</v>
      </c>
      <c r="F212" s="38"/>
      <c r="G212" s="38"/>
      <c r="H212" s="37"/>
      <c r="I212" s="39"/>
      <c r="J212" s="37"/>
      <c r="K212" s="37"/>
      <c r="L212" s="39"/>
      <c r="M212" s="39"/>
      <c r="N212" s="32"/>
      <c r="O212" s="32"/>
      <c r="P212" s="32"/>
      <c r="Q212" s="30" t="str">
        <f>MID(R217,16,2)</f>
        <v>01</v>
      </c>
      <c r="R212" s="32"/>
      <c r="S212" s="30"/>
      <c r="T212" s="30"/>
      <c r="U212" s="30"/>
    </row>
    <row r="213" spans="1:21" x14ac:dyDescent="0.15">
      <c r="A213" s="38"/>
      <c r="B213" s="37"/>
      <c r="C213" s="8" t="s">
        <v>33</v>
      </c>
      <c r="D213" s="39"/>
      <c r="E213" s="32" t="str">
        <f>D231</f>
        <v>08 09 01</v>
      </c>
      <c r="F213" s="38"/>
      <c r="G213" s="38"/>
      <c r="H213" s="37"/>
      <c r="I213" s="39"/>
      <c r="J213" s="37"/>
      <c r="K213" s="37"/>
      <c r="L213" s="39"/>
      <c r="M213" s="39"/>
      <c r="N213" s="32"/>
      <c r="O213" s="32"/>
      <c r="P213" s="32"/>
      <c r="Q213" s="30" t="str">
        <f>MID(R217,19,2)</f>
        <v>06</v>
      </c>
      <c r="R213" s="32"/>
      <c r="S213" s="30"/>
      <c r="T213" s="30"/>
      <c r="U213" s="30"/>
    </row>
    <row r="214" spans="1:21" ht="40.5" x14ac:dyDescent="0.15">
      <c r="A214" s="38"/>
      <c r="B214" s="37"/>
      <c r="C214" s="8" t="s">
        <v>33</v>
      </c>
      <c r="D214" s="39"/>
      <c r="E214" s="32" t="str">
        <f>D232</f>
        <v>01 02 03 04 05 06 07 08 09 10,01 02 03 04 05 06 07 08 09 10</v>
      </c>
      <c r="F214" s="38"/>
      <c r="G214" s="38"/>
      <c r="H214" s="37"/>
      <c r="I214" s="39"/>
      <c r="J214" s="37"/>
      <c r="K214" s="37"/>
      <c r="L214" s="39"/>
      <c r="M214" s="39"/>
      <c r="N214" s="32"/>
      <c r="O214" s="32"/>
      <c r="P214" s="32"/>
      <c r="Q214" s="30" t="str">
        <f>MID(R217,22,2)</f>
        <v>04</v>
      </c>
      <c r="R214" s="32"/>
      <c r="S214" s="30"/>
      <c r="T214" s="30"/>
      <c r="U214" s="30"/>
    </row>
    <row r="215" spans="1:21" x14ac:dyDescent="0.15">
      <c r="A215" s="38"/>
      <c r="B215" s="37"/>
      <c r="C215" s="8" t="s">
        <v>33</v>
      </c>
      <c r="D215" s="39"/>
      <c r="E215" s="32" t="str">
        <f>D234</f>
        <v>02 03,08 09,09 04,05 09</v>
      </c>
      <c r="F215" s="38"/>
      <c r="G215" s="38"/>
      <c r="H215" s="37"/>
      <c r="I215" s="39"/>
      <c r="J215" s="37"/>
      <c r="K215" s="37"/>
      <c r="L215" s="39"/>
      <c r="M215" s="39"/>
      <c r="N215" s="32"/>
      <c r="O215" s="32"/>
      <c r="P215" s="32"/>
      <c r="Q215" s="30" t="str">
        <f>MID(R217,25,2)</f>
        <v>03</v>
      </c>
      <c r="R215" s="32"/>
      <c r="S215" s="30"/>
      <c r="T215" s="30"/>
      <c r="U215" s="30"/>
    </row>
    <row r="216" spans="1:21" ht="27" x14ac:dyDescent="0.15">
      <c r="A216" s="38"/>
      <c r="B216" s="37"/>
      <c r="C216" s="8" t="s">
        <v>33</v>
      </c>
      <c r="D216" s="39"/>
      <c r="E216" s="32" t="str">
        <f>D235</f>
        <v xml:space="preserve">01 02 03 04 05 06 07 08 09 10 </v>
      </c>
      <c r="F216" s="38"/>
      <c r="G216" s="38"/>
      <c r="H216" s="37"/>
      <c r="I216" s="39"/>
      <c r="J216" s="37"/>
      <c r="K216" s="37"/>
      <c r="L216" s="39"/>
      <c r="M216" s="39"/>
      <c r="N216" s="32"/>
      <c r="O216" s="32"/>
      <c r="P216" s="32"/>
      <c r="Q216" s="30" t="str">
        <f>MID(R217,28,2)</f>
        <v>05</v>
      </c>
      <c r="R216" s="32"/>
      <c r="S216" s="30"/>
      <c r="T216" s="30"/>
      <c r="U216" s="30"/>
    </row>
    <row r="217" spans="1:21" ht="40.5" x14ac:dyDescent="0.15">
      <c r="A217" s="38" t="s">
        <v>58</v>
      </c>
      <c r="B217" s="38" t="s">
        <v>81</v>
      </c>
      <c r="C217" s="8" t="s">
        <v>175</v>
      </c>
      <c r="D217" s="39" t="str">
        <f>TRIM(IF(LEN(C217)=0,"-",C217))&amp;","&amp;TRIM(IF(LEN(C218)=0,"-",C218))&amp;","&amp;TRIM(IF(LEN(C219)=0,"-",C219))&amp;","&amp;TRIM(IF(LEN(C220)=0,"-",C220))&amp;","&amp;TRIM(IF(LEN(C221)=0,"-",C221))</f>
        <v>01 02 08,03 04 09,01 05 06,02 07 08,03 09 10</v>
      </c>
      <c r="E217" s="32" t="str">
        <f>D236</f>
        <v>和大 和小 和单 和双,03 04 05 06 07 08 09 10 11 12 13 14 15 16 17 18 19</v>
      </c>
      <c r="F217" s="38">
        <v>5</v>
      </c>
      <c r="G217" s="38">
        <v>1</v>
      </c>
      <c r="H217" s="37">
        <f>30240*F217*2</f>
        <v>302400</v>
      </c>
      <c r="I217" s="37">
        <f>N(AND(ISNUMBER(FIND(Q207,C217,1)),ISNUMBER(FIND(Q208,C218,1)),ISNUMBER(FIND(Q209,C219,1)),ISNUMBER(FIND(Q210,C220,1)),ISNUMBER(FIND(Q211,C221,1))))*L217*F217</f>
        <v>0</v>
      </c>
      <c r="J217" s="37">
        <f>J207-H217+I217</f>
        <v>99697586</v>
      </c>
      <c r="K217" s="37"/>
      <c r="L217" s="37">
        <f>'PK10'!Y63</f>
        <v>58363.199999999997</v>
      </c>
      <c r="M217" s="37">
        <f>IF(ISNUMBER(agent!$O$6*AC217*$AA217),TRUNC(agent!$O$6*SUM(PK10Source!S234:S235)*SUM(PK10Source!T234:T235)+agent!$O$6*SUM(PK10Source!S236:S237)*SUM(PK10Source!T236:T237)+agent!$O$6*SUM(PK10Source!S238:S242)*SUM(PK10Source!T238:T242),3),"没有上级")</f>
        <v>0</v>
      </c>
      <c r="Q217" s="32" t="str">
        <f>Q207&amp;" "&amp;Q208&amp;" "&amp;Q209&amp;" "&amp;Q210&amp;" "&amp;Q211&amp;" "&amp;Q212&amp;" "&amp;Q213&amp;" "&amp;Q214&amp;" "&amp;Q215&amp;" "&amp;Q216</f>
        <v>07 02 10 08 09 01 06 04 03 05</v>
      </c>
      <c r="R217" s="8" t="s">
        <v>219</v>
      </c>
      <c r="S217" s="30"/>
      <c r="T217" s="30"/>
      <c r="U217" s="30"/>
    </row>
    <row r="218" spans="1:21" ht="81" x14ac:dyDescent="0.15">
      <c r="A218" s="37"/>
      <c r="B218" s="37"/>
      <c r="C218" s="8" t="s">
        <v>176</v>
      </c>
      <c r="D218" s="39"/>
      <c r="E218" s="32" t="str">
        <f>D238</f>
        <v>大 小 单 双 龙 虎,大 小 单 双 龙 虎,大 小 单 双 龙 虎,大 小 单 双 龙 虎,大 小 单 双 龙 虎,大 小 单 双,大 小 单 双,大 小 单 双,大 小 单 双,大 小 单 双</v>
      </c>
      <c r="F218" s="38"/>
      <c r="G218" s="38"/>
      <c r="H218" s="37"/>
      <c r="I218" s="37"/>
      <c r="J218" s="37"/>
      <c r="K218" s="37"/>
      <c r="L218" s="37"/>
      <c r="M218" s="37"/>
      <c r="Q218" s="30" t="str">
        <f>IF(MOD(Q207,2)=0,"双","单")</f>
        <v>单</v>
      </c>
      <c r="R218" s="32" t="str">
        <f>IF(INT(Q207)&gt;5,"大","小")</f>
        <v>大</v>
      </c>
      <c r="S218" s="30" t="str">
        <f>IF(Q207&gt;Q216,"龙","虎")</f>
        <v>龙</v>
      </c>
      <c r="T218" s="30"/>
      <c r="U218" s="30"/>
    </row>
    <row r="219" spans="1:21" x14ac:dyDescent="0.15">
      <c r="A219" s="37"/>
      <c r="B219" s="37"/>
      <c r="C219" s="8" t="s">
        <v>177</v>
      </c>
      <c r="D219" s="39"/>
      <c r="E219" s="32">
        <f>H207</f>
        <v>400</v>
      </c>
      <c r="F219" s="38"/>
      <c r="G219" s="38"/>
      <c r="H219" s="37"/>
      <c r="I219" s="37"/>
      <c r="J219" s="37"/>
      <c r="K219" s="37"/>
      <c r="L219" s="37"/>
      <c r="M219" s="37"/>
      <c r="Q219" s="30" t="str">
        <f t="shared" ref="Q219:Q226" si="10">IF(MOD(Q208,2)=0,"双","单")</f>
        <v>双</v>
      </c>
      <c r="R219" s="32" t="str">
        <f t="shared" ref="R219:R227" si="11">IF(INT(Q208)&gt;5,"大","小")</f>
        <v>小</v>
      </c>
      <c r="S219" s="30" t="str">
        <f>IF(Q208&gt;Q215,"龙","虎")</f>
        <v>虎</v>
      </c>
      <c r="T219" s="30"/>
      <c r="U219" s="30"/>
    </row>
    <row r="220" spans="1:21" x14ac:dyDescent="0.15">
      <c r="A220" s="37"/>
      <c r="B220" s="37"/>
      <c r="C220" s="8" t="s">
        <v>178</v>
      </c>
      <c r="D220" s="39"/>
      <c r="E220" s="32">
        <f>H217</f>
        <v>302400</v>
      </c>
      <c r="F220" s="38"/>
      <c r="G220" s="38"/>
      <c r="H220" s="37"/>
      <c r="I220" s="37"/>
      <c r="J220" s="37"/>
      <c r="K220" s="37"/>
      <c r="L220" s="37"/>
      <c r="M220" s="37"/>
      <c r="Q220" s="30" t="str">
        <f t="shared" si="10"/>
        <v>双</v>
      </c>
      <c r="R220" s="32" t="str">
        <f t="shared" si="11"/>
        <v>大</v>
      </c>
      <c r="S220" s="30" t="str">
        <f>IF(Q209&gt;Q214,"龙","虎")</f>
        <v>龙</v>
      </c>
      <c r="T220" s="30"/>
      <c r="U220" s="30"/>
    </row>
    <row r="221" spans="1:21" x14ac:dyDescent="0.15">
      <c r="A221" s="37"/>
      <c r="B221" s="37"/>
      <c r="C221" s="8" t="s">
        <v>179</v>
      </c>
      <c r="D221" s="39"/>
      <c r="E221" s="32">
        <f>H222</f>
        <v>6</v>
      </c>
      <c r="F221" s="38"/>
      <c r="G221" s="38"/>
      <c r="H221" s="37"/>
      <c r="I221" s="37"/>
      <c r="J221" s="37"/>
      <c r="K221" s="37"/>
      <c r="L221" s="37"/>
      <c r="M221" s="37"/>
      <c r="Q221" s="30" t="str">
        <f t="shared" si="10"/>
        <v>双</v>
      </c>
      <c r="R221" s="32" t="str">
        <f t="shared" si="11"/>
        <v>大</v>
      </c>
      <c r="S221" s="30" t="str">
        <f>IF(Q210&gt;Q213,"龙","虎")</f>
        <v>龙</v>
      </c>
      <c r="T221" s="30"/>
      <c r="U221" s="30"/>
    </row>
    <row r="222" spans="1:21" x14ac:dyDescent="0.15">
      <c r="A222" s="37"/>
      <c r="B222" s="30" t="s">
        <v>20</v>
      </c>
      <c r="C222" s="8" t="s">
        <v>67</v>
      </c>
      <c r="D222" s="8" t="s">
        <v>170</v>
      </c>
      <c r="E222" s="32">
        <f>H223</f>
        <v>10080</v>
      </c>
      <c r="F222" s="31">
        <v>3</v>
      </c>
      <c r="G222" s="30">
        <v>1</v>
      </c>
      <c r="H222" s="30">
        <f>M222*F222*2</f>
        <v>6</v>
      </c>
      <c r="I222" s="30">
        <f>IF(ISNUMBER(FIND(LEFT(Q217,14),D222,1)),F222*L222,0)</f>
        <v>0</v>
      </c>
      <c r="J222" s="9">
        <f>J217-H222+I222</f>
        <v>99697580</v>
      </c>
      <c r="K222" s="30"/>
      <c r="L222" s="8">
        <f>'PK10'!Y64</f>
        <v>58363.199999999997</v>
      </c>
      <c r="M222" s="31">
        <v>1</v>
      </c>
      <c r="N222" s="31"/>
      <c r="O222" s="31"/>
      <c r="P222" s="31"/>
      <c r="Q222" s="30" t="str">
        <f t="shared" si="10"/>
        <v>单</v>
      </c>
      <c r="R222" s="32" t="str">
        <f t="shared" si="11"/>
        <v>大</v>
      </c>
      <c r="S222" s="30" t="str">
        <f>IF(Q211&gt;Q212,"龙","虎")</f>
        <v>龙</v>
      </c>
      <c r="T222" s="30"/>
      <c r="U222" s="30"/>
    </row>
    <row r="223" spans="1:21" x14ac:dyDescent="0.15">
      <c r="A223" s="38" t="s">
        <v>60</v>
      </c>
      <c r="B223" s="38" t="s">
        <v>82</v>
      </c>
      <c r="C223" s="8" t="s">
        <v>33</v>
      </c>
      <c r="D223" s="39" t="str">
        <f>TRIM(IF(LEN(C223)=0,"-",C223))&amp;","&amp;TRIM(IF(LEN(C224)=0,"-",C224))&amp;","&amp;TRIM(IF(LEN(C225)=0,"-",C225))&amp;","&amp;TRIM(IF(LEN(C226)=0,"-",C226))</f>
        <v>01 02 03 04 05 06 07 08 09 10,01 02 03 04 05 06 07 08 09 10,01 02 03 04 05 06 07 08 09 10,01 02 03 04 05 06 07 08 09 10</v>
      </c>
      <c r="E223" s="32">
        <f>H227</f>
        <v>4</v>
      </c>
      <c r="F223" s="38">
        <v>1</v>
      </c>
      <c r="G223" s="38">
        <v>1</v>
      </c>
      <c r="H223" s="37">
        <f>5040*F223*2</f>
        <v>10080</v>
      </c>
      <c r="I223" s="37">
        <f>N(AND(ISNUMBER(FIND(Q207,C223,1)),ISNUMBER(FIND(Q208,C224,1)),ISNUMBER(FIND(Q209,C225,1)),ISNUMBER(FIND(Q210,C226,1))))*L223*F223</f>
        <v>9727.2000000000007</v>
      </c>
      <c r="J223" s="37">
        <f>J222-H223+I223</f>
        <v>99697227.200000003</v>
      </c>
      <c r="K223" s="37"/>
      <c r="L223" s="37">
        <f>'PK10'!Y65</f>
        <v>9727.2000000000007</v>
      </c>
      <c r="M223" s="37"/>
      <c r="Q223" s="30" t="str">
        <f t="shared" si="10"/>
        <v>单</v>
      </c>
      <c r="R223" s="32" t="str">
        <f t="shared" si="11"/>
        <v>小</v>
      </c>
      <c r="S223" s="30"/>
      <c r="T223" s="30"/>
      <c r="U223" s="30"/>
    </row>
    <row r="224" spans="1:21" x14ac:dyDescent="0.15">
      <c r="A224" s="37"/>
      <c r="B224" s="37"/>
      <c r="C224" s="8" t="s">
        <v>33</v>
      </c>
      <c r="D224" s="39"/>
      <c r="E224" s="32">
        <f>H228</f>
        <v>5760</v>
      </c>
      <c r="F224" s="38"/>
      <c r="G224" s="38"/>
      <c r="H224" s="37"/>
      <c r="I224" s="37"/>
      <c r="J224" s="37"/>
      <c r="K224" s="37"/>
      <c r="L224" s="37"/>
      <c r="M224" s="37"/>
      <c r="Q224" s="30" t="str">
        <f t="shared" si="10"/>
        <v>双</v>
      </c>
      <c r="R224" s="32" t="str">
        <f t="shared" si="11"/>
        <v>大</v>
      </c>
      <c r="S224" s="30"/>
      <c r="T224" s="30"/>
      <c r="U224" s="30"/>
    </row>
    <row r="225" spans="1:21" x14ac:dyDescent="0.15">
      <c r="A225" s="37"/>
      <c r="B225" s="37"/>
      <c r="C225" s="8" t="s">
        <v>33</v>
      </c>
      <c r="D225" s="39"/>
      <c r="E225" s="32">
        <f>H231</f>
        <v>10</v>
      </c>
      <c r="F225" s="38"/>
      <c r="G225" s="38"/>
      <c r="H225" s="37"/>
      <c r="I225" s="37"/>
      <c r="J225" s="37"/>
      <c r="K225" s="37"/>
      <c r="L225" s="37"/>
      <c r="M225" s="37"/>
      <c r="Q225" s="30" t="str">
        <f t="shared" si="10"/>
        <v>双</v>
      </c>
      <c r="R225" s="32" t="str">
        <f t="shared" si="11"/>
        <v>小</v>
      </c>
      <c r="S225" s="30"/>
      <c r="T225" s="30"/>
      <c r="U225" s="30"/>
    </row>
    <row r="226" spans="1:21" x14ac:dyDescent="0.15">
      <c r="A226" s="37"/>
      <c r="B226" s="37"/>
      <c r="C226" s="8" t="s">
        <v>33</v>
      </c>
      <c r="D226" s="39"/>
      <c r="E226" s="32">
        <f>H232</f>
        <v>180</v>
      </c>
      <c r="F226" s="38"/>
      <c r="G226" s="38"/>
      <c r="H226" s="37"/>
      <c r="I226" s="37"/>
      <c r="J226" s="37"/>
      <c r="K226" s="37"/>
      <c r="L226" s="37"/>
      <c r="M226" s="37"/>
      <c r="Q226" s="30" t="str">
        <f t="shared" si="10"/>
        <v>单</v>
      </c>
      <c r="R226" s="32" t="str">
        <f t="shared" si="11"/>
        <v>小</v>
      </c>
      <c r="S226" s="30"/>
      <c r="T226" s="30"/>
      <c r="U226" s="30"/>
    </row>
    <row r="227" spans="1:21" x14ac:dyDescent="0.15">
      <c r="A227" s="37"/>
      <c r="B227" s="30" t="s">
        <v>22</v>
      </c>
      <c r="C227" s="8" t="s">
        <v>68</v>
      </c>
      <c r="D227" s="8" t="s">
        <v>172</v>
      </c>
      <c r="E227" s="32">
        <f>H234</f>
        <v>12</v>
      </c>
      <c r="F227" s="31">
        <v>2</v>
      </c>
      <c r="G227" s="30">
        <v>1</v>
      </c>
      <c r="H227" s="30">
        <f>M227*F227*2</f>
        <v>4</v>
      </c>
      <c r="I227" s="30">
        <f>IF(ISNUMBER(FIND(LEFT(Q217,11),D227,1)),F227*L227,0)</f>
        <v>0</v>
      </c>
      <c r="J227" s="9">
        <f>J223-H227+I227</f>
        <v>99697223.200000003</v>
      </c>
      <c r="K227" s="30"/>
      <c r="L227" s="8">
        <f>'PK10'!Y66</f>
        <v>9727.2000000000007</v>
      </c>
      <c r="M227" s="31">
        <v>1</v>
      </c>
      <c r="N227" s="31"/>
      <c r="O227" s="31"/>
      <c r="P227" s="31"/>
      <c r="Q227" s="30" t="str">
        <f>IF(MOD(Q216,2)=0,"双","单")</f>
        <v>单</v>
      </c>
      <c r="R227" s="32" t="str">
        <f t="shared" si="11"/>
        <v>小</v>
      </c>
      <c r="S227" s="30"/>
      <c r="T227" s="30"/>
      <c r="U227" s="30"/>
    </row>
    <row r="228" spans="1:21" x14ac:dyDescent="0.15">
      <c r="A228" s="38" t="s">
        <v>62</v>
      </c>
      <c r="B228" s="38" t="s">
        <v>83</v>
      </c>
      <c r="C228" s="8" t="s">
        <v>33</v>
      </c>
      <c r="D228" s="39" t="str">
        <f>TRIM(IF(LEN(C228)=0,"-",C228))&amp;","&amp;TRIM(IF(LEN(C229)=0,"-",C229))&amp;","&amp;TRIM(IF(LEN(C230)=0,"-",C230))</f>
        <v>01 02 03 04 05 06 07 08 09 10,01 02 03 04 05 06 07 08 09 10,01 02 03 04 05 06 07 08 09 10</v>
      </c>
      <c r="E228" s="32">
        <f>H235</f>
        <v>60</v>
      </c>
      <c r="F228" s="38">
        <v>4</v>
      </c>
      <c r="G228" s="38">
        <v>1</v>
      </c>
      <c r="H228" s="37">
        <f>720*F228*2</f>
        <v>5760</v>
      </c>
      <c r="I228" s="37">
        <f>N(AND(ISNUMBER(FIND(Q207,C228,1)),ISNUMBER(FIND(Q208,C229,1)),ISNUMBER(FIND(Q209,C230,1))))*L228*F228</f>
        <v>5558.4</v>
      </c>
      <c r="J228" s="37">
        <f>J227-H228+I228</f>
        <v>99697021.600000009</v>
      </c>
      <c r="K228" s="37"/>
      <c r="L228" s="37">
        <f>'PK10'!Y67</f>
        <v>1389.6</v>
      </c>
      <c r="M228" s="37"/>
      <c r="Q228" s="30"/>
      <c r="R228" s="10"/>
      <c r="S228" s="30"/>
      <c r="T228" s="30"/>
      <c r="U228" s="30"/>
    </row>
    <row r="229" spans="1:21" x14ac:dyDescent="0.15">
      <c r="A229" s="37"/>
      <c r="B229" s="37"/>
      <c r="C229" s="8" t="s">
        <v>33</v>
      </c>
      <c r="D229" s="39"/>
      <c r="E229" s="32">
        <f>H236</f>
        <v>63</v>
      </c>
      <c r="F229" s="38"/>
      <c r="G229" s="38"/>
      <c r="H229" s="37"/>
      <c r="I229" s="37"/>
      <c r="J229" s="37"/>
      <c r="K229" s="37"/>
      <c r="L229" s="37"/>
      <c r="M229" s="37"/>
      <c r="Q229" s="30"/>
      <c r="R229" s="10"/>
      <c r="S229" s="30"/>
      <c r="T229" s="30"/>
      <c r="U229" s="30"/>
    </row>
    <row r="230" spans="1:21" x14ac:dyDescent="0.15">
      <c r="A230" s="37"/>
      <c r="B230" s="37"/>
      <c r="C230" s="8" t="s">
        <v>33</v>
      </c>
      <c r="D230" s="39"/>
      <c r="E230" s="32">
        <f>H238</f>
        <v>200</v>
      </c>
      <c r="F230" s="38"/>
      <c r="G230" s="38"/>
      <c r="H230" s="37"/>
      <c r="I230" s="37"/>
      <c r="J230" s="37"/>
      <c r="K230" s="37"/>
      <c r="L230" s="37"/>
      <c r="M230" s="37"/>
      <c r="Q230" s="30"/>
      <c r="R230" s="10"/>
      <c r="S230" s="30"/>
      <c r="T230" s="30"/>
      <c r="U230" s="30"/>
    </row>
    <row r="231" spans="1:21" x14ac:dyDescent="0.15">
      <c r="A231" s="37"/>
      <c r="B231" s="30" t="s">
        <v>24</v>
      </c>
      <c r="C231" s="8" t="s">
        <v>69</v>
      </c>
      <c r="D231" s="8" t="s">
        <v>174</v>
      </c>
      <c r="E231" s="8">
        <f>I207</f>
        <v>386</v>
      </c>
      <c r="F231" s="31">
        <v>5</v>
      </c>
      <c r="G231" s="30">
        <v>1</v>
      </c>
      <c r="H231" s="30">
        <f>M231*F231*2</f>
        <v>10</v>
      </c>
      <c r="I231" s="30">
        <f>IF(ISNUMBER(FIND(LEFT(Q217,8),D231,1)),F231*L231,0)</f>
        <v>0</v>
      </c>
      <c r="J231" s="9">
        <f>J228-H231+I231</f>
        <v>99697011.600000009</v>
      </c>
      <c r="K231" s="30"/>
      <c r="L231" s="8">
        <f>'PK10'!Y68</f>
        <v>1389.6</v>
      </c>
      <c r="M231" s="31">
        <v>1</v>
      </c>
      <c r="N231" s="31"/>
      <c r="O231" s="31"/>
      <c r="P231" s="31"/>
      <c r="Q231" s="30"/>
      <c r="R231" s="10"/>
      <c r="S231" s="30"/>
      <c r="T231" s="30"/>
      <c r="U231" s="30"/>
    </row>
    <row r="232" spans="1:21" x14ac:dyDescent="0.15">
      <c r="A232" s="38" t="s">
        <v>64</v>
      </c>
      <c r="B232" s="38" t="s">
        <v>81</v>
      </c>
      <c r="C232" s="8" t="s">
        <v>33</v>
      </c>
      <c r="D232" s="39" t="str">
        <f>TRIM(IF(LEN(C232)=0,"-",C232))&amp;","&amp;TRIM(IF(LEN(C233)=0,"-",C233))</f>
        <v>01 02 03 04 05 06 07 08 09 10,01 02 03 04 05 06 07 08 09 10</v>
      </c>
      <c r="E232" s="32">
        <f>I217</f>
        <v>0</v>
      </c>
      <c r="F232" s="38">
        <v>1</v>
      </c>
      <c r="G232" s="38">
        <v>1</v>
      </c>
      <c r="H232" s="37">
        <f>((LEN(SUBSTITUTE(C232," ",))/2*LEN(SUBSTITUTE(C233," ",))/2)-10)*F232*2</f>
        <v>180</v>
      </c>
      <c r="I232" s="37">
        <f>N(AND(ISNUMBER(FIND(Q207,C232,1)),ISNUMBER(FIND(Q208,C233,1))))*L232*F232</f>
        <v>173.7</v>
      </c>
      <c r="J232" s="37">
        <f>J231-H232+I232</f>
        <v>99697005.300000012</v>
      </c>
      <c r="K232" s="37"/>
      <c r="L232" s="37">
        <f>'PK10'!Y69</f>
        <v>173.7</v>
      </c>
      <c r="M232" s="37"/>
      <c r="Q232" s="30"/>
      <c r="R232" s="10"/>
      <c r="S232" s="30"/>
      <c r="T232" s="30"/>
      <c r="U232" s="30"/>
    </row>
    <row r="233" spans="1:21" x14ac:dyDescent="0.15">
      <c r="A233" s="37"/>
      <c r="B233" s="37"/>
      <c r="C233" s="8" t="s">
        <v>33</v>
      </c>
      <c r="D233" s="39"/>
      <c r="E233" s="32">
        <f>I222</f>
        <v>0</v>
      </c>
      <c r="F233" s="38"/>
      <c r="G233" s="38"/>
      <c r="H233" s="37"/>
      <c r="I233" s="37"/>
      <c r="J233" s="37"/>
      <c r="K233" s="37"/>
      <c r="L233" s="37"/>
      <c r="M233" s="37"/>
      <c r="Q233" s="30"/>
      <c r="R233" s="10"/>
      <c r="S233" s="31" t="s">
        <v>113</v>
      </c>
      <c r="T233" s="31" t="s">
        <v>216</v>
      </c>
      <c r="U233" s="31" t="s">
        <v>114</v>
      </c>
    </row>
    <row r="234" spans="1:21" x14ac:dyDescent="0.15">
      <c r="A234" s="37"/>
      <c r="B234" s="30" t="s">
        <v>24</v>
      </c>
      <c r="C234" s="8" t="s">
        <v>70</v>
      </c>
      <c r="D234" s="8" t="s">
        <v>214</v>
      </c>
      <c r="E234" s="8">
        <f>I223</f>
        <v>9727.2000000000007</v>
      </c>
      <c r="F234" s="31">
        <v>2</v>
      </c>
      <c r="G234" s="30">
        <v>1</v>
      </c>
      <c r="H234" s="30">
        <f>M234*F234*2</f>
        <v>12</v>
      </c>
      <c r="I234" s="30">
        <f>IF(ISNUMBER(FIND(LEFT(Q217,5),D234,1)),F234*L234,0)</f>
        <v>0</v>
      </c>
      <c r="J234" s="30">
        <f>J232-H234+I234</f>
        <v>99696993.300000012</v>
      </c>
      <c r="K234" s="30"/>
      <c r="L234" s="8">
        <f>'PK10'!Y70</f>
        <v>173.7</v>
      </c>
      <c r="M234" s="30">
        <v>3</v>
      </c>
      <c r="Q234" s="31" t="s">
        <v>52</v>
      </c>
      <c r="R234" s="8">
        <f>N(AND(SUM(INT(Q$2),INT(Q208))&gt;11,ISNUMBER(FIND(Q234,C236,1))))</f>
        <v>0</v>
      </c>
      <c r="S234" s="30">
        <f>R234*'PK10'!Y223</f>
        <v>0</v>
      </c>
      <c r="T234" s="30">
        <f>R234*'PK10'!W223</f>
        <v>0</v>
      </c>
      <c r="U234" s="30">
        <f>R234*'PK10'!Z223</f>
        <v>0</v>
      </c>
    </row>
    <row r="235" spans="1:21" ht="27" x14ac:dyDescent="0.15">
      <c r="A235" s="31" t="s">
        <v>66</v>
      </c>
      <c r="B235" s="31" t="s">
        <v>81</v>
      </c>
      <c r="C235" s="8" t="s">
        <v>33</v>
      </c>
      <c r="D235" s="8" t="s">
        <v>33</v>
      </c>
      <c r="E235" s="8">
        <f>I227</f>
        <v>0</v>
      </c>
      <c r="F235" s="31">
        <v>3</v>
      </c>
      <c r="G235" s="30">
        <v>1</v>
      </c>
      <c r="H235" s="30">
        <f>LEN(SUBSTITUTE(C233," ",))/2*F235*2</f>
        <v>60</v>
      </c>
      <c r="I235" s="30">
        <f>N(AND(ISNUMBER(FIND(Q207,C235,1))))*L235*F235</f>
        <v>57.900000000000006</v>
      </c>
      <c r="J235" s="30">
        <f>J234-H235+I235</f>
        <v>99696991.200000018</v>
      </c>
      <c r="K235" s="30"/>
      <c r="L235" s="8">
        <f>'PK10'!Y71</f>
        <v>19.3</v>
      </c>
      <c r="M235" s="30"/>
      <c r="Q235" s="31" t="s">
        <v>46</v>
      </c>
      <c r="R235" s="8">
        <f>N(AND(SUM(INT(Q207),INT(Q208))&lt;12,ISNUMBER(FIND(Q235,C236,1))))</f>
        <v>1</v>
      </c>
      <c r="S235" s="30">
        <f>R235*'PK10'!Y224</f>
        <v>0</v>
      </c>
      <c r="T235" s="30">
        <f>R235*'PK10'!W224</f>
        <v>0</v>
      </c>
      <c r="U235" s="30">
        <f>R235*'PK10'!Z224</f>
        <v>0</v>
      </c>
    </row>
    <row r="236" spans="1:21" x14ac:dyDescent="0.15">
      <c r="A236" s="37"/>
      <c r="B236" s="37" t="s">
        <v>28</v>
      </c>
      <c r="C236" s="8" t="s">
        <v>40</v>
      </c>
      <c r="D236" s="39" t="str">
        <f>TRIM(IF(LEN(C236)=0,"-",C236))&amp;","&amp;TRIM(IF(LEN(C237)=0,"-",C237))</f>
        <v>和大 和小 和单 和双,03 04 05 06 07 08 09 10 11 12 13 14 15 16 17 18 19</v>
      </c>
      <c r="E236" s="32">
        <f>I228</f>
        <v>5558.4</v>
      </c>
      <c r="F236" s="37">
        <v>1</v>
      </c>
      <c r="G236" s="38">
        <v>3</v>
      </c>
      <c r="H236" s="37">
        <f>(LEN(SUBSTITUTE(C236," ",))+LEN(SUBSTITUTE(C237," ",)))/2*G236</f>
        <v>63</v>
      </c>
      <c r="I236" s="37">
        <f>SUM(S234:S242)*G236</f>
        <v>0</v>
      </c>
      <c r="J236" s="37">
        <f>J235-H236+I236</f>
        <v>99696928.200000018</v>
      </c>
      <c r="K236" s="37"/>
      <c r="L236" s="37">
        <f>'PK10'!Y72</f>
        <v>0</v>
      </c>
      <c r="M236" s="37"/>
      <c r="Q236" s="31" t="s">
        <v>47</v>
      </c>
      <c r="R236" s="8">
        <f>N(AND(MOD(SUM(INT(Q207),INT(Q208)),2)=0,ISNUMBER(FIND(Q236,C236,1))))</f>
        <v>0</v>
      </c>
      <c r="S236" s="30">
        <f>R236*'PK10'!Y223</f>
        <v>0</v>
      </c>
      <c r="T236" s="30">
        <f>R236*'PK10'!W223</f>
        <v>0</v>
      </c>
      <c r="U236" s="30">
        <f>R236*'PK10'!Z223</f>
        <v>0</v>
      </c>
    </row>
    <row r="237" spans="1:21" ht="27" x14ac:dyDescent="0.15">
      <c r="A237" s="37"/>
      <c r="B237" s="37"/>
      <c r="C237" s="8" t="s">
        <v>39</v>
      </c>
      <c r="D237" s="39"/>
      <c r="E237" s="32">
        <f>I231</f>
        <v>0</v>
      </c>
      <c r="F237" s="37"/>
      <c r="G237" s="38"/>
      <c r="H237" s="37"/>
      <c r="I237" s="37"/>
      <c r="J237" s="37"/>
      <c r="K237" s="37"/>
      <c r="L237" s="37"/>
      <c r="M237" s="37"/>
      <c r="Q237" s="31" t="s">
        <v>53</v>
      </c>
      <c r="R237" s="8">
        <f>N(AND(MOD(SUM(INT(Q207),INT(Q208)),2)=1,ISNUMBER(FIND(Q237,C236,1))))</f>
        <v>1</v>
      </c>
      <c r="S237" s="30">
        <f>R237*'PK10'!Y224</f>
        <v>0</v>
      </c>
      <c r="T237" s="30">
        <f>R237*'PK10'!W224</f>
        <v>0</v>
      </c>
      <c r="U237" s="30">
        <f>R237*'PK10'!Z224</f>
        <v>0</v>
      </c>
    </row>
    <row r="238" spans="1:21" x14ac:dyDescent="0.15">
      <c r="A238" s="37"/>
      <c r="B238" s="37" t="s">
        <v>30</v>
      </c>
      <c r="C238" s="8" t="s">
        <v>41</v>
      </c>
      <c r="D238" s="39" t="str">
        <f>TRIM(IF(LEN(C238)=0,"-",C238))&amp;","&amp;TRIM(IF(LEN(C239)=0,"-",C239))&amp;","&amp;TRIM(IF(LEN(C240)=0,"-",C240))&amp;","&amp;TRIM(IF(LEN(C241)=0,"-",C241))&amp;","&amp;TRIM(IF(LEN(C242)=0,"-",C242))&amp;","&amp;TRIM(IF(LEN(C243)=0,"-",C243))&amp;","&amp;TRIM(IF(LEN(C244)=0,"-",C244))&amp;","&amp;TRIM(IF(LEN(C245)=0,"-",C245))&amp;","&amp;TRIM(IF(LEN(C246)=0,"-",C246))&amp;","&amp;TRIM(IF(LEN(C247)=0,"-",C247))</f>
        <v>大 小 单 双 龙 虎,大 小 单 双 龙 虎,大 小 单 双 龙 虎,大 小 单 双 龙 虎,大 小 单 双 龙 虎,大 小 单 双,大 小 单 双,大 小 单 双,大 小 单 双,大 小 单 双</v>
      </c>
      <c r="E238" s="32">
        <f>I232</f>
        <v>173.7</v>
      </c>
      <c r="F238" s="37">
        <v>1</v>
      </c>
      <c r="G238" s="38">
        <v>4</v>
      </c>
      <c r="H238" s="37">
        <f>(LEN(SUBSTITUTE(C238," ",))+LEN(SUBSTITUTE(C239," ",))+LEN(SUBSTITUTE(C240," ",))+LEN(SUBSTITUTE(C241," ",))+LEN(SUBSTITUTE(C242," ",))+LEN(SUBSTITUTE(C243," ",))+LEN(SUBSTITUTE(C244," ",))+LEN(SUBSTITUTE(C245," ",))+LEN(SUBSTITUTE(C246," ",))+LEN(SUBSTITUTE(C247," ",)))*G238</f>
        <v>200</v>
      </c>
      <c r="I238" s="38">
        <f>SUM(M238:M247)</f>
        <v>193</v>
      </c>
      <c r="J238" s="37">
        <f>J236-H238+I238</f>
        <v>99696921.200000018</v>
      </c>
      <c r="K238" s="37"/>
      <c r="L238" s="37">
        <f>'PK10'!Y73</f>
        <v>1.93</v>
      </c>
      <c r="M238" s="9">
        <f>SUM(N(ISNUMBER(FIND($Q218,$C238,1))),N(ISNUMBER(FIND($R218,$C238,1))),N(ISNUMBER(FIND($S218,$C238,1))))*L238*G238</f>
        <v>23.16</v>
      </c>
      <c r="N238" s="9"/>
      <c r="O238" s="9"/>
      <c r="P238" s="9"/>
      <c r="Q238" s="31" t="s">
        <v>48</v>
      </c>
      <c r="R238" s="8">
        <f>IF(SUM(INT(Q207),INT(Q208))&lt;10,N(ISNUMBER(FIND((0&amp;SUM(INT(Q207),INT(Q208))),Q238,1))),N(ISNUMBER(FIND(SUM(INT(Q207),INT(Q208)),Q238,1))))</f>
        <v>0</v>
      </c>
      <c r="S238" s="30">
        <f>R238*'PK10'!Y225</f>
        <v>0</v>
      </c>
      <c r="T238" s="30">
        <f>R238*'PK10'!W225</f>
        <v>0</v>
      </c>
      <c r="U238" s="30">
        <f>R238*'PK10'!Z225</f>
        <v>0</v>
      </c>
    </row>
    <row r="239" spans="1:21" x14ac:dyDescent="0.15">
      <c r="A239" s="37"/>
      <c r="B239" s="37"/>
      <c r="C239" s="8" t="s">
        <v>41</v>
      </c>
      <c r="D239" s="39"/>
      <c r="E239" s="32">
        <f>I234</f>
        <v>0</v>
      </c>
      <c r="F239" s="37"/>
      <c r="G239" s="38"/>
      <c r="H239" s="37"/>
      <c r="I239" s="37"/>
      <c r="J239" s="37"/>
      <c r="K239" s="37"/>
      <c r="L239" s="37"/>
      <c r="M239" s="9">
        <f>SUM(N(ISNUMBER(FIND($Q219,$C239,1))),N(ISNUMBER(FIND($R219,$C239,1))),N(ISNUMBER(FIND($S219,$C239,1))))*L238*G238</f>
        <v>23.16</v>
      </c>
      <c r="N239" s="9"/>
      <c r="O239" s="9"/>
      <c r="P239" s="9"/>
      <c r="Q239" s="31" t="s">
        <v>49</v>
      </c>
      <c r="R239" s="8">
        <f>IF(SUM(INT(Q207),INT(Q208))&lt;10,N(ISNUMBER(FIND((0&amp;SUM(INT(Q207),INT(Q208))),Q239,1))),N(ISNUMBER(FIND(SUM(INT(Q207),INT(Q208)),Q239,1))))</f>
        <v>0</v>
      </c>
      <c r="S239" s="30">
        <f>R239*'PK10'!Y226</f>
        <v>0</v>
      </c>
      <c r="T239" s="30">
        <f>R239*'PK10'!W226</f>
        <v>0</v>
      </c>
      <c r="U239" s="30">
        <f>R239*'PK10'!Z226</f>
        <v>0</v>
      </c>
    </row>
    <row r="240" spans="1:21" x14ac:dyDescent="0.15">
      <c r="A240" s="37"/>
      <c r="B240" s="37"/>
      <c r="C240" s="8" t="s">
        <v>41</v>
      </c>
      <c r="D240" s="39"/>
      <c r="E240" s="32">
        <f>I235</f>
        <v>57.900000000000006</v>
      </c>
      <c r="F240" s="37"/>
      <c r="G240" s="38"/>
      <c r="H240" s="37"/>
      <c r="I240" s="37"/>
      <c r="J240" s="37"/>
      <c r="K240" s="37"/>
      <c r="L240" s="37"/>
      <c r="M240" s="9">
        <f>SUM(N(ISNUMBER(FIND($Q220,$C240,1))),N(ISNUMBER(FIND($R220,$C240,1))),N(ISNUMBER(FIND($S220,$C240,1))))*L238*G238</f>
        <v>23.16</v>
      </c>
      <c r="N240" s="9"/>
      <c r="O240" s="9"/>
      <c r="P240" s="9"/>
      <c r="Q240" s="31" t="s">
        <v>50</v>
      </c>
      <c r="R240" s="8">
        <f>IF(SUM(INT(Q207),INT(Q208))&lt;10,N(ISNUMBER(FIND((0&amp;SUM(INT(Q207),INT(Q208))),Q240,1))),N(ISNUMBER(FIND(SUM(INT(Q207),INT(Q208)),Q240,1))))</f>
        <v>0</v>
      </c>
      <c r="S240" s="30">
        <f>R240*'PK10'!Y227</f>
        <v>0</v>
      </c>
      <c r="T240" s="30">
        <f>R240*'PK10'!W227</f>
        <v>0</v>
      </c>
      <c r="U240" s="30">
        <f>R240*'PK10'!Z227</f>
        <v>0</v>
      </c>
    </row>
    <row r="241" spans="1:21" x14ac:dyDescent="0.15">
      <c r="A241" s="37"/>
      <c r="B241" s="37"/>
      <c r="C241" s="8" t="s">
        <v>41</v>
      </c>
      <c r="D241" s="39"/>
      <c r="E241" s="32">
        <f>I236</f>
        <v>0</v>
      </c>
      <c r="F241" s="37"/>
      <c r="G241" s="38"/>
      <c r="H241" s="37"/>
      <c r="I241" s="37"/>
      <c r="J241" s="37"/>
      <c r="K241" s="37"/>
      <c r="L241" s="37"/>
      <c r="M241" s="9">
        <f>SUM(N(ISNUMBER(FIND($Q221,$C241,1))),N(ISNUMBER(FIND($R221,$C241,1))),N(ISNUMBER(FIND($S221,$C241,1))))*L238*G238</f>
        <v>23.16</v>
      </c>
      <c r="N241" s="9"/>
      <c r="O241" s="9"/>
      <c r="P241" s="9"/>
      <c r="Q241" s="31" t="s">
        <v>51</v>
      </c>
      <c r="R241" s="8">
        <f>IF(SUM(INT(Q207),INT(Q208))&lt;10,N(ISNUMBER(FIND((0&amp;SUM(INT(Q207),INT(Q208))),Q241,1))),N(ISNUMBER(FIND(SUM(INT(Q207),INT(Q208)),Q241,1))))</f>
        <v>1</v>
      </c>
      <c r="S241" s="30">
        <f>R241*'PK10'!Y228</f>
        <v>0</v>
      </c>
      <c r="T241" s="30">
        <f>R241*'PK10'!W228</f>
        <v>0</v>
      </c>
      <c r="U241" s="30">
        <f>R241*'PK10'!Z228</f>
        <v>0</v>
      </c>
    </row>
    <row r="242" spans="1:21" x14ac:dyDescent="0.15">
      <c r="A242" s="37"/>
      <c r="B242" s="37"/>
      <c r="C242" s="8" t="s">
        <v>41</v>
      </c>
      <c r="D242" s="39"/>
      <c r="E242" s="32">
        <f>I238</f>
        <v>193</v>
      </c>
      <c r="F242" s="37"/>
      <c r="G242" s="38"/>
      <c r="H242" s="37"/>
      <c r="I242" s="37"/>
      <c r="J242" s="37"/>
      <c r="K242" s="37"/>
      <c r="L242" s="37"/>
      <c r="M242" s="9">
        <f>SUM(N(ISNUMBER(FIND($Q222,$C242,1))),N(ISNUMBER(FIND($R222,$C242,1))),N(ISNUMBER(FIND($S222,$C242,1))))*L238*G238</f>
        <v>23.16</v>
      </c>
      <c r="N242" s="9"/>
      <c r="O242" s="9"/>
      <c r="P242" s="9"/>
      <c r="Q242" s="30">
        <v>11</v>
      </c>
      <c r="R242" s="8">
        <f>IF(SUM(INT(Q207),INT(Q208))&lt;10,N(ISNUMBER(FIND((0&amp;SUM(INT(Q207),INT(Q208))),Q242,1))),N(ISNUMBER(FIND(SUM(INT(Q207),INT(Q208)),Q242,1))))</f>
        <v>0</v>
      </c>
      <c r="S242" s="30">
        <f>R242*'PK10'!Y229</f>
        <v>0</v>
      </c>
      <c r="T242" s="30">
        <f>R242*'PK10'!W229</f>
        <v>0</v>
      </c>
      <c r="U242" s="30">
        <f>R242*'PK10'!Z229</f>
        <v>0</v>
      </c>
    </row>
    <row r="243" spans="1:21" x14ac:dyDescent="0.15">
      <c r="A243" s="37"/>
      <c r="B243" s="37"/>
      <c r="C243" s="8" t="s">
        <v>43</v>
      </c>
      <c r="D243" s="39"/>
      <c r="F243" s="37"/>
      <c r="G243" s="38"/>
      <c r="H243" s="37"/>
      <c r="I243" s="37"/>
      <c r="J243" s="37"/>
      <c r="K243" s="37"/>
      <c r="L243" s="37"/>
      <c r="M243" s="9">
        <f>SUM(N(ISNUMBER(FIND($Q223,$C243,1))),N(ISNUMBER(FIND($R223,$C243,1))))*L238*G238</f>
        <v>15.44</v>
      </c>
      <c r="N243" s="9"/>
      <c r="O243" s="9"/>
      <c r="P243" s="9"/>
      <c r="Q243" s="30"/>
      <c r="R243" s="10"/>
      <c r="S243" s="30"/>
      <c r="T243" s="30"/>
      <c r="U243" s="30"/>
    </row>
    <row r="244" spans="1:21" x14ac:dyDescent="0.15">
      <c r="A244" s="37"/>
      <c r="B244" s="37"/>
      <c r="C244" s="8" t="s">
        <v>43</v>
      </c>
      <c r="D244" s="39"/>
      <c r="F244" s="37"/>
      <c r="G244" s="38"/>
      <c r="H244" s="37"/>
      <c r="I244" s="37"/>
      <c r="J244" s="37"/>
      <c r="K244" s="37"/>
      <c r="L244" s="37"/>
      <c r="M244" s="9">
        <f>SUM(N(ISNUMBER(FIND($Q224,$C244,1))),N(ISNUMBER(FIND($R224,$C244,1))))*L238*G238</f>
        <v>15.44</v>
      </c>
      <c r="N244" s="9"/>
      <c r="O244" s="9"/>
      <c r="P244" s="9"/>
      <c r="Q244" s="30"/>
      <c r="R244" s="32"/>
      <c r="S244" s="30"/>
      <c r="T244" s="30"/>
      <c r="U244" s="30"/>
    </row>
    <row r="245" spans="1:21" x14ac:dyDescent="0.15">
      <c r="A245" s="37"/>
      <c r="B245" s="37"/>
      <c r="C245" s="8" t="s">
        <v>43</v>
      </c>
      <c r="D245" s="39"/>
      <c r="F245" s="37"/>
      <c r="G245" s="38"/>
      <c r="H245" s="37"/>
      <c r="I245" s="37"/>
      <c r="J245" s="37"/>
      <c r="K245" s="37"/>
      <c r="L245" s="37"/>
      <c r="M245" s="9">
        <f>SUM(N(ISNUMBER(FIND($Q225,$C245,1))),N(ISNUMBER(FIND($R225,$C245,1))))*L238*G238</f>
        <v>15.44</v>
      </c>
      <c r="N245" s="9"/>
      <c r="O245" s="9"/>
      <c r="P245" s="9"/>
      <c r="Q245" s="30"/>
      <c r="R245" s="32"/>
      <c r="S245" s="30"/>
      <c r="T245" s="30"/>
      <c r="U245" s="30"/>
    </row>
    <row r="246" spans="1:21" x14ac:dyDescent="0.15">
      <c r="A246" s="37"/>
      <c r="B246" s="37"/>
      <c r="C246" s="8" t="s">
        <v>43</v>
      </c>
      <c r="D246" s="39"/>
      <c r="F246" s="37"/>
      <c r="G246" s="38"/>
      <c r="H246" s="37"/>
      <c r="I246" s="37"/>
      <c r="J246" s="37"/>
      <c r="K246" s="37"/>
      <c r="L246" s="37"/>
      <c r="M246" s="9">
        <f>SUM(N(ISNUMBER(FIND($Q226,$C246,1))),N(ISNUMBER(FIND($R226,$C246,1))))*L238*G238</f>
        <v>15.44</v>
      </c>
      <c r="N246" s="9"/>
      <c r="O246" s="9"/>
      <c r="P246" s="9"/>
      <c r="Q246" s="30"/>
      <c r="R246" s="32"/>
      <c r="S246" s="30"/>
      <c r="T246" s="30"/>
      <c r="U246" s="30"/>
    </row>
    <row r="247" spans="1:21" x14ac:dyDescent="0.15">
      <c r="A247" s="37"/>
      <c r="B247" s="37"/>
      <c r="C247" s="8" t="s">
        <v>43</v>
      </c>
      <c r="D247" s="39"/>
      <c r="F247" s="37"/>
      <c r="G247" s="38"/>
      <c r="H247" s="37"/>
      <c r="I247" s="37"/>
      <c r="J247" s="37"/>
      <c r="K247" s="37"/>
      <c r="L247" s="37"/>
      <c r="M247" s="9">
        <f>SUM(N(ISNUMBER(FIND($Q227,$C247,1))),N(ISNUMBER(FIND($R227,$C247,1))))*L238*G238</f>
        <v>15.44</v>
      </c>
      <c r="N247" s="9"/>
      <c r="O247" s="9"/>
      <c r="P247" s="9"/>
      <c r="Q247" s="30"/>
      <c r="R247" s="32"/>
      <c r="S247" s="30"/>
      <c r="T247" s="30"/>
      <c r="U247" s="30"/>
    </row>
  </sheetData>
  <dataConsolidate/>
  <mergeCells count="456">
    <mergeCell ref="M23:M25"/>
    <mergeCell ref="I27:I28"/>
    <mergeCell ref="M27:M28"/>
    <mergeCell ref="I31:I32"/>
    <mergeCell ref="M31:M32"/>
    <mergeCell ref="L31:L32"/>
    <mergeCell ref="L33:L42"/>
    <mergeCell ref="J23:J25"/>
    <mergeCell ref="K23:K25"/>
    <mergeCell ref="J27:J28"/>
    <mergeCell ref="L23:L25"/>
    <mergeCell ref="L27:L28"/>
    <mergeCell ref="M2:M11"/>
    <mergeCell ref="I12:I16"/>
    <mergeCell ref="M12:M16"/>
    <mergeCell ref="I18:I21"/>
    <mergeCell ref="M18:M21"/>
    <mergeCell ref="J18:J21"/>
    <mergeCell ref="K18:K21"/>
    <mergeCell ref="L2:L11"/>
    <mergeCell ref="L12:L16"/>
    <mergeCell ref="L18:L21"/>
    <mergeCell ref="H33:H42"/>
    <mergeCell ref="H2:H11"/>
    <mergeCell ref="J2:J11"/>
    <mergeCell ref="K2:K11"/>
    <mergeCell ref="H12:H16"/>
    <mergeCell ref="J12:J16"/>
    <mergeCell ref="K12:K16"/>
    <mergeCell ref="K27:K28"/>
    <mergeCell ref="H18:H21"/>
    <mergeCell ref="H23:H25"/>
    <mergeCell ref="H27:H28"/>
    <mergeCell ref="H31:H32"/>
    <mergeCell ref="J31:J32"/>
    <mergeCell ref="K31:K32"/>
    <mergeCell ref="J33:J42"/>
    <mergeCell ref="K33:K42"/>
    <mergeCell ref="I2:I11"/>
    <mergeCell ref="I33:I42"/>
    <mergeCell ref="I23:I25"/>
    <mergeCell ref="A12:A17"/>
    <mergeCell ref="A2:A11"/>
    <mergeCell ref="D18:D21"/>
    <mergeCell ref="D23:D25"/>
    <mergeCell ref="D33:D42"/>
    <mergeCell ref="D31:D32"/>
    <mergeCell ref="F31:F32"/>
    <mergeCell ref="F33:F42"/>
    <mergeCell ref="G33:G42"/>
    <mergeCell ref="G31:G32"/>
    <mergeCell ref="G27:G28"/>
    <mergeCell ref="G23:G25"/>
    <mergeCell ref="G18:G21"/>
    <mergeCell ref="G12:G16"/>
    <mergeCell ref="G2:G11"/>
    <mergeCell ref="F2:F11"/>
    <mergeCell ref="F12:F16"/>
    <mergeCell ref="F18:F21"/>
    <mergeCell ref="F23:F25"/>
    <mergeCell ref="F27:F28"/>
    <mergeCell ref="D2:D11"/>
    <mergeCell ref="D12:D16"/>
    <mergeCell ref="B2:B11"/>
    <mergeCell ref="B12:B16"/>
    <mergeCell ref="A33:A42"/>
    <mergeCell ref="B33:B42"/>
    <mergeCell ref="B27:B28"/>
    <mergeCell ref="B23:B25"/>
    <mergeCell ref="B18:B21"/>
    <mergeCell ref="A18:A22"/>
    <mergeCell ref="A23:A26"/>
    <mergeCell ref="A27:A29"/>
    <mergeCell ref="D27:D28"/>
    <mergeCell ref="B31:B32"/>
    <mergeCell ref="A31:A32"/>
    <mergeCell ref="M43:M52"/>
    <mergeCell ref="A53:A58"/>
    <mergeCell ref="B53:B57"/>
    <mergeCell ref="D53:D57"/>
    <mergeCell ref="F53:F57"/>
    <mergeCell ref="G53:G57"/>
    <mergeCell ref="H53:H57"/>
    <mergeCell ref="I53:I57"/>
    <mergeCell ref="J53:J57"/>
    <mergeCell ref="K53:K57"/>
    <mergeCell ref="L53:L57"/>
    <mergeCell ref="M53:M57"/>
    <mergeCell ref="H43:H52"/>
    <mergeCell ref="I43:I52"/>
    <mergeCell ref="J43:J52"/>
    <mergeCell ref="K43:K52"/>
    <mergeCell ref="L43:L52"/>
    <mergeCell ref="A43:A52"/>
    <mergeCell ref="B43:B52"/>
    <mergeCell ref="D43:D52"/>
    <mergeCell ref="F43:F52"/>
    <mergeCell ref="G43:G52"/>
    <mergeCell ref="M59:M62"/>
    <mergeCell ref="A64:A67"/>
    <mergeCell ref="B64:B66"/>
    <mergeCell ref="D64:D66"/>
    <mergeCell ref="F64:F66"/>
    <mergeCell ref="G64:G66"/>
    <mergeCell ref="H64:H66"/>
    <mergeCell ref="I64:I66"/>
    <mergeCell ref="J64:J66"/>
    <mergeCell ref="K64:K66"/>
    <mergeCell ref="L64:L66"/>
    <mergeCell ref="M64:M66"/>
    <mergeCell ref="H59:H62"/>
    <mergeCell ref="I59:I62"/>
    <mergeCell ref="J59:J62"/>
    <mergeCell ref="K59:K62"/>
    <mergeCell ref="L59:L62"/>
    <mergeCell ref="A59:A63"/>
    <mergeCell ref="B59:B62"/>
    <mergeCell ref="D59:D62"/>
    <mergeCell ref="F59:F62"/>
    <mergeCell ref="G59:G62"/>
    <mergeCell ref="M68:M69"/>
    <mergeCell ref="A72:A73"/>
    <mergeCell ref="B72:B73"/>
    <mergeCell ref="D72:D73"/>
    <mergeCell ref="F72:F73"/>
    <mergeCell ref="G72:G73"/>
    <mergeCell ref="H72:H73"/>
    <mergeCell ref="I72:I73"/>
    <mergeCell ref="J72:J73"/>
    <mergeCell ref="K72:K73"/>
    <mergeCell ref="L72:L73"/>
    <mergeCell ref="M72:M73"/>
    <mergeCell ref="H68:H69"/>
    <mergeCell ref="I68:I69"/>
    <mergeCell ref="J68:J69"/>
    <mergeCell ref="K68:K69"/>
    <mergeCell ref="L68:L69"/>
    <mergeCell ref="A68:A70"/>
    <mergeCell ref="B68:B69"/>
    <mergeCell ref="D68:D69"/>
    <mergeCell ref="F68:F69"/>
    <mergeCell ref="G68:G69"/>
    <mergeCell ref="H74:H83"/>
    <mergeCell ref="I74:I83"/>
    <mergeCell ref="J74:J83"/>
    <mergeCell ref="K74:K83"/>
    <mergeCell ref="L74:L83"/>
    <mergeCell ref="A74:A83"/>
    <mergeCell ref="B74:B83"/>
    <mergeCell ref="D74:D83"/>
    <mergeCell ref="F74:F83"/>
    <mergeCell ref="G74:G83"/>
    <mergeCell ref="M84:M93"/>
    <mergeCell ref="A94:A99"/>
    <mergeCell ref="B94:B98"/>
    <mergeCell ref="D94:D98"/>
    <mergeCell ref="F94:F98"/>
    <mergeCell ref="G94:G98"/>
    <mergeCell ref="H94:H98"/>
    <mergeCell ref="I94:I98"/>
    <mergeCell ref="J94:J98"/>
    <mergeCell ref="K94:K98"/>
    <mergeCell ref="L94:L98"/>
    <mergeCell ref="M94:M98"/>
    <mergeCell ref="H84:H93"/>
    <mergeCell ref="I84:I93"/>
    <mergeCell ref="J84:J93"/>
    <mergeCell ref="K84:K93"/>
    <mergeCell ref="L84:L93"/>
    <mergeCell ref="A84:A93"/>
    <mergeCell ref="B84:B93"/>
    <mergeCell ref="D84:D93"/>
    <mergeCell ref="F84:F93"/>
    <mergeCell ref="G84:G93"/>
    <mergeCell ref="M100:M103"/>
    <mergeCell ref="A105:A108"/>
    <mergeCell ref="B105:B107"/>
    <mergeCell ref="D105:D107"/>
    <mergeCell ref="F105:F107"/>
    <mergeCell ref="G105:G107"/>
    <mergeCell ref="H105:H107"/>
    <mergeCell ref="I105:I107"/>
    <mergeCell ref="J105:J107"/>
    <mergeCell ref="K105:K107"/>
    <mergeCell ref="L105:L107"/>
    <mergeCell ref="M105:M107"/>
    <mergeCell ref="H100:H103"/>
    <mergeCell ref="I100:I103"/>
    <mergeCell ref="J100:J103"/>
    <mergeCell ref="K100:K103"/>
    <mergeCell ref="L100:L103"/>
    <mergeCell ref="A100:A104"/>
    <mergeCell ref="B100:B103"/>
    <mergeCell ref="D100:D103"/>
    <mergeCell ref="F100:F103"/>
    <mergeCell ref="G100:G103"/>
    <mergeCell ref="M109:M110"/>
    <mergeCell ref="A113:A114"/>
    <mergeCell ref="B113:B114"/>
    <mergeCell ref="D113:D114"/>
    <mergeCell ref="F113:F114"/>
    <mergeCell ref="G113:G114"/>
    <mergeCell ref="H113:H114"/>
    <mergeCell ref="I113:I114"/>
    <mergeCell ref="J113:J114"/>
    <mergeCell ref="K113:K114"/>
    <mergeCell ref="L113:L114"/>
    <mergeCell ref="M113:M114"/>
    <mergeCell ref="H109:H110"/>
    <mergeCell ref="I109:I110"/>
    <mergeCell ref="J109:J110"/>
    <mergeCell ref="K109:K110"/>
    <mergeCell ref="L109:L110"/>
    <mergeCell ref="A109:A111"/>
    <mergeCell ref="B109:B110"/>
    <mergeCell ref="D109:D110"/>
    <mergeCell ref="F109:F110"/>
    <mergeCell ref="G109:G110"/>
    <mergeCell ref="H115:H124"/>
    <mergeCell ref="I115:I124"/>
    <mergeCell ref="J115:J124"/>
    <mergeCell ref="K115:K124"/>
    <mergeCell ref="L115:L124"/>
    <mergeCell ref="A115:A124"/>
    <mergeCell ref="B115:B124"/>
    <mergeCell ref="D115:D124"/>
    <mergeCell ref="F115:F124"/>
    <mergeCell ref="G115:G124"/>
    <mergeCell ref="M125:M134"/>
    <mergeCell ref="A135:A140"/>
    <mergeCell ref="B135:B139"/>
    <mergeCell ref="D135:D139"/>
    <mergeCell ref="F135:F139"/>
    <mergeCell ref="G135:G139"/>
    <mergeCell ref="H135:H139"/>
    <mergeCell ref="I135:I139"/>
    <mergeCell ref="J135:J139"/>
    <mergeCell ref="K135:K139"/>
    <mergeCell ref="L135:L139"/>
    <mergeCell ref="M135:M139"/>
    <mergeCell ref="H125:H134"/>
    <mergeCell ref="I125:I134"/>
    <mergeCell ref="J125:J134"/>
    <mergeCell ref="K125:K134"/>
    <mergeCell ref="L125:L134"/>
    <mergeCell ref="A125:A134"/>
    <mergeCell ref="B125:B134"/>
    <mergeCell ref="D125:D134"/>
    <mergeCell ref="F125:F134"/>
    <mergeCell ref="G125:G134"/>
    <mergeCell ref="M141:M144"/>
    <mergeCell ref="A146:A149"/>
    <mergeCell ref="B146:B148"/>
    <mergeCell ref="D146:D148"/>
    <mergeCell ref="F146:F148"/>
    <mergeCell ref="G146:G148"/>
    <mergeCell ref="H146:H148"/>
    <mergeCell ref="I146:I148"/>
    <mergeCell ref="J146:J148"/>
    <mergeCell ref="K146:K148"/>
    <mergeCell ref="L146:L148"/>
    <mergeCell ref="M146:M148"/>
    <mergeCell ref="H141:H144"/>
    <mergeCell ref="I141:I144"/>
    <mergeCell ref="J141:J144"/>
    <mergeCell ref="K141:K144"/>
    <mergeCell ref="L141:L144"/>
    <mergeCell ref="A141:A145"/>
    <mergeCell ref="B141:B144"/>
    <mergeCell ref="D141:D144"/>
    <mergeCell ref="F141:F144"/>
    <mergeCell ref="G141:G144"/>
    <mergeCell ref="M150:M151"/>
    <mergeCell ref="A154:A155"/>
    <mergeCell ref="B154:B155"/>
    <mergeCell ref="D154:D155"/>
    <mergeCell ref="F154:F155"/>
    <mergeCell ref="G154:G155"/>
    <mergeCell ref="H154:H155"/>
    <mergeCell ref="I154:I155"/>
    <mergeCell ref="J154:J155"/>
    <mergeCell ref="K154:K155"/>
    <mergeCell ref="L154:L155"/>
    <mergeCell ref="M154:M155"/>
    <mergeCell ref="H150:H151"/>
    <mergeCell ref="I150:I151"/>
    <mergeCell ref="J150:J151"/>
    <mergeCell ref="K150:K151"/>
    <mergeCell ref="L150:L151"/>
    <mergeCell ref="A150:A152"/>
    <mergeCell ref="B150:B151"/>
    <mergeCell ref="D150:D151"/>
    <mergeCell ref="F150:F151"/>
    <mergeCell ref="G150:G151"/>
    <mergeCell ref="H156:H165"/>
    <mergeCell ref="I156:I165"/>
    <mergeCell ref="J156:J165"/>
    <mergeCell ref="K156:K165"/>
    <mergeCell ref="L156:L165"/>
    <mergeCell ref="A156:A165"/>
    <mergeCell ref="B156:B165"/>
    <mergeCell ref="D156:D165"/>
    <mergeCell ref="F156:F165"/>
    <mergeCell ref="G156:G165"/>
    <mergeCell ref="M166:M175"/>
    <mergeCell ref="A176:A181"/>
    <mergeCell ref="B176:B180"/>
    <mergeCell ref="D176:D180"/>
    <mergeCell ref="F176:F180"/>
    <mergeCell ref="G176:G180"/>
    <mergeCell ref="H176:H180"/>
    <mergeCell ref="I176:I180"/>
    <mergeCell ref="J176:J180"/>
    <mergeCell ref="K176:K180"/>
    <mergeCell ref="L176:L180"/>
    <mergeCell ref="M176:M180"/>
    <mergeCell ref="H166:H175"/>
    <mergeCell ref="I166:I175"/>
    <mergeCell ref="J166:J175"/>
    <mergeCell ref="K166:K175"/>
    <mergeCell ref="L166:L175"/>
    <mergeCell ref="A166:A175"/>
    <mergeCell ref="B166:B175"/>
    <mergeCell ref="D166:D175"/>
    <mergeCell ref="F166:F175"/>
    <mergeCell ref="G166:G175"/>
    <mergeCell ref="M182:M185"/>
    <mergeCell ref="A187:A190"/>
    <mergeCell ref="B187:B189"/>
    <mergeCell ref="D187:D189"/>
    <mergeCell ref="F187:F189"/>
    <mergeCell ref="G187:G189"/>
    <mergeCell ref="H187:H189"/>
    <mergeCell ref="I187:I189"/>
    <mergeCell ref="J187:J189"/>
    <mergeCell ref="K187:K189"/>
    <mergeCell ref="L187:L189"/>
    <mergeCell ref="M187:M189"/>
    <mergeCell ref="H182:H185"/>
    <mergeCell ref="I182:I185"/>
    <mergeCell ref="J182:J185"/>
    <mergeCell ref="K182:K185"/>
    <mergeCell ref="L182:L185"/>
    <mergeCell ref="A182:A186"/>
    <mergeCell ref="B182:B185"/>
    <mergeCell ref="D182:D185"/>
    <mergeCell ref="F182:F185"/>
    <mergeCell ref="G182:G185"/>
    <mergeCell ref="M191:M192"/>
    <mergeCell ref="A195:A196"/>
    <mergeCell ref="B195:B196"/>
    <mergeCell ref="D195:D196"/>
    <mergeCell ref="F195:F196"/>
    <mergeCell ref="G195:G196"/>
    <mergeCell ref="H195:H196"/>
    <mergeCell ref="I195:I196"/>
    <mergeCell ref="J195:J196"/>
    <mergeCell ref="K195:K196"/>
    <mergeCell ref="L195:L196"/>
    <mergeCell ref="M195:M196"/>
    <mergeCell ref="H191:H192"/>
    <mergeCell ref="I191:I192"/>
    <mergeCell ref="J191:J192"/>
    <mergeCell ref="K191:K192"/>
    <mergeCell ref="L191:L192"/>
    <mergeCell ref="A191:A193"/>
    <mergeCell ref="B191:B192"/>
    <mergeCell ref="D191:D192"/>
    <mergeCell ref="F191:F192"/>
    <mergeCell ref="G191:G192"/>
    <mergeCell ref="H197:H206"/>
    <mergeCell ref="I197:I206"/>
    <mergeCell ref="J197:J206"/>
    <mergeCell ref="K197:K206"/>
    <mergeCell ref="L197:L206"/>
    <mergeCell ref="A197:A206"/>
    <mergeCell ref="B197:B206"/>
    <mergeCell ref="D197:D206"/>
    <mergeCell ref="F197:F206"/>
    <mergeCell ref="G197:G206"/>
    <mergeCell ref="M207:M216"/>
    <mergeCell ref="A217:A222"/>
    <mergeCell ref="B217:B221"/>
    <mergeCell ref="D217:D221"/>
    <mergeCell ref="F217:F221"/>
    <mergeCell ref="G217:G221"/>
    <mergeCell ref="H217:H221"/>
    <mergeCell ref="I217:I221"/>
    <mergeCell ref="J217:J221"/>
    <mergeCell ref="K217:K221"/>
    <mergeCell ref="L217:L221"/>
    <mergeCell ref="M217:M221"/>
    <mergeCell ref="H207:H216"/>
    <mergeCell ref="I207:I216"/>
    <mergeCell ref="J207:J216"/>
    <mergeCell ref="K207:K216"/>
    <mergeCell ref="L207:L216"/>
    <mergeCell ref="A207:A216"/>
    <mergeCell ref="B207:B216"/>
    <mergeCell ref="D207:D216"/>
    <mergeCell ref="F207:F216"/>
    <mergeCell ref="G207:G216"/>
    <mergeCell ref="M223:M226"/>
    <mergeCell ref="A228:A231"/>
    <mergeCell ref="B228:B230"/>
    <mergeCell ref="D228:D230"/>
    <mergeCell ref="F228:F230"/>
    <mergeCell ref="G228:G230"/>
    <mergeCell ref="H228:H230"/>
    <mergeCell ref="I228:I230"/>
    <mergeCell ref="J228:J230"/>
    <mergeCell ref="K228:K230"/>
    <mergeCell ref="L228:L230"/>
    <mergeCell ref="M228:M230"/>
    <mergeCell ref="H223:H226"/>
    <mergeCell ref="I223:I226"/>
    <mergeCell ref="J223:J226"/>
    <mergeCell ref="K223:K226"/>
    <mergeCell ref="L223:L226"/>
    <mergeCell ref="A223:A227"/>
    <mergeCell ref="B223:B226"/>
    <mergeCell ref="D223:D226"/>
    <mergeCell ref="F223:F226"/>
    <mergeCell ref="G223:G226"/>
    <mergeCell ref="M232:M233"/>
    <mergeCell ref="A236:A237"/>
    <mergeCell ref="B236:B237"/>
    <mergeCell ref="D236:D237"/>
    <mergeCell ref="F236:F237"/>
    <mergeCell ref="G236:G237"/>
    <mergeCell ref="H236:H237"/>
    <mergeCell ref="I236:I237"/>
    <mergeCell ref="J236:J237"/>
    <mergeCell ref="K236:K237"/>
    <mergeCell ref="L236:L237"/>
    <mergeCell ref="M236:M237"/>
    <mergeCell ref="H232:H233"/>
    <mergeCell ref="I232:I233"/>
    <mergeCell ref="J232:J233"/>
    <mergeCell ref="K232:K233"/>
    <mergeCell ref="L232:L233"/>
    <mergeCell ref="A232:A234"/>
    <mergeCell ref="B232:B233"/>
    <mergeCell ref="D232:D233"/>
    <mergeCell ref="F232:F233"/>
    <mergeCell ref="G232:G233"/>
    <mergeCell ref="H238:H247"/>
    <mergeCell ref="I238:I247"/>
    <mergeCell ref="J238:J247"/>
    <mergeCell ref="K238:K247"/>
    <mergeCell ref="L238:L247"/>
    <mergeCell ref="A238:A247"/>
    <mergeCell ref="B238:B247"/>
    <mergeCell ref="D238:D247"/>
    <mergeCell ref="F238:F247"/>
    <mergeCell ref="G238:G2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"/>
  <sheetViews>
    <sheetView workbookViewId="0">
      <selection activeCell="J9" sqref="J9"/>
    </sheetView>
  </sheetViews>
  <sheetFormatPr defaultColWidth="9" defaultRowHeight="13.5" x14ac:dyDescent="0.15"/>
  <cols>
    <col min="1" max="2" width="14.75" style="3" bestFit="1" customWidth="1"/>
    <col min="3" max="3" width="17.25" style="3" bestFit="1" customWidth="1"/>
    <col min="4" max="4" width="13.625" style="3" bestFit="1" customWidth="1"/>
    <col min="5" max="5" width="12.5" style="3" bestFit="1" customWidth="1"/>
    <col min="6" max="6" width="11.375" style="3" bestFit="1" customWidth="1"/>
    <col min="7" max="7" width="16" style="3" bestFit="1" customWidth="1"/>
    <col min="8" max="8" width="18.5" style="3" bestFit="1" customWidth="1"/>
    <col min="9" max="9" width="13.625" style="3" bestFit="1" customWidth="1"/>
    <col min="10" max="10" width="16" style="3" bestFit="1" customWidth="1"/>
    <col min="11" max="16384" width="9" style="3"/>
  </cols>
  <sheetData>
    <row r="1" spans="1:10" x14ac:dyDescent="0.15">
      <c r="A1" s="3" t="s">
        <v>236</v>
      </c>
      <c r="B1" s="3" t="s">
        <v>237</v>
      </c>
      <c r="C1" s="3" t="s">
        <v>238</v>
      </c>
      <c r="D1" s="3" t="s">
        <v>239</v>
      </c>
      <c r="E1" s="3" t="s">
        <v>240</v>
      </c>
      <c r="F1" s="3" t="s">
        <v>241</v>
      </c>
      <c r="G1" s="3" t="s">
        <v>242</v>
      </c>
      <c r="H1" s="3" t="s">
        <v>243</v>
      </c>
      <c r="I1" s="3" t="s">
        <v>244</v>
      </c>
      <c r="J1" s="3" t="s">
        <v>245</v>
      </c>
    </row>
    <row r="2" spans="1:10" ht="34.5" customHeight="1" x14ac:dyDescent="0.15">
      <c r="A2" s="4" t="s">
        <v>55</v>
      </c>
      <c r="B2" s="4" t="s">
        <v>55</v>
      </c>
      <c r="C2" s="4" t="s">
        <v>71</v>
      </c>
      <c r="D2" s="4">
        <v>2</v>
      </c>
      <c r="E2" s="4">
        <v>1</v>
      </c>
      <c r="F2" s="4">
        <v>400</v>
      </c>
      <c r="G2" s="4">
        <v>13.599999999999998</v>
      </c>
      <c r="H2" s="4">
        <v>386</v>
      </c>
      <c r="I2" s="4">
        <v>99999986</v>
      </c>
      <c r="J2" s="4"/>
    </row>
    <row r="3" spans="1:10" ht="17.25" customHeight="1" x14ac:dyDescent="0.15">
      <c r="A3" s="35" t="s">
        <v>57</v>
      </c>
      <c r="B3" s="35" t="s">
        <v>2</v>
      </c>
      <c r="C3" s="35" t="s">
        <v>246</v>
      </c>
      <c r="D3" s="35">
        <v>1</v>
      </c>
      <c r="E3" s="35">
        <v>1</v>
      </c>
      <c r="F3" s="35">
        <v>49056</v>
      </c>
      <c r="G3" s="35">
        <v>2056.3200000000002</v>
      </c>
      <c r="H3" s="35">
        <v>58363.199999999997</v>
      </c>
      <c r="I3" s="35">
        <v>100009293.2</v>
      </c>
      <c r="J3" s="35"/>
    </row>
    <row r="4" spans="1:10" x14ac:dyDescent="0.15">
      <c r="A4" s="35" t="s">
        <v>57</v>
      </c>
      <c r="B4" s="35" t="s">
        <v>72</v>
      </c>
      <c r="C4" s="35" t="s">
        <v>169</v>
      </c>
      <c r="D4" s="35">
        <v>3</v>
      </c>
      <c r="E4" s="35">
        <v>1</v>
      </c>
      <c r="F4" s="35">
        <v>12</v>
      </c>
      <c r="G4" s="35">
        <v>0</v>
      </c>
      <c r="H4" s="35">
        <v>0</v>
      </c>
      <c r="I4" s="35">
        <v>100009281.2</v>
      </c>
      <c r="J4" s="35"/>
    </row>
    <row r="5" spans="1:10" ht="23.25" customHeight="1" x14ac:dyDescent="0.15">
      <c r="A5" s="35" t="s">
        <v>59</v>
      </c>
      <c r="B5" s="35" t="s">
        <v>2</v>
      </c>
      <c r="C5" s="35" t="s">
        <v>73</v>
      </c>
      <c r="D5" s="35">
        <v>1</v>
      </c>
      <c r="E5" s="35">
        <v>1</v>
      </c>
      <c r="F5" s="35">
        <v>10080</v>
      </c>
      <c r="G5" s="35">
        <v>342.72</v>
      </c>
      <c r="H5" s="35">
        <v>9727.2000000000007</v>
      </c>
      <c r="I5" s="35">
        <v>100008928.40000001</v>
      </c>
      <c r="J5" s="35"/>
    </row>
    <row r="6" spans="1:10" x14ac:dyDescent="0.15">
      <c r="A6" s="35" t="s">
        <v>59</v>
      </c>
      <c r="B6" s="35" t="s">
        <v>72</v>
      </c>
      <c r="C6" s="35" t="s">
        <v>171</v>
      </c>
      <c r="D6" s="35">
        <v>2</v>
      </c>
      <c r="E6" s="35">
        <v>1</v>
      </c>
      <c r="F6" s="35">
        <v>4</v>
      </c>
      <c r="G6" s="35">
        <v>0</v>
      </c>
      <c r="H6" s="35">
        <v>0</v>
      </c>
      <c r="I6" s="35">
        <v>100008924.40000001</v>
      </c>
      <c r="J6" s="35"/>
    </row>
    <row r="7" spans="1:10" ht="21.75" customHeight="1" x14ac:dyDescent="0.15">
      <c r="A7" s="35" t="s">
        <v>61</v>
      </c>
      <c r="B7" s="35" t="s">
        <v>2</v>
      </c>
      <c r="C7" s="35" t="s">
        <v>74</v>
      </c>
      <c r="D7" s="35">
        <v>4</v>
      </c>
      <c r="E7" s="35">
        <v>1</v>
      </c>
      <c r="F7" s="35">
        <v>5760</v>
      </c>
      <c r="G7" s="35">
        <v>195.84</v>
      </c>
      <c r="H7" s="35">
        <v>5558.4</v>
      </c>
      <c r="I7" s="35">
        <v>100008722.80000001</v>
      </c>
      <c r="J7" s="35"/>
    </row>
    <row r="8" spans="1:10" x14ac:dyDescent="0.15">
      <c r="A8" s="35" t="s">
        <v>61</v>
      </c>
      <c r="B8" s="35" t="s">
        <v>72</v>
      </c>
      <c r="C8" s="35" t="s">
        <v>173</v>
      </c>
      <c r="D8" s="35">
        <v>5</v>
      </c>
      <c r="E8" s="35">
        <v>1</v>
      </c>
      <c r="F8" s="35">
        <v>10</v>
      </c>
      <c r="G8" s="35">
        <v>0</v>
      </c>
      <c r="H8" s="35">
        <v>0</v>
      </c>
      <c r="I8" s="35">
        <v>100008712.80000001</v>
      </c>
      <c r="J8" s="35"/>
    </row>
    <row r="9" spans="1:10" x14ac:dyDescent="0.15">
      <c r="A9" s="35" t="s">
        <v>63</v>
      </c>
      <c r="B9" s="35" t="s">
        <v>2</v>
      </c>
      <c r="C9" s="35" t="s">
        <v>75</v>
      </c>
      <c r="D9" s="35">
        <v>1</v>
      </c>
      <c r="E9" s="35">
        <v>1</v>
      </c>
      <c r="F9" s="35">
        <v>180</v>
      </c>
      <c r="G9" s="35">
        <v>6.12</v>
      </c>
      <c r="H9" s="35">
        <v>173.7</v>
      </c>
      <c r="I9" s="35">
        <v>100008706.50000001</v>
      </c>
      <c r="J9" s="35"/>
    </row>
    <row r="10" spans="1:10" x14ac:dyDescent="0.15">
      <c r="A10" s="35" t="s">
        <v>63</v>
      </c>
      <c r="B10" s="35" t="s">
        <v>72</v>
      </c>
      <c r="C10" s="35" t="s">
        <v>218</v>
      </c>
      <c r="D10" s="35">
        <v>2</v>
      </c>
      <c r="E10" s="35">
        <v>1</v>
      </c>
      <c r="F10" s="35">
        <v>12</v>
      </c>
      <c r="G10" s="35">
        <v>0</v>
      </c>
      <c r="H10" s="35">
        <v>0</v>
      </c>
      <c r="I10" s="35">
        <v>100008694.50000001</v>
      </c>
      <c r="J10" s="35"/>
    </row>
    <row r="11" spans="1:10" x14ac:dyDescent="0.15">
      <c r="A11" s="35" t="s">
        <v>65</v>
      </c>
      <c r="B11" s="35" t="s">
        <v>2</v>
      </c>
      <c r="C11" s="35" t="s">
        <v>32</v>
      </c>
      <c r="D11" s="35">
        <v>3</v>
      </c>
      <c r="E11" s="35">
        <v>1</v>
      </c>
      <c r="F11" s="35">
        <v>60</v>
      </c>
      <c r="G11" s="35">
        <v>2.04</v>
      </c>
      <c r="H11" s="35">
        <v>57.900000000000006</v>
      </c>
      <c r="I11" s="35">
        <v>100008692.40000002</v>
      </c>
      <c r="J11" s="35"/>
    </row>
    <row r="12" spans="1:10" x14ac:dyDescent="0.15">
      <c r="A12" s="35" t="s">
        <v>76</v>
      </c>
      <c r="B12" s="35" t="s">
        <v>77</v>
      </c>
      <c r="C12" s="35" t="s">
        <v>78</v>
      </c>
      <c r="D12" s="35">
        <v>1</v>
      </c>
      <c r="E12" s="35">
        <v>3</v>
      </c>
      <c r="F12" s="35">
        <v>63</v>
      </c>
      <c r="G12" s="35">
        <v>1.3260000000000001</v>
      </c>
      <c r="H12" s="35">
        <v>42.63</v>
      </c>
      <c r="I12" s="35">
        <v>100008672.03000002</v>
      </c>
      <c r="J12" s="35"/>
    </row>
    <row r="13" spans="1:10" ht="22.5" customHeight="1" x14ac:dyDescent="0.15">
      <c r="A13" s="35" t="s">
        <v>79</v>
      </c>
      <c r="B13" s="35" t="s">
        <v>79</v>
      </c>
      <c r="C13" s="35" t="s">
        <v>80</v>
      </c>
      <c r="D13" s="35">
        <v>1</v>
      </c>
      <c r="E13" s="35">
        <v>4</v>
      </c>
      <c r="F13" s="35">
        <v>200</v>
      </c>
      <c r="G13" s="35">
        <v>6.7999999999999989</v>
      </c>
      <c r="H13" s="35">
        <v>193</v>
      </c>
      <c r="I13" s="35">
        <v>100008665.03000002</v>
      </c>
      <c r="J13" s="3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topLeftCell="C1" zoomScaleNormal="100" workbookViewId="0">
      <pane ySplit="1" topLeftCell="A2" activePane="bottomLeft" state="frozen"/>
      <selection activeCell="D1" sqref="D1"/>
      <selection pane="bottomLeft" activeCell="Q14" sqref="Q14"/>
    </sheetView>
  </sheetViews>
  <sheetFormatPr defaultColWidth="9" defaultRowHeight="13.5" x14ac:dyDescent="0.15"/>
  <cols>
    <col min="1" max="1" width="6.375" style="22" customWidth="1"/>
    <col min="2" max="2" width="6.125" style="22" customWidth="1"/>
    <col min="3" max="3" width="6.5" style="23" customWidth="1"/>
    <col min="4" max="4" width="6.875" style="22" customWidth="1"/>
    <col min="5" max="6" width="7.25" style="22" customWidth="1"/>
    <col min="7" max="7" width="7" style="22" customWidth="1"/>
    <col min="8" max="8" width="7.125" style="22" customWidth="1"/>
    <col min="9" max="9" width="5.375" style="22" customWidth="1"/>
    <col min="10" max="10" width="10.375" style="22" customWidth="1"/>
    <col min="11" max="11" width="4.75" style="22" customWidth="1"/>
    <col min="12" max="12" width="17.875" style="22" customWidth="1"/>
    <col min="13" max="13" width="12.875" style="22" customWidth="1"/>
    <col min="14" max="14" width="13.25" style="22" customWidth="1"/>
    <col min="15" max="15" width="14.625" style="22" customWidth="1"/>
    <col min="16" max="16" width="12.875" style="22" customWidth="1"/>
    <col min="17" max="17" width="14.5" style="22" customWidth="1"/>
    <col min="18" max="16384" width="9" style="22"/>
  </cols>
  <sheetData>
    <row r="1" spans="1:25" x14ac:dyDescent="0.15">
      <c r="A1" s="20" t="s">
        <v>115</v>
      </c>
      <c r="B1" s="21" t="s">
        <v>116</v>
      </c>
      <c r="C1" s="21" t="s">
        <v>117</v>
      </c>
      <c r="D1" s="41" t="s">
        <v>118</v>
      </c>
      <c r="E1" s="41"/>
      <c r="F1" s="41" t="s">
        <v>119</v>
      </c>
      <c r="G1" s="41"/>
      <c r="H1" s="41" t="s">
        <v>120</v>
      </c>
      <c r="I1" s="41"/>
      <c r="J1" s="20" t="s">
        <v>121</v>
      </c>
      <c r="K1" s="20"/>
      <c r="Q1" s="20" t="s">
        <v>122</v>
      </c>
      <c r="R1" s="21" t="s">
        <v>123</v>
      </c>
      <c r="S1" s="21" t="s">
        <v>124</v>
      </c>
      <c r="T1" s="41" t="s">
        <v>125</v>
      </c>
      <c r="U1" s="41"/>
      <c r="V1" s="41" t="s">
        <v>126</v>
      </c>
      <c r="W1" s="41"/>
      <c r="X1" s="41" t="s">
        <v>127</v>
      </c>
      <c r="Y1" s="41"/>
    </row>
    <row r="2" spans="1:25" x14ac:dyDescent="0.15">
      <c r="A2" s="22">
        <v>1</v>
      </c>
      <c r="B2" s="22">
        <v>9.9</v>
      </c>
      <c r="C2" s="23">
        <v>9.9</v>
      </c>
      <c r="D2" s="20">
        <v>7001</v>
      </c>
      <c r="E2" s="22">
        <f t="shared" ref="E2:E65" si="0">C2</f>
        <v>9.9</v>
      </c>
      <c r="F2" s="20">
        <v>8001</v>
      </c>
      <c r="G2" s="22">
        <f t="shared" ref="G2:G65" si="1">$E2-0.1</f>
        <v>9.8000000000000007</v>
      </c>
      <c r="H2" s="20">
        <v>9001</v>
      </c>
      <c r="I2" s="22">
        <f t="shared" ref="I2:I65" si="2">$E2-0.2</f>
        <v>9.7000000000000011</v>
      </c>
      <c r="J2" s="22">
        <v>151</v>
      </c>
      <c r="L2" s="20" t="s">
        <v>128</v>
      </c>
      <c r="P2" s="22">
        <v>15196685175</v>
      </c>
      <c r="Q2" s="22">
        <v>82</v>
      </c>
      <c r="R2" s="22" t="s">
        <v>181</v>
      </c>
      <c r="S2" s="22">
        <v>9.9</v>
      </c>
      <c r="T2" s="24">
        <v>1697265</v>
      </c>
      <c r="U2" s="22">
        <f>S2</f>
        <v>9.9</v>
      </c>
      <c r="V2" s="24">
        <v>1170912</v>
      </c>
      <c r="W2" s="22">
        <f>U2-0.3</f>
        <v>9.6</v>
      </c>
      <c r="X2" s="24">
        <v>1171951</v>
      </c>
      <c r="Y2" s="22">
        <f>U2-0.5</f>
        <v>9.4</v>
      </c>
    </row>
    <row r="3" spans="1:25" x14ac:dyDescent="0.15">
      <c r="A3" s="22">
        <v>2</v>
      </c>
      <c r="B3" s="22">
        <f>F2</f>
        <v>8001</v>
      </c>
      <c r="C3" s="23">
        <f>G2</f>
        <v>9.8000000000000007</v>
      </c>
      <c r="D3" s="20">
        <v>7002</v>
      </c>
      <c r="E3" s="22">
        <f t="shared" si="0"/>
        <v>9.8000000000000007</v>
      </c>
      <c r="F3" s="20">
        <v>8002</v>
      </c>
      <c r="G3" s="22">
        <f t="shared" si="1"/>
        <v>9.7000000000000011</v>
      </c>
      <c r="H3" s="20">
        <v>9002</v>
      </c>
      <c r="I3" s="22">
        <f t="shared" si="2"/>
        <v>9.6000000000000014</v>
      </c>
      <c r="L3" s="20">
        <f>INDEX(Q$2:Y$48,MATCH(J2,Q:Q)-1,3)</f>
        <v>6.5</v>
      </c>
      <c r="P3" s="22" t="s">
        <v>182</v>
      </c>
      <c r="Q3" s="22">
        <v>140</v>
      </c>
      <c r="R3" s="22">
        <f>V2</f>
        <v>1170912</v>
      </c>
      <c r="S3" s="22">
        <f>W2</f>
        <v>9.6</v>
      </c>
      <c r="T3" s="24">
        <v>1172987</v>
      </c>
      <c r="U3" s="22">
        <f>S3</f>
        <v>9.6</v>
      </c>
      <c r="V3" s="24">
        <v>1176952</v>
      </c>
      <c r="W3" s="22">
        <f>U3-0.4</f>
        <v>9.1999999999999993</v>
      </c>
      <c r="X3" s="24"/>
      <c r="Y3" s="22">
        <f>U3-0.3</f>
        <v>9.2999999999999989</v>
      </c>
    </row>
    <row r="4" spans="1:25" x14ac:dyDescent="0.15">
      <c r="A4" s="22">
        <v>3</v>
      </c>
      <c r="B4" s="22">
        <f>H2</f>
        <v>9001</v>
      </c>
      <c r="C4" s="23">
        <f>I2</f>
        <v>9.7000000000000011</v>
      </c>
      <c r="D4" s="20">
        <v>7003</v>
      </c>
      <c r="E4" s="22">
        <f t="shared" si="0"/>
        <v>9.7000000000000011</v>
      </c>
      <c r="F4" s="20">
        <v>8003</v>
      </c>
      <c r="G4" s="22">
        <f t="shared" si="1"/>
        <v>9.6000000000000014</v>
      </c>
      <c r="H4" s="20">
        <v>9003</v>
      </c>
      <c r="I4" s="22">
        <f t="shared" si="2"/>
        <v>9.5000000000000018</v>
      </c>
      <c r="P4" s="22" t="s">
        <v>183</v>
      </c>
      <c r="Q4" s="22">
        <v>143</v>
      </c>
      <c r="R4" s="22">
        <f t="shared" ref="R4:S12" si="3">V3</f>
        <v>1176952</v>
      </c>
      <c r="S4" s="22">
        <f t="shared" si="3"/>
        <v>9.1999999999999993</v>
      </c>
      <c r="T4" s="24"/>
      <c r="U4" s="22">
        <f>S4</f>
        <v>9.1999999999999993</v>
      </c>
      <c r="V4" s="24">
        <v>1200960</v>
      </c>
      <c r="W4" s="22">
        <f>U4-0.3</f>
        <v>8.8999999999999986</v>
      </c>
      <c r="X4" s="24"/>
      <c r="Y4" s="22">
        <f>U4-0.3</f>
        <v>8.8999999999999986</v>
      </c>
    </row>
    <row r="5" spans="1:25" x14ac:dyDescent="0.15">
      <c r="A5" s="22">
        <v>4</v>
      </c>
      <c r="B5" s="22">
        <f>F3</f>
        <v>8002</v>
      </c>
      <c r="C5" s="23">
        <f>G3</f>
        <v>9.7000000000000011</v>
      </c>
      <c r="D5" s="20">
        <v>7004</v>
      </c>
      <c r="E5" s="22">
        <f t="shared" si="0"/>
        <v>9.7000000000000011</v>
      </c>
      <c r="F5" s="20">
        <v>8004</v>
      </c>
      <c r="G5" s="22">
        <f t="shared" si="1"/>
        <v>9.6000000000000014</v>
      </c>
      <c r="H5" s="20">
        <v>9004</v>
      </c>
      <c r="I5" s="22">
        <f t="shared" si="2"/>
        <v>9.5000000000000018</v>
      </c>
      <c r="L5" s="20" t="s">
        <v>129</v>
      </c>
      <c r="M5" s="20" t="s">
        <v>192</v>
      </c>
      <c r="N5" s="20" t="s">
        <v>130</v>
      </c>
      <c r="O5" s="20" t="s">
        <v>204</v>
      </c>
      <c r="P5" s="22" t="s">
        <v>184</v>
      </c>
      <c r="Q5" s="22">
        <v>144</v>
      </c>
      <c r="R5" s="22">
        <f t="shared" si="3"/>
        <v>1200960</v>
      </c>
      <c r="S5" s="22">
        <f t="shared" si="3"/>
        <v>8.8999999999999986</v>
      </c>
      <c r="T5" s="24"/>
      <c r="U5" s="22">
        <f t="shared" ref="U5:U12" si="4">S5</f>
        <v>8.8999999999999986</v>
      </c>
      <c r="V5" s="24">
        <v>1202928</v>
      </c>
      <c r="W5" s="22">
        <f>U5-0.7</f>
        <v>8.1999999999999993</v>
      </c>
      <c r="X5" s="24"/>
      <c r="Y5" s="22">
        <f>U5-0.5</f>
        <v>8.3999999999999986</v>
      </c>
    </row>
    <row r="6" spans="1:25" x14ac:dyDescent="0.15">
      <c r="A6" s="22">
        <v>5</v>
      </c>
      <c r="B6" s="22">
        <f>H3</f>
        <v>9002</v>
      </c>
      <c r="C6" s="23">
        <f>I3</f>
        <v>9.6000000000000014</v>
      </c>
      <c r="D6" s="20">
        <v>7005</v>
      </c>
      <c r="E6" s="22">
        <f t="shared" si="0"/>
        <v>9.6000000000000014</v>
      </c>
      <c r="F6" s="20">
        <v>8005</v>
      </c>
      <c r="G6" s="22">
        <f t="shared" si="1"/>
        <v>9.5000000000000018</v>
      </c>
      <c r="H6" s="20">
        <v>9005</v>
      </c>
      <c r="I6" s="22">
        <f t="shared" si="2"/>
        <v>9.4000000000000021</v>
      </c>
      <c r="L6" s="22">
        <f>IF(ISNUMBER(INDEX(Q$2:Y$48,MATCH(J2,Q:Q)-1,2)),INDEX(Q$2:Y$48,MATCH(J2,Q:Q)-1,2),"没有上级")</f>
        <v>1216992</v>
      </c>
      <c r="M6" s="24">
        <f>IF(ISNUMBER(INT(L6)),IF(AND(J2&lt;152,J2&gt;82),INDEX(Q$2:Y$48,MATCH(L6,V:V,0)-1,1),IF(J2=82,"没有上级",INDEX(Q$2:Y$48,MATCH(L6,X:X,0)-1,1))),"没有上级")</f>
        <v>150</v>
      </c>
      <c r="N6" s="22">
        <f>IF(ISNUMBER(INDEX(Q$2:Y$48,MATCH(M6,$Q:$Q)-1,3)),INDEX(Q$2:Y$48,MATCH(M6,$Q:$Q)-1,3),"没有上级")</f>
        <v>6.6</v>
      </c>
      <c r="O6" s="22">
        <f>IF(ISNUMBER(N6-L3),ROUND((N6-L3)*10,0),"没有上级")</f>
        <v>1</v>
      </c>
      <c r="P6" s="22" t="s">
        <v>185</v>
      </c>
      <c r="Q6" s="22">
        <v>145</v>
      </c>
      <c r="R6" s="22">
        <f t="shared" si="3"/>
        <v>1202928</v>
      </c>
      <c r="S6" s="22">
        <f t="shared" si="3"/>
        <v>8.1999999999999993</v>
      </c>
      <c r="T6" s="24"/>
      <c r="U6" s="22">
        <f t="shared" si="4"/>
        <v>8.1999999999999993</v>
      </c>
      <c r="V6" s="24">
        <v>1204995</v>
      </c>
      <c r="W6" s="22">
        <f>U6-0.1</f>
        <v>8.1</v>
      </c>
      <c r="X6" s="24"/>
      <c r="Y6" s="22">
        <f>U6-0.3</f>
        <v>7.8999999999999995</v>
      </c>
    </row>
    <row r="7" spans="1:25" x14ac:dyDescent="0.15">
      <c r="A7" s="22">
        <v>6</v>
      </c>
      <c r="B7" s="22">
        <f>F4</f>
        <v>8003</v>
      </c>
      <c r="C7" s="23">
        <f>G4</f>
        <v>9.6000000000000014</v>
      </c>
      <c r="D7" s="20">
        <v>7006</v>
      </c>
      <c r="E7" s="22">
        <f t="shared" si="0"/>
        <v>9.6000000000000014</v>
      </c>
      <c r="F7" s="20">
        <v>8006</v>
      </c>
      <c r="G7" s="22">
        <f t="shared" si="1"/>
        <v>9.5000000000000018</v>
      </c>
      <c r="H7" s="20">
        <v>9006</v>
      </c>
      <c r="I7" s="22">
        <f t="shared" si="2"/>
        <v>9.4000000000000021</v>
      </c>
      <c r="P7" s="22" t="s">
        <v>186</v>
      </c>
      <c r="Q7" s="22">
        <v>146</v>
      </c>
      <c r="R7" s="22">
        <f t="shared" si="3"/>
        <v>1204995</v>
      </c>
      <c r="S7" s="22">
        <f t="shared" si="3"/>
        <v>8.1</v>
      </c>
      <c r="T7" s="24"/>
      <c r="U7" s="22">
        <f t="shared" si="4"/>
        <v>8.1</v>
      </c>
      <c r="V7" s="24">
        <v>1206981</v>
      </c>
      <c r="W7" s="22">
        <f>U7-0.3</f>
        <v>7.8</v>
      </c>
      <c r="X7" s="24"/>
      <c r="Y7" s="22">
        <f>U7-0.4</f>
        <v>7.6999999999999993</v>
      </c>
    </row>
    <row r="8" spans="1:25" x14ac:dyDescent="0.15">
      <c r="A8" s="22">
        <v>7</v>
      </c>
      <c r="B8" s="22">
        <f>F5</f>
        <v>8004</v>
      </c>
      <c r="C8" s="23">
        <f>G5</f>
        <v>9.6000000000000014</v>
      </c>
      <c r="D8" s="20">
        <v>7007</v>
      </c>
      <c r="E8" s="22">
        <f t="shared" si="0"/>
        <v>9.6000000000000014</v>
      </c>
      <c r="F8" s="20">
        <v>8007</v>
      </c>
      <c r="G8" s="22">
        <f t="shared" si="1"/>
        <v>9.5000000000000018</v>
      </c>
      <c r="H8" s="20">
        <v>9007</v>
      </c>
      <c r="I8" s="22">
        <f t="shared" si="2"/>
        <v>9.4000000000000021</v>
      </c>
      <c r="L8" s="20" t="s">
        <v>131</v>
      </c>
      <c r="M8" s="20" t="s">
        <v>193</v>
      </c>
      <c r="N8" s="20" t="s">
        <v>132</v>
      </c>
      <c r="O8" s="22" t="s">
        <v>205</v>
      </c>
      <c r="P8" s="22" t="s">
        <v>187</v>
      </c>
      <c r="Q8" s="22">
        <v>147</v>
      </c>
      <c r="R8" s="22">
        <f t="shared" si="3"/>
        <v>1206981</v>
      </c>
      <c r="S8" s="22">
        <f t="shared" si="3"/>
        <v>7.8</v>
      </c>
      <c r="T8" s="24"/>
      <c r="U8" s="22">
        <f t="shared" si="4"/>
        <v>7.8</v>
      </c>
      <c r="V8" s="24">
        <v>1210988</v>
      </c>
      <c r="W8" s="22">
        <f>U8-0.4</f>
        <v>7.3999999999999995</v>
      </c>
      <c r="X8" s="24"/>
      <c r="Y8" s="22">
        <f>U8-0.2</f>
        <v>7.6</v>
      </c>
    </row>
    <row r="9" spans="1:25" x14ac:dyDescent="0.15">
      <c r="A9" s="22">
        <v>8</v>
      </c>
      <c r="B9" s="22">
        <f>H5</f>
        <v>9004</v>
      </c>
      <c r="C9" s="23">
        <f>I5</f>
        <v>9.5000000000000018</v>
      </c>
      <c r="D9" s="20">
        <v>7008</v>
      </c>
      <c r="E9" s="22">
        <f t="shared" si="0"/>
        <v>9.5000000000000018</v>
      </c>
      <c r="F9" s="20">
        <v>8008</v>
      </c>
      <c r="G9" s="22">
        <f t="shared" si="1"/>
        <v>9.4000000000000021</v>
      </c>
      <c r="H9" s="20">
        <v>9008</v>
      </c>
      <c r="I9" s="22">
        <f t="shared" si="2"/>
        <v>9.3000000000000025</v>
      </c>
      <c r="L9" s="22">
        <f>IF(ISNUMBER(INDEX(Q$2:Y$48,MATCH(M6,Q:Q)-1,2)),INDEX(Q$2:Y$48,MATCH(M6,Q:Q)-1,2),"没有上级")</f>
        <v>1214993</v>
      </c>
      <c r="M9" s="24">
        <f>IF(ISNUMBER(INT(L9)),IF(OR(AND(M6&lt;152,M6&gt;82),AND(M6&lt;395,M6&gt;385)),INDEX(Q$2:Y$48,MATCH(L9,V:V,0)-1,1),IF(OR(M6=82,M6=385),"没有上级",INDEX(Q$2:Y$48,MATCH(L9,X:X,0)-1,1))),"没有上级")</f>
        <v>149</v>
      </c>
      <c r="N9" s="22">
        <f>IF(ISNUMBER(INDEX(Q$2:Y$48,MATCH(M9,$Q:$Q)-1,3)),INDEX(Q$2:Y$48,MATCH(M9,$Q:$Q)-1,3),"没有上级")</f>
        <v>7.1999999999999993</v>
      </c>
      <c r="O9" s="22">
        <f>IF(ISNUMBER(N9-N6),ROUND((N9-N6)*10,0),"没有上级")</f>
        <v>6</v>
      </c>
      <c r="P9" s="22" t="s">
        <v>188</v>
      </c>
      <c r="Q9" s="22">
        <v>148</v>
      </c>
      <c r="R9" s="22">
        <f t="shared" si="3"/>
        <v>1210988</v>
      </c>
      <c r="S9" s="22">
        <f t="shared" si="3"/>
        <v>7.3999999999999995</v>
      </c>
      <c r="T9" s="24"/>
      <c r="U9" s="22">
        <f t="shared" si="4"/>
        <v>7.3999999999999995</v>
      </c>
      <c r="V9" s="24">
        <v>1212942</v>
      </c>
      <c r="W9" s="22">
        <f>U9-0.2</f>
        <v>7.1999999999999993</v>
      </c>
      <c r="X9" s="24"/>
      <c r="Y9" s="22">
        <f>U9-0.1</f>
        <v>7.3</v>
      </c>
    </row>
    <row r="10" spans="1:25" x14ac:dyDescent="0.15">
      <c r="A10" s="22">
        <v>9</v>
      </c>
      <c r="B10" s="22">
        <f>F6</f>
        <v>8005</v>
      </c>
      <c r="C10" s="23">
        <f>G6</f>
        <v>9.5000000000000018</v>
      </c>
      <c r="D10" s="20">
        <v>7009</v>
      </c>
      <c r="E10" s="22">
        <f t="shared" si="0"/>
        <v>9.5000000000000018</v>
      </c>
      <c r="F10" s="20">
        <v>8009</v>
      </c>
      <c r="G10" s="22">
        <f t="shared" si="1"/>
        <v>9.4000000000000021</v>
      </c>
      <c r="H10" s="20">
        <v>9009</v>
      </c>
      <c r="I10" s="22">
        <f t="shared" si="2"/>
        <v>9.3000000000000025</v>
      </c>
      <c r="P10" s="22" t="s">
        <v>189</v>
      </c>
      <c r="Q10" s="22">
        <v>149</v>
      </c>
      <c r="R10" s="22">
        <f t="shared" si="3"/>
        <v>1212942</v>
      </c>
      <c r="S10" s="22">
        <f t="shared" si="3"/>
        <v>7.1999999999999993</v>
      </c>
      <c r="T10" s="24"/>
      <c r="U10" s="22">
        <f t="shared" si="4"/>
        <v>7.1999999999999993</v>
      </c>
      <c r="V10" s="24">
        <v>1214993</v>
      </c>
      <c r="W10" s="22">
        <f>U10-0.6</f>
        <v>6.6</v>
      </c>
      <c r="X10" s="24"/>
      <c r="Y10" s="22">
        <f>U10-0.2</f>
        <v>6.9999999999999991</v>
      </c>
    </row>
    <row r="11" spans="1:25" x14ac:dyDescent="0.15">
      <c r="A11" s="22">
        <v>10</v>
      </c>
      <c r="B11" s="22">
        <f>D7</f>
        <v>7006</v>
      </c>
      <c r="C11" s="23">
        <f>E7</f>
        <v>9.6000000000000014</v>
      </c>
      <c r="D11" s="20">
        <v>7010</v>
      </c>
      <c r="E11" s="22">
        <f t="shared" si="0"/>
        <v>9.6000000000000014</v>
      </c>
      <c r="F11" s="20">
        <v>8010</v>
      </c>
      <c r="G11" s="22">
        <f t="shared" si="1"/>
        <v>9.5000000000000018</v>
      </c>
      <c r="H11" s="20">
        <v>9010</v>
      </c>
      <c r="I11" s="22">
        <f t="shared" si="2"/>
        <v>9.4000000000000021</v>
      </c>
      <c r="L11" s="20" t="s">
        <v>133</v>
      </c>
      <c r="M11" s="20" t="s">
        <v>194</v>
      </c>
      <c r="N11" s="20" t="s">
        <v>134</v>
      </c>
      <c r="O11" s="22" t="s">
        <v>206</v>
      </c>
      <c r="P11" s="22" t="s">
        <v>190</v>
      </c>
      <c r="Q11" s="22">
        <v>150</v>
      </c>
      <c r="R11" s="22">
        <f t="shared" si="3"/>
        <v>1214993</v>
      </c>
      <c r="S11" s="22">
        <f t="shared" si="3"/>
        <v>6.6</v>
      </c>
      <c r="T11" s="24"/>
      <c r="U11" s="22">
        <f t="shared" si="4"/>
        <v>6.6</v>
      </c>
      <c r="V11" s="24">
        <v>1216992</v>
      </c>
      <c r="W11" s="22">
        <f>U11-0.1</f>
        <v>6.5</v>
      </c>
      <c r="X11" s="24"/>
      <c r="Y11" s="22">
        <f>U11-0.3</f>
        <v>6.3</v>
      </c>
    </row>
    <row r="12" spans="1:25" x14ac:dyDescent="0.15">
      <c r="A12" s="22">
        <v>11</v>
      </c>
      <c r="B12" s="22">
        <f>F7</f>
        <v>8006</v>
      </c>
      <c r="C12" s="23">
        <f>G7</f>
        <v>9.5000000000000018</v>
      </c>
      <c r="D12" s="20">
        <v>7011</v>
      </c>
      <c r="E12" s="22">
        <f t="shared" si="0"/>
        <v>9.5000000000000018</v>
      </c>
      <c r="F12" s="20">
        <v>8011</v>
      </c>
      <c r="G12" s="22">
        <f t="shared" si="1"/>
        <v>9.4000000000000021</v>
      </c>
      <c r="H12" s="20">
        <v>9011</v>
      </c>
      <c r="I12" s="22">
        <f t="shared" si="2"/>
        <v>9.3000000000000025</v>
      </c>
      <c r="L12" s="22">
        <f>IF(ISNUMBER(INDEX(Q$2:Y$48,MATCH(M9,Q:Q)-1,2)),INDEX(Q$2:Y$48,MATCH(M9,Q:Q)-1,2),"没有上级")</f>
        <v>1212942</v>
      </c>
      <c r="M12" s="24">
        <f>IF(ISNUMBER(INT(L12)),IF(OR(AND(M9&lt;152,M9&gt;82),AND(M9&lt;395,M9&gt;385)),INDEX(Q$2:Y$48,MATCH(L12,V:V,0)-1,1),IF(OR(M9=82,M9=385),"没有上级",INDEX(Q$2:Y$48,MATCH(L12,X:X,0)-1,1))),"没有上级")</f>
        <v>148</v>
      </c>
      <c r="N12" s="22">
        <f>IF(ISNUMBER(INDEX(Q$2:Y$48,MATCH(M12,$Q:$Q)-1,3)),INDEX(Q$2:Y$48,MATCH(M12,$Q:$Q)-1,3),"没有上级")</f>
        <v>7.3999999999999995</v>
      </c>
      <c r="O12" s="22">
        <f>IF(ISNUMBER(N12-N9),ROUND((N12-N9)*10,0),"没有上级")</f>
        <v>2</v>
      </c>
      <c r="P12" s="22" t="s">
        <v>191</v>
      </c>
      <c r="Q12" s="22">
        <v>151</v>
      </c>
      <c r="R12" s="22">
        <f t="shared" si="3"/>
        <v>1216992</v>
      </c>
      <c r="S12" s="22">
        <f t="shared" si="3"/>
        <v>6.5</v>
      </c>
      <c r="T12" s="24"/>
      <c r="U12" s="22">
        <f t="shared" si="4"/>
        <v>6.5</v>
      </c>
      <c r="V12" s="24"/>
      <c r="W12" s="22">
        <f>U12-0.4</f>
        <v>6.1</v>
      </c>
      <c r="X12" s="24"/>
      <c r="Y12" s="22">
        <f>U12-0.4</f>
        <v>6.1</v>
      </c>
    </row>
    <row r="13" spans="1:25" x14ac:dyDescent="0.15">
      <c r="A13" s="22">
        <v>12</v>
      </c>
      <c r="B13" s="22">
        <f>H7</f>
        <v>9006</v>
      </c>
      <c r="C13" s="23">
        <f>I7</f>
        <v>9.4000000000000021</v>
      </c>
      <c r="D13" s="20">
        <v>7012</v>
      </c>
      <c r="E13" s="22">
        <f t="shared" si="0"/>
        <v>9.4000000000000021</v>
      </c>
      <c r="F13" s="20">
        <v>8012</v>
      </c>
      <c r="G13" s="22">
        <f t="shared" si="1"/>
        <v>9.3000000000000025</v>
      </c>
      <c r="H13" s="20">
        <v>9012</v>
      </c>
      <c r="I13" s="22">
        <f t="shared" si="2"/>
        <v>9.2000000000000028</v>
      </c>
      <c r="T13" s="24"/>
      <c r="V13" s="24"/>
      <c r="X13" s="24"/>
    </row>
    <row r="14" spans="1:25" x14ac:dyDescent="0.15">
      <c r="A14" s="22">
        <v>13</v>
      </c>
      <c r="B14" s="22">
        <f>F8</f>
        <v>8007</v>
      </c>
      <c r="C14" s="23">
        <f>G8</f>
        <v>9.5000000000000018</v>
      </c>
      <c r="D14" s="20">
        <v>7013</v>
      </c>
      <c r="E14" s="22">
        <f t="shared" si="0"/>
        <v>9.5000000000000018</v>
      </c>
      <c r="F14" s="20">
        <v>8013</v>
      </c>
      <c r="G14" s="22">
        <f t="shared" si="1"/>
        <v>9.4000000000000021</v>
      </c>
      <c r="H14" s="20">
        <v>9013</v>
      </c>
      <c r="I14" s="22">
        <f t="shared" si="2"/>
        <v>9.3000000000000025</v>
      </c>
      <c r="L14" s="20" t="s">
        <v>135</v>
      </c>
      <c r="M14" s="20" t="s">
        <v>195</v>
      </c>
      <c r="N14" s="20" t="s">
        <v>136</v>
      </c>
      <c r="O14" s="22" t="s">
        <v>207</v>
      </c>
      <c r="T14" s="24"/>
      <c r="V14" s="24"/>
      <c r="X14" s="24"/>
    </row>
    <row r="15" spans="1:25" x14ac:dyDescent="0.15">
      <c r="A15" s="22">
        <v>14</v>
      </c>
      <c r="B15" s="22">
        <f>H8</f>
        <v>9007</v>
      </c>
      <c r="C15" s="23">
        <f>I8</f>
        <v>9.4000000000000021</v>
      </c>
      <c r="D15" s="20">
        <v>7014</v>
      </c>
      <c r="E15" s="22">
        <f t="shared" si="0"/>
        <v>9.4000000000000021</v>
      </c>
      <c r="F15" s="20">
        <v>8014</v>
      </c>
      <c r="G15" s="22">
        <f t="shared" si="1"/>
        <v>9.3000000000000025</v>
      </c>
      <c r="H15" s="20">
        <v>9014</v>
      </c>
      <c r="I15" s="22">
        <f t="shared" si="2"/>
        <v>9.2000000000000028</v>
      </c>
      <c r="L15" s="22">
        <f>IF(ISNUMBER(INDEX(Q$2:Y$48,MATCH(M12,Q:Q)-1,2)),INDEX(Q$2:Y$48,MATCH(M12,Q:Q)-1,2),"没有上级")</f>
        <v>1210988</v>
      </c>
      <c r="M15" s="24">
        <f>IF(ISNUMBER(INT(L15)),IF(OR(AND(M12&lt;152,M12&gt;82),AND(M12&lt;395,M12&gt;385)),INDEX(Q$2:Y$48,MATCH(L15,V:V,0)-1,1),IF(OR(M12=82,M12=385),"没有上级",INDEX(Q$2:Y$48,MATCH(L15,X:X,0)-1,1))),"没有上级")</f>
        <v>147</v>
      </c>
      <c r="N15" s="22">
        <f>IF(ISNUMBER(INDEX(Q$2:Y$48,MATCH(M15,$Q:$Q)-1,3)),INDEX(Q$2:Y$48,MATCH(M15,$Q:$Q)-1,3),"没有上级")</f>
        <v>7.8</v>
      </c>
      <c r="O15" s="22">
        <f>IF(ISNUMBER(N15-N12),ROUND((N15-N12)*10,0),"没有上级")</f>
        <v>4</v>
      </c>
    </row>
    <row r="16" spans="1:25" x14ac:dyDescent="0.15">
      <c r="A16" s="22">
        <v>15</v>
      </c>
      <c r="B16" s="22">
        <f>F9</f>
        <v>8008</v>
      </c>
      <c r="C16" s="23">
        <f>G9</f>
        <v>9.4000000000000021</v>
      </c>
      <c r="D16" s="20">
        <v>7015</v>
      </c>
      <c r="E16" s="22">
        <f t="shared" si="0"/>
        <v>9.4000000000000021</v>
      </c>
      <c r="F16" s="20">
        <v>8015</v>
      </c>
      <c r="G16" s="22">
        <f t="shared" si="1"/>
        <v>9.3000000000000025</v>
      </c>
      <c r="H16" s="20">
        <v>9015</v>
      </c>
      <c r="I16" s="22">
        <f t="shared" si="2"/>
        <v>9.2000000000000028</v>
      </c>
    </row>
    <row r="17" spans="1:26" x14ac:dyDescent="0.15">
      <c r="A17" s="22">
        <v>16</v>
      </c>
      <c r="B17" s="22">
        <f>D10</f>
        <v>7009</v>
      </c>
      <c r="C17" s="23">
        <f>E10</f>
        <v>9.5000000000000018</v>
      </c>
      <c r="D17" s="20">
        <v>7016</v>
      </c>
      <c r="E17" s="22">
        <f t="shared" si="0"/>
        <v>9.5000000000000018</v>
      </c>
      <c r="F17" s="20">
        <v>8016</v>
      </c>
      <c r="G17" s="22">
        <f t="shared" si="1"/>
        <v>9.4000000000000021</v>
      </c>
      <c r="H17" s="20">
        <v>9016</v>
      </c>
      <c r="I17" s="22">
        <f t="shared" si="2"/>
        <v>9.3000000000000025</v>
      </c>
      <c r="L17" s="20" t="s">
        <v>137</v>
      </c>
      <c r="M17" s="20" t="s">
        <v>196</v>
      </c>
      <c r="N17" s="20" t="s">
        <v>138</v>
      </c>
      <c r="O17" s="22" t="s">
        <v>139</v>
      </c>
    </row>
    <row r="18" spans="1:26" x14ac:dyDescent="0.15">
      <c r="A18" s="22">
        <v>17</v>
      </c>
      <c r="B18" s="22">
        <f>F10</f>
        <v>8009</v>
      </c>
      <c r="C18" s="23">
        <f>G10</f>
        <v>9.4000000000000021</v>
      </c>
      <c r="D18" s="20">
        <v>7017</v>
      </c>
      <c r="E18" s="22">
        <f t="shared" si="0"/>
        <v>9.4000000000000021</v>
      </c>
      <c r="F18" s="20">
        <v>8017</v>
      </c>
      <c r="G18" s="22">
        <f t="shared" si="1"/>
        <v>9.3000000000000025</v>
      </c>
      <c r="H18" s="20">
        <v>9017</v>
      </c>
      <c r="I18" s="22">
        <f t="shared" si="2"/>
        <v>9.2000000000000028</v>
      </c>
      <c r="L18" s="22">
        <f>IF(ISNUMBER(INDEX(Q$2:Y$48,MATCH(M15,Q:Q)-1,2)),INDEX(Q$2:Y$48,MATCH(M15,Q:Q)-1,2),"没有上级")</f>
        <v>1206981</v>
      </c>
      <c r="M18" s="24">
        <f>IF(ISNUMBER(INT(L18)),IF(OR(AND(M15&lt;152,M15&gt;82),AND(M15&lt;395,M15&gt;385)),INDEX(Q$2:Y$48,MATCH(L18,V:V,0)-1,1),IF(OR(M15=82,M15=385),"没有上级",INDEX(Q$2:Y$48,MATCH(L18,X:X,0)-1,1))),"没有上级")</f>
        <v>146</v>
      </c>
      <c r="N18" s="22">
        <f>IF(ISNUMBER(INDEX(Q$2:Y$48,MATCH(M18,$Q:$Q)-1,3)),INDEX(Q$2:Y$48,MATCH(M18,$Q:$Q)-1,3),"没有上级")</f>
        <v>8.1</v>
      </c>
      <c r="O18" s="22">
        <f>IF(ISNUMBER(N18-N15),ROUND((N18-N15)*10,0),"没有上级")</f>
        <v>3</v>
      </c>
    </row>
    <row r="19" spans="1:26" x14ac:dyDescent="0.15">
      <c r="A19" s="22">
        <v>18</v>
      </c>
      <c r="B19" s="22">
        <f>H10</f>
        <v>9009</v>
      </c>
      <c r="C19" s="23">
        <f>I10</f>
        <v>9.3000000000000025</v>
      </c>
      <c r="D19" s="20">
        <v>7018</v>
      </c>
      <c r="E19" s="22">
        <f t="shared" si="0"/>
        <v>9.3000000000000025</v>
      </c>
      <c r="F19" s="20">
        <v>8018</v>
      </c>
      <c r="G19" s="22">
        <f t="shared" si="1"/>
        <v>9.2000000000000028</v>
      </c>
      <c r="H19" s="20">
        <v>9018</v>
      </c>
      <c r="I19" s="22">
        <f t="shared" si="2"/>
        <v>9.1000000000000032</v>
      </c>
    </row>
    <row r="20" spans="1:26" x14ac:dyDescent="0.15">
      <c r="A20" s="22">
        <v>19</v>
      </c>
      <c r="B20" s="22">
        <f>F11</f>
        <v>8010</v>
      </c>
      <c r="C20" s="23">
        <f>G11</f>
        <v>9.5000000000000018</v>
      </c>
      <c r="D20" s="20">
        <v>7019</v>
      </c>
      <c r="E20" s="22">
        <f t="shared" si="0"/>
        <v>9.5000000000000018</v>
      </c>
      <c r="F20" s="20">
        <v>8019</v>
      </c>
      <c r="G20" s="22">
        <f t="shared" si="1"/>
        <v>9.4000000000000021</v>
      </c>
      <c r="H20" s="20">
        <v>9019</v>
      </c>
      <c r="I20" s="22">
        <f t="shared" si="2"/>
        <v>9.3000000000000025</v>
      </c>
      <c r="L20" s="20" t="s">
        <v>140</v>
      </c>
      <c r="M20" s="20" t="s">
        <v>197</v>
      </c>
      <c r="N20" s="20" t="s">
        <v>141</v>
      </c>
      <c r="O20" s="22" t="s">
        <v>208</v>
      </c>
    </row>
    <row r="21" spans="1:26" x14ac:dyDescent="0.15">
      <c r="A21" s="22">
        <v>20</v>
      </c>
      <c r="B21" s="22">
        <f>H11</f>
        <v>9010</v>
      </c>
      <c r="C21" s="23">
        <f>I11</f>
        <v>9.4000000000000021</v>
      </c>
      <c r="D21" s="20">
        <v>7020</v>
      </c>
      <c r="E21" s="22">
        <f t="shared" si="0"/>
        <v>9.4000000000000021</v>
      </c>
      <c r="F21" s="20">
        <v>8020</v>
      </c>
      <c r="G21" s="22">
        <f t="shared" si="1"/>
        <v>9.3000000000000025</v>
      </c>
      <c r="H21" s="20">
        <v>9020</v>
      </c>
      <c r="I21" s="22">
        <f t="shared" si="2"/>
        <v>9.2000000000000028</v>
      </c>
      <c r="L21" s="22">
        <f>IF(ISNUMBER(INDEX(Q$2:Y$48,MATCH(M18,Q:Q)-1,2)),INDEX(Q$2:Y$48,MATCH(M18,Q:Q)-1,2),"没有上级")</f>
        <v>1204995</v>
      </c>
      <c r="M21" s="24">
        <f>IF(ISNUMBER(INT(L21)),IF(OR(AND(M18&lt;152,M18&gt;82),AND(M18&lt;395,M18&gt;385)),INDEX(Q$2:Y$48,MATCH(L21,V:V,0)-1,1),IF(OR(M18=82,M18=385),"没有上级",INDEX(Q$2:Y$48,MATCH(L21,X:X,0)-1,1))),"没有上级")</f>
        <v>145</v>
      </c>
      <c r="N21" s="22">
        <f>IF(ISNUMBER(INDEX(Q$2:Y$48,MATCH(M21,$Q:$Q)-1,3)),INDEX(Q$2:Y$48,MATCH(M21,$Q:$Q)-1,3),"没有上级")</f>
        <v>8.1999999999999993</v>
      </c>
      <c r="O21" s="22">
        <f>IF(ISNUMBER(N21-N18),ROUND((N21-N18)*10,0),"没有上级")</f>
        <v>1</v>
      </c>
    </row>
    <row r="22" spans="1:26" x14ac:dyDescent="0.15">
      <c r="A22" s="22">
        <v>21</v>
      </c>
      <c r="B22" s="22">
        <f>H12</f>
        <v>9011</v>
      </c>
      <c r="C22" s="23">
        <f>I12</f>
        <v>9.3000000000000025</v>
      </c>
      <c r="D22" s="20">
        <v>7021</v>
      </c>
      <c r="E22" s="22">
        <f t="shared" si="0"/>
        <v>9.3000000000000025</v>
      </c>
      <c r="F22" s="20">
        <v>8021</v>
      </c>
      <c r="G22" s="22">
        <f t="shared" si="1"/>
        <v>9.2000000000000028</v>
      </c>
      <c r="H22" s="20">
        <v>9021</v>
      </c>
      <c r="I22" s="22">
        <f t="shared" si="2"/>
        <v>9.1000000000000032</v>
      </c>
    </row>
    <row r="23" spans="1:26" x14ac:dyDescent="0.15">
      <c r="A23" s="22">
        <v>22</v>
      </c>
      <c r="B23" s="22">
        <f>F13</f>
        <v>8012</v>
      </c>
      <c r="C23" s="23">
        <f>G13</f>
        <v>9.3000000000000025</v>
      </c>
      <c r="D23" s="20">
        <v>7022</v>
      </c>
      <c r="E23" s="22">
        <f t="shared" si="0"/>
        <v>9.3000000000000025</v>
      </c>
      <c r="F23" s="20">
        <v>8022</v>
      </c>
      <c r="G23" s="22">
        <f t="shared" si="1"/>
        <v>9.2000000000000028</v>
      </c>
      <c r="H23" s="20">
        <v>9022</v>
      </c>
      <c r="I23" s="22">
        <f t="shared" si="2"/>
        <v>9.1000000000000032</v>
      </c>
      <c r="L23" s="20" t="s">
        <v>142</v>
      </c>
      <c r="M23" s="20" t="s">
        <v>198</v>
      </c>
      <c r="N23" s="20" t="s">
        <v>143</v>
      </c>
      <c r="O23" s="22" t="s">
        <v>209</v>
      </c>
    </row>
    <row r="24" spans="1:26" x14ac:dyDescent="0.15">
      <c r="A24" s="22">
        <v>23</v>
      </c>
      <c r="B24" s="22">
        <f>H13</f>
        <v>9012</v>
      </c>
      <c r="C24" s="23">
        <f>I13</f>
        <v>9.2000000000000028</v>
      </c>
      <c r="D24" s="20">
        <v>7023</v>
      </c>
      <c r="E24" s="22">
        <f t="shared" si="0"/>
        <v>9.2000000000000028</v>
      </c>
      <c r="F24" s="20">
        <v>8023</v>
      </c>
      <c r="G24" s="22">
        <f t="shared" si="1"/>
        <v>9.1000000000000032</v>
      </c>
      <c r="H24" s="20">
        <v>9023</v>
      </c>
      <c r="I24" s="22">
        <f t="shared" si="2"/>
        <v>9.0000000000000036</v>
      </c>
      <c r="L24" s="22">
        <f>IF(ISNUMBER(INDEX(Q$2:Y$48,MATCH(M21,Q:Q)-1,2)),INDEX(Q$2:Y$48,MATCH(M21,Q:Q)-1,2),"没有上级")</f>
        <v>1202928</v>
      </c>
      <c r="M24" s="24">
        <f>IF(ISNUMBER(INT(L24)),IF(OR(AND(M21&lt;152,M21&gt;82),AND(M21&lt;395,M21&gt;385)),INDEX(Q$2:Y$48,MATCH(L24,V:V,0)-1,1),IF(OR(M21=82,M21=385),"没有上级",INDEX(Q$2:Y$48,MATCH(L24,X:X,0)-1,1))),"没有上级")</f>
        <v>144</v>
      </c>
      <c r="N24" s="22">
        <f>IF(ISNUMBER(INDEX(Q$2:Y$48,MATCH(M24,$Q:$Q)-1,3)),INDEX(Q$2:Y$48,MATCH(M24,$Q:$Q)-1,3),"没有上级")</f>
        <v>8.8999999999999986</v>
      </c>
      <c r="O24" s="22">
        <f>IF(ISNUMBER(N24-N21),ROUND((N24-N21)*10,0),"没有上级")</f>
        <v>7</v>
      </c>
    </row>
    <row r="25" spans="1:26" x14ac:dyDescent="0.15">
      <c r="A25" s="22">
        <v>24</v>
      </c>
      <c r="B25" s="22">
        <f>F14</f>
        <v>8013</v>
      </c>
      <c r="C25" s="23">
        <f>G14</f>
        <v>9.4000000000000021</v>
      </c>
      <c r="D25" s="20">
        <v>7024</v>
      </c>
      <c r="E25" s="22">
        <f t="shared" si="0"/>
        <v>9.4000000000000021</v>
      </c>
      <c r="F25" s="20">
        <v>8024</v>
      </c>
      <c r="G25" s="22">
        <f t="shared" si="1"/>
        <v>9.3000000000000025</v>
      </c>
      <c r="H25" s="20">
        <v>9024</v>
      </c>
      <c r="I25" s="22">
        <f t="shared" si="2"/>
        <v>9.2000000000000028</v>
      </c>
    </row>
    <row r="26" spans="1:26" x14ac:dyDescent="0.15">
      <c r="A26" s="22">
        <v>25</v>
      </c>
      <c r="B26" s="22">
        <f>H14</f>
        <v>9013</v>
      </c>
      <c r="C26" s="23">
        <f>I14</f>
        <v>9.3000000000000025</v>
      </c>
      <c r="D26" s="20">
        <v>7025</v>
      </c>
      <c r="E26" s="22">
        <f t="shared" si="0"/>
        <v>9.3000000000000025</v>
      </c>
      <c r="F26" s="20">
        <v>8025</v>
      </c>
      <c r="G26" s="22">
        <f t="shared" si="1"/>
        <v>9.2000000000000028</v>
      </c>
      <c r="H26" s="20">
        <v>9025</v>
      </c>
      <c r="I26" s="22">
        <f t="shared" si="2"/>
        <v>9.1000000000000032</v>
      </c>
      <c r="L26" s="20" t="s">
        <v>144</v>
      </c>
      <c r="M26" s="20" t="s">
        <v>145</v>
      </c>
      <c r="N26" s="20" t="s">
        <v>146</v>
      </c>
      <c r="O26" s="22" t="s">
        <v>147</v>
      </c>
    </row>
    <row r="27" spans="1:26" x14ac:dyDescent="0.15">
      <c r="A27" s="22">
        <v>26</v>
      </c>
      <c r="B27" s="22">
        <f>F15</f>
        <v>8014</v>
      </c>
      <c r="C27" s="23">
        <f>G15</f>
        <v>9.3000000000000025</v>
      </c>
      <c r="D27" s="20">
        <v>7026</v>
      </c>
      <c r="E27" s="22">
        <f t="shared" si="0"/>
        <v>9.3000000000000025</v>
      </c>
      <c r="F27" s="20">
        <v>8026</v>
      </c>
      <c r="G27" s="22">
        <f t="shared" si="1"/>
        <v>9.2000000000000028</v>
      </c>
      <c r="H27" s="20">
        <v>9026</v>
      </c>
      <c r="I27" s="22">
        <f t="shared" si="2"/>
        <v>9.1000000000000032</v>
      </c>
      <c r="L27" s="22">
        <f>IF(ISNUMBER(INDEX(Q$2:Y$48,MATCH(M24,Q:Q)-1,2)),INDEX(Q$2:Y$48,MATCH(M24,Q:Q)-1,2),"没有上级")</f>
        <v>1200960</v>
      </c>
      <c r="M27" s="24">
        <f>IF(ISNUMBER(INT(L27)),IF(OR(AND(M24&lt;152,M24&gt;82),AND(M24&lt;395,M24&gt;385)),INDEX(Q$2:Y$48,MATCH(L27,V:V,0)-1,1),IF(OR(M24=82,M24=385),"没有上级",INDEX(Q$2:Y$48,MATCH(L27,X:X,0)-1,1))),"没有上级")</f>
        <v>143</v>
      </c>
      <c r="N27" s="22">
        <f>IF(ISNUMBER(INDEX(Q$2:Y$48,MATCH(M27,$Q:$Q)-1,3)),INDEX(Q$2:Y$48,MATCH(M27,$Q:$Q)-1,3),"没有上级")</f>
        <v>9.1999999999999993</v>
      </c>
      <c r="O27" s="22">
        <f>IF(ISNUMBER(N27-N24),ROUND((N27-N24)*10,0),"没有上级")</f>
        <v>3</v>
      </c>
    </row>
    <row r="28" spans="1:26" x14ac:dyDescent="0.15">
      <c r="A28" s="22">
        <v>27</v>
      </c>
      <c r="B28" s="22">
        <f>H15</f>
        <v>9014</v>
      </c>
      <c r="C28" s="23">
        <f>I15</f>
        <v>9.2000000000000028</v>
      </c>
      <c r="D28" s="20">
        <v>7027</v>
      </c>
      <c r="E28" s="22">
        <f t="shared" si="0"/>
        <v>9.2000000000000028</v>
      </c>
      <c r="F28" s="20">
        <v>8027</v>
      </c>
      <c r="G28" s="22">
        <f t="shared" si="1"/>
        <v>9.1000000000000032</v>
      </c>
      <c r="H28" s="20">
        <v>9027</v>
      </c>
      <c r="I28" s="22">
        <f t="shared" si="2"/>
        <v>9.0000000000000036</v>
      </c>
      <c r="P28" s="22" t="s">
        <v>148</v>
      </c>
      <c r="Q28" s="22" t="s">
        <v>148</v>
      </c>
      <c r="R28" s="22" t="s">
        <v>148</v>
      </c>
      <c r="S28" s="22" t="s">
        <v>148</v>
      </c>
      <c r="T28" s="22" t="s">
        <v>148</v>
      </c>
      <c r="U28" s="22" t="s">
        <v>148</v>
      </c>
      <c r="V28" s="22" t="s">
        <v>148</v>
      </c>
      <c r="W28" s="22" t="s">
        <v>148</v>
      </c>
      <c r="X28" s="22" t="s">
        <v>148</v>
      </c>
      <c r="Y28" s="22" t="s">
        <v>148</v>
      </c>
      <c r="Z28" s="22" t="s">
        <v>148</v>
      </c>
    </row>
    <row r="29" spans="1:26" x14ac:dyDescent="0.15">
      <c r="A29" s="22">
        <v>28</v>
      </c>
      <c r="B29" s="22">
        <f>H16</f>
        <v>9015</v>
      </c>
      <c r="C29" s="23">
        <f>I16</f>
        <v>9.2000000000000028</v>
      </c>
      <c r="D29" s="20">
        <v>7028</v>
      </c>
      <c r="E29" s="22">
        <f t="shared" si="0"/>
        <v>9.2000000000000028</v>
      </c>
      <c r="F29" s="20">
        <v>8028</v>
      </c>
      <c r="G29" s="22">
        <f t="shared" si="1"/>
        <v>9.1000000000000032</v>
      </c>
      <c r="H29" s="20">
        <v>9028</v>
      </c>
      <c r="I29" s="22">
        <f t="shared" si="2"/>
        <v>9.0000000000000036</v>
      </c>
      <c r="L29" s="20" t="s">
        <v>149</v>
      </c>
      <c r="M29" s="20" t="s">
        <v>150</v>
      </c>
      <c r="N29" s="20" t="s">
        <v>151</v>
      </c>
      <c r="O29" s="22" t="s">
        <v>152</v>
      </c>
      <c r="P29" s="22">
        <v>15196685175</v>
      </c>
      <c r="Q29" s="22">
        <v>361</v>
      </c>
      <c r="S29" s="22">
        <v>9.9</v>
      </c>
      <c r="T29" s="22">
        <v>7139182</v>
      </c>
      <c r="U29" s="22">
        <f>S29</f>
        <v>9.9</v>
      </c>
      <c r="V29" s="22">
        <v>7209805</v>
      </c>
      <c r="W29" s="22">
        <f>U29-0.4</f>
        <v>9.5</v>
      </c>
      <c r="X29" s="22">
        <v>7219909</v>
      </c>
      <c r="Y29" s="22">
        <f>U29-0.6</f>
        <v>9.3000000000000007</v>
      </c>
    </row>
    <row r="30" spans="1:26" x14ac:dyDescent="0.15">
      <c r="A30" s="22">
        <v>29</v>
      </c>
      <c r="B30" s="22">
        <f>F16</f>
        <v>8015</v>
      </c>
      <c r="C30" s="22">
        <f>G16</f>
        <v>9.3000000000000025</v>
      </c>
      <c r="D30" s="20">
        <v>7029</v>
      </c>
      <c r="E30" s="22">
        <f t="shared" si="0"/>
        <v>9.3000000000000025</v>
      </c>
      <c r="F30" s="20">
        <v>8029</v>
      </c>
      <c r="G30" s="22">
        <f t="shared" si="1"/>
        <v>9.2000000000000028</v>
      </c>
      <c r="H30" s="20">
        <v>9029</v>
      </c>
      <c r="I30" s="22">
        <f t="shared" si="2"/>
        <v>9.1000000000000032</v>
      </c>
      <c r="L30" s="22">
        <f>IF(ISNUMBER(INDEX(Q$2:Y$48,MATCH(M27,Q:Q)-1,2)),INDEX(Q$2:Y$48,MATCH(M27,Q:Q)-1,2),"没有上级")</f>
        <v>1176952</v>
      </c>
      <c r="M30" s="24">
        <f>IF(ISNUMBER(INT(L30)),IF(OR(AND(M27&lt;152,M27&gt;82),AND(M27&lt;395,M27&gt;385)),INDEX(Q$2:Y$48,MATCH(L30,V:V,0)-1,1),IF(OR(M27=82,M27=385),"没有上级",INDEX(Q$2:Y$48,MATCH(L30,X:X,0)-1,1))),"没有上级")</f>
        <v>140</v>
      </c>
      <c r="N30" s="22">
        <f>IF(ISNUMBER(INDEX(Q$2:Y$48,MATCH(M30,$Q:$Q)-1,3)),INDEX(Q$2:Y$48,MATCH(M30,$Q:$Q)-1,3),"没有上级")</f>
        <v>9.6</v>
      </c>
      <c r="O30" s="22">
        <f>IF(ISNUMBER(N30-N27),ROUND((N30-N27)*10,0),"没有上级")</f>
        <v>4</v>
      </c>
      <c r="P30" s="22">
        <v>15196685176</v>
      </c>
      <c r="Q30" s="22">
        <v>366</v>
      </c>
      <c r="R30" s="22">
        <f>V29</f>
        <v>7209805</v>
      </c>
      <c r="S30" s="22">
        <f>W29</f>
        <v>9.5</v>
      </c>
      <c r="T30" s="22">
        <v>7229270</v>
      </c>
      <c r="U30" s="22">
        <f>S30</f>
        <v>9.5</v>
      </c>
      <c r="V30" s="22">
        <v>7239404</v>
      </c>
      <c r="W30" s="22">
        <f t="shared" ref="W30:W38" si="5">U30-0.4</f>
        <v>9.1</v>
      </c>
      <c r="X30" s="22">
        <v>7249766</v>
      </c>
      <c r="Y30" s="22">
        <f t="shared" ref="Y30:Y38" si="6">U30-0.6</f>
        <v>8.9</v>
      </c>
    </row>
    <row r="31" spans="1:26" x14ac:dyDescent="0.15">
      <c r="A31" s="22">
        <v>30</v>
      </c>
      <c r="B31" s="22">
        <f>D17</f>
        <v>7016</v>
      </c>
      <c r="C31" s="22">
        <f>E17</f>
        <v>9.5000000000000018</v>
      </c>
      <c r="D31" s="20">
        <v>7030</v>
      </c>
      <c r="E31" s="22">
        <f t="shared" si="0"/>
        <v>9.5000000000000018</v>
      </c>
      <c r="F31" s="20">
        <v>8030</v>
      </c>
      <c r="G31" s="22">
        <f t="shared" si="1"/>
        <v>9.4000000000000021</v>
      </c>
      <c r="H31" s="20">
        <v>9030</v>
      </c>
      <c r="I31" s="22">
        <f t="shared" si="2"/>
        <v>9.3000000000000025</v>
      </c>
      <c r="P31" s="22">
        <v>15196685177</v>
      </c>
      <c r="Q31" s="22">
        <v>367</v>
      </c>
      <c r="R31" s="22">
        <f t="shared" ref="R31:S38" si="7">V30</f>
        <v>7239404</v>
      </c>
      <c r="S31" s="22">
        <f t="shared" si="7"/>
        <v>9.1</v>
      </c>
      <c r="T31" s="22">
        <v>7259484</v>
      </c>
      <c r="U31" s="22">
        <f>S31</f>
        <v>9.1</v>
      </c>
      <c r="V31" s="22">
        <v>7269356</v>
      </c>
      <c r="W31" s="22">
        <f t="shared" si="5"/>
        <v>8.6999999999999993</v>
      </c>
      <c r="X31" s="22">
        <v>7279915</v>
      </c>
      <c r="Y31" s="22">
        <f t="shared" si="6"/>
        <v>8.5</v>
      </c>
    </row>
    <row r="32" spans="1:26" x14ac:dyDescent="0.15">
      <c r="A32" s="22">
        <v>31</v>
      </c>
      <c r="B32" s="22">
        <f>F18</f>
        <v>8017</v>
      </c>
      <c r="C32" s="22">
        <f>G18</f>
        <v>9.3000000000000025</v>
      </c>
      <c r="D32" s="20">
        <v>7031</v>
      </c>
      <c r="E32" s="22">
        <f t="shared" si="0"/>
        <v>9.3000000000000025</v>
      </c>
      <c r="F32" s="20">
        <v>8031</v>
      </c>
      <c r="G32" s="22">
        <f t="shared" si="1"/>
        <v>9.2000000000000028</v>
      </c>
      <c r="H32" s="20">
        <v>9031</v>
      </c>
      <c r="I32" s="22">
        <f t="shared" si="2"/>
        <v>9.1000000000000032</v>
      </c>
      <c r="L32" s="20" t="s">
        <v>153</v>
      </c>
      <c r="M32" s="20" t="s">
        <v>199</v>
      </c>
      <c r="N32" s="20" t="s">
        <v>154</v>
      </c>
      <c r="O32" s="22" t="s">
        <v>155</v>
      </c>
      <c r="P32" s="22">
        <v>15196685178</v>
      </c>
      <c r="Q32" s="22">
        <v>368</v>
      </c>
      <c r="R32" s="22">
        <f t="shared" si="7"/>
        <v>7269356</v>
      </c>
      <c r="S32" s="22">
        <f t="shared" si="7"/>
        <v>8.6999999999999993</v>
      </c>
      <c r="T32" s="22">
        <v>7309117</v>
      </c>
      <c r="U32" s="22">
        <f t="shared" ref="U32:U38" si="8">S32</f>
        <v>8.6999999999999993</v>
      </c>
      <c r="V32" s="22">
        <v>7319721</v>
      </c>
      <c r="W32" s="22">
        <f t="shared" si="5"/>
        <v>8.2999999999999989</v>
      </c>
      <c r="X32" s="22">
        <v>7329619</v>
      </c>
      <c r="Y32" s="22">
        <f t="shared" si="6"/>
        <v>8.1</v>
      </c>
    </row>
    <row r="33" spans="1:25" x14ac:dyDescent="0.15">
      <c r="A33" s="22">
        <v>32</v>
      </c>
      <c r="B33" s="22">
        <f>H18</f>
        <v>9017</v>
      </c>
      <c r="C33" s="22">
        <f>I18</f>
        <v>9.2000000000000028</v>
      </c>
      <c r="D33" s="20">
        <v>7032</v>
      </c>
      <c r="E33" s="22">
        <f t="shared" si="0"/>
        <v>9.2000000000000028</v>
      </c>
      <c r="F33" s="20">
        <v>8032</v>
      </c>
      <c r="G33" s="22">
        <f t="shared" si="1"/>
        <v>9.1000000000000032</v>
      </c>
      <c r="H33" s="20">
        <v>9032</v>
      </c>
      <c r="I33" s="22">
        <f t="shared" si="2"/>
        <v>9.0000000000000036</v>
      </c>
      <c r="L33" s="22">
        <f>IF(ISNUMBER(INDEX(Q$2:Y$48,MATCH(M30,Q:Q)-1,2)),INDEX(Q$2:Y$48,MATCH(M30,Q:Q)-1,2),"没有上级")</f>
        <v>1170912</v>
      </c>
      <c r="M33" s="24">
        <f>IF(ISNUMBER(INT(L33)),IF(OR(AND(M30&lt;152,M30&gt;82),AND(M30&lt;395,M30&gt;385)),INDEX(Q$2:Y$48,MATCH(L33,V:V,0)-1,1),IF(OR(M30=82,M30=385),"没有上级",INDEX(Q$2:Y$48,MATCH(L33,X:X,0)-1,1))),"没有上级")</f>
        <v>82</v>
      </c>
      <c r="N33" s="22">
        <f>IF(ISNUMBER(INDEX(Q$2:Y$48,MATCH(M33,$Q:$Q)-1,3)),INDEX(Q$2:Y$48,MATCH(M33,$Q:$Q)-1,3),"没有上级")</f>
        <v>9.9</v>
      </c>
      <c r="O33" s="22">
        <f>IF(ISNUMBER(N33-N30),ROUND((N33-N30)*10,0),"没有上级")</f>
        <v>3</v>
      </c>
      <c r="P33" s="22">
        <v>15196685179</v>
      </c>
      <c r="Q33" s="22">
        <v>369</v>
      </c>
      <c r="R33" s="22">
        <f t="shared" si="7"/>
        <v>7319721</v>
      </c>
      <c r="S33" s="22">
        <f t="shared" si="7"/>
        <v>8.2999999999999989</v>
      </c>
      <c r="T33" s="22">
        <v>7339621</v>
      </c>
      <c r="U33" s="22">
        <f t="shared" si="8"/>
        <v>8.2999999999999989</v>
      </c>
      <c r="V33" s="22">
        <v>7349227</v>
      </c>
      <c r="W33" s="22">
        <f t="shared" si="5"/>
        <v>7.8999999999999986</v>
      </c>
      <c r="X33" s="22">
        <v>7359997</v>
      </c>
      <c r="Y33" s="22">
        <f t="shared" si="6"/>
        <v>7.6999999999999993</v>
      </c>
    </row>
    <row r="34" spans="1:25" x14ac:dyDescent="0.15">
      <c r="A34" s="22">
        <v>33</v>
      </c>
      <c r="B34" s="22">
        <f>F19</f>
        <v>8018</v>
      </c>
      <c r="C34" s="22">
        <f>G19</f>
        <v>9.2000000000000028</v>
      </c>
      <c r="D34" s="20">
        <v>7033</v>
      </c>
      <c r="E34" s="22">
        <f t="shared" si="0"/>
        <v>9.2000000000000028</v>
      </c>
      <c r="F34" s="20">
        <v>8033</v>
      </c>
      <c r="G34" s="22">
        <f t="shared" si="1"/>
        <v>9.1000000000000032</v>
      </c>
      <c r="H34" s="20">
        <v>9033</v>
      </c>
      <c r="I34" s="22">
        <f t="shared" si="2"/>
        <v>9.0000000000000036</v>
      </c>
      <c r="P34" s="22">
        <v>15196685180</v>
      </c>
      <c r="Q34" s="22">
        <v>370</v>
      </c>
      <c r="R34" s="22">
        <f t="shared" si="7"/>
        <v>7349227</v>
      </c>
      <c r="S34" s="22">
        <f t="shared" si="7"/>
        <v>7.8999999999999986</v>
      </c>
      <c r="T34" s="22">
        <v>7369300</v>
      </c>
      <c r="U34" s="22">
        <f t="shared" si="8"/>
        <v>7.8999999999999986</v>
      </c>
      <c r="V34" s="22">
        <v>7379939</v>
      </c>
      <c r="W34" s="22">
        <f t="shared" si="5"/>
        <v>7.4999999999999982</v>
      </c>
      <c r="X34" s="22">
        <v>7409200</v>
      </c>
      <c r="Y34" s="22">
        <f t="shared" si="6"/>
        <v>7.2999999999999989</v>
      </c>
    </row>
    <row r="35" spans="1:25" x14ac:dyDescent="0.15">
      <c r="A35" s="22">
        <v>34</v>
      </c>
      <c r="B35" s="22">
        <f>H19</f>
        <v>9018</v>
      </c>
      <c r="C35" s="22">
        <f>I19</f>
        <v>9.1000000000000032</v>
      </c>
      <c r="D35" s="20">
        <v>7034</v>
      </c>
      <c r="E35" s="22">
        <f t="shared" si="0"/>
        <v>9.1000000000000032</v>
      </c>
      <c r="F35" s="20">
        <v>8034</v>
      </c>
      <c r="G35" s="22">
        <f t="shared" si="1"/>
        <v>9.0000000000000036</v>
      </c>
      <c r="H35" s="20">
        <v>9034</v>
      </c>
      <c r="I35" s="22">
        <f t="shared" si="2"/>
        <v>8.9000000000000039</v>
      </c>
      <c r="L35" s="20" t="s">
        <v>156</v>
      </c>
      <c r="M35" s="20" t="s">
        <v>200</v>
      </c>
      <c r="N35" s="20" t="s">
        <v>157</v>
      </c>
      <c r="O35" s="22" t="s">
        <v>158</v>
      </c>
      <c r="P35" s="22">
        <v>15196685181</v>
      </c>
      <c r="Q35" s="22">
        <v>371</v>
      </c>
      <c r="R35" s="22">
        <f t="shared" si="7"/>
        <v>7379939</v>
      </c>
      <c r="S35" s="22">
        <f t="shared" si="7"/>
        <v>7.4999999999999982</v>
      </c>
      <c r="T35" s="22">
        <v>7419878</v>
      </c>
      <c r="U35" s="22">
        <f t="shared" si="8"/>
        <v>7.4999999999999982</v>
      </c>
      <c r="V35" s="22">
        <v>7429171</v>
      </c>
      <c r="W35" s="22">
        <f t="shared" si="5"/>
        <v>7.0999999999999979</v>
      </c>
      <c r="X35" s="22">
        <v>7439254</v>
      </c>
      <c r="Y35" s="22">
        <f t="shared" si="6"/>
        <v>6.8999999999999986</v>
      </c>
    </row>
    <row r="36" spans="1:25" x14ac:dyDescent="0.15">
      <c r="A36" s="22">
        <v>35</v>
      </c>
      <c r="B36" s="22">
        <f>D20</f>
        <v>7019</v>
      </c>
      <c r="C36" s="22">
        <f>E20</f>
        <v>9.5000000000000018</v>
      </c>
      <c r="D36" s="20">
        <v>7035</v>
      </c>
      <c r="E36" s="22">
        <f t="shared" si="0"/>
        <v>9.5000000000000018</v>
      </c>
      <c r="F36" s="20">
        <v>8035</v>
      </c>
      <c r="G36" s="22">
        <f t="shared" si="1"/>
        <v>9.4000000000000021</v>
      </c>
      <c r="H36" s="20">
        <v>9035</v>
      </c>
      <c r="I36" s="22">
        <f t="shared" si="2"/>
        <v>9.3000000000000025</v>
      </c>
      <c r="L36" s="22" t="str">
        <f>IF(ISNUMBER(INDEX(Q$2:Y$48,MATCH(M33,Q:Q)-1,2)),INDEX(Q$2:Y$48,MATCH(M33,Q:Q)-1,2),"没有上级")</f>
        <v>没有上级</v>
      </c>
      <c r="M36" s="24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22" t="str">
        <f>IF(ISNUMBER(INDEX(Q$2:Y$48,MATCH(M36,$Q:$Q)-1,3)),INDEX(Q$2:Y$48,MATCH(M36,$Q:$Q)-1,3),"没有上级")</f>
        <v>没有上级</v>
      </c>
      <c r="O36" s="22" t="str">
        <f>IF(ISNUMBER(N36-N33),ROUND((N36-N33)*10,0),"没有上级")</f>
        <v>没有上级</v>
      </c>
      <c r="P36" s="22">
        <v>15196685182</v>
      </c>
      <c r="Q36" s="22">
        <v>372</v>
      </c>
      <c r="R36" s="22">
        <f t="shared" si="7"/>
        <v>7429171</v>
      </c>
      <c r="S36" s="22">
        <f t="shared" si="7"/>
        <v>7.0999999999999979</v>
      </c>
      <c r="T36" s="22">
        <v>7449348</v>
      </c>
      <c r="U36" s="22">
        <f t="shared" si="8"/>
        <v>7.0999999999999979</v>
      </c>
      <c r="V36" s="22">
        <v>7459622</v>
      </c>
      <c r="W36" s="22">
        <f t="shared" si="5"/>
        <v>6.6999999999999975</v>
      </c>
      <c r="X36" s="22">
        <v>7469802</v>
      </c>
      <c r="Y36" s="22">
        <f t="shared" si="6"/>
        <v>6.4999999999999982</v>
      </c>
    </row>
    <row r="37" spans="1:25" x14ac:dyDescent="0.15">
      <c r="A37" s="22">
        <v>36</v>
      </c>
      <c r="B37" s="22">
        <f>H20</f>
        <v>9019</v>
      </c>
      <c r="C37" s="22">
        <f>I20</f>
        <v>9.3000000000000025</v>
      </c>
      <c r="D37" s="20">
        <v>7036</v>
      </c>
      <c r="E37" s="22">
        <f t="shared" si="0"/>
        <v>9.3000000000000025</v>
      </c>
      <c r="F37" s="20">
        <v>8036</v>
      </c>
      <c r="G37" s="22">
        <f t="shared" si="1"/>
        <v>9.2000000000000028</v>
      </c>
      <c r="H37" s="20">
        <v>9036</v>
      </c>
      <c r="I37" s="22">
        <f t="shared" si="2"/>
        <v>9.1000000000000032</v>
      </c>
      <c r="P37" s="22">
        <v>15196685183</v>
      </c>
      <c r="Q37" s="22">
        <v>373</v>
      </c>
      <c r="R37" s="22">
        <f t="shared" si="7"/>
        <v>7459622</v>
      </c>
      <c r="S37" s="22">
        <f t="shared" si="7"/>
        <v>6.6999999999999975</v>
      </c>
      <c r="T37" s="22">
        <v>7479834</v>
      </c>
      <c r="U37" s="22">
        <f t="shared" si="8"/>
        <v>6.6999999999999975</v>
      </c>
      <c r="V37" s="22">
        <v>7509015</v>
      </c>
      <c r="W37" s="22">
        <f t="shared" si="5"/>
        <v>6.2999999999999972</v>
      </c>
      <c r="X37" s="22">
        <v>7519385</v>
      </c>
      <c r="Y37" s="22">
        <f t="shared" si="6"/>
        <v>6.0999999999999979</v>
      </c>
    </row>
    <row r="38" spans="1:25" x14ac:dyDescent="0.15">
      <c r="A38" s="22">
        <v>37</v>
      </c>
      <c r="B38" s="22">
        <f>F22</f>
        <v>8021</v>
      </c>
      <c r="C38" s="22">
        <f>G22</f>
        <v>9.2000000000000028</v>
      </c>
      <c r="D38" s="20">
        <v>7037</v>
      </c>
      <c r="E38" s="22">
        <f t="shared" si="0"/>
        <v>9.2000000000000028</v>
      </c>
      <c r="F38" s="20">
        <v>8037</v>
      </c>
      <c r="G38" s="22">
        <f t="shared" si="1"/>
        <v>9.1000000000000032</v>
      </c>
      <c r="H38" s="20">
        <v>9037</v>
      </c>
      <c r="I38" s="22">
        <f t="shared" si="2"/>
        <v>9.0000000000000036</v>
      </c>
      <c r="L38" s="20" t="s">
        <v>159</v>
      </c>
      <c r="M38" s="20" t="s">
        <v>160</v>
      </c>
      <c r="N38" s="20" t="s">
        <v>161</v>
      </c>
      <c r="O38" s="22" t="s">
        <v>210</v>
      </c>
      <c r="P38" s="22">
        <v>15196685184</v>
      </c>
      <c r="Q38" s="22">
        <v>374</v>
      </c>
      <c r="R38" s="22">
        <f t="shared" si="7"/>
        <v>7509015</v>
      </c>
      <c r="S38" s="22">
        <f t="shared" si="7"/>
        <v>6.2999999999999972</v>
      </c>
      <c r="T38" s="22">
        <v>7529798</v>
      </c>
      <c r="U38" s="22">
        <f t="shared" si="8"/>
        <v>6.2999999999999972</v>
      </c>
      <c r="V38" s="22">
        <v>7539879</v>
      </c>
      <c r="W38" s="22">
        <f t="shared" si="5"/>
        <v>5.8999999999999968</v>
      </c>
      <c r="X38" s="22">
        <v>7549362</v>
      </c>
      <c r="Y38" s="22">
        <f t="shared" si="6"/>
        <v>5.6999999999999975</v>
      </c>
    </row>
    <row r="39" spans="1:25" x14ac:dyDescent="0.15">
      <c r="A39" s="22">
        <v>38</v>
      </c>
      <c r="B39" s="22">
        <f>H22</f>
        <v>9021</v>
      </c>
      <c r="C39" s="22">
        <f>I22</f>
        <v>9.1000000000000032</v>
      </c>
      <c r="D39" s="20">
        <v>7038</v>
      </c>
      <c r="E39" s="22">
        <f t="shared" si="0"/>
        <v>9.1000000000000032</v>
      </c>
      <c r="F39" s="20">
        <v>8038</v>
      </c>
      <c r="G39" s="22">
        <f t="shared" si="1"/>
        <v>9.0000000000000036</v>
      </c>
      <c r="H39" s="20">
        <v>9038</v>
      </c>
      <c r="I39" s="22">
        <f t="shared" si="2"/>
        <v>8.9000000000000039</v>
      </c>
      <c r="L39" s="22" t="str">
        <f>IF(ISNUMBER(INDEX(Q$2:Y$48,MATCH(M36,Q:Q)-1,2)),INDEX(Q$2:Y$48,MATCH(M36,Q:Q)-1,2),"没有上级")</f>
        <v>没有上级</v>
      </c>
      <c r="M39" s="24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22" t="str">
        <f>IF(ISNUMBER(INDEX(Q$2:Y$48,MATCH(M39,$Q:$Q)-1,3)),INDEX(Q$2:Y$48,MATCH(M39,$Q:$Q)-1,3),"没有上级")</f>
        <v>没有上级</v>
      </c>
      <c r="O39" s="22" t="str">
        <f>IF(ISNUMBER(N39-N36),ROUND((N39-N36)*10,0),"没有上级")</f>
        <v>没有上级</v>
      </c>
      <c r="P39" s="22">
        <v>15196685185</v>
      </c>
      <c r="Q39" s="22">
        <v>375</v>
      </c>
      <c r="R39" s="22">
        <f>X29</f>
        <v>7219909</v>
      </c>
      <c r="S39" s="22">
        <f>Y29</f>
        <v>9.3000000000000007</v>
      </c>
    </row>
    <row r="40" spans="1:25" x14ac:dyDescent="0.15">
      <c r="A40" s="22">
        <v>39</v>
      </c>
      <c r="B40" s="22">
        <f>F23</f>
        <v>8022</v>
      </c>
      <c r="C40" s="22">
        <f>G23</f>
        <v>9.2000000000000028</v>
      </c>
      <c r="D40" s="20">
        <v>7039</v>
      </c>
      <c r="E40" s="22">
        <f t="shared" si="0"/>
        <v>9.2000000000000028</v>
      </c>
      <c r="F40" s="20">
        <v>8039</v>
      </c>
      <c r="G40" s="22">
        <f t="shared" si="1"/>
        <v>9.1000000000000032</v>
      </c>
      <c r="H40" s="20">
        <v>9039</v>
      </c>
      <c r="I40" s="22">
        <f t="shared" si="2"/>
        <v>9.0000000000000036</v>
      </c>
      <c r="P40" s="22">
        <v>15196685186</v>
      </c>
      <c r="Q40" s="22">
        <v>376</v>
      </c>
      <c r="R40" s="22">
        <f t="shared" ref="R40:S48" si="9">X30</f>
        <v>7249766</v>
      </c>
      <c r="S40" s="22">
        <f t="shared" si="9"/>
        <v>8.9</v>
      </c>
    </row>
    <row r="41" spans="1:25" x14ac:dyDescent="0.15">
      <c r="A41" s="22">
        <v>40</v>
      </c>
      <c r="B41" s="22">
        <f>F25</f>
        <v>8024</v>
      </c>
      <c r="C41" s="22">
        <f>G25</f>
        <v>9.3000000000000025</v>
      </c>
      <c r="D41" s="20">
        <v>7040</v>
      </c>
      <c r="E41" s="22">
        <f t="shared" si="0"/>
        <v>9.3000000000000025</v>
      </c>
      <c r="F41" s="20">
        <v>8040</v>
      </c>
      <c r="G41" s="22">
        <f t="shared" si="1"/>
        <v>9.2000000000000028</v>
      </c>
      <c r="H41" s="20">
        <v>9040</v>
      </c>
      <c r="I41" s="22">
        <f t="shared" si="2"/>
        <v>9.1000000000000032</v>
      </c>
      <c r="L41" s="20" t="s">
        <v>162</v>
      </c>
      <c r="M41" s="20" t="s">
        <v>201</v>
      </c>
      <c r="N41" s="20" t="s">
        <v>163</v>
      </c>
      <c r="O41" s="22" t="s">
        <v>211</v>
      </c>
      <c r="P41" s="22">
        <v>15196685187</v>
      </c>
      <c r="Q41" s="22">
        <v>377</v>
      </c>
      <c r="R41" s="22">
        <f t="shared" si="9"/>
        <v>7279915</v>
      </c>
      <c r="S41" s="22">
        <f t="shared" si="9"/>
        <v>8.5</v>
      </c>
    </row>
    <row r="42" spans="1:25" x14ac:dyDescent="0.15">
      <c r="A42" s="22">
        <v>41</v>
      </c>
      <c r="B42" s="22">
        <f>H25</f>
        <v>9024</v>
      </c>
      <c r="C42" s="22">
        <f>I25</f>
        <v>9.2000000000000028</v>
      </c>
      <c r="D42" s="20">
        <v>7041</v>
      </c>
      <c r="E42" s="22">
        <f t="shared" si="0"/>
        <v>9.2000000000000028</v>
      </c>
      <c r="F42" s="20">
        <v>8041</v>
      </c>
      <c r="G42" s="22">
        <f t="shared" si="1"/>
        <v>9.1000000000000032</v>
      </c>
      <c r="H42" s="20">
        <v>9041</v>
      </c>
      <c r="I42" s="22">
        <f t="shared" si="2"/>
        <v>9.0000000000000036</v>
      </c>
      <c r="L42" s="22" t="str">
        <f>IF(ISNUMBER(INDEX(Q$2:Y$48,MATCH(M39,Q:Q)-1,2)),INDEX(Q$2:Y$48,MATCH(M39,Q:Q)-1,2),"没有上级")</f>
        <v>没有上级</v>
      </c>
      <c r="M42" s="24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22" t="str">
        <f>IF(ISNUMBER(INDEX(Q$2:Y$48,MATCH(M42,$Q:$Q)-1,3)),INDEX(Q$2:Y$48,MATCH(M42,$Q:$Q)-1,3),"没有上级")</f>
        <v>没有上级</v>
      </c>
      <c r="O42" s="22" t="str">
        <f>IF(ISNUMBER(N42-N39),ROUND((N42-N39)*10,0),"没有上级")</f>
        <v>没有上级</v>
      </c>
      <c r="P42" s="22">
        <v>15196685188</v>
      </c>
      <c r="Q42" s="22">
        <v>378</v>
      </c>
      <c r="R42" s="22">
        <f t="shared" si="9"/>
        <v>7329619</v>
      </c>
      <c r="S42" s="22">
        <f t="shared" si="9"/>
        <v>8.1</v>
      </c>
    </row>
    <row r="43" spans="1:25" x14ac:dyDescent="0.15">
      <c r="A43" s="22">
        <v>42</v>
      </c>
      <c r="B43" s="22">
        <f>H26</f>
        <v>9025</v>
      </c>
      <c r="C43" s="22">
        <f>I26</f>
        <v>9.1000000000000032</v>
      </c>
      <c r="D43" s="20">
        <v>7042</v>
      </c>
      <c r="E43" s="22">
        <f t="shared" si="0"/>
        <v>9.1000000000000032</v>
      </c>
      <c r="F43" s="20">
        <v>8042</v>
      </c>
      <c r="G43" s="22">
        <f t="shared" si="1"/>
        <v>9.0000000000000036</v>
      </c>
      <c r="H43" s="20">
        <v>9042</v>
      </c>
      <c r="I43" s="22">
        <f t="shared" si="2"/>
        <v>8.9000000000000039</v>
      </c>
      <c r="P43" s="22">
        <v>15196685189</v>
      </c>
      <c r="Q43" s="22">
        <v>379</v>
      </c>
      <c r="R43" s="22">
        <f t="shared" si="9"/>
        <v>7359997</v>
      </c>
      <c r="S43" s="22">
        <f t="shared" si="9"/>
        <v>7.6999999999999993</v>
      </c>
    </row>
    <row r="44" spans="1:25" x14ac:dyDescent="0.15">
      <c r="A44" s="22">
        <v>43</v>
      </c>
      <c r="B44" s="22">
        <f>F26</f>
        <v>8025</v>
      </c>
      <c r="C44" s="22">
        <f>G26</f>
        <v>9.2000000000000028</v>
      </c>
      <c r="D44" s="20">
        <v>7043</v>
      </c>
      <c r="E44" s="22">
        <f t="shared" si="0"/>
        <v>9.2000000000000028</v>
      </c>
      <c r="F44" s="20">
        <v>8043</v>
      </c>
      <c r="G44" s="22">
        <f t="shared" si="1"/>
        <v>9.1000000000000032</v>
      </c>
      <c r="H44" s="20">
        <v>9043</v>
      </c>
      <c r="I44" s="22">
        <f t="shared" si="2"/>
        <v>9.0000000000000036</v>
      </c>
      <c r="L44" s="20" t="s">
        <v>164</v>
      </c>
      <c r="M44" s="20" t="s">
        <v>202</v>
      </c>
      <c r="N44" s="20" t="s">
        <v>165</v>
      </c>
      <c r="O44" s="22" t="s">
        <v>212</v>
      </c>
      <c r="P44" s="22">
        <v>15196685190</v>
      </c>
      <c r="Q44" s="22">
        <v>380</v>
      </c>
      <c r="R44" s="22">
        <f t="shared" si="9"/>
        <v>7409200</v>
      </c>
      <c r="S44" s="22">
        <f t="shared" si="9"/>
        <v>7.2999999999999989</v>
      </c>
    </row>
    <row r="45" spans="1:25" x14ac:dyDescent="0.15">
      <c r="A45" s="22">
        <v>44</v>
      </c>
      <c r="B45" s="22">
        <f>D27</f>
        <v>7026</v>
      </c>
      <c r="C45" s="22">
        <f>E27</f>
        <v>9.3000000000000025</v>
      </c>
      <c r="D45" s="20">
        <v>7044</v>
      </c>
      <c r="E45" s="22">
        <f t="shared" si="0"/>
        <v>9.3000000000000025</v>
      </c>
      <c r="F45" s="20">
        <v>8044</v>
      </c>
      <c r="G45" s="22">
        <f t="shared" si="1"/>
        <v>9.2000000000000028</v>
      </c>
      <c r="H45" s="20">
        <v>9044</v>
      </c>
      <c r="I45" s="22">
        <f t="shared" si="2"/>
        <v>9.1000000000000032</v>
      </c>
      <c r="L45" s="22" t="str">
        <f>IF(ISNUMBER(INDEX(Q$2:Y$48,MATCH(M42,Q:Q)-1,2)),INDEX(Q$2:Y$48,MATCH(M42,Q:Q)-1,2),"没有上级")</f>
        <v>没有上级</v>
      </c>
      <c r="M45" s="24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22" t="str">
        <f>IF(ISNUMBER(INDEX(Q$2:Y$48,MATCH(M45,$Q:$Q)-1,3)),INDEX(Q$2:Y$48,MATCH(M45,$Q:$Q)-1,3),"没有上级")</f>
        <v>没有上级</v>
      </c>
      <c r="O45" s="22" t="str">
        <f>IF(ISNUMBER(N45-N42),ROUND((N45-N42)*10,0),"没有上级")</f>
        <v>没有上级</v>
      </c>
      <c r="P45" s="22">
        <v>15196685191</v>
      </c>
      <c r="Q45" s="22">
        <v>381</v>
      </c>
      <c r="R45" s="22">
        <f t="shared" si="9"/>
        <v>7439254</v>
      </c>
      <c r="S45" s="22">
        <f t="shared" si="9"/>
        <v>6.8999999999999986</v>
      </c>
    </row>
    <row r="46" spans="1:25" x14ac:dyDescent="0.15">
      <c r="A46" s="22">
        <v>45</v>
      </c>
      <c r="B46" s="22">
        <f>H28</f>
        <v>9027</v>
      </c>
      <c r="C46" s="22">
        <f>I28</f>
        <v>9.0000000000000036</v>
      </c>
      <c r="D46" s="20">
        <v>7045</v>
      </c>
      <c r="E46" s="22">
        <f t="shared" si="0"/>
        <v>9.0000000000000036</v>
      </c>
      <c r="F46" s="20">
        <v>8045</v>
      </c>
      <c r="G46" s="22">
        <f t="shared" si="1"/>
        <v>8.9000000000000039</v>
      </c>
      <c r="H46" s="20">
        <v>9045</v>
      </c>
      <c r="I46" s="22">
        <f t="shared" si="2"/>
        <v>8.8000000000000043</v>
      </c>
      <c r="P46" s="22">
        <v>15196685192</v>
      </c>
      <c r="Q46" s="22">
        <v>382</v>
      </c>
      <c r="R46" s="22">
        <f t="shared" si="9"/>
        <v>7469802</v>
      </c>
      <c r="S46" s="22">
        <f t="shared" si="9"/>
        <v>6.4999999999999982</v>
      </c>
    </row>
    <row r="47" spans="1:25" x14ac:dyDescent="0.15">
      <c r="A47" s="22">
        <v>46</v>
      </c>
      <c r="B47" s="22">
        <f>H29</f>
        <v>9028</v>
      </c>
      <c r="C47" s="22">
        <f>I29</f>
        <v>9.0000000000000036</v>
      </c>
      <c r="D47" s="20">
        <v>7046</v>
      </c>
      <c r="E47" s="22">
        <f t="shared" si="0"/>
        <v>9.0000000000000036</v>
      </c>
      <c r="F47" s="20">
        <v>8046</v>
      </c>
      <c r="G47" s="22">
        <f t="shared" si="1"/>
        <v>8.9000000000000039</v>
      </c>
      <c r="H47" s="20">
        <v>9046</v>
      </c>
      <c r="I47" s="22">
        <f t="shared" si="2"/>
        <v>8.8000000000000043</v>
      </c>
      <c r="L47" s="20" t="s">
        <v>166</v>
      </c>
      <c r="M47" s="20" t="s">
        <v>203</v>
      </c>
      <c r="N47" s="20" t="s">
        <v>167</v>
      </c>
      <c r="O47" s="22" t="s">
        <v>213</v>
      </c>
      <c r="P47" s="22">
        <v>15196685193</v>
      </c>
      <c r="Q47" s="22">
        <v>383</v>
      </c>
      <c r="R47" s="22">
        <f t="shared" si="9"/>
        <v>7519385</v>
      </c>
      <c r="S47" s="22">
        <f t="shared" si="9"/>
        <v>6.0999999999999979</v>
      </c>
    </row>
    <row r="48" spans="1:25" x14ac:dyDescent="0.15">
      <c r="A48" s="22">
        <v>47</v>
      </c>
      <c r="B48" s="22">
        <f>F29</f>
        <v>8028</v>
      </c>
      <c r="C48" s="22">
        <f>G29</f>
        <v>9.1000000000000032</v>
      </c>
      <c r="D48" s="20">
        <v>7047</v>
      </c>
      <c r="E48" s="22">
        <f t="shared" si="0"/>
        <v>9.1000000000000032</v>
      </c>
      <c r="F48" s="20">
        <v>8047</v>
      </c>
      <c r="G48" s="22">
        <f t="shared" si="1"/>
        <v>9.0000000000000036</v>
      </c>
      <c r="H48" s="20">
        <v>9047</v>
      </c>
      <c r="I48" s="22">
        <f t="shared" si="2"/>
        <v>8.9000000000000039</v>
      </c>
      <c r="L48" s="22" t="str">
        <f>IF(ISNUMBER(INDEX(Q$2:Y$48,MATCH(M45,Q:Q)-1,2)),INDEX(Q$2:Y$48,MATCH(M45,Q:Q)-1,2),"没有上级")</f>
        <v>没有上级</v>
      </c>
      <c r="M48" s="24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22" t="str">
        <f>IF(ISNUMBER(INDEX(Q$2:Y$48,MATCH(M48,$Q:$Q)-1,3)),INDEX(Q$2:Y$48,MATCH(M48,$Q:$Q)-1,3),"没有上级")</f>
        <v>没有上级</v>
      </c>
      <c r="O48" s="22" t="str">
        <f>IF(ISNUMBER(N48-N45),ROUND((N48-N45)*10,0),"没有上级")</f>
        <v>没有上级</v>
      </c>
      <c r="P48" s="22">
        <v>15196685194</v>
      </c>
      <c r="Q48" s="22">
        <v>384</v>
      </c>
      <c r="R48" s="22">
        <f t="shared" si="9"/>
        <v>7549362</v>
      </c>
      <c r="S48" s="22">
        <f t="shared" si="9"/>
        <v>5.6999999999999975</v>
      </c>
    </row>
    <row r="49" spans="1:9" x14ac:dyDescent="0.15">
      <c r="A49" s="22">
        <v>48</v>
      </c>
      <c r="B49" s="22">
        <f>F30</f>
        <v>8029</v>
      </c>
      <c r="C49" s="22">
        <f>G30</f>
        <v>9.2000000000000028</v>
      </c>
      <c r="D49" s="20">
        <v>7048</v>
      </c>
      <c r="E49" s="22">
        <f t="shared" si="0"/>
        <v>9.2000000000000028</v>
      </c>
      <c r="F49" s="20">
        <v>8048</v>
      </c>
      <c r="G49" s="22">
        <f t="shared" si="1"/>
        <v>9.1000000000000032</v>
      </c>
      <c r="H49" s="20">
        <v>9048</v>
      </c>
      <c r="I49" s="22">
        <f t="shared" si="2"/>
        <v>9.0000000000000036</v>
      </c>
    </row>
    <row r="50" spans="1:9" x14ac:dyDescent="0.15">
      <c r="A50" s="22">
        <v>49</v>
      </c>
      <c r="B50" s="22">
        <f>H31</f>
        <v>9030</v>
      </c>
      <c r="C50" s="22">
        <f>I31</f>
        <v>9.3000000000000025</v>
      </c>
      <c r="D50" s="20">
        <v>7049</v>
      </c>
      <c r="E50" s="22">
        <f t="shared" si="0"/>
        <v>9.3000000000000025</v>
      </c>
      <c r="F50" s="20">
        <v>8049</v>
      </c>
      <c r="G50" s="22">
        <f t="shared" si="1"/>
        <v>9.2000000000000028</v>
      </c>
      <c r="H50" s="20">
        <v>9049</v>
      </c>
      <c r="I50" s="22">
        <f t="shared" si="2"/>
        <v>9.1000000000000032</v>
      </c>
    </row>
    <row r="51" spans="1:9" x14ac:dyDescent="0.15">
      <c r="A51" s="22">
        <v>50</v>
      </c>
      <c r="B51" s="22">
        <f>H32</f>
        <v>9031</v>
      </c>
      <c r="C51" s="22">
        <f>I32</f>
        <v>9.1000000000000032</v>
      </c>
      <c r="D51" s="20">
        <v>7050</v>
      </c>
      <c r="E51" s="22">
        <f t="shared" si="0"/>
        <v>9.1000000000000032</v>
      </c>
      <c r="F51" s="20">
        <v>8050</v>
      </c>
      <c r="G51" s="22">
        <f t="shared" si="1"/>
        <v>9.0000000000000036</v>
      </c>
      <c r="H51" s="20">
        <v>9050</v>
      </c>
      <c r="I51" s="22">
        <f t="shared" si="2"/>
        <v>8.9000000000000039</v>
      </c>
    </row>
    <row r="52" spans="1:9" x14ac:dyDescent="0.15">
      <c r="A52" s="22">
        <v>51</v>
      </c>
      <c r="B52" s="22">
        <f>F32</f>
        <v>8031</v>
      </c>
      <c r="C52" s="22">
        <f>G32</f>
        <v>9.2000000000000028</v>
      </c>
      <c r="D52" s="20">
        <v>7051</v>
      </c>
      <c r="E52" s="22">
        <f t="shared" si="0"/>
        <v>9.2000000000000028</v>
      </c>
      <c r="F52" s="20">
        <v>8051</v>
      </c>
      <c r="G52" s="22">
        <f t="shared" si="1"/>
        <v>9.1000000000000032</v>
      </c>
      <c r="H52" s="20">
        <v>9051</v>
      </c>
      <c r="I52" s="22">
        <f t="shared" si="2"/>
        <v>9.0000000000000036</v>
      </c>
    </row>
    <row r="53" spans="1:9" x14ac:dyDescent="0.15">
      <c r="A53" s="22">
        <v>52</v>
      </c>
      <c r="B53" s="22">
        <f>F33</f>
        <v>8032</v>
      </c>
      <c r="C53" s="22">
        <f>G33</f>
        <v>9.1000000000000032</v>
      </c>
      <c r="D53" s="20">
        <v>7052</v>
      </c>
      <c r="E53" s="22">
        <f t="shared" si="0"/>
        <v>9.1000000000000032</v>
      </c>
      <c r="F53" s="20">
        <v>8052</v>
      </c>
      <c r="G53" s="22">
        <f t="shared" si="1"/>
        <v>9.0000000000000036</v>
      </c>
      <c r="H53" s="20">
        <v>9052</v>
      </c>
      <c r="I53" s="22">
        <f t="shared" si="2"/>
        <v>8.9000000000000039</v>
      </c>
    </row>
    <row r="54" spans="1:9" x14ac:dyDescent="0.15">
      <c r="A54" s="22">
        <v>53</v>
      </c>
      <c r="B54" s="22">
        <f>H33</f>
        <v>9032</v>
      </c>
      <c r="C54" s="22">
        <f>I33</f>
        <v>9.0000000000000036</v>
      </c>
      <c r="D54" s="20">
        <v>7053</v>
      </c>
      <c r="E54" s="22">
        <f t="shared" si="0"/>
        <v>9.0000000000000036</v>
      </c>
      <c r="F54" s="20">
        <v>8053</v>
      </c>
      <c r="G54" s="22">
        <f t="shared" si="1"/>
        <v>8.9000000000000039</v>
      </c>
      <c r="H54" s="20">
        <v>9053</v>
      </c>
      <c r="I54" s="22">
        <f t="shared" si="2"/>
        <v>8.8000000000000043</v>
      </c>
    </row>
    <row r="55" spans="1:9" x14ac:dyDescent="0.15">
      <c r="A55" s="22">
        <v>54</v>
      </c>
      <c r="B55" s="22">
        <f>F34</f>
        <v>8033</v>
      </c>
      <c r="C55" s="22">
        <f>G34</f>
        <v>9.1000000000000032</v>
      </c>
      <c r="D55" s="20">
        <v>7054</v>
      </c>
      <c r="E55" s="22">
        <f t="shared" si="0"/>
        <v>9.1000000000000032</v>
      </c>
      <c r="F55" s="20">
        <v>8054</v>
      </c>
      <c r="G55" s="22">
        <f t="shared" si="1"/>
        <v>9.0000000000000036</v>
      </c>
      <c r="H55" s="20">
        <v>9054</v>
      </c>
      <c r="I55" s="22">
        <f t="shared" si="2"/>
        <v>8.9000000000000039</v>
      </c>
    </row>
    <row r="56" spans="1:9" x14ac:dyDescent="0.15">
      <c r="A56" s="22">
        <v>55</v>
      </c>
      <c r="B56" s="22">
        <f>H34</f>
        <v>9033</v>
      </c>
      <c r="C56" s="22">
        <f>I34</f>
        <v>9.0000000000000036</v>
      </c>
      <c r="D56" s="20">
        <v>7055</v>
      </c>
      <c r="E56" s="22">
        <f t="shared" si="0"/>
        <v>9.0000000000000036</v>
      </c>
      <c r="F56" s="20">
        <v>8055</v>
      </c>
      <c r="G56" s="22">
        <f t="shared" si="1"/>
        <v>8.9000000000000039</v>
      </c>
      <c r="H56" s="20">
        <v>9055</v>
      </c>
      <c r="I56" s="22">
        <f t="shared" si="2"/>
        <v>8.8000000000000043</v>
      </c>
    </row>
    <row r="57" spans="1:9" x14ac:dyDescent="0.15">
      <c r="A57" s="22">
        <v>56</v>
      </c>
      <c r="B57" s="22">
        <f>H35</f>
        <v>9034</v>
      </c>
      <c r="C57" s="22">
        <f>I35</f>
        <v>8.9000000000000039</v>
      </c>
      <c r="D57" s="20">
        <v>7056</v>
      </c>
      <c r="E57" s="22">
        <f t="shared" si="0"/>
        <v>8.9000000000000039</v>
      </c>
      <c r="F57" s="20">
        <v>8056</v>
      </c>
      <c r="G57" s="22">
        <f t="shared" si="1"/>
        <v>8.8000000000000043</v>
      </c>
      <c r="H57" s="20">
        <v>9056</v>
      </c>
      <c r="I57" s="22">
        <f t="shared" si="2"/>
        <v>8.7000000000000046</v>
      </c>
    </row>
    <row r="58" spans="1:9" x14ac:dyDescent="0.15">
      <c r="A58" s="22">
        <v>57</v>
      </c>
      <c r="B58" s="22">
        <f>H39</f>
        <v>9038</v>
      </c>
      <c r="C58" s="22">
        <f>I39</f>
        <v>8.9000000000000039</v>
      </c>
      <c r="D58" s="20">
        <v>7057</v>
      </c>
      <c r="E58" s="22">
        <f t="shared" si="0"/>
        <v>8.9000000000000039</v>
      </c>
      <c r="F58" s="20">
        <v>8057</v>
      </c>
      <c r="G58" s="22">
        <f t="shared" si="1"/>
        <v>8.8000000000000043</v>
      </c>
      <c r="H58" s="20">
        <v>9057</v>
      </c>
      <c r="I58" s="22">
        <f t="shared" si="2"/>
        <v>8.7000000000000046</v>
      </c>
    </row>
    <row r="59" spans="1:9" x14ac:dyDescent="0.15">
      <c r="A59" s="22">
        <v>58</v>
      </c>
      <c r="B59" s="22">
        <f>H40</f>
        <v>9039</v>
      </c>
      <c r="C59" s="22">
        <f>I40</f>
        <v>9.0000000000000036</v>
      </c>
      <c r="D59" s="20">
        <v>7058</v>
      </c>
      <c r="E59" s="22">
        <f t="shared" si="0"/>
        <v>9.0000000000000036</v>
      </c>
      <c r="F59" s="20">
        <v>8058</v>
      </c>
      <c r="G59" s="22">
        <f t="shared" si="1"/>
        <v>8.9000000000000039</v>
      </c>
      <c r="H59" s="20">
        <v>9058</v>
      </c>
      <c r="I59" s="22">
        <f t="shared" si="2"/>
        <v>8.8000000000000043</v>
      </c>
    </row>
    <row r="60" spans="1:9" x14ac:dyDescent="0.15">
      <c r="A60" s="22">
        <v>59</v>
      </c>
      <c r="B60" s="22">
        <f>F41</f>
        <v>8040</v>
      </c>
      <c r="C60" s="22">
        <f>G41</f>
        <v>9.2000000000000028</v>
      </c>
      <c r="D60" s="20">
        <v>7059</v>
      </c>
      <c r="E60" s="22">
        <f t="shared" si="0"/>
        <v>9.2000000000000028</v>
      </c>
      <c r="F60" s="20">
        <v>8059</v>
      </c>
      <c r="G60" s="22">
        <f t="shared" si="1"/>
        <v>9.1000000000000032</v>
      </c>
      <c r="H60" s="20">
        <v>9059</v>
      </c>
      <c r="I60" s="22">
        <f t="shared" si="2"/>
        <v>9.0000000000000036</v>
      </c>
    </row>
    <row r="61" spans="1:9" x14ac:dyDescent="0.15">
      <c r="A61" s="22">
        <v>60</v>
      </c>
      <c r="B61" s="22">
        <f>H41</f>
        <v>9040</v>
      </c>
      <c r="C61" s="22">
        <f>I41</f>
        <v>9.1000000000000032</v>
      </c>
      <c r="D61" s="20">
        <v>7060</v>
      </c>
      <c r="E61" s="22">
        <f t="shared" si="0"/>
        <v>9.1000000000000032</v>
      </c>
      <c r="F61" s="20">
        <v>8060</v>
      </c>
      <c r="G61" s="22">
        <f t="shared" si="1"/>
        <v>9.0000000000000036</v>
      </c>
      <c r="H61" s="20">
        <v>9060</v>
      </c>
      <c r="I61" s="22">
        <f t="shared" si="2"/>
        <v>8.9000000000000039</v>
      </c>
    </row>
    <row r="62" spans="1:9" x14ac:dyDescent="0.15">
      <c r="A62" s="22">
        <v>61</v>
      </c>
      <c r="B62" s="22">
        <f>H42</f>
        <v>9041</v>
      </c>
      <c r="C62" s="22">
        <f>I42</f>
        <v>9.0000000000000036</v>
      </c>
      <c r="D62" s="20">
        <v>7061</v>
      </c>
      <c r="E62" s="22">
        <f t="shared" si="0"/>
        <v>9.0000000000000036</v>
      </c>
      <c r="F62" s="20">
        <v>8061</v>
      </c>
      <c r="G62" s="22">
        <f t="shared" si="1"/>
        <v>8.9000000000000039</v>
      </c>
      <c r="H62" s="20">
        <v>9061</v>
      </c>
      <c r="I62" s="22">
        <f t="shared" si="2"/>
        <v>8.8000000000000043</v>
      </c>
    </row>
    <row r="63" spans="1:9" x14ac:dyDescent="0.15">
      <c r="A63" s="22">
        <v>62</v>
      </c>
      <c r="B63" s="22">
        <f>F42</f>
        <v>8041</v>
      </c>
      <c r="C63" s="22">
        <f>G42</f>
        <v>9.1000000000000032</v>
      </c>
      <c r="D63" s="20">
        <v>7062</v>
      </c>
      <c r="E63" s="22">
        <f t="shared" si="0"/>
        <v>9.1000000000000032</v>
      </c>
      <c r="F63" s="20">
        <v>8062</v>
      </c>
      <c r="G63" s="22">
        <f t="shared" si="1"/>
        <v>9.0000000000000036</v>
      </c>
      <c r="H63" s="20">
        <v>9062</v>
      </c>
      <c r="I63" s="22">
        <f t="shared" si="2"/>
        <v>8.9000000000000039</v>
      </c>
    </row>
    <row r="64" spans="1:9" x14ac:dyDescent="0.15">
      <c r="A64" s="22">
        <v>63</v>
      </c>
      <c r="B64" s="22">
        <f>F43</f>
        <v>8042</v>
      </c>
      <c r="C64" s="22">
        <f>G43</f>
        <v>9.0000000000000036</v>
      </c>
      <c r="D64" s="20">
        <v>7063</v>
      </c>
      <c r="E64" s="22">
        <f t="shared" si="0"/>
        <v>9.0000000000000036</v>
      </c>
      <c r="F64" s="20">
        <v>8063</v>
      </c>
      <c r="G64" s="22">
        <f t="shared" si="1"/>
        <v>8.9000000000000039</v>
      </c>
      <c r="H64" s="20">
        <v>9063</v>
      </c>
      <c r="I64" s="22">
        <f t="shared" si="2"/>
        <v>8.8000000000000043</v>
      </c>
    </row>
    <row r="65" spans="1:9" x14ac:dyDescent="0.15">
      <c r="A65" s="22">
        <v>64</v>
      </c>
      <c r="B65" s="22">
        <f>H43</f>
        <v>9042</v>
      </c>
      <c r="C65" s="22">
        <f>I43</f>
        <v>8.9000000000000039</v>
      </c>
      <c r="D65" s="20">
        <v>7064</v>
      </c>
      <c r="E65" s="22">
        <f t="shared" si="0"/>
        <v>8.9000000000000039</v>
      </c>
      <c r="F65" s="20">
        <v>8064</v>
      </c>
      <c r="G65" s="22">
        <f t="shared" si="1"/>
        <v>8.8000000000000043</v>
      </c>
      <c r="H65" s="20">
        <v>9064</v>
      </c>
      <c r="I65" s="22">
        <f t="shared" si="2"/>
        <v>8.7000000000000046</v>
      </c>
    </row>
    <row r="66" spans="1:9" x14ac:dyDescent="0.15">
      <c r="A66" s="22">
        <v>65</v>
      </c>
      <c r="B66" s="22">
        <f>H44</f>
        <v>9043</v>
      </c>
      <c r="C66" s="22">
        <f>I44</f>
        <v>9.0000000000000036</v>
      </c>
      <c r="D66" s="20">
        <v>7065</v>
      </c>
      <c r="E66" s="22">
        <f t="shared" ref="E66:E129" si="10">C66</f>
        <v>9.0000000000000036</v>
      </c>
      <c r="F66" s="20">
        <v>8065</v>
      </c>
      <c r="G66" s="22">
        <f t="shared" ref="G66:G129" si="11">$E66-0.1</f>
        <v>8.9000000000000039</v>
      </c>
      <c r="H66" s="20">
        <v>9065</v>
      </c>
      <c r="I66" s="22">
        <f t="shared" ref="I66:I129" si="12">$E66-0.2</f>
        <v>8.8000000000000043</v>
      </c>
    </row>
    <row r="67" spans="1:9" x14ac:dyDescent="0.15">
      <c r="A67" s="22">
        <v>66</v>
      </c>
      <c r="B67" s="22">
        <f>F44</f>
        <v>8043</v>
      </c>
      <c r="C67" s="22">
        <f>G44</f>
        <v>9.1000000000000032</v>
      </c>
      <c r="D67" s="20">
        <v>7066</v>
      </c>
      <c r="E67" s="22">
        <f t="shared" si="10"/>
        <v>9.1000000000000032</v>
      </c>
      <c r="F67" s="20">
        <v>8066</v>
      </c>
      <c r="G67" s="22">
        <f t="shared" si="11"/>
        <v>9.0000000000000036</v>
      </c>
      <c r="H67" s="20">
        <v>9066</v>
      </c>
      <c r="I67" s="22">
        <f t="shared" si="12"/>
        <v>8.9000000000000039</v>
      </c>
    </row>
    <row r="68" spans="1:9" x14ac:dyDescent="0.15">
      <c r="A68" s="22">
        <v>67</v>
      </c>
      <c r="B68" s="22">
        <f>F45</f>
        <v>8044</v>
      </c>
      <c r="C68" s="22">
        <f>G45</f>
        <v>9.2000000000000028</v>
      </c>
      <c r="D68" s="20">
        <v>7067</v>
      </c>
      <c r="E68" s="22">
        <f t="shared" si="10"/>
        <v>9.2000000000000028</v>
      </c>
      <c r="F68" s="20">
        <v>8067</v>
      </c>
      <c r="G68" s="22">
        <f t="shared" si="11"/>
        <v>9.1000000000000032</v>
      </c>
      <c r="H68" s="20">
        <v>9067</v>
      </c>
      <c r="I68" s="22">
        <f t="shared" si="12"/>
        <v>9.0000000000000036</v>
      </c>
    </row>
    <row r="69" spans="1:9" x14ac:dyDescent="0.15">
      <c r="A69" s="22">
        <v>68</v>
      </c>
      <c r="B69" s="22">
        <f>H45</f>
        <v>9044</v>
      </c>
      <c r="C69" s="22">
        <f>I45</f>
        <v>9.1000000000000032</v>
      </c>
      <c r="D69" s="20">
        <v>7068</v>
      </c>
      <c r="E69" s="22">
        <f t="shared" si="10"/>
        <v>9.1000000000000032</v>
      </c>
      <c r="F69" s="20">
        <v>8068</v>
      </c>
      <c r="G69" s="22">
        <f t="shared" si="11"/>
        <v>9.0000000000000036</v>
      </c>
      <c r="H69" s="20">
        <v>9068</v>
      </c>
      <c r="I69" s="22">
        <f t="shared" si="12"/>
        <v>8.9000000000000039</v>
      </c>
    </row>
    <row r="70" spans="1:9" x14ac:dyDescent="0.15">
      <c r="A70" s="22">
        <v>69</v>
      </c>
      <c r="B70" s="22">
        <f>F46</f>
        <v>8045</v>
      </c>
      <c r="C70" s="22">
        <f>G46</f>
        <v>8.9000000000000039</v>
      </c>
      <c r="D70" s="20">
        <v>7069</v>
      </c>
      <c r="E70" s="22">
        <f t="shared" si="10"/>
        <v>8.9000000000000039</v>
      </c>
      <c r="F70" s="20">
        <v>8069</v>
      </c>
      <c r="G70" s="22">
        <f t="shared" si="11"/>
        <v>8.8000000000000043</v>
      </c>
      <c r="H70" s="20">
        <v>9069</v>
      </c>
      <c r="I70" s="22">
        <f t="shared" si="12"/>
        <v>8.7000000000000046</v>
      </c>
    </row>
    <row r="71" spans="1:9" x14ac:dyDescent="0.15">
      <c r="A71" s="22">
        <v>70</v>
      </c>
      <c r="B71" s="22">
        <f>H46</f>
        <v>9045</v>
      </c>
      <c r="C71" s="22">
        <f>I46</f>
        <v>8.8000000000000043</v>
      </c>
      <c r="D71" s="20">
        <v>7070</v>
      </c>
      <c r="E71" s="22">
        <f t="shared" si="10"/>
        <v>8.8000000000000043</v>
      </c>
      <c r="F71" s="20">
        <v>8070</v>
      </c>
      <c r="G71" s="22">
        <f t="shared" si="11"/>
        <v>8.7000000000000046</v>
      </c>
      <c r="H71" s="20">
        <v>9070</v>
      </c>
      <c r="I71" s="22">
        <f t="shared" si="12"/>
        <v>8.600000000000005</v>
      </c>
    </row>
    <row r="72" spans="1:9" x14ac:dyDescent="0.15">
      <c r="A72" s="22">
        <v>71</v>
      </c>
      <c r="B72" s="22">
        <f>H47</f>
        <v>9046</v>
      </c>
      <c r="C72" s="22">
        <f>I47</f>
        <v>8.8000000000000043</v>
      </c>
      <c r="D72" s="20">
        <v>7071</v>
      </c>
      <c r="E72" s="22">
        <f t="shared" si="10"/>
        <v>8.8000000000000043</v>
      </c>
      <c r="F72" s="20">
        <v>8071</v>
      </c>
      <c r="G72" s="22">
        <f t="shared" si="11"/>
        <v>8.7000000000000046</v>
      </c>
      <c r="H72" s="20">
        <v>9071</v>
      </c>
      <c r="I72" s="22">
        <f t="shared" si="12"/>
        <v>8.600000000000005</v>
      </c>
    </row>
    <row r="73" spans="1:9" x14ac:dyDescent="0.15">
      <c r="A73" s="22">
        <v>72</v>
      </c>
      <c r="B73" s="22">
        <f>F49</f>
        <v>8048</v>
      </c>
      <c r="C73" s="22">
        <f>G49</f>
        <v>9.1000000000000032</v>
      </c>
      <c r="D73" s="20">
        <v>7072</v>
      </c>
      <c r="E73" s="22">
        <f t="shared" si="10"/>
        <v>9.1000000000000032</v>
      </c>
      <c r="F73" s="20">
        <v>8072</v>
      </c>
      <c r="G73" s="22">
        <f t="shared" si="11"/>
        <v>9.0000000000000036</v>
      </c>
      <c r="H73" s="20">
        <v>9072</v>
      </c>
      <c r="I73" s="22">
        <f t="shared" si="12"/>
        <v>8.9000000000000039</v>
      </c>
    </row>
    <row r="74" spans="1:9" x14ac:dyDescent="0.15">
      <c r="A74" s="22">
        <v>73</v>
      </c>
      <c r="B74" s="22">
        <f>H49</f>
        <v>9048</v>
      </c>
      <c r="C74" s="22">
        <f>I49</f>
        <v>9.0000000000000036</v>
      </c>
      <c r="D74" s="20">
        <v>7073</v>
      </c>
      <c r="E74" s="22">
        <f t="shared" si="10"/>
        <v>9.0000000000000036</v>
      </c>
      <c r="F74" s="20">
        <v>8073</v>
      </c>
      <c r="G74" s="22">
        <f t="shared" si="11"/>
        <v>8.9000000000000039</v>
      </c>
      <c r="H74" s="20">
        <v>9073</v>
      </c>
      <c r="I74" s="22">
        <f t="shared" si="12"/>
        <v>8.8000000000000043</v>
      </c>
    </row>
    <row r="75" spans="1:9" x14ac:dyDescent="0.15">
      <c r="A75" s="22">
        <v>74</v>
      </c>
      <c r="B75" s="22">
        <f>H50</f>
        <v>9049</v>
      </c>
      <c r="C75" s="22">
        <f>I50</f>
        <v>9.1000000000000032</v>
      </c>
      <c r="D75" s="20">
        <v>7074</v>
      </c>
      <c r="E75" s="22">
        <f t="shared" si="10"/>
        <v>9.1000000000000032</v>
      </c>
      <c r="F75" s="20">
        <v>8074</v>
      </c>
      <c r="G75" s="22">
        <f t="shared" si="11"/>
        <v>9.0000000000000036</v>
      </c>
      <c r="H75" s="20">
        <v>9074</v>
      </c>
      <c r="I75" s="22">
        <f t="shared" si="12"/>
        <v>8.9000000000000039</v>
      </c>
    </row>
    <row r="76" spans="1:9" x14ac:dyDescent="0.15">
      <c r="A76" s="22">
        <v>75</v>
      </c>
      <c r="B76" s="22">
        <f>F50</f>
        <v>8049</v>
      </c>
      <c r="C76" s="22">
        <f>G50</f>
        <v>9.2000000000000028</v>
      </c>
      <c r="D76" s="20">
        <v>7075</v>
      </c>
      <c r="E76" s="22">
        <f t="shared" si="10"/>
        <v>9.2000000000000028</v>
      </c>
      <c r="F76" s="20">
        <v>8075</v>
      </c>
      <c r="G76" s="22">
        <f t="shared" si="11"/>
        <v>9.1000000000000032</v>
      </c>
      <c r="H76" s="20">
        <v>9075</v>
      </c>
      <c r="I76" s="22">
        <f t="shared" si="12"/>
        <v>9.0000000000000036</v>
      </c>
    </row>
    <row r="77" spans="1:9" x14ac:dyDescent="0.15">
      <c r="A77" s="22">
        <v>76</v>
      </c>
      <c r="B77" s="22">
        <f>H51</f>
        <v>9050</v>
      </c>
      <c r="C77" s="22">
        <f>I51</f>
        <v>8.9000000000000039</v>
      </c>
      <c r="D77" s="20">
        <v>7076</v>
      </c>
      <c r="E77" s="22">
        <f t="shared" si="10"/>
        <v>8.9000000000000039</v>
      </c>
      <c r="F77" s="20">
        <v>8076</v>
      </c>
      <c r="G77" s="22">
        <f t="shared" si="11"/>
        <v>8.8000000000000043</v>
      </c>
      <c r="H77" s="20">
        <v>9076</v>
      </c>
      <c r="I77" s="22">
        <f t="shared" si="12"/>
        <v>8.7000000000000046</v>
      </c>
    </row>
    <row r="78" spans="1:9" x14ac:dyDescent="0.15">
      <c r="A78" s="22">
        <v>77</v>
      </c>
      <c r="B78" s="22">
        <f>F51</f>
        <v>8050</v>
      </c>
      <c r="C78" s="22">
        <f>G51</f>
        <v>9.0000000000000036</v>
      </c>
      <c r="D78" s="20">
        <v>7077</v>
      </c>
      <c r="E78" s="22">
        <f t="shared" si="10"/>
        <v>9.0000000000000036</v>
      </c>
      <c r="F78" s="20">
        <v>8077</v>
      </c>
      <c r="G78" s="22">
        <f t="shared" si="11"/>
        <v>8.9000000000000039</v>
      </c>
      <c r="H78" s="20">
        <v>9077</v>
      </c>
      <c r="I78" s="22">
        <f t="shared" si="12"/>
        <v>8.8000000000000043</v>
      </c>
    </row>
    <row r="79" spans="1:9" x14ac:dyDescent="0.15">
      <c r="A79" s="22">
        <v>78</v>
      </c>
      <c r="B79" s="22">
        <f>F53</f>
        <v>8052</v>
      </c>
      <c r="C79" s="22">
        <f>G53</f>
        <v>9.0000000000000036</v>
      </c>
      <c r="D79" s="20">
        <v>7078</v>
      </c>
      <c r="E79" s="22">
        <f t="shared" si="10"/>
        <v>9.0000000000000036</v>
      </c>
      <c r="F79" s="20">
        <v>8078</v>
      </c>
      <c r="G79" s="22">
        <f t="shared" si="11"/>
        <v>8.9000000000000039</v>
      </c>
      <c r="H79" s="20">
        <v>9078</v>
      </c>
      <c r="I79" s="22">
        <f t="shared" si="12"/>
        <v>8.8000000000000043</v>
      </c>
    </row>
    <row r="80" spans="1:9" x14ac:dyDescent="0.15">
      <c r="A80" s="22">
        <v>79</v>
      </c>
      <c r="B80" s="22">
        <f>H53</f>
        <v>9052</v>
      </c>
      <c r="C80" s="22">
        <f>I53</f>
        <v>8.9000000000000039</v>
      </c>
      <c r="D80" s="20">
        <v>7079</v>
      </c>
      <c r="E80" s="22">
        <f t="shared" si="10"/>
        <v>8.9000000000000039</v>
      </c>
      <c r="F80" s="20">
        <v>8079</v>
      </c>
      <c r="G80" s="22">
        <f t="shared" si="11"/>
        <v>8.8000000000000043</v>
      </c>
      <c r="H80" s="20">
        <v>9079</v>
      </c>
      <c r="I80" s="22">
        <f t="shared" si="12"/>
        <v>8.7000000000000046</v>
      </c>
    </row>
    <row r="81" spans="1:9" x14ac:dyDescent="0.15">
      <c r="A81" s="22">
        <v>80</v>
      </c>
      <c r="B81" s="22">
        <f>F56</f>
        <v>8055</v>
      </c>
      <c r="C81" s="22">
        <f>G56</f>
        <v>8.9000000000000039</v>
      </c>
      <c r="D81" s="20">
        <v>7080</v>
      </c>
      <c r="E81" s="22">
        <f t="shared" si="10"/>
        <v>8.9000000000000039</v>
      </c>
      <c r="F81" s="20">
        <v>8080</v>
      </c>
      <c r="G81" s="22">
        <f t="shared" si="11"/>
        <v>8.8000000000000043</v>
      </c>
      <c r="H81" s="20">
        <v>9080</v>
      </c>
      <c r="I81" s="22">
        <f t="shared" si="12"/>
        <v>8.7000000000000046</v>
      </c>
    </row>
    <row r="82" spans="1:9" x14ac:dyDescent="0.15">
      <c r="A82" s="22">
        <v>81</v>
      </c>
      <c r="B82" s="22">
        <f>H56</f>
        <v>9055</v>
      </c>
      <c r="C82" s="22">
        <f>I56</f>
        <v>8.8000000000000043</v>
      </c>
      <c r="D82" s="20">
        <v>7081</v>
      </c>
      <c r="E82" s="22">
        <f t="shared" si="10"/>
        <v>8.8000000000000043</v>
      </c>
      <c r="F82" s="20">
        <v>8081</v>
      </c>
      <c r="G82" s="22">
        <f t="shared" si="11"/>
        <v>8.7000000000000046</v>
      </c>
      <c r="H82" s="20">
        <v>9081</v>
      </c>
      <c r="I82" s="22">
        <f t="shared" si="12"/>
        <v>8.600000000000005</v>
      </c>
    </row>
    <row r="83" spans="1:9" x14ac:dyDescent="0.15">
      <c r="A83" s="22">
        <v>82</v>
      </c>
      <c r="B83" s="22">
        <f>D57</f>
        <v>7056</v>
      </c>
      <c r="C83" s="22">
        <f>E57</f>
        <v>8.9000000000000039</v>
      </c>
      <c r="D83" s="20">
        <v>7082</v>
      </c>
      <c r="E83" s="22">
        <f t="shared" si="10"/>
        <v>8.9000000000000039</v>
      </c>
      <c r="F83" s="20">
        <v>8082</v>
      </c>
      <c r="G83" s="22">
        <f t="shared" si="11"/>
        <v>8.8000000000000043</v>
      </c>
      <c r="H83" s="20">
        <v>9082</v>
      </c>
      <c r="I83" s="22">
        <f t="shared" si="12"/>
        <v>8.7000000000000046</v>
      </c>
    </row>
    <row r="84" spans="1:9" x14ac:dyDescent="0.15">
      <c r="A84" s="22">
        <v>83</v>
      </c>
      <c r="B84" s="22">
        <f>D58</f>
        <v>7057</v>
      </c>
      <c r="C84" s="22">
        <f>E58</f>
        <v>8.9000000000000039</v>
      </c>
      <c r="D84" s="20">
        <v>7083</v>
      </c>
      <c r="E84" s="22">
        <f t="shared" si="10"/>
        <v>8.9000000000000039</v>
      </c>
      <c r="F84" s="20">
        <v>8083</v>
      </c>
      <c r="G84" s="22">
        <f t="shared" si="11"/>
        <v>8.8000000000000043</v>
      </c>
      <c r="H84" s="20">
        <v>9083</v>
      </c>
      <c r="I84" s="22">
        <f t="shared" si="12"/>
        <v>8.7000000000000046</v>
      </c>
    </row>
    <row r="85" spans="1:9" x14ac:dyDescent="0.15">
      <c r="A85" s="22">
        <v>84</v>
      </c>
      <c r="B85" s="22">
        <f>F58</f>
        <v>8057</v>
      </c>
      <c r="C85" s="22">
        <f>G58</f>
        <v>8.8000000000000043</v>
      </c>
      <c r="D85" s="20">
        <v>7084</v>
      </c>
      <c r="E85" s="22">
        <f t="shared" si="10"/>
        <v>8.8000000000000043</v>
      </c>
      <c r="F85" s="20">
        <v>8084</v>
      </c>
      <c r="G85" s="22">
        <f t="shared" si="11"/>
        <v>8.7000000000000046</v>
      </c>
      <c r="H85" s="20">
        <v>9084</v>
      </c>
      <c r="I85" s="22">
        <f t="shared" si="12"/>
        <v>8.600000000000005</v>
      </c>
    </row>
    <row r="86" spans="1:9" x14ac:dyDescent="0.15">
      <c r="A86" s="22">
        <v>85</v>
      </c>
      <c r="B86" s="22">
        <f>H58</f>
        <v>9057</v>
      </c>
      <c r="C86" s="22">
        <f>I58</f>
        <v>8.7000000000000046</v>
      </c>
      <c r="D86" s="20">
        <v>7085</v>
      </c>
      <c r="E86" s="22">
        <f t="shared" si="10"/>
        <v>8.7000000000000046</v>
      </c>
      <c r="F86" s="20">
        <v>8085</v>
      </c>
      <c r="G86" s="22">
        <f t="shared" si="11"/>
        <v>8.600000000000005</v>
      </c>
      <c r="H86" s="20">
        <v>9085</v>
      </c>
      <c r="I86" s="22">
        <f t="shared" si="12"/>
        <v>8.5000000000000053</v>
      </c>
    </row>
    <row r="87" spans="1:9" x14ac:dyDescent="0.15">
      <c r="A87" s="22">
        <v>86</v>
      </c>
      <c r="B87" s="22">
        <f>F59</f>
        <v>8058</v>
      </c>
      <c r="C87" s="22">
        <f>G59</f>
        <v>8.9000000000000039</v>
      </c>
      <c r="D87" s="20">
        <v>7086</v>
      </c>
      <c r="E87" s="22">
        <f t="shared" si="10"/>
        <v>8.9000000000000039</v>
      </c>
      <c r="F87" s="20">
        <v>8086</v>
      </c>
      <c r="G87" s="22">
        <f t="shared" si="11"/>
        <v>8.8000000000000043</v>
      </c>
      <c r="H87" s="20">
        <v>9086</v>
      </c>
      <c r="I87" s="22">
        <f t="shared" si="12"/>
        <v>8.7000000000000046</v>
      </c>
    </row>
    <row r="88" spans="1:9" x14ac:dyDescent="0.15">
      <c r="A88" s="22">
        <v>87</v>
      </c>
      <c r="B88" s="22">
        <f>H59</f>
        <v>9058</v>
      </c>
      <c r="C88" s="22">
        <f>I59</f>
        <v>8.8000000000000043</v>
      </c>
      <c r="D88" s="20">
        <v>7087</v>
      </c>
      <c r="E88" s="22">
        <f t="shared" si="10"/>
        <v>8.8000000000000043</v>
      </c>
      <c r="F88" s="20">
        <v>8087</v>
      </c>
      <c r="G88" s="22">
        <f t="shared" si="11"/>
        <v>8.7000000000000046</v>
      </c>
      <c r="H88" s="20">
        <v>9087</v>
      </c>
      <c r="I88" s="22">
        <f t="shared" si="12"/>
        <v>8.600000000000005</v>
      </c>
    </row>
    <row r="89" spans="1:9" x14ac:dyDescent="0.15">
      <c r="A89" s="22">
        <v>88</v>
      </c>
      <c r="B89" s="22">
        <f>H60</f>
        <v>9059</v>
      </c>
      <c r="C89" s="22">
        <f>I60</f>
        <v>9.0000000000000036</v>
      </c>
      <c r="D89" s="20">
        <v>7088</v>
      </c>
      <c r="E89" s="22">
        <f t="shared" si="10"/>
        <v>9.0000000000000036</v>
      </c>
      <c r="F89" s="20">
        <v>8088</v>
      </c>
      <c r="G89" s="22">
        <f t="shared" si="11"/>
        <v>8.9000000000000039</v>
      </c>
      <c r="H89" s="20">
        <v>9088</v>
      </c>
      <c r="I89" s="22">
        <f t="shared" si="12"/>
        <v>8.8000000000000043</v>
      </c>
    </row>
    <row r="90" spans="1:9" x14ac:dyDescent="0.15">
      <c r="A90" s="22">
        <v>89</v>
      </c>
      <c r="B90" s="22">
        <f>F60</f>
        <v>8059</v>
      </c>
      <c r="C90" s="22">
        <f>G60</f>
        <v>9.1000000000000032</v>
      </c>
      <c r="D90" s="20">
        <v>7089</v>
      </c>
      <c r="E90" s="22">
        <f t="shared" si="10"/>
        <v>9.1000000000000032</v>
      </c>
      <c r="F90" s="20">
        <v>8089</v>
      </c>
      <c r="G90" s="22">
        <f t="shared" si="11"/>
        <v>9.0000000000000036</v>
      </c>
      <c r="H90" s="20">
        <v>9089</v>
      </c>
      <c r="I90" s="22">
        <f t="shared" si="12"/>
        <v>8.9000000000000039</v>
      </c>
    </row>
    <row r="91" spans="1:9" x14ac:dyDescent="0.15">
      <c r="A91" s="22">
        <v>90</v>
      </c>
      <c r="B91" s="22">
        <f>F61</f>
        <v>8060</v>
      </c>
      <c r="C91" s="22">
        <f>G61</f>
        <v>9.0000000000000036</v>
      </c>
      <c r="D91" s="20">
        <v>7090</v>
      </c>
      <c r="E91" s="22">
        <f t="shared" si="10"/>
        <v>9.0000000000000036</v>
      </c>
      <c r="F91" s="20">
        <v>8090</v>
      </c>
      <c r="G91" s="22">
        <f t="shared" si="11"/>
        <v>8.9000000000000039</v>
      </c>
      <c r="H91" s="20">
        <v>9090</v>
      </c>
      <c r="I91" s="22">
        <f t="shared" si="12"/>
        <v>8.8000000000000043</v>
      </c>
    </row>
    <row r="92" spans="1:9" x14ac:dyDescent="0.15">
      <c r="A92" s="22">
        <v>91</v>
      </c>
      <c r="B92" s="22">
        <f>H61</f>
        <v>9060</v>
      </c>
      <c r="C92" s="22">
        <f>I61</f>
        <v>8.9000000000000039</v>
      </c>
      <c r="D92" s="20">
        <v>7091</v>
      </c>
      <c r="E92" s="22">
        <f t="shared" si="10"/>
        <v>8.9000000000000039</v>
      </c>
      <c r="F92" s="20">
        <v>8091</v>
      </c>
      <c r="G92" s="22">
        <f t="shared" si="11"/>
        <v>8.8000000000000043</v>
      </c>
      <c r="H92" s="20">
        <v>9091</v>
      </c>
      <c r="I92" s="22">
        <f t="shared" si="12"/>
        <v>8.7000000000000046</v>
      </c>
    </row>
    <row r="93" spans="1:9" x14ac:dyDescent="0.15">
      <c r="A93" s="22">
        <v>92</v>
      </c>
      <c r="B93" s="22">
        <f>F62</f>
        <v>8061</v>
      </c>
      <c r="C93" s="22">
        <f>G62</f>
        <v>8.9000000000000039</v>
      </c>
      <c r="D93" s="20">
        <v>7092</v>
      </c>
      <c r="E93" s="22">
        <f t="shared" si="10"/>
        <v>8.9000000000000039</v>
      </c>
      <c r="F93" s="20">
        <v>8092</v>
      </c>
      <c r="G93" s="22">
        <f t="shared" si="11"/>
        <v>8.8000000000000043</v>
      </c>
      <c r="H93" s="20">
        <v>9092</v>
      </c>
      <c r="I93" s="22">
        <f t="shared" si="12"/>
        <v>8.7000000000000046</v>
      </c>
    </row>
    <row r="94" spans="1:9" x14ac:dyDescent="0.15">
      <c r="A94" s="22">
        <v>93</v>
      </c>
      <c r="B94" s="22">
        <f>H62</f>
        <v>9061</v>
      </c>
      <c r="C94" s="22">
        <f>I62</f>
        <v>8.8000000000000043</v>
      </c>
      <c r="D94" s="20">
        <v>7093</v>
      </c>
      <c r="E94" s="22">
        <f t="shared" si="10"/>
        <v>8.8000000000000043</v>
      </c>
      <c r="F94" s="20">
        <v>8093</v>
      </c>
      <c r="G94" s="22">
        <f t="shared" si="11"/>
        <v>8.7000000000000046</v>
      </c>
      <c r="H94" s="20">
        <v>9093</v>
      </c>
      <c r="I94" s="22">
        <f t="shared" si="12"/>
        <v>8.600000000000005</v>
      </c>
    </row>
    <row r="95" spans="1:9" x14ac:dyDescent="0.15">
      <c r="A95" s="22">
        <v>94</v>
      </c>
      <c r="B95" s="22">
        <f>H63</f>
        <v>9062</v>
      </c>
      <c r="C95" s="22">
        <f>I63</f>
        <v>8.9000000000000039</v>
      </c>
      <c r="D95" s="20">
        <v>7094</v>
      </c>
      <c r="E95" s="22">
        <f t="shared" si="10"/>
        <v>8.9000000000000039</v>
      </c>
      <c r="F95" s="20">
        <v>8094</v>
      </c>
      <c r="G95" s="22">
        <f t="shared" si="11"/>
        <v>8.8000000000000043</v>
      </c>
      <c r="H95" s="20">
        <v>9094</v>
      </c>
      <c r="I95" s="22">
        <f t="shared" si="12"/>
        <v>8.7000000000000046</v>
      </c>
    </row>
    <row r="96" spans="1:9" x14ac:dyDescent="0.15">
      <c r="A96" s="22">
        <v>95</v>
      </c>
      <c r="B96" s="22">
        <f>F63</f>
        <v>8062</v>
      </c>
      <c r="C96" s="22">
        <f>G63</f>
        <v>9.0000000000000036</v>
      </c>
      <c r="D96" s="20">
        <v>7095</v>
      </c>
      <c r="E96" s="22">
        <f t="shared" si="10"/>
        <v>9.0000000000000036</v>
      </c>
      <c r="F96" s="20">
        <v>8095</v>
      </c>
      <c r="G96" s="22">
        <f t="shared" si="11"/>
        <v>8.9000000000000039</v>
      </c>
      <c r="H96" s="20">
        <v>9095</v>
      </c>
      <c r="I96" s="22">
        <f t="shared" si="12"/>
        <v>8.8000000000000043</v>
      </c>
    </row>
    <row r="97" spans="1:9" x14ac:dyDescent="0.15">
      <c r="A97" s="22">
        <v>96</v>
      </c>
      <c r="B97" s="22">
        <f>F64</f>
        <v>8063</v>
      </c>
      <c r="C97" s="22">
        <f>G64</f>
        <v>8.9000000000000039</v>
      </c>
      <c r="D97" s="20">
        <v>7096</v>
      </c>
      <c r="E97" s="22">
        <f t="shared" si="10"/>
        <v>8.9000000000000039</v>
      </c>
      <c r="F97" s="20">
        <v>8096</v>
      </c>
      <c r="G97" s="22">
        <f t="shared" si="11"/>
        <v>8.8000000000000043</v>
      </c>
      <c r="H97" s="20">
        <v>9096</v>
      </c>
      <c r="I97" s="22">
        <f t="shared" si="12"/>
        <v>8.7000000000000046</v>
      </c>
    </row>
    <row r="98" spans="1:9" x14ac:dyDescent="0.15">
      <c r="A98" s="22">
        <v>97</v>
      </c>
      <c r="B98" s="22">
        <f>H64</f>
        <v>9063</v>
      </c>
      <c r="C98" s="22">
        <f>I64</f>
        <v>8.8000000000000043</v>
      </c>
      <c r="D98" s="20">
        <v>7097</v>
      </c>
      <c r="E98" s="22">
        <f t="shared" si="10"/>
        <v>8.8000000000000043</v>
      </c>
      <c r="F98" s="20">
        <v>8097</v>
      </c>
      <c r="G98" s="22">
        <f t="shared" si="11"/>
        <v>8.7000000000000046</v>
      </c>
      <c r="H98" s="20">
        <v>9097</v>
      </c>
      <c r="I98" s="22">
        <f t="shared" si="12"/>
        <v>8.600000000000005</v>
      </c>
    </row>
    <row r="99" spans="1:9" x14ac:dyDescent="0.15">
      <c r="A99" s="22">
        <v>98</v>
      </c>
      <c r="B99" s="22">
        <f>H65</f>
        <v>9064</v>
      </c>
      <c r="C99" s="22">
        <f>I65</f>
        <v>8.7000000000000046</v>
      </c>
      <c r="D99" s="20">
        <v>7098</v>
      </c>
      <c r="E99" s="22">
        <f t="shared" si="10"/>
        <v>8.7000000000000046</v>
      </c>
      <c r="F99" s="20">
        <v>8098</v>
      </c>
      <c r="G99" s="22">
        <f t="shared" si="11"/>
        <v>8.600000000000005</v>
      </c>
      <c r="H99" s="20">
        <v>9098</v>
      </c>
      <c r="I99" s="22">
        <f t="shared" si="12"/>
        <v>8.5000000000000053</v>
      </c>
    </row>
    <row r="100" spans="1:9" x14ac:dyDescent="0.15">
      <c r="A100" s="22">
        <v>99</v>
      </c>
      <c r="B100" s="22">
        <f>F65</f>
        <v>8064</v>
      </c>
      <c r="C100" s="22">
        <f>G65</f>
        <v>8.8000000000000043</v>
      </c>
      <c r="D100" s="20">
        <v>7099</v>
      </c>
      <c r="E100" s="22">
        <f t="shared" si="10"/>
        <v>8.8000000000000043</v>
      </c>
      <c r="F100" s="20">
        <v>8099</v>
      </c>
      <c r="G100" s="22">
        <f t="shared" si="11"/>
        <v>8.7000000000000046</v>
      </c>
      <c r="H100" s="20">
        <v>9099</v>
      </c>
      <c r="I100" s="22">
        <f t="shared" si="12"/>
        <v>8.600000000000005</v>
      </c>
    </row>
    <row r="101" spans="1:9" x14ac:dyDescent="0.15">
      <c r="A101" s="22">
        <v>100</v>
      </c>
      <c r="B101" s="22">
        <f>F68</f>
        <v>8067</v>
      </c>
      <c r="C101" s="22">
        <f>G68</f>
        <v>9.1000000000000032</v>
      </c>
      <c r="D101" s="20">
        <v>7100</v>
      </c>
      <c r="E101" s="22">
        <f t="shared" si="10"/>
        <v>9.1000000000000032</v>
      </c>
      <c r="F101" s="20">
        <v>8100</v>
      </c>
      <c r="G101" s="22">
        <f t="shared" si="11"/>
        <v>9.0000000000000036</v>
      </c>
      <c r="H101" s="20">
        <v>9100</v>
      </c>
      <c r="I101" s="22">
        <f t="shared" si="12"/>
        <v>8.9000000000000039</v>
      </c>
    </row>
    <row r="102" spans="1:9" x14ac:dyDescent="0.15">
      <c r="A102" s="22">
        <v>101</v>
      </c>
      <c r="B102" s="22">
        <f>H68</f>
        <v>9067</v>
      </c>
      <c r="C102" s="22">
        <f>I68</f>
        <v>9.0000000000000036</v>
      </c>
      <c r="D102" s="20">
        <v>7101</v>
      </c>
      <c r="E102" s="22">
        <f t="shared" si="10"/>
        <v>9.0000000000000036</v>
      </c>
      <c r="F102" s="20">
        <v>8101</v>
      </c>
      <c r="G102" s="22">
        <f t="shared" si="11"/>
        <v>8.9000000000000039</v>
      </c>
      <c r="H102" s="20">
        <v>9101</v>
      </c>
      <c r="I102" s="22">
        <f t="shared" si="12"/>
        <v>8.8000000000000043</v>
      </c>
    </row>
    <row r="103" spans="1:9" x14ac:dyDescent="0.15">
      <c r="A103" s="22">
        <v>102</v>
      </c>
      <c r="B103" s="22">
        <f>F69</f>
        <v>8068</v>
      </c>
      <c r="C103" s="22">
        <f>G69</f>
        <v>9.0000000000000036</v>
      </c>
      <c r="D103" s="20">
        <v>7102</v>
      </c>
      <c r="E103" s="22">
        <f t="shared" si="10"/>
        <v>9.0000000000000036</v>
      </c>
      <c r="F103" s="20">
        <v>8102</v>
      </c>
      <c r="G103" s="22">
        <f t="shared" si="11"/>
        <v>8.9000000000000039</v>
      </c>
      <c r="H103" s="20">
        <v>9102</v>
      </c>
      <c r="I103" s="22">
        <f t="shared" si="12"/>
        <v>8.8000000000000043</v>
      </c>
    </row>
    <row r="104" spans="1:9" x14ac:dyDescent="0.15">
      <c r="A104" s="22">
        <v>103</v>
      </c>
      <c r="B104" s="22">
        <f>H69</f>
        <v>9068</v>
      </c>
      <c r="C104" s="22">
        <f>I69</f>
        <v>8.9000000000000039</v>
      </c>
      <c r="D104" s="20">
        <v>7103</v>
      </c>
      <c r="E104" s="22">
        <f t="shared" si="10"/>
        <v>8.9000000000000039</v>
      </c>
      <c r="F104" s="20">
        <v>8103</v>
      </c>
      <c r="G104" s="22">
        <f t="shared" si="11"/>
        <v>8.8000000000000043</v>
      </c>
      <c r="H104" s="20">
        <v>9103</v>
      </c>
      <c r="I104" s="22">
        <f t="shared" si="12"/>
        <v>8.7000000000000046</v>
      </c>
    </row>
    <row r="105" spans="1:9" x14ac:dyDescent="0.15">
      <c r="A105" s="22">
        <v>104</v>
      </c>
      <c r="B105" s="22">
        <f>D70</f>
        <v>7069</v>
      </c>
      <c r="C105" s="22">
        <f>E70</f>
        <v>8.9000000000000039</v>
      </c>
      <c r="D105" s="20">
        <v>7104</v>
      </c>
      <c r="E105" s="22">
        <f t="shared" si="10"/>
        <v>8.9000000000000039</v>
      </c>
      <c r="F105" s="20">
        <v>8104</v>
      </c>
      <c r="G105" s="22">
        <f t="shared" si="11"/>
        <v>8.8000000000000043</v>
      </c>
      <c r="H105" s="20">
        <v>9104</v>
      </c>
      <c r="I105" s="22">
        <f t="shared" si="12"/>
        <v>8.7000000000000046</v>
      </c>
    </row>
    <row r="106" spans="1:9" x14ac:dyDescent="0.15">
      <c r="A106" s="22">
        <v>105</v>
      </c>
      <c r="B106" s="22">
        <f>H70</f>
        <v>9069</v>
      </c>
      <c r="C106" s="22">
        <f>I70</f>
        <v>8.7000000000000046</v>
      </c>
      <c r="D106" s="20">
        <v>7105</v>
      </c>
      <c r="E106" s="22">
        <f t="shared" si="10"/>
        <v>8.7000000000000046</v>
      </c>
      <c r="F106" s="20">
        <v>8105</v>
      </c>
      <c r="G106" s="22">
        <f t="shared" si="11"/>
        <v>8.600000000000005</v>
      </c>
      <c r="H106" s="20">
        <v>9105</v>
      </c>
      <c r="I106" s="22">
        <f t="shared" si="12"/>
        <v>8.5000000000000053</v>
      </c>
    </row>
    <row r="107" spans="1:9" x14ac:dyDescent="0.15">
      <c r="A107" s="22">
        <v>106</v>
      </c>
      <c r="B107" s="22">
        <f>H71</f>
        <v>9070</v>
      </c>
      <c r="C107" s="22">
        <f>I71</f>
        <v>8.600000000000005</v>
      </c>
      <c r="D107" s="20">
        <v>7106</v>
      </c>
      <c r="E107" s="22">
        <f t="shared" si="10"/>
        <v>8.600000000000005</v>
      </c>
      <c r="F107" s="20">
        <v>8106</v>
      </c>
      <c r="G107" s="22">
        <f t="shared" si="11"/>
        <v>8.5000000000000053</v>
      </c>
      <c r="H107" s="20">
        <v>9106</v>
      </c>
      <c r="I107" s="22">
        <f t="shared" si="12"/>
        <v>8.4000000000000057</v>
      </c>
    </row>
    <row r="108" spans="1:9" x14ac:dyDescent="0.15">
      <c r="A108" s="22">
        <v>107</v>
      </c>
      <c r="B108" s="22">
        <f>F71</f>
        <v>8070</v>
      </c>
      <c r="C108" s="22">
        <f>G71</f>
        <v>8.7000000000000046</v>
      </c>
      <c r="D108" s="20">
        <v>7107</v>
      </c>
      <c r="E108" s="22">
        <f t="shared" si="10"/>
        <v>8.7000000000000046</v>
      </c>
      <c r="F108" s="20">
        <v>8107</v>
      </c>
      <c r="G108" s="22">
        <f t="shared" si="11"/>
        <v>8.600000000000005</v>
      </c>
      <c r="H108" s="20">
        <v>9107</v>
      </c>
      <c r="I108" s="22">
        <f t="shared" si="12"/>
        <v>8.5000000000000053</v>
      </c>
    </row>
    <row r="109" spans="1:9" x14ac:dyDescent="0.15">
      <c r="A109" s="22">
        <v>108</v>
      </c>
      <c r="B109" s="22">
        <f>F72</f>
        <v>8071</v>
      </c>
      <c r="C109" s="22">
        <f>G72</f>
        <v>8.7000000000000046</v>
      </c>
      <c r="D109" s="20">
        <v>7108</v>
      </c>
      <c r="E109" s="22">
        <f t="shared" si="10"/>
        <v>8.7000000000000046</v>
      </c>
      <c r="F109" s="20">
        <v>8108</v>
      </c>
      <c r="G109" s="22">
        <f t="shared" si="11"/>
        <v>8.600000000000005</v>
      </c>
      <c r="H109" s="20">
        <v>9108</v>
      </c>
      <c r="I109" s="22">
        <f t="shared" si="12"/>
        <v>8.5000000000000053</v>
      </c>
    </row>
    <row r="110" spans="1:9" x14ac:dyDescent="0.15">
      <c r="A110" s="22">
        <v>109</v>
      </c>
      <c r="B110" s="22">
        <f>H72</f>
        <v>9071</v>
      </c>
      <c r="C110" s="22">
        <f>I72</f>
        <v>8.600000000000005</v>
      </c>
      <c r="D110" s="20">
        <v>7109</v>
      </c>
      <c r="E110" s="22">
        <f t="shared" si="10"/>
        <v>8.600000000000005</v>
      </c>
      <c r="F110" s="20">
        <v>8109</v>
      </c>
      <c r="G110" s="22">
        <f t="shared" si="11"/>
        <v>8.5000000000000053</v>
      </c>
      <c r="H110" s="20">
        <v>9109</v>
      </c>
      <c r="I110" s="22">
        <f t="shared" si="12"/>
        <v>8.4000000000000057</v>
      </c>
    </row>
    <row r="111" spans="1:9" x14ac:dyDescent="0.15">
      <c r="A111" s="22">
        <v>110</v>
      </c>
      <c r="B111" s="22">
        <f>H48</f>
        <v>9047</v>
      </c>
      <c r="C111" s="22">
        <f>I48</f>
        <v>8.9000000000000039</v>
      </c>
      <c r="D111" s="20">
        <v>7110</v>
      </c>
      <c r="E111" s="22">
        <f t="shared" si="10"/>
        <v>8.9000000000000039</v>
      </c>
      <c r="F111" s="20">
        <v>8110</v>
      </c>
      <c r="G111" s="22">
        <f t="shared" si="11"/>
        <v>8.8000000000000043</v>
      </c>
      <c r="H111" s="20">
        <v>9110</v>
      </c>
      <c r="I111" s="22">
        <f t="shared" si="12"/>
        <v>8.7000000000000046</v>
      </c>
    </row>
    <row r="112" spans="1:9" x14ac:dyDescent="0.15">
      <c r="A112" s="22">
        <v>111</v>
      </c>
      <c r="B112" s="22">
        <f>D73</f>
        <v>7072</v>
      </c>
      <c r="C112" s="22">
        <f>E73</f>
        <v>9.1000000000000032</v>
      </c>
      <c r="D112" s="20">
        <v>7111</v>
      </c>
      <c r="E112" s="22">
        <f t="shared" si="10"/>
        <v>9.1000000000000032</v>
      </c>
      <c r="F112" s="20">
        <v>8111</v>
      </c>
      <c r="G112" s="22">
        <f t="shared" si="11"/>
        <v>9.0000000000000036</v>
      </c>
      <c r="H112" s="20">
        <v>9111</v>
      </c>
      <c r="I112" s="22">
        <f t="shared" si="12"/>
        <v>8.9000000000000039</v>
      </c>
    </row>
    <row r="113" spans="1:9" x14ac:dyDescent="0.15">
      <c r="A113" s="22">
        <v>112</v>
      </c>
      <c r="B113" s="22">
        <f>H73</f>
        <v>9072</v>
      </c>
      <c r="C113" s="22">
        <f>I73</f>
        <v>8.9000000000000039</v>
      </c>
      <c r="D113" s="20">
        <v>7112</v>
      </c>
      <c r="E113" s="22">
        <f t="shared" si="10"/>
        <v>8.9000000000000039</v>
      </c>
      <c r="F113" s="20">
        <v>8112</v>
      </c>
      <c r="G113" s="22">
        <f t="shared" si="11"/>
        <v>8.8000000000000043</v>
      </c>
      <c r="H113" s="20">
        <v>9112</v>
      </c>
      <c r="I113" s="22">
        <f t="shared" si="12"/>
        <v>8.7000000000000046</v>
      </c>
    </row>
    <row r="114" spans="1:9" x14ac:dyDescent="0.15">
      <c r="A114" s="22">
        <v>113</v>
      </c>
      <c r="B114" s="22">
        <f>F74</f>
        <v>8073</v>
      </c>
      <c r="C114" s="22">
        <f>G74</f>
        <v>8.9000000000000039</v>
      </c>
      <c r="D114" s="20">
        <v>7113</v>
      </c>
      <c r="E114" s="22">
        <f t="shared" si="10"/>
        <v>8.9000000000000039</v>
      </c>
      <c r="F114" s="20">
        <v>8113</v>
      </c>
      <c r="G114" s="22">
        <f t="shared" si="11"/>
        <v>8.8000000000000043</v>
      </c>
      <c r="H114" s="20">
        <v>9113</v>
      </c>
      <c r="I114" s="22">
        <f t="shared" si="12"/>
        <v>8.7000000000000046</v>
      </c>
    </row>
    <row r="115" spans="1:9" x14ac:dyDescent="0.15">
      <c r="A115" s="22">
        <v>114</v>
      </c>
      <c r="B115" s="22">
        <f>H74</f>
        <v>9073</v>
      </c>
      <c r="C115" s="22">
        <f>I74</f>
        <v>8.8000000000000043</v>
      </c>
      <c r="D115" s="20">
        <v>7114</v>
      </c>
      <c r="E115" s="22">
        <f t="shared" si="10"/>
        <v>8.8000000000000043</v>
      </c>
      <c r="F115" s="20">
        <v>8114</v>
      </c>
      <c r="G115" s="22">
        <f t="shared" si="11"/>
        <v>8.7000000000000046</v>
      </c>
      <c r="H115" s="20">
        <v>9114</v>
      </c>
      <c r="I115" s="22">
        <f t="shared" si="12"/>
        <v>8.600000000000005</v>
      </c>
    </row>
    <row r="116" spans="1:9" x14ac:dyDescent="0.15">
      <c r="A116" s="22">
        <v>115</v>
      </c>
      <c r="B116" s="22">
        <f>H75</f>
        <v>9074</v>
      </c>
      <c r="C116" s="22">
        <f>I75</f>
        <v>8.9000000000000039</v>
      </c>
      <c r="D116" s="20">
        <v>7115</v>
      </c>
      <c r="E116" s="22">
        <f t="shared" si="10"/>
        <v>8.9000000000000039</v>
      </c>
      <c r="F116" s="20">
        <v>8115</v>
      </c>
      <c r="G116" s="22">
        <f t="shared" si="11"/>
        <v>8.8000000000000043</v>
      </c>
      <c r="H116" s="20">
        <v>9115</v>
      </c>
      <c r="I116" s="22">
        <f t="shared" si="12"/>
        <v>8.7000000000000046</v>
      </c>
    </row>
    <row r="117" spans="1:9" x14ac:dyDescent="0.15">
      <c r="A117" s="22">
        <v>116</v>
      </c>
      <c r="B117" s="22">
        <f>F75</f>
        <v>8074</v>
      </c>
      <c r="C117" s="22">
        <f>G75</f>
        <v>9.0000000000000036</v>
      </c>
      <c r="D117" s="20">
        <v>7116</v>
      </c>
      <c r="E117" s="22">
        <f t="shared" si="10"/>
        <v>9.0000000000000036</v>
      </c>
      <c r="F117" s="20">
        <v>8116</v>
      </c>
      <c r="G117" s="22">
        <f t="shared" si="11"/>
        <v>8.9000000000000039</v>
      </c>
      <c r="H117" s="20">
        <v>9116</v>
      </c>
      <c r="I117" s="22">
        <f t="shared" si="12"/>
        <v>8.8000000000000043</v>
      </c>
    </row>
    <row r="118" spans="1:9" x14ac:dyDescent="0.15">
      <c r="A118" s="22">
        <v>117</v>
      </c>
      <c r="B118" s="22">
        <f>F76</f>
        <v>8075</v>
      </c>
      <c r="C118" s="22">
        <f>G76</f>
        <v>9.1000000000000032</v>
      </c>
      <c r="D118" s="20">
        <v>7117</v>
      </c>
      <c r="E118" s="22">
        <f t="shared" si="10"/>
        <v>9.1000000000000032</v>
      </c>
      <c r="F118" s="20">
        <v>8117</v>
      </c>
      <c r="G118" s="22">
        <f t="shared" si="11"/>
        <v>9.0000000000000036</v>
      </c>
      <c r="H118" s="20">
        <v>9117</v>
      </c>
      <c r="I118" s="22">
        <f t="shared" si="12"/>
        <v>8.9000000000000039</v>
      </c>
    </row>
    <row r="119" spans="1:9" x14ac:dyDescent="0.15">
      <c r="A119" s="22">
        <v>118</v>
      </c>
      <c r="B119" s="22">
        <f>H76</f>
        <v>9075</v>
      </c>
      <c r="C119" s="22">
        <f>I76</f>
        <v>9.0000000000000036</v>
      </c>
      <c r="D119" s="20">
        <v>7118</v>
      </c>
      <c r="E119" s="22">
        <f t="shared" si="10"/>
        <v>9.0000000000000036</v>
      </c>
      <c r="F119" s="20">
        <v>8118</v>
      </c>
      <c r="G119" s="22">
        <f t="shared" si="11"/>
        <v>8.9000000000000039</v>
      </c>
      <c r="H119" s="20">
        <v>9118</v>
      </c>
      <c r="I119" s="22">
        <f t="shared" si="12"/>
        <v>8.8000000000000043</v>
      </c>
    </row>
    <row r="120" spans="1:9" x14ac:dyDescent="0.15">
      <c r="A120" s="22">
        <v>119</v>
      </c>
      <c r="B120" s="22">
        <f>F81</f>
        <v>8080</v>
      </c>
      <c r="C120" s="22">
        <f>G81</f>
        <v>8.8000000000000043</v>
      </c>
      <c r="D120" s="20">
        <v>7119</v>
      </c>
      <c r="E120" s="22">
        <f t="shared" si="10"/>
        <v>8.8000000000000043</v>
      </c>
      <c r="F120" s="20">
        <v>8119</v>
      </c>
      <c r="G120" s="22">
        <f t="shared" si="11"/>
        <v>8.7000000000000046</v>
      </c>
      <c r="H120" s="20">
        <v>9119</v>
      </c>
      <c r="I120" s="22">
        <f t="shared" si="12"/>
        <v>8.600000000000005</v>
      </c>
    </row>
    <row r="121" spans="1:9" x14ac:dyDescent="0.15">
      <c r="A121" s="22">
        <v>120</v>
      </c>
      <c r="B121" s="22">
        <f>H83</f>
        <v>9082</v>
      </c>
      <c r="C121" s="22">
        <f>I83</f>
        <v>8.7000000000000046</v>
      </c>
      <c r="D121" s="20">
        <v>7120</v>
      </c>
      <c r="E121" s="22">
        <f t="shared" si="10"/>
        <v>8.7000000000000046</v>
      </c>
      <c r="F121" s="20">
        <v>8120</v>
      </c>
      <c r="G121" s="22">
        <f t="shared" si="11"/>
        <v>8.600000000000005</v>
      </c>
      <c r="H121" s="20">
        <v>9120</v>
      </c>
      <c r="I121" s="22">
        <f t="shared" si="12"/>
        <v>8.5000000000000053</v>
      </c>
    </row>
    <row r="122" spans="1:9" x14ac:dyDescent="0.15">
      <c r="A122" s="22">
        <v>121</v>
      </c>
      <c r="B122" s="22">
        <f>F83</f>
        <v>8082</v>
      </c>
      <c r="C122" s="22">
        <f>G83</f>
        <v>8.8000000000000043</v>
      </c>
      <c r="D122" s="20">
        <v>7121</v>
      </c>
      <c r="E122" s="22">
        <f t="shared" si="10"/>
        <v>8.8000000000000043</v>
      </c>
      <c r="F122" s="20">
        <v>8121</v>
      </c>
      <c r="G122" s="22">
        <f t="shared" si="11"/>
        <v>8.7000000000000046</v>
      </c>
      <c r="H122" s="20">
        <v>9121</v>
      </c>
      <c r="I122" s="22">
        <f t="shared" si="12"/>
        <v>8.600000000000005</v>
      </c>
    </row>
    <row r="123" spans="1:9" x14ac:dyDescent="0.15">
      <c r="A123" s="22">
        <v>122</v>
      </c>
      <c r="B123" s="22">
        <f>H87</f>
        <v>9086</v>
      </c>
      <c r="C123" s="22">
        <f>I87</f>
        <v>8.7000000000000046</v>
      </c>
      <c r="D123" s="20">
        <v>7122</v>
      </c>
      <c r="E123" s="22">
        <f t="shared" si="10"/>
        <v>8.7000000000000046</v>
      </c>
      <c r="F123" s="20">
        <v>8122</v>
      </c>
      <c r="G123" s="22">
        <f t="shared" si="11"/>
        <v>8.600000000000005</v>
      </c>
      <c r="H123" s="20">
        <v>9122</v>
      </c>
      <c r="I123" s="22">
        <f t="shared" si="12"/>
        <v>8.5000000000000053</v>
      </c>
    </row>
    <row r="124" spans="1:9" x14ac:dyDescent="0.15">
      <c r="A124" s="22">
        <v>123</v>
      </c>
      <c r="B124" s="22">
        <f>H89</f>
        <v>9088</v>
      </c>
      <c r="C124" s="22">
        <f>I89</f>
        <v>8.8000000000000043</v>
      </c>
      <c r="D124" s="20">
        <v>7123</v>
      </c>
      <c r="E124" s="22">
        <f t="shared" si="10"/>
        <v>8.8000000000000043</v>
      </c>
      <c r="F124" s="20">
        <v>8123</v>
      </c>
      <c r="G124" s="22">
        <f t="shared" si="11"/>
        <v>8.7000000000000046</v>
      </c>
      <c r="H124" s="20">
        <v>9123</v>
      </c>
      <c r="I124" s="22">
        <f t="shared" si="12"/>
        <v>8.600000000000005</v>
      </c>
    </row>
    <row r="125" spans="1:9" x14ac:dyDescent="0.15">
      <c r="A125" s="22">
        <v>124</v>
      </c>
      <c r="B125" s="22">
        <f>F89</f>
        <v>8088</v>
      </c>
      <c r="C125" s="22">
        <f>G89</f>
        <v>8.9000000000000039</v>
      </c>
      <c r="D125" s="20">
        <v>7124</v>
      </c>
      <c r="E125" s="22">
        <f t="shared" si="10"/>
        <v>8.9000000000000039</v>
      </c>
      <c r="F125" s="20">
        <v>8124</v>
      </c>
      <c r="G125" s="22">
        <f t="shared" si="11"/>
        <v>8.8000000000000043</v>
      </c>
      <c r="H125" s="20">
        <v>9124</v>
      </c>
      <c r="I125" s="22">
        <f t="shared" si="12"/>
        <v>8.7000000000000046</v>
      </c>
    </row>
    <row r="126" spans="1:9" x14ac:dyDescent="0.15">
      <c r="A126" s="22">
        <v>125</v>
      </c>
      <c r="B126" s="22">
        <f>F92</f>
        <v>8091</v>
      </c>
      <c r="C126" s="22">
        <f>G92</f>
        <v>8.8000000000000043</v>
      </c>
      <c r="D126" s="20">
        <v>7125</v>
      </c>
      <c r="E126" s="22">
        <f t="shared" si="10"/>
        <v>8.8000000000000043</v>
      </c>
      <c r="F126" s="20">
        <v>8125</v>
      </c>
      <c r="G126" s="22">
        <f t="shared" si="11"/>
        <v>8.7000000000000046</v>
      </c>
      <c r="H126" s="20">
        <v>9125</v>
      </c>
      <c r="I126" s="22">
        <f t="shared" si="12"/>
        <v>8.600000000000005</v>
      </c>
    </row>
    <row r="127" spans="1:9" x14ac:dyDescent="0.15">
      <c r="A127" s="22">
        <v>126</v>
      </c>
      <c r="B127" s="22">
        <f>H92</f>
        <v>9091</v>
      </c>
      <c r="C127" s="22">
        <f>I92</f>
        <v>8.7000000000000046</v>
      </c>
      <c r="D127" s="20">
        <v>7126</v>
      </c>
      <c r="E127" s="22">
        <f t="shared" si="10"/>
        <v>8.7000000000000046</v>
      </c>
      <c r="F127" s="20">
        <v>8126</v>
      </c>
      <c r="G127" s="22">
        <f t="shared" si="11"/>
        <v>8.600000000000005</v>
      </c>
      <c r="H127" s="20">
        <v>9126</v>
      </c>
      <c r="I127" s="22">
        <f t="shared" si="12"/>
        <v>8.5000000000000053</v>
      </c>
    </row>
    <row r="128" spans="1:9" x14ac:dyDescent="0.15">
      <c r="A128" s="22">
        <v>127</v>
      </c>
      <c r="B128" s="22">
        <f>D93</f>
        <v>7092</v>
      </c>
      <c r="C128" s="22">
        <f>E93</f>
        <v>8.9000000000000039</v>
      </c>
      <c r="D128" s="20">
        <v>7127</v>
      </c>
      <c r="E128" s="22">
        <f t="shared" si="10"/>
        <v>8.9000000000000039</v>
      </c>
      <c r="F128" s="20">
        <v>8127</v>
      </c>
      <c r="G128" s="22">
        <f t="shared" si="11"/>
        <v>8.8000000000000043</v>
      </c>
      <c r="H128" s="20">
        <v>9127</v>
      </c>
      <c r="I128" s="22">
        <f t="shared" si="12"/>
        <v>8.7000000000000046</v>
      </c>
    </row>
    <row r="129" spans="1:9" x14ac:dyDescent="0.15">
      <c r="A129" s="22">
        <v>128</v>
      </c>
      <c r="B129" s="22">
        <f>F93</f>
        <v>8092</v>
      </c>
      <c r="C129" s="22">
        <f>G93</f>
        <v>8.8000000000000043</v>
      </c>
      <c r="D129" s="20">
        <v>7128</v>
      </c>
      <c r="E129" s="22">
        <f t="shared" si="10"/>
        <v>8.8000000000000043</v>
      </c>
      <c r="F129" s="20">
        <v>8128</v>
      </c>
      <c r="G129" s="22">
        <f t="shared" si="11"/>
        <v>8.7000000000000046</v>
      </c>
      <c r="H129" s="20">
        <v>9128</v>
      </c>
      <c r="I129" s="22">
        <f t="shared" si="12"/>
        <v>8.600000000000005</v>
      </c>
    </row>
    <row r="130" spans="1:9" x14ac:dyDescent="0.15">
      <c r="A130" s="22">
        <v>129</v>
      </c>
      <c r="B130" s="22">
        <f>H93</f>
        <v>9092</v>
      </c>
      <c r="C130" s="22">
        <f>I93</f>
        <v>8.7000000000000046</v>
      </c>
      <c r="D130" s="20">
        <v>7129</v>
      </c>
      <c r="E130" s="22">
        <f t="shared" ref="E130:E193" si="13">C130</f>
        <v>8.7000000000000046</v>
      </c>
      <c r="F130" s="20">
        <v>8129</v>
      </c>
      <c r="G130" s="22">
        <f t="shared" ref="G130:G193" si="14">$E130-0.1</f>
        <v>8.600000000000005</v>
      </c>
      <c r="H130" s="20">
        <v>9129</v>
      </c>
      <c r="I130" s="22">
        <f t="shared" ref="I130:I193" si="15">$E130-0.2</f>
        <v>8.5000000000000053</v>
      </c>
    </row>
    <row r="131" spans="1:9" x14ac:dyDescent="0.15">
      <c r="A131" s="22">
        <v>130</v>
      </c>
      <c r="B131" s="22">
        <f>H93</f>
        <v>9092</v>
      </c>
      <c r="C131" s="22">
        <f>I93</f>
        <v>8.7000000000000046</v>
      </c>
      <c r="D131" s="20">
        <v>7130</v>
      </c>
      <c r="E131" s="22">
        <f t="shared" si="13"/>
        <v>8.7000000000000046</v>
      </c>
      <c r="F131" s="20">
        <v>8130</v>
      </c>
      <c r="G131" s="22">
        <f t="shared" si="14"/>
        <v>8.600000000000005</v>
      </c>
      <c r="H131" s="20">
        <v>9130</v>
      </c>
      <c r="I131" s="22">
        <f t="shared" si="15"/>
        <v>8.5000000000000053</v>
      </c>
    </row>
    <row r="132" spans="1:9" x14ac:dyDescent="0.15">
      <c r="A132" s="22">
        <v>131</v>
      </c>
      <c r="B132" s="22">
        <f>H95</f>
        <v>9094</v>
      </c>
      <c r="C132" s="22">
        <f>I95</f>
        <v>8.7000000000000046</v>
      </c>
      <c r="D132" s="20">
        <v>7131</v>
      </c>
      <c r="E132" s="22">
        <f t="shared" si="13"/>
        <v>8.7000000000000046</v>
      </c>
      <c r="F132" s="20">
        <v>8131</v>
      </c>
      <c r="G132" s="22">
        <f t="shared" si="14"/>
        <v>8.600000000000005</v>
      </c>
      <c r="H132" s="20">
        <v>9131</v>
      </c>
      <c r="I132" s="22">
        <f t="shared" si="15"/>
        <v>8.5000000000000053</v>
      </c>
    </row>
    <row r="133" spans="1:9" x14ac:dyDescent="0.15">
      <c r="A133" s="22">
        <v>132</v>
      </c>
      <c r="B133" s="22">
        <f>F95</f>
        <v>8094</v>
      </c>
      <c r="C133" s="22">
        <f>G95</f>
        <v>8.8000000000000043</v>
      </c>
      <c r="D133" s="20">
        <v>7132</v>
      </c>
      <c r="E133" s="22">
        <f t="shared" si="13"/>
        <v>8.8000000000000043</v>
      </c>
      <c r="F133" s="20">
        <v>8132</v>
      </c>
      <c r="G133" s="22">
        <f t="shared" si="14"/>
        <v>8.7000000000000046</v>
      </c>
      <c r="H133" s="20">
        <v>9132</v>
      </c>
      <c r="I133" s="22">
        <f t="shared" si="15"/>
        <v>8.600000000000005</v>
      </c>
    </row>
    <row r="134" spans="1:9" x14ac:dyDescent="0.15">
      <c r="A134" s="22">
        <v>133</v>
      </c>
      <c r="B134" s="22">
        <f>F97</f>
        <v>8096</v>
      </c>
      <c r="C134" s="22">
        <f>G97</f>
        <v>8.8000000000000043</v>
      </c>
      <c r="D134" s="20">
        <v>7133</v>
      </c>
      <c r="E134" s="22">
        <f t="shared" si="13"/>
        <v>8.8000000000000043</v>
      </c>
      <c r="F134" s="20">
        <v>8133</v>
      </c>
      <c r="G134" s="22">
        <f t="shared" si="14"/>
        <v>8.7000000000000046</v>
      </c>
      <c r="H134" s="20">
        <v>9133</v>
      </c>
      <c r="I134" s="22">
        <f t="shared" si="15"/>
        <v>8.600000000000005</v>
      </c>
    </row>
    <row r="135" spans="1:9" x14ac:dyDescent="0.15">
      <c r="A135" s="22">
        <v>134</v>
      </c>
      <c r="B135" s="22">
        <f>H97</f>
        <v>9096</v>
      </c>
      <c r="C135" s="22">
        <f>I97</f>
        <v>8.7000000000000046</v>
      </c>
      <c r="D135" s="20">
        <v>7134</v>
      </c>
      <c r="E135" s="22">
        <f t="shared" si="13"/>
        <v>8.7000000000000046</v>
      </c>
      <c r="F135" s="20">
        <v>8134</v>
      </c>
      <c r="G135" s="22">
        <f t="shared" si="14"/>
        <v>8.600000000000005</v>
      </c>
      <c r="H135" s="20">
        <v>9134</v>
      </c>
      <c r="I135" s="22">
        <f t="shared" si="15"/>
        <v>8.5000000000000053</v>
      </c>
    </row>
    <row r="136" spans="1:9" x14ac:dyDescent="0.15">
      <c r="A136" s="22">
        <v>135</v>
      </c>
      <c r="B136" s="22">
        <f>F99</f>
        <v>8098</v>
      </c>
      <c r="C136" s="22">
        <f>G99</f>
        <v>8.600000000000005</v>
      </c>
      <c r="D136" s="20">
        <v>7135</v>
      </c>
      <c r="E136" s="22">
        <f t="shared" si="13"/>
        <v>8.600000000000005</v>
      </c>
      <c r="F136" s="20">
        <v>8135</v>
      </c>
      <c r="G136" s="22">
        <f t="shared" si="14"/>
        <v>8.5000000000000053</v>
      </c>
      <c r="H136" s="20">
        <v>9135</v>
      </c>
      <c r="I136" s="22">
        <f t="shared" si="15"/>
        <v>8.4000000000000057</v>
      </c>
    </row>
    <row r="137" spans="1:9" x14ac:dyDescent="0.15">
      <c r="A137" s="22">
        <v>136</v>
      </c>
      <c r="B137" s="22">
        <f>H99</f>
        <v>9098</v>
      </c>
      <c r="C137" s="22">
        <f>I99</f>
        <v>8.5000000000000053</v>
      </c>
      <c r="D137" s="20">
        <v>7136</v>
      </c>
      <c r="E137" s="22">
        <f t="shared" si="13"/>
        <v>8.5000000000000053</v>
      </c>
      <c r="F137" s="20">
        <v>8136</v>
      </c>
      <c r="G137" s="22">
        <f t="shared" si="14"/>
        <v>8.4000000000000057</v>
      </c>
      <c r="H137" s="20">
        <v>9136</v>
      </c>
      <c r="I137" s="22">
        <f t="shared" si="15"/>
        <v>8.300000000000006</v>
      </c>
    </row>
    <row r="138" spans="1:9" x14ac:dyDescent="0.15">
      <c r="A138" s="22">
        <v>137</v>
      </c>
      <c r="B138" s="22">
        <f>H100</f>
        <v>9099</v>
      </c>
      <c r="C138" s="22">
        <f>I100</f>
        <v>8.600000000000005</v>
      </c>
      <c r="D138" s="20">
        <v>7137</v>
      </c>
      <c r="E138" s="22">
        <f t="shared" si="13"/>
        <v>8.600000000000005</v>
      </c>
      <c r="F138" s="20">
        <v>8137</v>
      </c>
      <c r="G138" s="22">
        <f t="shared" si="14"/>
        <v>8.5000000000000053</v>
      </c>
      <c r="H138" s="20">
        <v>9137</v>
      </c>
      <c r="I138" s="22">
        <f t="shared" si="15"/>
        <v>8.4000000000000057</v>
      </c>
    </row>
    <row r="139" spans="1:9" x14ac:dyDescent="0.15">
      <c r="A139" s="22">
        <v>138</v>
      </c>
      <c r="B139" s="22">
        <f>F100</f>
        <v>8099</v>
      </c>
      <c r="C139" s="22">
        <f>G100</f>
        <v>8.7000000000000046</v>
      </c>
      <c r="D139" s="20">
        <v>7138</v>
      </c>
      <c r="E139" s="22">
        <f t="shared" si="13"/>
        <v>8.7000000000000046</v>
      </c>
      <c r="F139" s="20">
        <v>8138</v>
      </c>
      <c r="G139" s="22">
        <f t="shared" si="14"/>
        <v>8.600000000000005</v>
      </c>
      <c r="H139" s="20">
        <v>9138</v>
      </c>
      <c r="I139" s="22">
        <f t="shared" si="15"/>
        <v>8.5000000000000053</v>
      </c>
    </row>
    <row r="140" spans="1:9" x14ac:dyDescent="0.15">
      <c r="A140" s="22">
        <v>139</v>
      </c>
      <c r="B140" s="22">
        <f>F101</f>
        <v>8100</v>
      </c>
      <c r="C140" s="22">
        <f>G101</f>
        <v>9.0000000000000036</v>
      </c>
      <c r="D140" s="20">
        <v>7139</v>
      </c>
      <c r="E140" s="22">
        <f t="shared" si="13"/>
        <v>9.0000000000000036</v>
      </c>
      <c r="F140" s="20">
        <v>8139</v>
      </c>
      <c r="G140" s="22">
        <f t="shared" si="14"/>
        <v>8.9000000000000039</v>
      </c>
      <c r="H140" s="20">
        <v>9139</v>
      </c>
      <c r="I140" s="22">
        <f t="shared" si="15"/>
        <v>8.8000000000000043</v>
      </c>
    </row>
    <row r="141" spans="1:9" x14ac:dyDescent="0.15">
      <c r="A141" s="22">
        <v>140</v>
      </c>
      <c r="B141" s="22">
        <f>H101</f>
        <v>9100</v>
      </c>
      <c r="C141" s="22">
        <f>I101</f>
        <v>8.9000000000000039</v>
      </c>
      <c r="D141" s="20">
        <v>7140</v>
      </c>
      <c r="E141" s="22">
        <f t="shared" si="13"/>
        <v>8.9000000000000039</v>
      </c>
      <c r="F141" s="20">
        <v>8140</v>
      </c>
      <c r="G141" s="22">
        <f t="shared" si="14"/>
        <v>8.8000000000000043</v>
      </c>
      <c r="H141" s="20">
        <v>9140</v>
      </c>
      <c r="I141" s="22">
        <f t="shared" si="15"/>
        <v>8.7000000000000046</v>
      </c>
    </row>
    <row r="142" spans="1:9" x14ac:dyDescent="0.15">
      <c r="A142" s="22">
        <v>141</v>
      </c>
      <c r="B142" s="22">
        <f>F104</f>
        <v>8103</v>
      </c>
      <c r="C142" s="22">
        <f>G104</f>
        <v>8.8000000000000043</v>
      </c>
      <c r="D142" s="20">
        <v>7141</v>
      </c>
      <c r="E142" s="22">
        <f t="shared" si="13"/>
        <v>8.8000000000000043</v>
      </c>
      <c r="F142" s="20">
        <v>8141</v>
      </c>
      <c r="G142" s="22">
        <f t="shared" si="14"/>
        <v>8.7000000000000046</v>
      </c>
      <c r="H142" s="20">
        <v>9141</v>
      </c>
      <c r="I142" s="22">
        <f t="shared" si="15"/>
        <v>8.600000000000005</v>
      </c>
    </row>
    <row r="143" spans="1:9" x14ac:dyDescent="0.15">
      <c r="A143" s="22">
        <v>142</v>
      </c>
      <c r="B143" s="22">
        <f>H104</f>
        <v>9103</v>
      </c>
      <c r="C143" s="22">
        <f>I104</f>
        <v>8.7000000000000046</v>
      </c>
      <c r="D143" s="20">
        <v>7142</v>
      </c>
      <c r="E143" s="22">
        <f t="shared" si="13"/>
        <v>8.7000000000000046</v>
      </c>
      <c r="F143" s="20">
        <v>8142</v>
      </c>
      <c r="G143" s="22">
        <f t="shared" si="14"/>
        <v>8.600000000000005</v>
      </c>
      <c r="H143" s="20">
        <v>9142</v>
      </c>
      <c r="I143" s="22">
        <f t="shared" si="15"/>
        <v>8.5000000000000053</v>
      </c>
    </row>
    <row r="144" spans="1:9" x14ac:dyDescent="0.15">
      <c r="A144" s="22">
        <v>143</v>
      </c>
      <c r="B144" s="22">
        <f>H105</f>
        <v>9104</v>
      </c>
      <c r="C144" s="22">
        <f>I105</f>
        <v>8.7000000000000046</v>
      </c>
      <c r="D144" s="20">
        <v>7143</v>
      </c>
      <c r="E144" s="22">
        <f t="shared" si="13"/>
        <v>8.7000000000000046</v>
      </c>
      <c r="F144" s="20">
        <v>8143</v>
      </c>
      <c r="G144" s="22">
        <f t="shared" si="14"/>
        <v>8.600000000000005</v>
      </c>
      <c r="H144" s="20">
        <v>9143</v>
      </c>
      <c r="I144" s="22">
        <f t="shared" si="15"/>
        <v>8.5000000000000053</v>
      </c>
    </row>
    <row r="145" spans="1:9" x14ac:dyDescent="0.15">
      <c r="A145" s="22">
        <v>144</v>
      </c>
      <c r="B145" s="22">
        <f>F105</f>
        <v>8104</v>
      </c>
      <c r="C145" s="22">
        <f>G105</f>
        <v>8.8000000000000043</v>
      </c>
      <c r="D145" s="20">
        <v>7144</v>
      </c>
      <c r="E145" s="22">
        <f t="shared" si="13"/>
        <v>8.8000000000000043</v>
      </c>
      <c r="F145" s="20">
        <v>8144</v>
      </c>
      <c r="G145" s="22">
        <f t="shared" si="14"/>
        <v>8.7000000000000046</v>
      </c>
      <c r="H145" s="20">
        <v>9144</v>
      </c>
      <c r="I145" s="22">
        <f t="shared" si="15"/>
        <v>8.600000000000005</v>
      </c>
    </row>
    <row r="146" spans="1:9" x14ac:dyDescent="0.15">
      <c r="A146" s="22">
        <v>145</v>
      </c>
      <c r="B146" s="22">
        <f>F105</f>
        <v>8104</v>
      </c>
      <c r="C146" s="22">
        <f>G105</f>
        <v>8.8000000000000043</v>
      </c>
      <c r="D146" s="20">
        <v>7145</v>
      </c>
      <c r="E146" s="22">
        <f t="shared" si="13"/>
        <v>8.8000000000000043</v>
      </c>
      <c r="F146" s="20">
        <v>8145</v>
      </c>
      <c r="G146" s="22">
        <f t="shared" si="14"/>
        <v>8.7000000000000046</v>
      </c>
      <c r="H146" s="20">
        <v>9145</v>
      </c>
      <c r="I146" s="22">
        <f t="shared" si="15"/>
        <v>8.600000000000005</v>
      </c>
    </row>
    <row r="147" spans="1:9" x14ac:dyDescent="0.15">
      <c r="A147" s="22">
        <v>146</v>
      </c>
      <c r="B147" s="22">
        <f>H105</f>
        <v>9104</v>
      </c>
      <c r="C147" s="22">
        <f>I105</f>
        <v>8.7000000000000046</v>
      </c>
      <c r="D147" s="20">
        <v>7146</v>
      </c>
      <c r="E147" s="22">
        <f t="shared" si="13"/>
        <v>8.7000000000000046</v>
      </c>
      <c r="F147" s="20">
        <v>8146</v>
      </c>
      <c r="G147" s="22">
        <f t="shared" si="14"/>
        <v>8.600000000000005</v>
      </c>
      <c r="H147" s="20">
        <v>9146</v>
      </c>
      <c r="I147" s="22">
        <f t="shared" si="15"/>
        <v>8.5000000000000053</v>
      </c>
    </row>
    <row r="148" spans="1:9" x14ac:dyDescent="0.15">
      <c r="A148" s="22">
        <v>147</v>
      </c>
      <c r="B148" s="22">
        <f>F107</f>
        <v>8106</v>
      </c>
      <c r="C148" s="22">
        <f>G107</f>
        <v>8.5000000000000053</v>
      </c>
      <c r="D148" s="20">
        <v>7147</v>
      </c>
      <c r="E148" s="22">
        <f t="shared" si="13"/>
        <v>8.5000000000000053</v>
      </c>
      <c r="F148" s="20">
        <v>8147</v>
      </c>
      <c r="G148" s="22">
        <f t="shared" si="14"/>
        <v>8.4000000000000057</v>
      </c>
      <c r="H148" s="20">
        <v>9147</v>
      </c>
      <c r="I148" s="22">
        <f t="shared" si="15"/>
        <v>8.300000000000006</v>
      </c>
    </row>
    <row r="149" spans="1:9" x14ac:dyDescent="0.15">
      <c r="A149" s="22">
        <v>148</v>
      </c>
      <c r="B149" s="22">
        <f>H107</f>
        <v>9106</v>
      </c>
      <c r="C149" s="22">
        <f>I107</f>
        <v>8.4000000000000057</v>
      </c>
      <c r="D149" s="20">
        <v>7148</v>
      </c>
      <c r="E149" s="22">
        <f t="shared" si="13"/>
        <v>8.4000000000000057</v>
      </c>
      <c r="F149" s="20">
        <v>8148</v>
      </c>
      <c r="G149" s="22">
        <f t="shared" si="14"/>
        <v>8.300000000000006</v>
      </c>
      <c r="H149" s="20">
        <v>9148</v>
      </c>
      <c r="I149" s="22">
        <f t="shared" si="15"/>
        <v>8.2000000000000064</v>
      </c>
    </row>
    <row r="150" spans="1:9" x14ac:dyDescent="0.15">
      <c r="A150" s="22">
        <v>149</v>
      </c>
      <c r="B150" s="22">
        <f>H109</f>
        <v>9108</v>
      </c>
      <c r="C150" s="22">
        <f>I109</f>
        <v>8.5000000000000053</v>
      </c>
      <c r="D150" s="20">
        <v>7149</v>
      </c>
      <c r="E150" s="22">
        <f t="shared" si="13"/>
        <v>8.5000000000000053</v>
      </c>
      <c r="F150" s="20">
        <v>8149</v>
      </c>
      <c r="G150" s="22">
        <f t="shared" si="14"/>
        <v>8.4000000000000057</v>
      </c>
      <c r="H150" s="20">
        <v>9149</v>
      </c>
      <c r="I150" s="22">
        <f t="shared" si="15"/>
        <v>8.300000000000006</v>
      </c>
    </row>
    <row r="151" spans="1:9" x14ac:dyDescent="0.15">
      <c r="A151" s="22">
        <v>150</v>
      </c>
      <c r="B151" s="22">
        <f>F109</f>
        <v>8108</v>
      </c>
      <c r="C151" s="22">
        <f>G109</f>
        <v>8.600000000000005</v>
      </c>
      <c r="D151" s="20">
        <v>7150</v>
      </c>
      <c r="E151" s="22">
        <f t="shared" si="13"/>
        <v>8.600000000000005</v>
      </c>
      <c r="F151" s="20">
        <v>8150</v>
      </c>
      <c r="G151" s="22">
        <f t="shared" si="14"/>
        <v>8.5000000000000053</v>
      </c>
      <c r="H151" s="20">
        <v>9150</v>
      </c>
      <c r="I151" s="22">
        <f t="shared" si="15"/>
        <v>8.4000000000000057</v>
      </c>
    </row>
    <row r="152" spans="1:9" x14ac:dyDescent="0.15">
      <c r="A152" s="22">
        <v>151</v>
      </c>
      <c r="B152" s="22">
        <f>F112</f>
        <v>8111</v>
      </c>
      <c r="C152" s="22">
        <f>G112</f>
        <v>9.0000000000000036</v>
      </c>
      <c r="D152" s="20">
        <v>7151</v>
      </c>
      <c r="E152" s="22">
        <f t="shared" si="13"/>
        <v>9.0000000000000036</v>
      </c>
      <c r="F152" s="20">
        <v>8151</v>
      </c>
      <c r="G152" s="22">
        <f t="shared" si="14"/>
        <v>8.9000000000000039</v>
      </c>
      <c r="H152" s="20">
        <v>9151</v>
      </c>
      <c r="I152" s="22">
        <f t="shared" si="15"/>
        <v>8.8000000000000043</v>
      </c>
    </row>
    <row r="153" spans="1:9" x14ac:dyDescent="0.15">
      <c r="A153" s="22">
        <v>152</v>
      </c>
      <c r="B153" s="22">
        <f>H112</f>
        <v>9111</v>
      </c>
      <c r="C153" s="22">
        <f>I112</f>
        <v>8.9000000000000039</v>
      </c>
      <c r="D153" s="20">
        <v>7152</v>
      </c>
      <c r="E153" s="22">
        <f t="shared" si="13"/>
        <v>8.9000000000000039</v>
      </c>
      <c r="F153" s="20">
        <v>8152</v>
      </c>
      <c r="G153" s="22">
        <f t="shared" si="14"/>
        <v>8.8000000000000043</v>
      </c>
      <c r="H153" s="20">
        <v>9152</v>
      </c>
      <c r="I153" s="22">
        <f t="shared" si="15"/>
        <v>8.7000000000000046</v>
      </c>
    </row>
    <row r="154" spans="1:9" x14ac:dyDescent="0.15">
      <c r="A154" s="22">
        <v>153</v>
      </c>
      <c r="B154" s="22">
        <f>H114</f>
        <v>9113</v>
      </c>
      <c r="C154" s="22">
        <f>I114</f>
        <v>8.7000000000000046</v>
      </c>
      <c r="D154" s="20">
        <v>7153</v>
      </c>
      <c r="E154" s="22">
        <f t="shared" si="13"/>
        <v>8.7000000000000046</v>
      </c>
      <c r="F154" s="20">
        <v>8153</v>
      </c>
      <c r="G154" s="22">
        <f t="shared" si="14"/>
        <v>8.600000000000005</v>
      </c>
      <c r="H154" s="20">
        <v>9153</v>
      </c>
      <c r="I154" s="22">
        <f t="shared" si="15"/>
        <v>8.5000000000000053</v>
      </c>
    </row>
    <row r="155" spans="1:9" x14ac:dyDescent="0.15">
      <c r="A155" s="22">
        <v>154</v>
      </c>
      <c r="B155" s="22">
        <f>F114</f>
        <v>8113</v>
      </c>
      <c r="C155" s="22">
        <f>G114</f>
        <v>8.8000000000000043</v>
      </c>
      <c r="D155" s="20">
        <v>7154</v>
      </c>
      <c r="E155" s="22">
        <f t="shared" si="13"/>
        <v>8.8000000000000043</v>
      </c>
      <c r="F155" s="20">
        <v>8154</v>
      </c>
      <c r="G155" s="22">
        <f t="shared" si="14"/>
        <v>8.7000000000000046</v>
      </c>
      <c r="H155" s="20">
        <v>9154</v>
      </c>
      <c r="I155" s="22">
        <f t="shared" si="15"/>
        <v>8.600000000000005</v>
      </c>
    </row>
    <row r="156" spans="1:9" x14ac:dyDescent="0.15">
      <c r="A156" s="22">
        <v>155</v>
      </c>
      <c r="B156" s="22">
        <f>F116</f>
        <v>8115</v>
      </c>
      <c r="C156" s="22">
        <f>G116</f>
        <v>8.8000000000000043</v>
      </c>
      <c r="D156" s="20">
        <v>7155</v>
      </c>
      <c r="E156" s="22">
        <f t="shared" si="13"/>
        <v>8.8000000000000043</v>
      </c>
      <c r="F156" s="20">
        <v>8155</v>
      </c>
      <c r="G156" s="22">
        <f t="shared" si="14"/>
        <v>8.7000000000000046</v>
      </c>
      <c r="H156" s="20">
        <v>9155</v>
      </c>
      <c r="I156" s="22">
        <f t="shared" si="15"/>
        <v>8.600000000000005</v>
      </c>
    </row>
    <row r="157" spans="1:9" x14ac:dyDescent="0.15">
      <c r="A157" s="22">
        <v>156</v>
      </c>
      <c r="B157" s="22">
        <f>H116</f>
        <v>9115</v>
      </c>
      <c r="C157" s="22">
        <f>I116</f>
        <v>8.7000000000000046</v>
      </c>
      <c r="D157" s="20">
        <v>7156</v>
      </c>
      <c r="E157" s="22">
        <f t="shared" si="13"/>
        <v>8.7000000000000046</v>
      </c>
      <c r="F157" s="20">
        <v>8156</v>
      </c>
      <c r="G157" s="22">
        <f t="shared" si="14"/>
        <v>8.600000000000005</v>
      </c>
      <c r="H157" s="20">
        <v>9156</v>
      </c>
      <c r="I157" s="22">
        <f t="shared" si="15"/>
        <v>8.5000000000000053</v>
      </c>
    </row>
    <row r="158" spans="1:9" x14ac:dyDescent="0.15">
      <c r="A158" s="22">
        <v>157</v>
      </c>
      <c r="B158" s="22">
        <f>F118</f>
        <v>8117</v>
      </c>
      <c r="C158" s="22">
        <f>G118</f>
        <v>9.0000000000000036</v>
      </c>
      <c r="D158" s="20">
        <v>7157</v>
      </c>
      <c r="E158" s="22">
        <f t="shared" si="13"/>
        <v>9.0000000000000036</v>
      </c>
      <c r="F158" s="20">
        <v>8157</v>
      </c>
      <c r="G158" s="22">
        <f t="shared" si="14"/>
        <v>8.9000000000000039</v>
      </c>
      <c r="H158" s="20">
        <v>9157</v>
      </c>
      <c r="I158" s="22">
        <f t="shared" si="15"/>
        <v>8.8000000000000043</v>
      </c>
    </row>
    <row r="159" spans="1:9" x14ac:dyDescent="0.15">
      <c r="A159" s="22">
        <v>158</v>
      </c>
      <c r="B159" s="22">
        <f>H118</f>
        <v>9117</v>
      </c>
      <c r="C159" s="22">
        <f>I118</f>
        <v>8.9000000000000039</v>
      </c>
      <c r="D159" s="20">
        <v>7158</v>
      </c>
      <c r="E159" s="22">
        <f t="shared" si="13"/>
        <v>8.9000000000000039</v>
      </c>
      <c r="F159" s="20">
        <v>8158</v>
      </c>
      <c r="G159" s="22">
        <f t="shared" si="14"/>
        <v>8.8000000000000043</v>
      </c>
      <c r="H159" s="20">
        <v>9158</v>
      </c>
      <c r="I159" s="22">
        <f t="shared" si="15"/>
        <v>8.7000000000000046</v>
      </c>
    </row>
    <row r="160" spans="1:9" x14ac:dyDescent="0.15">
      <c r="A160" s="22">
        <v>159</v>
      </c>
      <c r="B160" s="22">
        <f>H120</f>
        <v>9119</v>
      </c>
      <c r="C160" s="22">
        <f>I120</f>
        <v>8.600000000000005</v>
      </c>
      <c r="D160" s="20">
        <v>7159</v>
      </c>
      <c r="E160" s="22">
        <f t="shared" si="13"/>
        <v>8.600000000000005</v>
      </c>
      <c r="F160" s="20">
        <v>8159</v>
      </c>
      <c r="G160" s="22">
        <f t="shared" si="14"/>
        <v>8.5000000000000053</v>
      </c>
      <c r="H160" s="20">
        <v>9159</v>
      </c>
      <c r="I160" s="22">
        <f t="shared" si="15"/>
        <v>8.4000000000000057</v>
      </c>
    </row>
    <row r="161" spans="1:9" x14ac:dyDescent="0.15">
      <c r="A161" s="22">
        <v>160</v>
      </c>
      <c r="B161" s="22">
        <f>F120</f>
        <v>8119</v>
      </c>
      <c r="C161" s="22">
        <f>G120</f>
        <v>8.7000000000000046</v>
      </c>
      <c r="D161" s="20">
        <v>7160</v>
      </c>
      <c r="E161" s="22">
        <f t="shared" si="13"/>
        <v>8.7000000000000046</v>
      </c>
      <c r="F161" s="20">
        <v>8160</v>
      </c>
      <c r="G161" s="22">
        <f t="shared" si="14"/>
        <v>8.600000000000005</v>
      </c>
      <c r="H161" s="20">
        <v>9160</v>
      </c>
      <c r="I161" s="22">
        <f t="shared" si="15"/>
        <v>8.5000000000000053</v>
      </c>
    </row>
    <row r="162" spans="1:9" x14ac:dyDescent="0.15">
      <c r="A162" s="22">
        <v>161</v>
      </c>
      <c r="B162" s="22">
        <f>H123</f>
        <v>9122</v>
      </c>
      <c r="C162" s="22">
        <f>I123</f>
        <v>8.5000000000000053</v>
      </c>
      <c r="D162" s="20">
        <v>7161</v>
      </c>
      <c r="E162" s="22">
        <f t="shared" si="13"/>
        <v>8.5000000000000053</v>
      </c>
      <c r="F162" s="20">
        <v>8161</v>
      </c>
      <c r="G162" s="22">
        <f t="shared" si="14"/>
        <v>8.4000000000000057</v>
      </c>
      <c r="H162" s="20">
        <v>9161</v>
      </c>
      <c r="I162" s="22">
        <f t="shared" si="15"/>
        <v>8.300000000000006</v>
      </c>
    </row>
    <row r="163" spans="1:9" x14ac:dyDescent="0.15">
      <c r="A163" s="22">
        <v>162</v>
      </c>
      <c r="B163" s="22">
        <f>F123</f>
        <v>8122</v>
      </c>
      <c r="C163" s="22">
        <f>G123</f>
        <v>8.600000000000005</v>
      </c>
      <c r="D163" s="20">
        <v>7162</v>
      </c>
      <c r="E163" s="22">
        <f t="shared" si="13"/>
        <v>8.600000000000005</v>
      </c>
      <c r="F163" s="20">
        <v>8162</v>
      </c>
      <c r="G163" s="22">
        <f t="shared" si="14"/>
        <v>8.5000000000000053</v>
      </c>
      <c r="H163" s="20">
        <v>9162</v>
      </c>
      <c r="I163" s="22">
        <f t="shared" si="15"/>
        <v>8.4000000000000057</v>
      </c>
    </row>
    <row r="164" spans="1:9" x14ac:dyDescent="0.15">
      <c r="A164" s="22">
        <v>163</v>
      </c>
      <c r="B164" s="22">
        <f>D124</f>
        <v>7123</v>
      </c>
      <c r="C164" s="22">
        <f>E124</f>
        <v>8.8000000000000043</v>
      </c>
      <c r="D164" s="20">
        <v>7163</v>
      </c>
      <c r="E164" s="22">
        <f t="shared" si="13"/>
        <v>8.8000000000000043</v>
      </c>
      <c r="F164" s="20">
        <v>8163</v>
      </c>
      <c r="G164" s="22">
        <f t="shared" si="14"/>
        <v>8.7000000000000046</v>
      </c>
      <c r="H164" s="20">
        <v>9163</v>
      </c>
      <c r="I164" s="22">
        <f t="shared" si="15"/>
        <v>8.600000000000005</v>
      </c>
    </row>
    <row r="165" spans="1:9" x14ac:dyDescent="0.15">
      <c r="A165" s="22">
        <v>164</v>
      </c>
      <c r="B165" s="22">
        <f>F124</f>
        <v>8123</v>
      </c>
      <c r="C165" s="22">
        <f>G124</f>
        <v>8.7000000000000046</v>
      </c>
      <c r="D165" s="20">
        <v>7164</v>
      </c>
      <c r="E165" s="22">
        <f t="shared" si="13"/>
        <v>8.7000000000000046</v>
      </c>
      <c r="F165" s="20">
        <v>8164</v>
      </c>
      <c r="G165" s="22">
        <f t="shared" si="14"/>
        <v>8.600000000000005</v>
      </c>
      <c r="H165" s="20">
        <v>9164</v>
      </c>
      <c r="I165" s="22">
        <f t="shared" si="15"/>
        <v>8.5000000000000053</v>
      </c>
    </row>
    <row r="166" spans="1:9" x14ac:dyDescent="0.15">
      <c r="A166" s="22">
        <v>165</v>
      </c>
      <c r="B166" s="22">
        <f>H124</f>
        <v>9123</v>
      </c>
      <c r="C166" s="22">
        <f>I124</f>
        <v>8.600000000000005</v>
      </c>
      <c r="D166" s="20">
        <v>7165</v>
      </c>
      <c r="E166" s="22">
        <f t="shared" si="13"/>
        <v>8.600000000000005</v>
      </c>
      <c r="F166" s="20">
        <v>8165</v>
      </c>
      <c r="G166" s="22">
        <f t="shared" si="14"/>
        <v>8.5000000000000053</v>
      </c>
      <c r="H166" s="20">
        <v>9165</v>
      </c>
      <c r="I166" s="22">
        <f t="shared" si="15"/>
        <v>8.4000000000000057</v>
      </c>
    </row>
    <row r="167" spans="1:9" x14ac:dyDescent="0.15">
      <c r="A167" s="22">
        <v>166</v>
      </c>
      <c r="B167" s="22">
        <f>F125</f>
        <v>8124</v>
      </c>
      <c r="C167" s="22">
        <f>G125</f>
        <v>8.8000000000000043</v>
      </c>
      <c r="D167" s="20">
        <v>7166</v>
      </c>
      <c r="E167" s="22">
        <f t="shared" si="13"/>
        <v>8.8000000000000043</v>
      </c>
      <c r="F167" s="20">
        <v>8166</v>
      </c>
      <c r="G167" s="22">
        <f t="shared" si="14"/>
        <v>8.7000000000000046</v>
      </c>
      <c r="H167" s="20">
        <v>9166</v>
      </c>
      <c r="I167" s="22">
        <f t="shared" si="15"/>
        <v>8.600000000000005</v>
      </c>
    </row>
    <row r="168" spans="1:9" x14ac:dyDescent="0.15">
      <c r="A168" s="22">
        <v>167</v>
      </c>
      <c r="B168" s="22">
        <f>H125</f>
        <v>9124</v>
      </c>
      <c r="C168" s="22">
        <f>I125</f>
        <v>8.7000000000000046</v>
      </c>
      <c r="D168" s="20">
        <v>7167</v>
      </c>
      <c r="E168" s="22">
        <f t="shared" si="13"/>
        <v>8.7000000000000046</v>
      </c>
      <c r="F168" s="20">
        <v>8167</v>
      </c>
      <c r="G168" s="22">
        <f t="shared" si="14"/>
        <v>8.600000000000005</v>
      </c>
      <c r="H168" s="20">
        <v>9167</v>
      </c>
      <c r="I168" s="22">
        <f t="shared" si="15"/>
        <v>8.5000000000000053</v>
      </c>
    </row>
    <row r="169" spans="1:9" x14ac:dyDescent="0.15">
      <c r="A169" s="22">
        <v>168</v>
      </c>
      <c r="B169" s="22">
        <f>D128</f>
        <v>7127</v>
      </c>
      <c r="C169" s="22">
        <f>E128</f>
        <v>8.9000000000000039</v>
      </c>
      <c r="D169" s="20">
        <v>7168</v>
      </c>
      <c r="E169" s="22">
        <f t="shared" si="13"/>
        <v>8.9000000000000039</v>
      </c>
      <c r="F169" s="20">
        <v>8168</v>
      </c>
      <c r="G169" s="22">
        <f t="shared" si="14"/>
        <v>8.8000000000000043</v>
      </c>
      <c r="H169" s="20">
        <v>9168</v>
      </c>
      <c r="I169" s="22">
        <f t="shared" si="15"/>
        <v>8.7000000000000046</v>
      </c>
    </row>
    <row r="170" spans="1:9" x14ac:dyDescent="0.15">
      <c r="A170" s="22">
        <v>169</v>
      </c>
      <c r="B170" s="22">
        <f>F128</f>
        <v>8127</v>
      </c>
      <c r="C170" s="22">
        <f>G128</f>
        <v>8.8000000000000043</v>
      </c>
      <c r="D170" s="20">
        <v>7169</v>
      </c>
      <c r="E170" s="22">
        <f t="shared" si="13"/>
        <v>8.8000000000000043</v>
      </c>
      <c r="F170" s="20">
        <v>8169</v>
      </c>
      <c r="G170" s="22">
        <f t="shared" si="14"/>
        <v>8.7000000000000046</v>
      </c>
      <c r="H170" s="20">
        <v>9169</v>
      </c>
      <c r="I170" s="22">
        <f t="shared" si="15"/>
        <v>8.600000000000005</v>
      </c>
    </row>
    <row r="171" spans="1:9" x14ac:dyDescent="0.15">
      <c r="A171" s="22">
        <v>170</v>
      </c>
      <c r="B171" s="22">
        <f>H128</f>
        <v>9127</v>
      </c>
      <c r="C171" s="22">
        <f>I128</f>
        <v>8.7000000000000046</v>
      </c>
      <c r="D171" s="20">
        <v>7170</v>
      </c>
      <c r="E171" s="22">
        <f t="shared" si="13"/>
        <v>8.7000000000000046</v>
      </c>
      <c r="F171" s="20">
        <v>8170</v>
      </c>
      <c r="G171" s="22">
        <f t="shared" si="14"/>
        <v>8.600000000000005</v>
      </c>
      <c r="H171" s="20">
        <v>9170</v>
      </c>
      <c r="I171" s="22">
        <f t="shared" si="15"/>
        <v>8.5000000000000053</v>
      </c>
    </row>
    <row r="172" spans="1:9" x14ac:dyDescent="0.15">
      <c r="A172" s="22">
        <v>171</v>
      </c>
      <c r="B172" s="22">
        <f>H129</f>
        <v>9128</v>
      </c>
      <c r="C172" s="22">
        <f>I129</f>
        <v>8.600000000000005</v>
      </c>
      <c r="D172" s="20">
        <v>7171</v>
      </c>
      <c r="E172" s="22">
        <f t="shared" si="13"/>
        <v>8.600000000000005</v>
      </c>
      <c r="F172" s="20">
        <v>8171</v>
      </c>
      <c r="G172" s="22">
        <f t="shared" si="14"/>
        <v>8.5000000000000053</v>
      </c>
      <c r="H172" s="20">
        <v>9171</v>
      </c>
      <c r="I172" s="22">
        <f t="shared" si="15"/>
        <v>8.4000000000000057</v>
      </c>
    </row>
    <row r="173" spans="1:9" x14ac:dyDescent="0.15">
      <c r="A173" s="22">
        <v>172</v>
      </c>
      <c r="B173" s="22">
        <f>F129</f>
        <v>8128</v>
      </c>
      <c r="C173" s="22">
        <f>G129</f>
        <v>8.7000000000000046</v>
      </c>
      <c r="D173" s="20">
        <v>7172</v>
      </c>
      <c r="E173" s="22">
        <f t="shared" si="13"/>
        <v>8.7000000000000046</v>
      </c>
      <c r="F173" s="20">
        <v>8172</v>
      </c>
      <c r="G173" s="22">
        <f t="shared" si="14"/>
        <v>8.600000000000005</v>
      </c>
      <c r="H173" s="20">
        <v>9172</v>
      </c>
      <c r="I173" s="22">
        <f t="shared" si="15"/>
        <v>8.5000000000000053</v>
      </c>
    </row>
    <row r="174" spans="1:9" x14ac:dyDescent="0.15">
      <c r="A174" s="22">
        <v>173</v>
      </c>
      <c r="B174" s="22">
        <f>D130</f>
        <v>7129</v>
      </c>
      <c r="C174" s="22">
        <f>E130</f>
        <v>8.7000000000000046</v>
      </c>
      <c r="D174" s="20">
        <v>7173</v>
      </c>
      <c r="E174" s="22">
        <f t="shared" si="13"/>
        <v>8.7000000000000046</v>
      </c>
      <c r="F174" s="20">
        <v>8173</v>
      </c>
      <c r="G174" s="22">
        <f t="shared" si="14"/>
        <v>8.600000000000005</v>
      </c>
      <c r="H174" s="20">
        <v>9173</v>
      </c>
      <c r="I174" s="22">
        <f t="shared" si="15"/>
        <v>8.5000000000000053</v>
      </c>
    </row>
    <row r="175" spans="1:9" x14ac:dyDescent="0.15">
      <c r="A175" s="22">
        <v>174</v>
      </c>
      <c r="B175" s="22">
        <f>F130</f>
        <v>8129</v>
      </c>
      <c r="C175" s="22">
        <f>G130</f>
        <v>8.600000000000005</v>
      </c>
      <c r="D175" s="20">
        <v>7174</v>
      </c>
      <c r="E175" s="22">
        <f t="shared" si="13"/>
        <v>8.600000000000005</v>
      </c>
      <c r="F175" s="20">
        <v>8174</v>
      </c>
      <c r="G175" s="22">
        <f t="shared" si="14"/>
        <v>8.5000000000000053</v>
      </c>
      <c r="H175" s="20">
        <v>9174</v>
      </c>
      <c r="I175" s="22">
        <f t="shared" si="15"/>
        <v>8.4000000000000057</v>
      </c>
    </row>
    <row r="176" spans="1:9" x14ac:dyDescent="0.15">
      <c r="A176" s="22">
        <v>175</v>
      </c>
      <c r="B176" s="22">
        <f>H130</f>
        <v>9129</v>
      </c>
      <c r="C176" s="22">
        <f>I130</f>
        <v>8.5000000000000053</v>
      </c>
      <c r="D176" s="20">
        <v>7175</v>
      </c>
      <c r="E176" s="22">
        <f t="shared" si="13"/>
        <v>8.5000000000000053</v>
      </c>
      <c r="F176" s="20">
        <v>8175</v>
      </c>
      <c r="G176" s="22">
        <f t="shared" si="14"/>
        <v>8.4000000000000057</v>
      </c>
      <c r="H176" s="20">
        <v>9175</v>
      </c>
      <c r="I176" s="22">
        <f t="shared" si="15"/>
        <v>8.300000000000006</v>
      </c>
    </row>
    <row r="177" spans="1:9" x14ac:dyDescent="0.15">
      <c r="A177" s="22">
        <v>176</v>
      </c>
      <c r="B177" s="22">
        <f>H133</f>
        <v>9132</v>
      </c>
      <c r="C177" s="22">
        <f>I133</f>
        <v>8.600000000000005</v>
      </c>
      <c r="D177" s="20">
        <v>7176</v>
      </c>
      <c r="E177" s="22">
        <f t="shared" si="13"/>
        <v>8.600000000000005</v>
      </c>
      <c r="F177" s="20">
        <v>8176</v>
      </c>
      <c r="G177" s="22">
        <f t="shared" si="14"/>
        <v>8.5000000000000053</v>
      </c>
      <c r="H177" s="20">
        <v>9176</v>
      </c>
      <c r="I177" s="22">
        <f t="shared" si="15"/>
        <v>8.4000000000000057</v>
      </c>
    </row>
    <row r="178" spans="1:9" x14ac:dyDescent="0.15">
      <c r="A178" s="22">
        <v>177</v>
      </c>
      <c r="B178" s="22">
        <f>F133</f>
        <v>8132</v>
      </c>
      <c r="C178" s="22">
        <f>G133</f>
        <v>8.7000000000000046</v>
      </c>
      <c r="D178" s="20">
        <v>7177</v>
      </c>
      <c r="E178" s="22">
        <f t="shared" si="13"/>
        <v>8.7000000000000046</v>
      </c>
      <c r="F178" s="20">
        <v>8177</v>
      </c>
      <c r="G178" s="22">
        <f t="shared" si="14"/>
        <v>8.600000000000005</v>
      </c>
      <c r="H178" s="20">
        <v>9177</v>
      </c>
      <c r="I178" s="22">
        <f t="shared" si="15"/>
        <v>8.5000000000000053</v>
      </c>
    </row>
    <row r="179" spans="1:9" x14ac:dyDescent="0.15">
      <c r="A179" s="22">
        <v>178</v>
      </c>
      <c r="B179" s="22">
        <f>F135</f>
        <v>8134</v>
      </c>
      <c r="C179" s="22">
        <f>G135</f>
        <v>8.600000000000005</v>
      </c>
      <c r="D179" s="20">
        <v>7178</v>
      </c>
      <c r="E179" s="22">
        <f t="shared" si="13"/>
        <v>8.600000000000005</v>
      </c>
      <c r="F179" s="20">
        <v>8178</v>
      </c>
      <c r="G179" s="22">
        <f t="shared" si="14"/>
        <v>8.5000000000000053</v>
      </c>
      <c r="H179" s="20">
        <v>9178</v>
      </c>
      <c r="I179" s="22">
        <f t="shared" si="15"/>
        <v>8.4000000000000057</v>
      </c>
    </row>
    <row r="180" spans="1:9" x14ac:dyDescent="0.15">
      <c r="A180" s="22">
        <v>179</v>
      </c>
      <c r="B180" s="22">
        <f>H135</f>
        <v>9134</v>
      </c>
      <c r="C180" s="22">
        <f>I135</f>
        <v>8.5000000000000053</v>
      </c>
      <c r="D180" s="20">
        <v>7179</v>
      </c>
      <c r="E180" s="22">
        <f t="shared" si="13"/>
        <v>8.5000000000000053</v>
      </c>
      <c r="F180" s="20">
        <v>8179</v>
      </c>
      <c r="G180" s="22">
        <f t="shared" si="14"/>
        <v>8.4000000000000057</v>
      </c>
      <c r="H180" s="20">
        <v>9179</v>
      </c>
      <c r="I180" s="22">
        <f t="shared" si="15"/>
        <v>8.300000000000006</v>
      </c>
    </row>
    <row r="181" spans="1:9" x14ac:dyDescent="0.15">
      <c r="A181" s="22">
        <v>180</v>
      </c>
      <c r="B181" s="22">
        <f>F136</f>
        <v>8135</v>
      </c>
      <c r="C181" s="22">
        <f>G136</f>
        <v>8.5000000000000053</v>
      </c>
      <c r="D181" s="20">
        <v>7180</v>
      </c>
      <c r="E181" s="22">
        <f t="shared" si="13"/>
        <v>8.5000000000000053</v>
      </c>
      <c r="F181" s="20">
        <v>8180</v>
      </c>
      <c r="G181" s="22">
        <f t="shared" si="14"/>
        <v>8.4000000000000057</v>
      </c>
      <c r="H181" s="20">
        <v>9180</v>
      </c>
      <c r="I181" s="22">
        <f t="shared" si="15"/>
        <v>8.300000000000006</v>
      </c>
    </row>
    <row r="182" spans="1:9" x14ac:dyDescent="0.15">
      <c r="A182" s="22">
        <v>181</v>
      </c>
      <c r="B182" s="22">
        <f>H136</f>
        <v>9135</v>
      </c>
      <c r="C182" s="22">
        <f>I136</f>
        <v>8.4000000000000057</v>
      </c>
      <c r="D182" s="20">
        <v>7181</v>
      </c>
      <c r="E182" s="22">
        <f t="shared" si="13"/>
        <v>8.4000000000000057</v>
      </c>
      <c r="F182" s="20">
        <v>8181</v>
      </c>
      <c r="G182" s="22">
        <f t="shared" si="14"/>
        <v>8.300000000000006</v>
      </c>
      <c r="H182" s="20">
        <v>9181</v>
      </c>
      <c r="I182" s="22">
        <f t="shared" si="15"/>
        <v>8.2000000000000064</v>
      </c>
    </row>
    <row r="183" spans="1:9" x14ac:dyDescent="0.15">
      <c r="A183" s="22">
        <v>182</v>
      </c>
      <c r="B183" s="22">
        <f>D140</f>
        <v>7139</v>
      </c>
      <c r="C183" s="22">
        <f>E140</f>
        <v>9.0000000000000036</v>
      </c>
      <c r="D183" s="20">
        <v>7182</v>
      </c>
      <c r="E183" s="22">
        <f t="shared" si="13"/>
        <v>9.0000000000000036</v>
      </c>
      <c r="F183" s="20">
        <v>8182</v>
      </c>
      <c r="G183" s="22">
        <f t="shared" si="14"/>
        <v>8.9000000000000039</v>
      </c>
      <c r="H183" s="20">
        <v>9182</v>
      </c>
      <c r="I183" s="22">
        <f t="shared" si="15"/>
        <v>8.8000000000000043</v>
      </c>
    </row>
    <row r="184" spans="1:9" x14ac:dyDescent="0.15">
      <c r="A184" s="22">
        <v>183</v>
      </c>
      <c r="B184" s="22">
        <f>F140</f>
        <v>8139</v>
      </c>
      <c r="C184" s="22">
        <f>G140</f>
        <v>8.9000000000000039</v>
      </c>
      <c r="D184" s="20">
        <v>7183</v>
      </c>
      <c r="E184" s="22">
        <f t="shared" si="13"/>
        <v>8.9000000000000039</v>
      </c>
      <c r="F184" s="20">
        <v>8183</v>
      </c>
      <c r="G184" s="22">
        <f t="shared" si="14"/>
        <v>8.8000000000000043</v>
      </c>
      <c r="H184" s="20">
        <v>9183</v>
      </c>
      <c r="I184" s="22">
        <f t="shared" si="15"/>
        <v>8.7000000000000046</v>
      </c>
    </row>
    <row r="185" spans="1:9" x14ac:dyDescent="0.15">
      <c r="A185" s="22">
        <v>184</v>
      </c>
      <c r="B185" s="22">
        <f>H140</f>
        <v>9139</v>
      </c>
      <c r="C185" s="22">
        <f>I140</f>
        <v>8.8000000000000043</v>
      </c>
      <c r="D185" s="20">
        <v>7184</v>
      </c>
      <c r="E185" s="22">
        <f t="shared" si="13"/>
        <v>8.8000000000000043</v>
      </c>
      <c r="F185" s="20">
        <v>8184</v>
      </c>
      <c r="G185" s="22">
        <f t="shared" si="14"/>
        <v>8.7000000000000046</v>
      </c>
      <c r="H185" s="20">
        <v>9184</v>
      </c>
      <c r="I185" s="22">
        <f t="shared" si="15"/>
        <v>8.600000000000005</v>
      </c>
    </row>
    <row r="186" spans="1:9" x14ac:dyDescent="0.15">
      <c r="A186" s="22">
        <v>185</v>
      </c>
      <c r="B186" s="22">
        <f>H141</f>
        <v>9140</v>
      </c>
      <c r="C186" s="22">
        <f>I141</f>
        <v>8.7000000000000046</v>
      </c>
      <c r="D186" s="20">
        <v>7185</v>
      </c>
      <c r="E186" s="22">
        <f t="shared" si="13"/>
        <v>8.7000000000000046</v>
      </c>
      <c r="F186" s="20">
        <v>8185</v>
      </c>
      <c r="G186" s="22">
        <f t="shared" si="14"/>
        <v>8.600000000000005</v>
      </c>
      <c r="H186" s="20">
        <v>9185</v>
      </c>
      <c r="I186" s="22">
        <f t="shared" si="15"/>
        <v>8.5000000000000053</v>
      </c>
    </row>
    <row r="187" spans="1:9" x14ac:dyDescent="0.15">
      <c r="A187" s="22">
        <v>186</v>
      </c>
      <c r="B187" s="22">
        <f>F141</f>
        <v>8140</v>
      </c>
      <c r="C187" s="22">
        <f>G141</f>
        <v>8.8000000000000043</v>
      </c>
      <c r="D187" s="20">
        <v>7186</v>
      </c>
      <c r="E187" s="22">
        <f t="shared" si="13"/>
        <v>8.8000000000000043</v>
      </c>
      <c r="F187" s="20">
        <v>8186</v>
      </c>
      <c r="G187" s="22">
        <f t="shared" si="14"/>
        <v>8.7000000000000046</v>
      </c>
      <c r="H187" s="20">
        <v>9186</v>
      </c>
      <c r="I187" s="22">
        <f t="shared" si="15"/>
        <v>8.600000000000005</v>
      </c>
    </row>
    <row r="188" spans="1:9" x14ac:dyDescent="0.15">
      <c r="A188" s="22">
        <v>187</v>
      </c>
      <c r="B188" s="22">
        <f>D144</f>
        <v>7143</v>
      </c>
      <c r="C188" s="22">
        <f>E144</f>
        <v>8.7000000000000046</v>
      </c>
      <c r="D188" s="20">
        <v>7187</v>
      </c>
      <c r="E188" s="22">
        <f t="shared" si="13"/>
        <v>8.7000000000000046</v>
      </c>
      <c r="F188" s="20">
        <v>8187</v>
      </c>
      <c r="G188" s="22">
        <f t="shared" si="14"/>
        <v>8.600000000000005</v>
      </c>
      <c r="H188" s="20">
        <v>9187</v>
      </c>
      <c r="I188" s="22">
        <f t="shared" si="15"/>
        <v>8.5000000000000053</v>
      </c>
    </row>
    <row r="189" spans="1:9" x14ac:dyDescent="0.15">
      <c r="A189" s="22">
        <v>188</v>
      </c>
      <c r="B189" s="22">
        <f>F144</f>
        <v>8143</v>
      </c>
      <c r="C189" s="22">
        <f>G144</f>
        <v>8.600000000000005</v>
      </c>
      <c r="D189" s="20">
        <v>7188</v>
      </c>
      <c r="E189" s="22">
        <f t="shared" si="13"/>
        <v>8.600000000000005</v>
      </c>
      <c r="F189" s="20">
        <v>8188</v>
      </c>
      <c r="G189" s="22">
        <f t="shared" si="14"/>
        <v>8.5000000000000053</v>
      </c>
      <c r="H189" s="20">
        <v>9188</v>
      </c>
      <c r="I189" s="22">
        <f t="shared" si="15"/>
        <v>8.4000000000000057</v>
      </c>
    </row>
    <row r="190" spans="1:9" x14ac:dyDescent="0.15">
      <c r="A190" s="22">
        <v>189</v>
      </c>
      <c r="B190" s="22">
        <f>H144</f>
        <v>9143</v>
      </c>
      <c r="C190" s="22">
        <f>I144</f>
        <v>8.5000000000000053</v>
      </c>
      <c r="D190" s="20">
        <v>7189</v>
      </c>
      <c r="E190" s="22">
        <f t="shared" si="13"/>
        <v>8.5000000000000053</v>
      </c>
      <c r="F190" s="20">
        <v>8189</v>
      </c>
      <c r="G190" s="22">
        <f t="shared" si="14"/>
        <v>8.4000000000000057</v>
      </c>
      <c r="H190" s="20">
        <v>9189</v>
      </c>
      <c r="I190" s="22">
        <f t="shared" si="15"/>
        <v>8.300000000000006</v>
      </c>
    </row>
    <row r="191" spans="1:9" x14ac:dyDescent="0.15">
      <c r="A191" s="22">
        <v>190</v>
      </c>
      <c r="B191" s="20">
        <f>H145</f>
        <v>9144</v>
      </c>
      <c r="C191" s="20">
        <f>I145</f>
        <v>8.600000000000005</v>
      </c>
      <c r="D191" s="20">
        <v>7190</v>
      </c>
      <c r="E191" s="22">
        <f t="shared" si="13"/>
        <v>8.600000000000005</v>
      </c>
      <c r="F191" s="20">
        <v>8190</v>
      </c>
      <c r="G191" s="22">
        <f t="shared" si="14"/>
        <v>8.5000000000000053</v>
      </c>
      <c r="H191" s="20">
        <v>9190</v>
      </c>
      <c r="I191" s="22">
        <f t="shared" si="15"/>
        <v>8.4000000000000057</v>
      </c>
    </row>
    <row r="192" spans="1:9" x14ac:dyDescent="0.15">
      <c r="A192" s="22">
        <v>191</v>
      </c>
      <c r="B192" s="20">
        <f>F145</f>
        <v>8144</v>
      </c>
      <c r="C192" s="20">
        <f>G145</f>
        <v>8.7000000000000046</v>
      </c>
      <c r="D192" s="20">
        <v>7191</v>
      </c>
      <c r="E192" s="22">
        <f t="shared" si="13"/>
        <v>8.7000000000000046</v>
      </c>
      <c r="F192" s="20">
        <v>8191</v>
      </c>
      <c r="G192" s="22">
        <f t="shared" si="14"/>
        <v>8.600000000000005</v>
      </c>
      <c r="H192" s="20">
        <v>9191</v>
      </c>
      <c r="I192" s="22">
        <f t="shared" si="15"/>
        <v>8.5000000000000053</v>
      </c>
    </row>
    <row r="193" spans="1:9" x14ac:dyDescent="0.15">
      <c r="A193" s="22">
        <v>192</v>
      </c>
      <c r="B193" s="22">
        <f>D146</f>
        <v>7145</v>
      </c>
      <c r="C193" s="22">
        <f>E146</f>
        <v>8.8000000000000043</v>
      </c>
      <c r="D193" s="20">
        <v>7192</v>
      </c>
      <c r="E193" s="22">
        <f t="shared" si="13"/>
        <v>8.8000000000000043</v>
      </c>
      <c r="F193" s="20">
        <v>8192</v>
      </c>
      <c r="G193" s="22">
        <f t="shared" si="14"/>
        <v>8.7000000000000046</v>
      </c>
      <c r="H193" s="20">
        <v>9192</v>
      </c>
      <c r="I193" s="22">
        <f t="shared" si="15"/>
        <v>8.600000000000005</v>
      </c>
    </row>
    <row r="194" spans="1:9" x14ac:dyDescent="0.15">
      <c r="A194" s="22">
        <v>193</v>
      </c>
      <c r="B194" s="22">
        <f>F146</f>
        <v>8145</v>
      </c>
      <c r="C194" s="22">
        <f>G146</f>
        <v>8.7000000000000046</v>
      </c>
      <c r="D194" s="20">
        <v>7193</v>
      </c>
      <c r="E194" s="22">
        <f t="shared" ref="E194:E203" si="16">C194</f>
        <v>8.7000000000000046</v>
      </c>
      <c r="F194" s="20">
        <v>8193</v>
      </c>
      <c r="G194" s="22">
        <f t="shared" ref="G194:G203" si="17">$E194-0.1</f>
        <v>8.600000000000005</v>
      </c>
      <c r="H194" s="20">
        <v>9193</v>
      </c>
      <c r="I194" s="22">
        <f t="shared" ref="I194:I203" si="18">$E194-0.2</f>
        <v>8.5000000000000053</v>
      </c>
    </row>
    <row r="195" spans="1:9" x14ac:dyDescent="0.15">
      <c r="A195" s="22">
        <v>194</v>
      </c>
      <c r="B195" s="22">
        <f>H146</f>
        <v>9145</v>
      </c>
      <c r="C195" s="22">
        <f>I146</f>
        <v>8.600000000000005</v>
      </c>
      <c r="D195" s="20">
        <v>7194</v>
      </c>
      <c r="E195" s="22">
        <f t="shared" si="16"/>
        <v>8.600000000000005</v>
      </c>
      <c r="F195" s="20">
        <v>8194</v>
      </c>
      <c r="G195" s="22">
        <f t="shared" si="17"/>
        <v>8.5000000000000053</v>
      </c>
      <c r="H195" s="20">
        <v>9194</v>
      </c>
      <c r="I195" s="22">
        <f t="shared" si="18"/>
        <v>8.4000000000000057</v>
      </c>
    </row>
    <row r="196" spans="1:9" x14ac:dyDescent="0.15">
      <c r="A196" s="22">
        <v>195</v>
      </c>
      <c r="B196" s="22">
        <f>H149</f>
        <v>9148</v>
      </c>
      <c r="C196" s="22">
        <f>I149</f>
        <v>8.2000000000000064</v>
      </c>
      <c r="D196" s="20">
        <v>7195</v>
      </c>
      <c r="E196" s="22">
        <f t="shared" si="16"/>
        <v>8.2000000000000064</v>
      </c>
      <c r="F196" s="20">
        <v>8195</v>
      </c>
      <c r="G196" s="22">
        <f t="shared" si="17"/>
        <v>8.1000000000000068</v>
      </c>
      <c r="H196" s="20">
        <v>9195</v>
      </c>
      <c r="I196" s="22">
        <f t="shared" si="18"/>
        <v>8.0000000000000071</v>
      </c>
    </row>
    <row r="197" spans="1:9" x14ac:dyDescent="0.15">
      <c r="A197" s="22">
        <v>196</v>
      </c>
      <c r="B197" s="22">
        <f>F149</f>
        <v>8148</v>
      </c>
      <c r="C197" s="22">
        <f>G149</f>
        <v>8.300000000000006</v>
      </c>
      <c r="D197" s="20">
        <v>7196</v>
      </c>
      <c r="E197" s="22">
        <f t="shared" si="16"/>
        <v>8.300000000000006</v>
      </c>
      <c r="F197" s="20">
        <v>8196</v>
      </c>
      <c r="G197" s="22">
        <f t="shared" si="17"/>
        <v>8.2000000000000064</v>
      </c>
      <c r="H197" s="20">
        <v>9196</v>
      </c>
      <c r="I197" s="22">
        <f t="shared" si="18"/>
        <v>8.1000000000000068</v>
      </c>
    </row>
    <row r="198" spans="1:9" x14ac:dyDescent="0.15">
      <c r="A198" s="22">
        <v>197</v>
      </c>
      <c r="B198" s="22">
        <f>H155</f>
        <v>9154</v>
      </c>
      <c r="C198" s="22">
        <f>I155</f>
        <v>8.600000000000005</v>
      </c>
      <c r="D198" s="20">
        <v>7197</v>
      </c>
      <c r="E198" s="22">
        <f t="shared" si="16"/>
        <v>8.600000000000005</v>
      </c>
      <c r="F198" s="20">
        <v>8197</v>
      </c>
      <c r="G198" s="22">
        <f t="shared" si="17"/>
        <v>8.5000000000000053</v>
      </c>
      <c r="H198" s="20">
        <v>9197</v>
      </c>
      <c r="I198" s="22">
        <f t="shared" si="18"/>
        <v>8.4000000000000057</v>
      </c>
    </row>
    <row r="199" spans="1:9" x14ac:dyDescent="0.15">
      <c r="A199" s="22">
        <v>198</v>
      </c>
      <c r="B199" s="22">
        <f>F155</f>
        <v>8154</v>
      </c>
      <c r="C199" s="22">
        <f>G155</f>
        <v>8.7000000000000046</v>
      </c>
      <c r="D199" s="20">
        <v>7198</v>
      </c>
      <c r="E199" s="22">
        <f t="shared" si="16"/>
        <v>8.7000000000000046</v>
      </c>
      <c r="F199" s="20">
        <v>8198</v>
      </c>
      <c r="G199" s="22">
        <f t="shared" si="17"/>
        <v>8.600000000000005</v>
      </c>
      <c r="H199" s="20">
        <v>9198</v>
      </c>
      <c r="I199" s="22">
        <f t="shared" si="18"/>
        <v>8.5000000000000053</v>
      </c>
    </row>
    <row r="200" spans="1:9" x14ac:dyDescent="0.15">
      <c r="A200" s="22">
        <v>199</v>
      </c>
      <c r="B200" s="22">
        <f>H159</f>
        <v>9158</v>
      </c>
      <c r="C200" s="22">
        <f>I159</f>
        <v>8.7000000000000046</v>
      </c>
      <c r="D200" s="20">
        <v>7199</v>
      </c>
      <c r="E200" s="22">
        <f t="shared" si="16"/>
        <v>8.7000000000000046</v>
      </c>
      <c r="F200" s="20">
        <v>8199</v>
      </c>
      <c r="G200" s="22">
        <f t="shared" si="17"/>
        <v>8.600000000000005</v>
      </c>
      <c r="H200" s="20">
        <v>9199</v>
      </c>
      <c r="I200" s="22">
        <f t="shared" si="18"/>
        <v>8.5000000000000053</v>
      </c>
    </row>
    <row r="201" spans="1:9" x14ac:dyDescent="0.15">
      <c r="A201" s="22">
        <v>200</v>
      </c>
      <c r="B201" s="22">
        <f>F159</f>
        <v>8158</v>
      </c>
      <c r="C201" s="22">
        <f>G159</f>
        <v>8.8000000000000043</v>
      </c>
      <c r="D201" s="20">
        <v>7200</v>
      </c>
      <c r="E201" s="22">
        <f t="shared" si="16"/>
        <v>8.8000000000000043</v>
      </c>
      <c r="F201" s="20">
        <v>8200</v>
      </c>
      <c r="G201" s="22">
        <f t="shared" si="17"/>
        <v>8.7000000000000046</v>
      </c>
      <c r="H201" s="20">
        <v>9200</v>
      </c>
      <c r="I201" s="22">
        <f t="shared" si="18"/>
        <v>8.600000000000005</v>
      </c>
    </row>
    <row r="202" spans="1:9" x14ac:dyDescent="0.15">
      <c r="A202" s="22">
        <v>201</v>
      </c>
      <c r="B202" s="22">
        <f>F80</f>
        <v>8079</v>
      </c>
      <c r="C202" s="22">
        <f>G80</f>
        <v>8.8000000000000043</v>
      </c>
      <c r="D202" s="20">
        <v>7201</v>
      </c>
      <c r="E202" s="22">
        <f t="shared" si="16"/>
        <v>8.8000000000000043</v>
      </c>
      <c r="F202" s="20">
        <v>8201</v>
      </c>
      <c r="G202" s="22">
        <f t="shared" si="17"/>
        <v>8.7000000000000046</v>
      </c>
      <c r="H202" s="20">
        <v>9201</v>
      </c>
      <c r="I202" s="22">
        <f t="shared" si="18"/>
        <v>8.600000000000005</v>
      </c>
    </row>
    <row r="203" spans="1:9" x14ac:dyDescent="0.15">
      <c r="A203" s="22">
        <v>202</v>
      </c>
      <c r="B203" s="22">
        <f>H80</f>
        <v>9079</v>
      </c>
      <c r="C203" s="22">
        <f>I80</f>
        <v>8.7000000000000046</v>
      </c>
      <c r="D203" s="20">
        <v>7202</v>
      </c>
      <c r="E203" s="22">
        <f t="shared" si="16"/>
        <v>8.7000000000000046</v>
      </c>
      <c r="F203" s="20">
        <v>8202</v>
      </c>
      <c r="G203" s="22">
        <f t="shared" si="17"/>
        <v>8.600000000000005</v>
      </c>
      <c r="H203" s="20">
        <v>9202</v>
      </c>
      <c r="I203" s="22">
        <f t="shared" si="18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遍历PK10所有组合</vt:lpstr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2018-07-03T07:10:17Z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