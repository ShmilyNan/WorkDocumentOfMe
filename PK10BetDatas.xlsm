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4"/>
  </bookViews>
  <sheets>
    <sheet name="PK10" sheetId="1" r:id="rId1"/>
    <sheet name="PK10Source" sheetId="2" r:id="rId2"/>
    <sheet name="ExportBetXML" sheetId="4" r:id="rId3"/>
    <sheet name="agent" sheetId="6" r:id="rId4"/>
    <sheet name="GetAwardResult" sheetId="8" r:id="rId5"/>
  </sheets>
  <definedNames>
    <definedName name="_xlnm._FilterDatabase" localSheetId="3" hidden="1">agent!$O$1:$P$30</definedName>
    <definedName name="_xlnm._FilterDatabase" localSheetId="0" hidden="1">'PK10'!$A$1:$L$13</definedName>
  </definedNames>
  <calcPr calcId="162913"/>
</workbook>
</file>

<file path=xl/calcChain.xml><?xml version="1.0" encoding="utf-8"?>
<calcChain xmlns="http://schemas.openxmlformats.org/spreadsheetml/2006/main">
  <c r="F2" i="1" l="1"/>
  <c r="L13" i="1"/>
  <c r="J3" i="1"/>
  <c r="J4" i="1"/>
  <c r="J5" i="1"/>
  <c r="J6" i="1"/>
  <c r="J7" i="1"/>
  <c r="J8" i="1"/>
  <c r="J9" i="1"/>
  <c r="J10" i="1"/>
  <c r="J11" i="1"/>
  <c r="J12" i="1"/>
  <c r="J13" i="1"/>
  <c r="J2" i="1"/>
  <c r="F13" i="1" l="1"/>
  <c r="F11" i="1"/>
  <c r="F12" i="1"/>
  <c r="F10" i="1"/>
  <c r="F9" i="1"/>
  <c r="F8" i="1"/>
  <c r="F7" i="1"/>
  <c r="F6" i="1"/>
  <c r="F5" i="1"/>
  <c r="F4" i="1"/>
  <c r="F3" i="1"/>
  <c r="W2" i="1" l="1"/>
  <c r="H4" i="6"/>
  <c r="H3" i="6"/>
  <c r="B6" i="6" s="1"/>
  <c r="C6" i="6" s="1"/>
  <c r="B9" i="6" s="1"/>
  <c r="C9" i="6" s="1"/>
  <c r="K2" i="6"/>
  <c r="O2" i="6" s="1"/>
  <c r="N12" i="2"/>
  <c r="B1" i="8"/>
  <c r="C1" i="8"/>
  <c r="A1" i="8"/>
  <c r="P3" i="2"/>
  <c r="P4" i="2"/>
  <c r="P5" i="2"/>
  <c r="P6" i="2"/>
  <c r="P7" i="2"/>
  <c r="P2" i="2"/>
  <c r="G12" i="2"/>
  <c r="D9" i="6" l="1"/>
  <c r="D6" i="6"/>
  <c r="M2" i="6"/>
  <c r="I3" i="6" s="1"/>
  <c r="K3" i="6" l="1"/>
  <c r="B3" i="6"/>
  <c r="E6" i="6" s="1"/>
  <c r="B12" i="6"/>
  <c r="C12" i="6" s="1"/>
  <c r="E9" i="6"/>
  <c r="D12" i="6" l="1"/>
  <c r="E12" i="6" s="1"/>
  <c r="B15" i="6"/>
  <c r="C15" i="6" s="1"/>
  <c r="M3" i="6"/>
  <c r="I4" i="6" s="1"/>
  <c r="K4" i="6" s="1"/>
  <c r="O3" i="6"/>
  <c r="B18" i="6" l="1"/>
  <c r="C18" i="6" s="1"/>
  <c r="D15" i="6"/>
  <c r="E15" i="6" s="1"/>
  <c r="D18" i="6" l="1"/>
  <c r="E18" i="6" s="1"/>
  <c r="B21" i="6"/>
  <c r="C21" i="6" s="1"/>
  <c r="B24" i="6" l="1"/>
  <c r="C24" i="6" s="1"/>
  <c r="D21" i="6"/>
  <c r="E21" i="6" s="1"/>
  <c r="D24" i="6" l="1"/>
  <c r="E24" i="6" s="1"/>
  <c r="B27" i="6"/>
  <c r="C27" i="6" s="1"/>
  <c r="B30" i="6" l="1"/>
  <c r="C30" i="6" s="1"/>
  <c r="D27" i="6"/>
  <c r="E27" i="6" s="1"/>
  <c r="D30" i="6" l="1"/>
  <c r="E30" i="6" s="1"/>
  <c r="B33" i="6"/>
  <c r="C33" i="6" s="1"/>
  <c r="B36" i="6" l="1"/>
  <c r="C36" i="6" s="1"/>
  <c r="D33" i="6"/>
  <c r="E33" i="6" s="1"/>
  <c r="D36" i="6" l="1"/>
  <c r="E36" i="6" s="1"/>
  <c r="B39" i="6"/>
  <c r="C39" i="6" s="1"/>
  <c r="B42" i="6" l="1"/>
  <c r="C42" i="6" s="1"/>
  <c r="D39" i="6"/>
  <c r="E39" i="6" s="1"/>
  <c r="D42" i="6" l="1"/>
  <c r="E42" i="6" s="1"/>
  <c r="B45" i="6"/>
  <c r="C45" i="6" s="1"/>
  <c r="B48" i="6" l="1"/>
  <c r="D45" i="6"/>
  <c r="E45" i="6" s="1"/>
  <c r="C48" i="6" l="1"/>
  <c r="D48" i="6" s="1"/>
  <c r="E48" i="6" s="1"/>
  <c r="H3" i="1" l="1"/>
  <c r="D29" i="2"/>
  <c r="L29" i="2" s="1"/>
  <c r="D17" i="2"/>
  <c r="L17" i="2" s="1"/>
  <c r="D12" i="2"/>
  <c r="G5" i="1"/>
  <c r="M3" i="2" l="1"/>
  <c r="D26" i="2" l="1"/>
  <c r="L26" i="2" s="1"/>
  <c r="D22" i="2"/>
  <c r="L22" i="2" s="1"/>
  <c r="M11" i="2" l="1"/>
  <c r="M10" i="2"/>
  <c r="M9" i="2"/>
  <c r="M8" i="2"/>
  <c r="M7" i="2"/>
  <c r="M6" i="2"/>
  <c r="M5" i="2"/>
  <c r="M4" i="2"/>
  <c r="G33" i="2"/>
  <c r="G31" i="2"/>
  <c r="G30" i="2"/>
  <c r="G29" i="2"/>
  <c r="G27" i="2"/>
  <c r="G26" i="2"/>
  <c r="G23" i="2"/>
  <c r="G22" i="2"/>
  <c r="G2" i="2"/>
  <c r="M2" i="2" l="1"/>
  <c r="N34" i="2" s="1"/>
  <c r="N29" i="2" l="1"/>
  <c r="M12" i="2"/>
  <c r="N37" i="2"/>
  <c r="N36" i="2"/>
  <c r="N31" i="2"/>
  <c r="N35" i="2"/>
  <c r="N33" i="2"/>
  <c r="N32" i="2"/>
  <c r="N30" i="2"/>
  <c r="W13" i="1" l="1"/>
  <c r="W11" i="1"/>
  <c r="W10" i="1"/>
  <c r="W9" i="1"/>
  <c r="W8" i="1"/>
  <c r="W7" i="1"/>
  <c r="W6" i="1"/>
  <c r="W5" i="1"/>
  <c r="W4" i="1"/>
  <c r="W3" i="1"/>
  <c r="Z2" i="1"/>
  <c r="Y2" i="1" s="1"/>
  <c r="AB9" i="1"/>
  <c r="P37" i="2" s="1"/>
  <c r="AB8" i="1"/>
  <c r="P36" i="2" s="1"/>
  <c r="AB7" i="1"/>
  <c r="P35" i="2" s="1"/>
  <c r="AB6" i="1"/>
  <c r="P34" i="2" s="1"/>
  <c r="AB5" i="1"/>
  <c r="P33" i="2" s="1"/>
  <c r="AB4" i="1"/>
  <c r="AE4" i="1" s="1"/>
  <c r="AD4" i="1" s="1"/>
  <c r="O30" i="2" s="1"/>
  <c r="AB3" i="1"/>
  <c r="K2" i="2" l="1"/>
  <c r="H2" i="2" s="1"/>
  <c r="Z13" i="1"/>
  <c r="Z11" i="1"/>
  <c r="Z10" i="1"/>
  <c r="Y10" i="1" s="1"/>
  <c r="K29" i="2" s="1"/>
  <c r="Z9" i="1"/>
  <c r="Z8" i="1"/>
  <c r="Z7" i="1"/>
  <c r="Z6" i="1"/>
  <c r="Z5" i="1"/>
  <c r="Z4" i="1"/>
  <c r="Z3" i="1"/>
  <c r="Y3" i="1" s="1"/>
  <c r="AE3" i="1"/>
  <c r="AE9" i="1"/>
  <c r="AE8" i="1"/>
  <c r="AD8" i="1" s="1"/>
  <c r="AE7" i="1"/>
  <c r="AB12" i="1"/>
  <c r="AB11" i="1"/>
  <c r="AB10" i="1"/>
  <c r="AE6" i="1"/>
  <c r="AE5" i="1"/>
  <c r="Y7" i="1" l="1"/>
  <c r="K23" i="2" s="1"/>
  <c r="H23" i="2" s="1"/>
  <c r="Y9" i="1"/>
  <c r="K27" i="2" s="1"/>
  <c r="H27" i="2" s="1"/>
  <c r="Y8" i="1"/>
  <c r="K26" i="2" s="1"/>
  <c r="Q33" i="2"/>
  <c r="AD5" i="1"/>
  <c r="Q34" i="2"/>
  <c r="AD6" i="1"/>
  <c r="AD12" i="1" s="1"/>
  <c r="Y11" i="1"/>
  <c r="K30" i="2" s="1"/>
  <c r="H30" i="2" s="1"/>
  <c r="Y6" i="1"/>
  <c r="K22" i="2" s="1"/>
  <c r="H22" i="2" s="1"/>
  <c r="Q37" i="2"/>
  <c r="AD9" i="1"/>
  <c r="AD3" i="1"/>
  <c r="O29" i="2" s="1"/>
  <c r="Y13" i="1"/>
  <c r="K33" i="2" s="1"/>
  <c r="Q35" i="2"/>
  <c r="AD7" i="1"/>
  <c r="AD11" i="1" s="1"/>
  <c r="Y4" i="1"/>
  <c r="K17" i="2" s="1"/>
  <c r="H17" i="2" s="1"/>
  <c r="Y5" i="1"/>
  <c r="K18" i="2" s="1"/>
  <c r="H18" i="2" s="1"/>
  <c r="K12" i="2"/>
  <c r="H12" i="2" s="1"/>
  <c r="AE10" i="1"/>
  <c r="Q36" i="2"/>
  <c r="AD10" i="1"/>
  <c r="AE12" i="1"/>
  <c r="AB13" i="1"/>
  <c r="AE11" i="1"/>
  <c r="AE13" i="1"/>
  <c r="H2" i="1"/>
  <c r="H4" i="1"/>
  <c r="H5" i="1"/>
  <c r="H6" i="1"/>
  <c r="H7" i="1"/>
  <c r="H8" i="1"/>
  <c r="H9" i="1"/>
  <c r="H10" i="1"/>
  <c r="H11" i="1"/>
  <c r="G12" i="1"/>
  <c r="G13" i="1"/>
  <c r="N22" i="2"/>
  <c r="D33" i="2"/>
  <c r="D31" i="2"/>
  <c r="D27" i="2"/>
  <c r="D23" i="2"/>
  <c r="D18" i="2"/>
  <c r="D2" i="2"/>
  <c r="O34" i="2" l="1"/>
  <c r="K2" i="1"/>
  <c r="C2" i="8" s="1"/>
  <c r="I2" i="2"/>
  <c r="AD13" i="1"/>
  <c r="O33" i="2"/>
  <c r="M13" i="2"/>
  <c r="M15" i="2"/>
  <c r="M14" i="2"/>
  <c r="N13" i="2"/>
  <c r="N15" i="2"/>
  <c r="M22" i="2"/>
  <c r="L42" i="2" s="1"/>
  <c r="N14" i="2"/>
  <c r="M16" i="2" s="1"/>
  <c r="O37" i="2"/>
  <c r="O13" i="2"/>
  <c r="O36" i="2"/>
  <c r="O35" i="2"/>
  <c r="L33" i="2" l="1"/>
  <c r="Q29" i="2"/>
  <c r="P29" i="2"/>
  <c r="O31" i="2"/>
  <c r="Q31" i="2"/>
  <c r="P31" i="2"/>
  <c r="O32" i="2"/>
  <c r="Q32" i="2"/>
  <c r="P32" i="2"/>
  <c r="Q30" i="2"/>
  <c r="P30" i="2"/>
  <c r="N16" i="2"/>
  <c r="M17" i="2"/>
  <c r="N17" i="2"/>
  <c r="H13" i="1"/>
  <c r="H12" i="1"/>
  <c r="G7" i="1"/>
  <c r="G9" i="1"/>
  <c r="G11" i="1"/>
  <c r="L12" i="2" l="1"/>
  <c r="H31" i="2"/>
  <c r="K12" i="1" s="1"/>
  <c r="W12" i="1"/>
  <c r="Z12" i="1"/>
  <c r="M18" i="2"/>
  <c r="N18" i="2"/>
  <c r="O17" i="2"/>
  <c r="L37" i="2" s="1"/>
  <c r="N19" i="2"/>
  <c r="O16" i="2"/>
  <c r="L36" i="2" s="1"/>
  <c r="M19" i="2"/>
  <c r="G8" i="1"/>
  <c r="I6" i="1"/>
  <c r="G6" i="1"/>
  <c r="K5" i="1"/>
  <c r="C5" i="8" s="1"/>
  <c r="G17" i="2"/>
  <c r="G4" i="1"/>
  <c r="I10" i="1"/>
  <c r="G10" i="1"/>
  <c r="K3" i="1"/>
  <c r="G3" i="1"/>
  <c r="G2" i="1"/>
  <c r="I13" i="1"/>
  <c r="I12" i="1"/>
  <c r="I11" i="1"/>
  <c r="K11" i="1"/>
  <c r="K9" i="1"/>
  <c r="I9" i="1"/>
  <c r="I7" i="1"/>
  <c r="K7" i="1"/>
  <c r="G18" i="2"/>
  <c r="B6" i="8" l="1"/>
  <c r="A6" i="8"/>
  <c r="A10" i="8"/>
  <c r="B10" i="8"/>
  <c r="B7" i="8"/>
  <c r="A7" i="8"/>
  <c r="A11" i="8"/>
  <c r="B11" i="8"/>
  <c r="A9" i="8"/>
  <c r="B9" i="8"/>
  <c r="B12" i="8"/>
  <c r="A12" i="8"/>
  <c r="B13" i="8"/>
  <c r="A13" i="8"/>
  <c r="Y12" i="1"/>
  <c r="K31" i="2" s="1"/>
  <c r="P7" i="1"/>
  <c r="C7" i="8"/>
  <c r="P3" i="1"/>
  <c r="C3" i="8"/>
  <c r="P11" i="1"/>
  <c r="C11" i="8"/>
  <c r="P9" i="1"/>
  <c r="C9" i="8"/>
  <c r="I5" i="1"/>
  <c r="L38" i="2"/>
  <c r="L39" i="2"/>
  <c r="I4" i="1"/>
  <c r="C12" i="8"/>
  <c r="K4" i="1"/>
  <c r="C4" i="8" s="1"/>
  <c r="H29" i="2"/>
  <c r="H26" i="2"/>
  <c r="Q5" i="1"/>
  <c r="Q3" i="1"/>
  <c r="Q7" i="1"/>
  <c r="Q11" i="1"/>
  <c r="Q9" i="1"/>
  <c r="M11" i="1"/>
  <c r="N11" i="1"/>
  <c r="O11" i="1"/>
  <c r="M3" i="1"/>
  <c r="N3" i="1"/>
  <c r="O3" i="1"/>
  <c r="M9" i="1"/>
  <c r="N9" i="1"/>
  <c r="O9" i="1"/>
  <c r="M5" i="1"/>
  <c r="N5" i="1"/>
  <c r="O5" i="1"/>
  <c r="M7" i="1"/>
  <c r="N7" i="1"/>
  <c r="O7" i="1"/>
  <c r="P5" i="1"/>
  <c r="O15" i="2"/>
  <c r="L35" i="2" s="1"/>
  <c r="N20" i="2"/>
  <c r="M20" i="2"/>
  <c r="O14" i="2"/>
  <c r="L34" i="2" s="1"/>
  <c r="N21" i="2"/>
  <c r="M21" i="2"/>
  <c r="I2" i="1"/>
  <c r="I8" i="1"/>
  <c r="I3" i="1"/>
  <c r="L2" i="1" l="1"/>
  <c r="A2" i="8"/>
  <c r="B2" i="8"/>
  <c r="B4" i="8"/>
  <c r="A4" i="8"/>
  <c r="B5" i="8"/>
  <c r="A5" i="8"/>
  <c r="B3" i="8"/>
  <c r="A3" i="8"/>
  <c r="B8" i="8"/>
  <c r="A8" i="8"/>
  <c r="N12" i="1"/>
  <c r="Q12" i="1"/>
  <c r="O12" i="1"/>
  <c r="M12" i="1"/>
  <c r="P12" i="1"/>
  <c r="R12" i="1"/>
  <c r="L40" i="2"/>
  <c r="L41" i="2"/>
  <c r="K6" i="1"/>
  <c r="L3" i="1"/>
  <c r="L4" i="1" s="1"/>
  <c r="L5" i="1" s="1"/>
  <c r="K8" i="1"/>
  <c r="K10" i="1"/>
  <c r="M2" i="1"/>
  <c r="N2" i="1"/>
  <c r="O2" i="1"/>
  <c r="P2" i="1"/>
  <c r="R4" i="1"/>
  <c r="R5" i="1"/>
  <c r="R9" i="1"/>
  <c r="R3" i="1"/>
  <c r="R7" i="1"/>
  <c r="R11" i="1"/>
  <c r="R2" i="1"/>
  <c r="Q2" i="1"/>
  <c r="M4" i="1"/>
  <c r="N4" i="1"/>
  <c r="O4" i="1"/>
  <c r="P4" i="1"/>
  <c r="Q4" i="1"/>
  <c r="Q10" i="1" l="1"/>
  <c r="C10" i="8"/>
  <c r="Q8" i="1"/>
  <c r="C8" i="8"/>
  <c r="Q6" i="1"/>
  <c r="C6" i="8"/>
  <c r="S12" i="1"/>
  <c r="L6" i="1"/>
  <c r="L7" i="1" s="1"/>
  <c r="L8" i="1" s="1"/>
  <c r="L9" i="1" s="1"/>
  <c r="L10" i="1" s="1"/>
  <c r="L11" i="1" s="1"/>
  <c r="L12" i="1" s="1"/>
  <c r="H33" i="2"/>
  <c r="P6" i="1"/>
  <c r="N8" i="1"/>
  <c r="O8" i="1"/>
  <c r="M8" i="1"/>
  <c r="R6" i="1"/>
  <c r="O10" i="1"/>
  <c r="N6" i="1"/>
  <c r="M10" i="1"/>
  <c r="O6" i="1"/>
  <c r="M6" i="1"/>
  <c r="P8" i="1"/>
  <c r="R10" i="1"/>
  <c r="P10" i="1"/>
  <c r="R8" i="1"/>
  <c r="N10" i="1"/>
  <c r="S8" i="1"/>
  <c r="S5" i="1"/>
  <c r="S9" i="1"/>
  <c r="S6" i="1"/>
  <c r="S10" i="1"/>
  <c r="S4" i="1"/>
  <c r="S2" i="1"/>
  <c r="S3" i="1"/>
  <c r="S7" i="1"/>
  <c r="S11" i="1"/>
  <c r="I12" i="2"/>
  <c r="T12" i="1" l="1"/>
  <c r="T3" i="1"/>
  <c r="T11" i="1"/>
  <c r="T4" i="1"/>
  <c r="T8" i="1"/>
  <c r="T2" i="1"/>
  <c r="T5" i="1"/>
  <c r="T9" i="1"/>
  <c r="T6" i="1"/>
  <c r="T10" i="1"/>
  <c r="T7" i="1"/>
  <c r="I17" i="2"/>
  <c r="K13" i="1"/>
  <c r="T13" i="1" l="1"/>
  <c r="C13" i="8"/>
  <c r="U12" i="1"/>
  <c r="M13" i="1"/>
  <c r="N13" i="1"/>
  <c r="O13" i="1"/>
  <c r="P13" i="1"/>
  <c r="Q13" i="1"/>
  <c r="R13" i="1"/>
  <c r="S13" i="1"/>
  <c r="U11" i="1"/>
  <c r="U4" i="1"/>
  <c r="U8" i="1"/>
  <c r="U2" i="1"/>
  <c r="U5" i="1"/>
  <c r="U9" i="1"/>
  <c r="U13" i="1"/>
  <c r="U6" i="1"/>
  <c r="U10" i="1"/>
  <c r="U3" i="1"/>
  <c r="U7" i="1"/>
  <c r="I18" i="2"/>
  <c r="I22" i="2" s="1"/>
  <c r="V12" i="1" l="1"/>
  <c r="V3" i="1"/>
  <c r="V7" i="1"/>
  <c r="V11" i="1"/>
  <c r="V2" i="1"/>
  <c r="V4" i="1"/>
  <c r="V8" i="1"/>
  <c r="V13" i="1"/>
  <c r="V5" i="1"/>
  <c r="V9" i="1"/>
  <c r="V6" i="1"/>
  <c r="V10" i="1"/>
  <c r="I23" i="2"/>
  <c r="I26" i="2" l="1"/>
  <c r="I27" i="2" l="1"/>
  <c r="I29" i="2" l="1"/>
  <c r="I30" i="2" l="1"/>
  <c r="I31" i="2" l="1"/>
  <c r="I33" i="2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</commentList>
</comments>
</file>

<file path=xl/comments2.xml><?xml version="1.0" encoding="utf-8"?>
<comments xmlns="http://schemas.openxmlformats.org/spreadsheetml/2006/main">
  <authors>
    <author>Lance</author>
    <author>Lance Lee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J1" authorId="1" shapeId="0">
      <text>
        <r>
          <rPr>
            <b/>
            <sz val="9"/>
            <color indexed="81"/>
            <rFont val="宋体"/>
            <family val="3"/>
            <charset val="134"/>
          </rPr>
          <t>Lance Lee:</t>
        </r>
        <r>
          <rPr>
            <sz val="9"/>
            <color indexed="81"/>
            <rFont val="宋体"/>
            <family val="3"/>
            <charset val="134"/>
          </rPr>
          <t xml:space="preserve">
奖金基数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投注注数</t>
        </r>
      </text>
    </comment>
  </commentList>
</comments>
</file>

<file path=xl/connections.xml><?xml version="1.0" encoding="utf-8"?>
<connections xmlns="http://schemas.openxmlformats.org/spreadsheetml/2006/main">
  <connection id="1" name="allResult" type="4" refreshedVersion="0" background="1">
    <webPr xml="1" sourceData="1" url="E:\Git Repository\WorkDocumentOfMe\allResult.xml" htmlTables="1" htmlFormat="all"/>
  </connection>
  <connection id="2" name="betorder" type="4" refreshedVersion="0" background="1">
    <webPr xml="1" sourceData="1" url="C:\Users\Lance\Desktop\betorder.xml" htmlTables="1" htmlFormat="all"/>
  </connection>
  <connection id="3" name="betorder1" type="4" refreshedVersion="0" background="1">
    <webPr xml="1" sourceData="1" url="C:\Users\Lance\Desktop\betorder.xml" htmlTables="1" htmlFormat="all"/>
  </connection>
  <connection id="4" name="betorder2" type="4" refreshedVersion="0" background="1">
    <webPr xml="1" sourceData="1" url="C:\Users\Lance\Desktop\betorder.xml" htmlTables="1" htmlFormat="all"/>
  </connection>
  <connection id="5" name="betorder3" type="4" refreshedVersion="0" background="1">
    <webPr xml="1" sourceData="1" url="C:\Users\Lance\Desktop\betorder.xml" htmlTables="1" htmlFormat="all"/>
  </connection>
  <connection id="6" name="betorder4" type="4" refreshedVersion="0" background="1">
    <webPr xml="1" sourceData="1" url="C:\Users\Lance\Desktop\BetDatas.xml" htmlTables="1" htmlFormat="all"/>
  </connection>
  <connection id="7" name="betorder5" type="4" refreshedVersion="0" background="1">
    <webPr xml="1" sourceData="1" url="E:\Git Repository\WorkDocumentOfMe\betorder.xml" htmlTables="1" htmlFormat="all"/>
  </connection>
  <connection id="8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<sst xmlns="http://schemas.openxmlformats.org/spreadsheetml/2006/main" count="300" uniqueCount="248">
  <si>
    <t>BetRange</t>
  </si>
  <si>
    <t>PlayType</t>
  </si>
  <si>
    <t>复式</t>
  </si>
  <si>
    <t>Issue</t>
  </si>
  <si>
    <t>Multiple</t>
  </si>
  <si>
    <t>Reward</t>
  </si>
  <si>
    <t>时时彩</t>
  </si>
  <si>
    <t>DrawnAmount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</si>
  <si>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</si>
  <si>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Principal</t>
    <phoneticPr fontId="1" type="noConversion"/>
  </si>
  <si>
    <t>balance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</si>
  <si>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</si>
  <si>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</si>
  <si>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</si>
  <si>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</si>
  <si>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</si>
  <si>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</si>
  <si>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</si>
  <si>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定位胆</t>
    <phoneticPr fontId="1" type="noConversion"/>
  </si>
  <si>
    <t>猜前五</t>
    <phoneticPr fontId="1" type="noConversion"/>
  </si>
  <si>
    <t>单式</t>
    <phoneticPr fontId="1" type="noConversion"/>
  </si>
  <si>
    <t>猜前四</t>
    <phoneticPr fontId="1" type="noConversion"/>
  </si>
  <si>
    <t>单式</t>
    <phoneticPr fontId="1" type="noConversion"/>
  </si>
  <si>
    <t>猜前三</t>
    <phoneticPr fontId="1" type="noConversion"/>
  </si>
  <si>
    <t>单式</t>
    <phoneticPr fontId="1" type="noConversion"/>
  </si>
  <si>
    <t>猜前二</t>
    <phoneticPr fontId="1" type="noConversion"/>
  </si>
  <si>
    <t>猜冠军</t>
    <phoneticPr fontId="1" type="noConversion"/>
  </si>
  <si>
    <t>冠亚军</t>
    <phoneticPr fontId="1" type="noConversion"/>
  </si>
  <si>
    <t>冠亚和</t>
    <phoneticPr fontId="1" type="noConversion"/>
  </si>
  <si>
    <t>双面盘</t>
    <phoneticPr fontId="1" type="noConversion"/>
  </si>
  <si>
    <t>双面盘</t>
    <phoneticPr fontId="1" type="noConversion"/>
  </si>
  <si>
    <t>resultNum</t>
    <phoneticPr fontId="1" type="noConversion"/>
  </si>
  <si>
    <t xml:space="preserve">01 02 03 04 05 06 07 08 09 10 </t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</si>
  <si>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</si>
  <si>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</si>
  <si>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</si>
  <si>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</si>
  <si>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</si>
  <si>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03 04 05 06 07 08 09 10 11 12 13 14 15 16 17 18 19 </t>
    <phoneticPr fontId="1" type="noConversion"/>
  </si>
  <si>
    <t xml:space="preserve">和大 和小 和单 和双 </t>
    <phoneticPr fontId="1" type="noConversion"/>
  </si>
  <si>
    <t xml:space="preserve">大 小 单 双 龙 虎 </t>
    <phoneticPr fontId="1" type="noConversion"/>
  </si>
  <si>
    <t xml:space="preserve">大 小 单 双 龙 虎 </t>
    <phoneticPr fontId="1" type="noConversion"/>
  </si>
  <si>
    <t xml:space="preserve">大 小 单 双 </t>
    <phoneticPr fontId="1" type="noConversion"/>
  </si>
  <si>
    <t xml:space="preserve">大 小 单 双 </t>
    <phoneticPr fontId="1" type="noConversion"/>
  </si>
  <si>
    <t xml:space="preserve">大 小 单 双 </t>
    <phoneticPr fontId="1" type="noConversion"/>
  </si>
  <si>
    <t>和小</t>
    <phoneticPr fontId="1" type="noConversion"/>
  </si>
  <si>
    <t>和双</t>
    <phoneticPr fontId="1" type="noConversion"/>
  </si>
  <si>
    <t>03 04 18 19</t>
    <phoneticPr fontId="1" type="noConversion"/>
  </si>
  <si>
    <t>05 06 16 17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</si>
  <si>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7 08 14 15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</si>
  <si>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9 10 12 13</t>
    </r>
    <phoneticPr fontId="1" type="noConversion"/>
  </si>
  <si>
    <t>和大</t>
    <phoneticPr fontId="1" type="noConversion"/>
  </si>
  <si>
    <t>和单</t>
    <phoneticPr fontId="1" type="noConversion"/>
  </si>
  <si>
    <t xml:space="preserve">01 02 03 04 05 06 07 08 09 10 </t>
    <phoneticPr fontId="1" type="noConversion"/>
  </si>
  <si>
    <t>定位胆</t>
  </si>
  <si>
    <t>定位胆</t>
    <phoneticPr fontId="1" type="noConversion"/>
  </si>
  <si>
    <t>猜前五</t>
  </si>
  <si>
    <t>猜前五</t>
    <phoneticPr fontId="1" type="noConversion"/>
  </si>
  <si>
    <t>猜前四</t>
  </si>
  <si>
    <t>猜前四</t>
    <phoneticPr fontId="1" type="noConversion"/>
  </si>
  <si>
    <t>猜前三</t>
  </si>
  <si>
    <t>猜前三</t>
    <phoneticPr fontId="1" type="noConversion"/>
  </si>
  <si>
    <t>猜前二</t>
  </si>
  <si>
    <t>猜前二</t>
    <phoneticPr fontId="1" type="noConversion"/>
  </si>
  <si>
    <t>猜冠军</t>
  </si>
  <si>
    <t>猜冠军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</si>
  <si>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9 08 01</t>
    </r>
    <phoneticPr fontId="1" type="noConversion"/>
  </si>
  <si>
    <t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t>
  </si>
  <si>
    <t>单式</t>
  </si>
  <si>
    <t>01 02 03 04 05 06 07 08 09 10,01 02 03 04 05 06 07 08 09 10,01 02 03 04 05 06 07 08 09 10,01 02 03 04 05 06 07 08 09 10</t>
  </si>
  <si>
    <t>01 02 03 04 05 06 07 08 09 10,01 02 03 04 05 06 07 08 09 10,01 02 03 04 05 06 07 08 09 10</t>
  </si>
  <si>
    <t>01 02 03 04 05 06 07 08 09 10,01 02 03 04 05 06 07 08 09 10</t>
  </si>
  <si>
    <t>冠亚军</t>
  </si>
  <si>
    <t>冠亚和</t>
  </si>
  <si>
    <t>和大 和小 和单 和双,03 04 05 06 07 08 09 10 11 12 13 14 15 16 17 18 19</t>
  </si>
  <si>
    <t>双面盘</t>
  </si>
  <si>
    <t>大 小 单 双 龙 虎,大 小 单 双 龙 虎,大 小 单 双 龙 虎,大 小 单 双 龙 虎,大 小 单 双 龙 虎,大 小 单 双,大 小 单 双,大 小 单 双,大 小 单 双,大 小 单 双</t>
  </si>
  <si>
    <t>复式</t>
    <phoneticPr fontId="1" type="noConversion"/>
  </si>
  <si>
    <t>复式</t>
    <phoneticPr fontId="1" type="noConversion"/>
  </si>
  <si>
    <t>复式</t>
    <phoneticPr fontId="1" type="noConversion"/>
  </si>
  <si>
    <t>复式</t>
    <phoneticPr fontId="1" type="noConversion"/>
  </si>
  <si>
    <t>复式</t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</si>
  <si>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</si>
  <si>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</si>
  <si>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</si>
  <si>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</si>
  <si>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</si>
  <si>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上级7返利</t>
  </si>
  <si>
    <t>上级8返利</t>
  </si>
  <si>
    <t>上级9返利</t>
  </si>
  <si>
    <t>上级10返利</t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</si>
  <si>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</si>
  <si>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中奖注数</t>
    <phoneticPr fontId="1" type="noConversion"/>
  </si>
  <si>
    <t>自身Reward</t>
    <phoneticPr fontId="1" type="noConversion"/>
  </si>
  <si>
    <t>9.9reward</t>
    <phoneticPr fontId="1" type="noConversion"/>
  </si>
  <si>
    <t>辅助计算</t>
    <phoneticPr fontId="1" type="noConversion"/>
  </si>
  <si>
    <r>
      <t>冠亚和-和大</t>
    </r>
    <r>
      <rPr>
        <sz val="11"/>
        <color theme="1"/>
        <rFont val="宋体"/>
        <family val="3"/>
        <charset val="134"/>
        <scheme val="minor"/>
      </rPr>
      <t>/和双</t>
    </r>
    <phoneticPr fontId="1" type="noConversion"/>
  </si>
  <si>
    <t>冠亚和-和小/和单</t>
    <phoneticPr fontId="1" type="noConversion"/>
  </si>
  <si>
    <t>冠亚和-03/04</t>
    <phoneticPr fontId="1" type="noConversion"/>
  </si>
  <si>
    <t>冠亚和-05/06</t>
    <phoneticPr fontId="1" type="noConversion"/>
  </si>
  <si>
    <t>冠亚和-07/08</t>
    <phoneticPr fontId="1" type="noConversion"/>
  </si>
  <si>
    <t>冠亚和-09/10</t>
    <phoneticPr fontId="1" type="noConversion"/>
  </si>
  <si>
    <t>冠亚和-11</t>
    <phoneticPr fontId="1" type="noConversion"/>
  </si>
  <si>
    <t>冠亚和-12/13</t>
    <phoneticPr fontId="1" type="noConversion"/>
  </si>
  <si>
    <t>冠亚和-14/15</t>
    <phoneticPr fontId="1" type="noConversion"/>
  </si>
  <si>
    <t>冠亚和-16/17</t>
    <phoneticPr fontId="1" type="noConversion"/>
  </si>
  <si>
    <t>冠亚和-18/19</t>
    <phoneticPr fontId="1" type="noConversion"/>
  </si>
  <si>
    <t>dataValue</t>
    <phoneticPr fontId="1" type="noConversion"/>
  </si>
  <si>
    <t>自身reward</t>
    <phoneticPr fontId="1" type="noConversion"/>
  </si>
  <si>
    <r>
      <t>9</t>
    </r>
    <r>
      <rPr>
        <sz val="11"/>
        <color theme="1"/>
        <rFont val="宋体"/>
        <family val="3"/>
        <charset val="134"/>
        <scheme val="minor"/>
      </rPr>
      <t>.9reward</t>
    </r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</si>
  <si>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</si>
  <si>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上级1Code</t>
    <phoneticPr fontId="1" type="noConversion"/>
  </si>
  <si>
    <t>上级1level</t>
    <phoneticPr fontId="1" type="noConversion"/>
  </si>
  <si>
    <t>上级2Code</t>
    <phoneticPr fontId="1" type="noConversion"/>
  </si>
  <si>
    <t>上级2level</t>
    <phoneticPr fontId="1" type="noConversion"/>
  </si>
  <si>
    <t>上级3Code</t>
    <phoneticPr fontId="1" type="noConversion"/>
  </si>
  <si>
    <t>上级3level</t>
    <phoneticPr fontId="1" type="noConversion"/>
  </si>
  <si>
    <t>上级5level</t>
    <phoneticPr fontId="1" type="noConversion"/>
  </si>
  <si>
    <t>上级5返利</t>
    <phoneticPr fontId="1" type="noConversion"/>
  </si>
  <si>
    <t>上级7level</t>
    <phoneticPr fontId="1" type="noConversion"/>
  </si>
  <si>
    <t>上级8Code</t>
    <phoneticPr fontId="1" type="noConversion"/>
  </si>
  <si>
    <t>上级8UserId</t>
    <phoneticPr fontId="1" type="noConversion"/>
  </si>
  <si>
    <t>上级8level</t>
    <phoneticPr fontId="1" type="noConversion"/>
  </si>
  <si>
    <t>上级10level</t>
    <phoneticPr fontId="1" type="noConversion"/>
  </si>
  <si>
    <t>上级10返利</t>
    <phoneticPr fontId="1" type="noConversion"/>
  </si>
  <si>
    <t>上级12Code</t>
    <phoneticPr fontId="1" type="noConversion"/>
  </si>
  <si>
    <t>上级12userId</t>
    <phoneticPr fontId="1" type="noConversion"/>
  </si>
  <si>
    <t>上级14Code</t>
    <phoneticPr fontId="1" type="noConversion"/>
  </si>
  <si>
    <t>自身reward</t>
    <phoneticPr fontId="1" type="noConversion"/>
  </si>
  <si>
    <t>返利总和</t>
    <phoneticPr fontId="1" type="noConversion"/>
  </si>
  <si>
    <t>null</t>
    <phoneticPr fontId="1" type="noConversion"/>
  </si>
  <si>
    <t>test003</t>
  </si>
  <si>
    <t>上级1userId</t>
    <phoneticPr fontId="1" type="noConversion"/>
  </si>
  <si>
    <t>上级2UserId</t>
    <phoneticPr fontId="1" type="noConversion"/>
  </si>
  <si>
    <t>上级3userId</t>
    <phoneticPr fontId="1" type="noConversion"/>
  </si>
  <si>
    <t>上级13userId</t>
    <phoneticPr fontId="1" type="noConversion"/>
  </si>
  <si>
    <t>上级2返利</t>
    <phoneticPr fontId="1" type="noConversion"/>
  </si>
  <si>
    <t>上级12返利</t>
    <phoneticPr fontId="1" type="noConversion"/>
  </si>
  <si>
    <t>02 03,08 09,09 04,05 09</t>
    <phoneticPr fontId="1" type="noConversion"/>
  </si>
  <si>
    <t>自身reward</t>
    <phoneticPr fontId="1" type="noConversion"/>
  </si>
  <si>
    <t>自身dataValue</t>
    <phoneticPr fontId="1" type="noConversion"/>
  </si>
  <si>
    <r>
      <t>9</t>
    </r>
    <r>
      <rPr>
        <sz val="11"/>
        <color theme="1"/>
        <rFont val="宋体"/>
        <family val="3"/>
        <charset val="134"/>
        <scheme val="minor"/>
      </rPr>
      <t>.9reward</t>
    </r>
    <phoneticPr fontId="1" type="noConversion"/>
  </si>
  <si>
    <t>02 03,08 09,09 04,05 09</t>
  </si>
  <si>
    <t>定位胆</t>
    <phoneticPr fontId="1" type="noConversion"/>
  </si>
  <si>
    <t>betRange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</si>
  <si>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</si>
  <si>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</si>
  <si>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</si>
  <si>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</si>
  <si>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>01 02 03 04,05 06 07 08,09 10 01 02</t>
    <phoneticPr fontId="1" type="noConversion"/>
  </si>
  <si>
    <t>01 02 03 04 05 06 07 08 09 10</t>
    <phoneticPr fontId="1" type="noConversion"/>
  </si>
  <si>
    <t>01 02 03 04 05 06 07 08 09 10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</si>
  <si>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</si>
  <si>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</si>
  <si>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</si>
  <si>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</si>
  <si>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</si>
  <si>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</si>
  <si>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RebateAll</t>
    <phoneticPr fontId="1" type="noConversion"/>
  </si>
  <si>
    <t>drawnAmount</t>
    <phoneticPr fontId="1" type="noConversion"/>
  </si>
  <si>
    <t>balance</t>
    <phoneticPr fontId="1" type="noConversion"/>
  </si>
  <si>
    <t>resultNum</t>
    <phoneticPr fontId="1" type="noConversion"/>
  </si>
  <si>
    <t>01 02 03 04 05,06 07 08 09 10</t>
    <phoneticPr fontId="1" type="noConversion"/>
  </si>
  <si>
    <t>01,02,09,07,04,06,05,10,03,08</t>
  </si>
  <si>
    <t>01,03,07,06,04,05,02,09,10,08</t>
  </si>
  <si>
    <t>01,03,08,09,02,04,10,06,05,07</t>
  </si>
  <si>
    <t>01,04,10,08,03,06,05,09,02,07</t>
  </si>
  <si>
    <t>01,05,08,07,10,09,04,03,06,02</t>
  </si>
  <si>
    <t>02,06,03,08,09,07,10,01,04,05</t>
  </si>
  <si>
    <t>02,07,10,03,08,05,01,09,06,04</t>
  </si>
  <si>
    <t>02,10,01,09,05,03,04,07,06,08</t>
  </si>
  <si>
    <t>04,01,06,03,05,07,02,10,08,09</t>
  </si>
  <si>
    <t>04,01,07,10,05,02,09,06,08,03</t>
  </si>
  <si>
    <t>04,02,09,01,06,10,07,05,08,03</t>
  </si>
  <si>
    <t>04,03,01,08,06,07,02,09,10,05</t>
  </si>
  <si>
    <t>04,10,01,08,06,07,03,02,05,09</t>
  </si>
  <si>
    <t>05,06,03,02,07,08,09,01,04,10</t>
  </si>
  <si>
    <t>06,02,07,05,03,09,10,04,08,01</t>
  </si>
  <si>
    <t>06,05,08,07,01,02,04,10,09,03</t>
  </si>
  <si>
    <t>06,08,01,02,09,04,05,03,07,10</t>
  </si>
  <si>
    <t>07,03,05,06,10,01,04,09,02,08</t>
  </si>
  <si>
    <t>07,06,03,05,01,09,04,02,08,10</t>
  </si>
  <si>
    <t>07,06,05,02,09,08,10,04,03,01</t>
  </si>
  <si>
    <t>07,09,03,05,08,01,06,02,10,04</t>
  </si>
  <si>
    <t>08,03,01,09,05,04,07,06,10,02</t>
  </si>
  <si>
    <t>08,09,02,04,03,06,10,07,01,05</t>
  </si>
  <si>
    <t>08,10,05,04,06,03,07,09,01,02</t>
  </si>
  <si>
    <t>09,05,10,01,02,03,06,04,08,07</t>
  </si>
  <si>
    <t>09,10,03,02,05,04,07,06,08,01</t>
  </si>
  <si>
    <t>09,10,04,05,01,02,08,07,03,06</t>
  </si>
  <si>
    <t>10,04,02,08,03,05,06,01,07,09</t>
  </si>
  <si>
    <t>10,05,03,04,02,01,06,09,08,07</t>
  </si>
  <si>
    <t>01 02 03 04 05 06 07 08 09 10</t>
    <phoneticPr fontId="1" type="noConversion"/>
  </si>
  <si>
    <t>01 02 03 04 05 06 07 08 09 10,01 02 03 04 05 06 07 08 09 10,01 02 03 04 05 06 07 08 09 10,01 02 03 04 05 06 07 08 09 10,01 02 03 04 05 06 07 08 09 10</t>
  </si>
  <si>
    <t>01 02 03 04 05,06 07 08 09 10</t>
  </si>
  <si>
    <t>01 02 03 04,05 06 07 08,09 10 01 02</t>
  </si>
  <si>
    <t>09 08 01</t>
  </si>
  <si>
    <t>q</t>
    <phoneticPr fontId="7" type="noConversion"/>
  </si>
  <si>
    <t>result</t>
    <phoneticPr fontId="1" type="noConversion"/>
  </si>
  <si>
    <t>spend</t>
  </si>
  <si>
    <t>返利总和</t>
  </si>
  <si>
    <t>DrawnAmount</t>
  </si>
  <si>
    <t>betUserId</t>
    <phoneticPr fontId="1" type="noConversion"/>
  </si>
  <si>
    <t>user_Id</t>
    <phoneticPr fontId="1" type="noConversion"/>
  </si>
  <si>
    <t>parentCode</t>
    <phoneticPr fontId="1" type="noConversion"/>
  </si>
  <si>
    <t>InviCode</t>
    <phoneticPr fontId="1" type="noConversion"/>
  </si>
  <si>
    <t>InviCode1</t>
    <phoneticPr fontId="1" type="noConversion"/>
  </si>
  <si>
    <t>InviCode2</t>
    <phoneticPr fontId="1" type="noConversion"/>
  </si>
  <si>
    <t>自身level</t>
    <phoneticPr fontId="1" type="noConversion"/>
  </si>
  <si>
    <t>test001</t>
    <phoneticPr fontId="1" type="noConversion"/>
  </si>
  <si>
    <t>test002</t>
    <phoneticPr fontId="1" type="noConversion"/>
  </si>
  <si>
    <t>上级3返利</t>
    <phoneticPr fontId="1" type="noConversion"/>
  </si>
  <si>
    <t>上级4Code</t>
    <phoneticPr fontId="1" type="noConversion"/>
  </si>
  <si>
    <t>上级4UserId</t>
    <phoneticPr fontId="1" type="noConversion"/>
  </si>
  <si>
    <t>上级4level</t>
    <phoneticPr fontId="1" type="noConversion"/>
  </si>
  <si>
    <t>上级4返利</t>
    <phoneticPr fontId="1" type="noConversion"/>
  </si>
  <si>
    <t>上级5Code</t>
    <phoneticPr fontId="1" type="noConversion"/>
  </si>
  <si>
    <t>上级5userId</t>
    <phoneticPr fontId="1" type="noConversion"/>
  </si>
  <si>
    <t>上级6Code</t>
    <phoneticPr fontId="1" type="noConversion"/>
  </si>
  <si>
    <t>上级6UserId</t>
    <phoneticPr fontId="1" type="noConversion"/>
  </si>
  <si>
    <t>上级6level</t>
    <phoneticPr fontId="1" type="noConversion"/>
  </si>
  <si>
    <t>上级6返利</t>
    <phoneticPr fontId="1" type="noConversion"/>
  </si>
  <si>
    <t>上级7Code</t>
    <phoneticPr fontId="1" type="noConversion"/>
  </si>
  <si>
    <t>上级7userId</t>
    <phoneticPr fontId="1" type="noConversion"/>
  </si>
  <si>
    <t>上级7返利</t>
    <phoneticPr fontId="1" type="noConversion"/>
  </si>
  <si>
    <t>上级8返利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</si>
  <si>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</si>
  <si>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</si>
  <si>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</si>
  <si>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上级9返利</t>
    <phoneticPr fontId="1" type="noConversion"/>
  </si>
  <si>
    <t>上级10Code</t>
    <phoneticPr fontId="1" type="noConversion"/>
  </si>
  <si>
    <t>上级10userId</t>
    <phoneticPr fontId="1" type="noConversion"/>
  </si>
  <si>
    <t>上级11Code</t>
    <phoneticPr fontId="1" type="noConversion"/>
  </si>
  <si>
    <t>上级11userId</t>
    <phoneticPr fontId="1" type="noConversion"/>
  </si>
  <si>
    <t>上级11level</t>
    <phoneticPr fontId="1" type="noConversion"/>
  </si>
  <si>
    <t>上级11返利</t>
    <phoneticPr fontId="1" type="noConversion"/>
  </si>
  <si>
    <t>上级12level</t>
    <phoneticPr fontId="1" type="noConversion"/>
  </si>
  <si>
    <t>上级13Code</t>
    <phoneticPr fontId="1" type="noConversion"/>
  </si>
  <si>
    <t>上级13level</t>
    <phoneticPr fontId="1" type="noConversion"/>
  </si>
  <si>
    <t>上级13返利</t>
    <phoneticPr fontId="1" type="noConversion"/>
  </si>
  <si>
    <t>上级14userId</t>
    <phoneticPr fontId="1" type="noConversion"/>
  </si>
  <si>
    <t>上级14level</t>
    <phoneticPr fontId="1" type="noConversion"/>
  </si>
  <si>
    <t>上级14返利</t>
    <phoneticPr fontId="1" type="noConversion"/>
  </si>
  <si>
    <t>上级15Code</t>
    <phoneticPr fontId="1" type="noConversion"/>
  </si>
  <si>
    <t>上级15userId</t>
    <phoneticPr fontId="1" type="noConversion"/>
  </si>
  <si>
    <t>上级15level</t>
    <phoneticPr fontId="1" type="noConversion"/>
  </si>
  <si>
    <t>上级15返利</t>
    <phoneticPr fontId="1" type="noConversion"/>
  </si>
  <si>
    <t>07,06,03,05,01,09,04,02,08,10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</si>
</sst>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A7D00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47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1" applyFont="1" applyAlignment="1">
      <alignment horizontal="center" vertical="center" wrapText="1"/>
    </xf>
  </cellXfs>
  <cellStyles count="2">
    <cellStyle name="常规" xfId="0" builtinId="0"/>
    <cellStyle name="常规 2" xfId="1"/>
  </cellStyles>
  <dxfs count="1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bateAll" form="unqualified"/>
                  <xsd:element minOccurs="0" nillable="true" type="xsd:string" name="drawnAmount" form="unqualified"/>
                  <xsd:element minOccurs="0" nillable="true" type="xsd:string" name="balance" form="unqualified"/>
                  <xsd:element minOccurs="0" nillable="true" type="xsd:string" name="resultNum" form="unqualified"/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orderrebate">
        <xsd:complexType>
          <xsd:sequence minOccurs="0">
            <xsd:element minOccurs="0" maxOccurs="unbounded" nillable="true" name="lottery" form="unqualified">
              <xsd:complexType>
                <xsd:sequence minOccurs="0">
                  <xsd:element minOccurs="0" nillable="true" type="xsd:string" name="Result" form="unqualified"/>
                  <xsd:element minOccurs="0" nillable="true" type="xsd:string" name="SumOfWinNum" form="unqualified"/>
                </xsd:sequence>
              </xsd:complexType>
            </xsd:element>
          </xsd:sequence>
        </xsd:complexType>
      </xsd:element>
    </xsd:schema>
  </Schema>
  <Map ID="8" Name="betorder_映射" RootElement="betorder" SchemaID="Schema2" ShowImportExportValidationErrors="false" AutoFit="true" Append="false" PreserveSortAFLayout="true" PreserveFormat="true">
    <DataBinding FileBinding="true" ConnectionID="7" DataBindingLoadMode="1"/>
  </Map>
  <Map ID="9" Name="orderrebate_映射" RootElement="orderrebate" SchemaID="Schema3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表1" displayName="表1" ref="A1:J13" tableType="xml" totalsRowShown="0" headerRowDxfId="11" dataDxfId="10" connectionId="7">
  <autoFilter ref="A1:J13"/>
  <tableColumns count="10">
    <tableColumn id="1" uniqueName="betRange" name="betRange" dataDxfId="9">
      <xmlColumnPr mapId="8" xpath="/betorder/order/betRange" xmlDataType="string"/>
    </tableColumn>
    <tableColumn id="2" uniqueName="playType" name="playType" dataDxfId="8">
      <xmlColumnPr mapId="8" xpath="/betorder/order/playType" xmlDataType="string"/>
    </tableColumn>
    <tableColumn id="3" uniqueName="betContent" name="betContent" dataDxfId="7">
      <xmlColumnPr mapId="8" xpath="/betorder/order/betContent" xmlDataType="string"/>
    </tableColumn>
    <tableColumn id="4" uniqueName="mutiple" name="mutiple" dataDxfId="6">
      <xmlColumnPr mapId="8" xpath="/betorder/order/mutiple" xmlDataType="string"/>
    </tableColumn>
    <tableColumn id="5" uniqueName="amount" name="amount" dataDxfId="5">
      <xmlColumnPr mapId="8" xpath="/betorder/order/amount" xmlDataType="string"/>
    </tableColumn>
    <tableColumn id="6" uniqueName="spend" name="spend" dataDxfId="4">
      <xmlColumnPr mapId="8" xpath="/betorder/order/spend" xmlDataType="string"/>
    </tableColumn>
    <tableColumn id="7" uniqueName="RebateAll" name="RebateAll" dataDxfId="3">
      <xmlColumnPr mapId="8" xpath="/betorder/order/RebateAll" xmlDataType="string"/>
    </tableColumn>
    <tableColumn id="8" uniqueName="drawnAmount" name="drawnAmount" dataDxfId="2">
      <xmlColumnPr mapId="8" xpath="/betorder/order/drawnAmount" xmlDataType="string"/>
    </tableColumn>
    <tableColumn id="9" uniqueName="balance" name="balance" dataDxfId="1">
      <xmlColumnPr mapId="8" xpath="/betorder/order/balance" xmlDataType="string"/>
    </tableColumn>
    <tableColumn id="10" uniqueName="resultNum" name="resultNum" dataDxfId="0">
      <xmlColumnPr mapId="8" xpath="/betorder/order/resultNum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13"/>
  <sheetViews>
    <sheetView topLeftCell="D1" zoomScaleNormal="100" workbookViewId="0">
      <pane xSplit="2" ySplit="1" topLeftCell="F2" activePane="bottomRight" state="frozen"/>
      <selection activeCell="D1" sqref="D1"/>
      <selection pane="topRight" activeCell="F1" sqref="F1"/>
      <selection pane="bottomLeft" activeCell="D2" sqref="D2"/>
      <selection pane="bottomRight" activeCell="J2" sqref="J2"/>
    </sheetView>
  </sheetViews>
  <sheetFormatPr defaultColWidth="9" defaultRowHeight="13.5" x14ac:dyDescent="0.15"/>
  <cols>
    <col min="1" max="1" width="4.5" style="5" hidden="1" customWidth="1"/>
    <col min="2" max="2" width="12.75" style="5" hidden="1" customWidth="1"/>
    <col min="3" max="3" width="0.125" style="5" hidden="1" customWidth="1"/>
    <col min="4" max="4" width="12.375" style="5" customWidth="1"/>
    <col min="5" max="5" width="14.125" style="5" customWidth="1"/>
    <col min="6" max="6" width="33" style="5" customWidth="1"/>
    <col min="7" max="8" width="9.5" style="5" bestFit="1" customWidth="1"/>
    <col min="9" max="9" width="12.75" style="5" bestFit="1" customWidth="1"/>
    <col min="10" max="10" width="11.125" style="24" customWidth="1"/>
    <col min="11" max="11" width="16.75" style="5" bestFit="1" customWidth="1"/>
    <col min="12" max="12" width="16.25" style="5" customWidth="1"/>
    <col min="13" max="21" width="9" style="5" hidden="1" customWidth="1"/>
    <col min="22" max="22" width="11.125" style="5" hidden="1" customWidth="1"/>
    <col min="23" max="24" width="9" style="5"/>
    <col min="25" max="25" width="12.375" style="5" customWidth="1"/>
    <col min="26" max="26" width="10.5" style="5" bestFit="1" customWidth="1"/>
    <col min="27" max="27" width="15.75" style="5" customWidth="1"/>
    <col min="28" max="28" width="10.5" style="5" bestFit="1" customWidth="1"/>
    <col min="29" max="29" width="9" style="5"/>
    <col min="30" max="30" width="11.375" style="5" bestFit="1" customWidth="1"/>
    <col min="31" max="31" width="10.5" style="5" bestFit="1" customWidth="1"/>
    <col min="32" max="16384" width="9" style="5"/>
  </cols>
  <sheetData>
    <row r="1" spans="1:31" ht="32.25" customHeight="1" x14ac:dyDescent="0.15">
      <c r="A1" s="5">
        <v>1</v>
      </c>
      <c r="B1" s="5">
        <v>5050</v>
      </c>
      <c r="C1" s="5" t="s">
        <v>3</v>
      </c>
      <c r="D1" s="14" t="s">
        <v>0</v>
      </c>
      <c r="E1" s="5" t="s">
        <v>1</v>
      </c>
      <c r="F1" s="5" t="s">
        <v>14</v>
      </c>
      <c r="G1" s="5" t="s">
        <v>4</v>
      </c>
      <c r="H1" s="5" t="s">
        <v>15</v>
      </c>
      <c r="I1" s="5" t="s">
        <v>16</v>
      </c>
      <c r="J1" s="25" t="s">
        <v>129</v>
      </c>
      <c r="K1" s="5" t="s">
        <v>7</v>
      </c>
      <c r="L1" s="5" t="s">
        <v>17</v>
      </c>
      <c r="M1" s="18" t="s">
        <v>82</v>
      </c>
      <c r="N1" s="18" t="s">
        <v>83</v>
      </c>
      <c r="O1" s="18" t="s">
        <v>84</v>
      </c>
      <c r="P1" s="18" t="s">
        <v>85</v>
      </c>
      <c r="Q1" s="18" t="s">
        <v>86</v>
      </c>
      <c r="R1" s="39" t="s">
        <v>197</v>
      </c>
      <c r="S1" s="18" t="s">
        <v>87</v>
      </c>
      <c r="T1" s="18" t="s">
        <v>88</v>
      </c>
      <c r="U1" s="18" t="s">
        <v>89</v>
      </c>
      <c r="V1" s="18" t="s">
        <v>90</v>
      </c>
      <c r="W1" s="18" t="s">
        <v>91</v>
      </c>
      <c r="X1" s="18" t="s">
        <v>92</v>
      </c>
      <c r="Y1" s="18" t="s">
        <v>93</v>
      </c>
      <c r="Z1" s="18" t="s">
        <v>94</v>
      </c>
    </row>
    <row r="2" spans="1:31" ht="143.25" customHeight="1" x14ac:dyDescent="0.15">
      <c r="A2" s="1">
        <v>2</v>
      </c>
      <c r="B2" s="5" t="s">
        <v>6</v>
      </c>
      <c r="C2" s="5">
        <v>20180517001</v>
      </c>
      <c r="D2" s="16" t="s">
        <v>55</v>
      </c>
      <c r="E2" s="5" t="s">
        <v>18</v>
      </c>
      <c r="F2" s="42" t="str">
        <f>PK10Source!D2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G2" s="14">
        <f>PK10Source!E2</f>
        <v>2</v>
      </c>
      <c r="H2" s="14">
        <f>PK10Source!F2</f>
        <v>1</v>
      </c>
      <c r="I2" s="5">
        <f>PK10Source!G2</f>
        <v>400</v>
      </c>
      <c r="J2" s="24">
        <f>IF(X$3=1,IF(agent!B$3=9.9,0,I2*(agent!D$6-agent!B$3)/100),SUM(M2:V2))</f>
        <v>0</v>
      </c>
      <c r="K2" s="14">
        <f>PK10Source!H2</f>
        <v>399.6</v>
      </c>
      <c r="L2" s="14">
        <f>100000000-I2+K2</f>
        <v>99999999.599999994</v>
      </c>
      <c r="M2" s="17">
        <f>IF(ISNUMBER(agent!$O$6*(K2/Y2)*$W2),TRUNC(agent!$O$6*(K2/Y2)*$W2,3),"没有上级")</f>
        <v>0</v>
      </c>
      <c r="N2" s="17">
        <f>IF(ISNUMBER(agent!$O$9*(K2/Y2)*$W2),TRUNC(agent!$O$9*(K2/Y2)*$W2,3),"没有上级")</f>
        <v>0</v>
      </c>
      <c r="O2" s="17">
        <f>IF(ISNUMBER(agent!$O$12*(K2/Y2)*$W2),TRUNC(agent!$O$12*(K2/Y2)*$W2,3),"没有上级")</f>
        <v>0</v>
      </c>
      <c r="P2" s="17">
        <f>IF(ISNUMBER(agent!$O$15*(K2/Y2)*$W2),TRUNC(agent!$O$15*(K2/Y2)*$W2,3),"没有上级")</f>
        <v>0</v>
      </c>
      <c r="Q2" s="17">
        <f>IF(ISNUMBER(agent!$O$18*(K2/Y2)*$W2),TRUNC(agent!$O$18*(K2/Y2)*$W2,3),"没有上级")</f>
        <v>0</v>
      </c>
      <c r="R2" s="17">
        <f>IF(ISNUMBER(agent!$O$21*(K2/Y2)*$W2),TRUNC(agent!$O$21*(K2/Y2)*$W2,3),"没有上级")</f>
        <v>0</v>
      </c>
      <c r="S2" s="17">
        <f>IF(ISNUMBER(agent!$O$24*(K2/Y2)*$W2),TRUNC(agent!$O$24*(K2/Y2)*$W2,3),"没有上级")</f>
        <v>0</v>
      </c>
      <c r="T2" s="17">
        <f>IF(ISNUMBER(agent!$O$27*(K2/Y2)*$W2),TRUNC(agent!$O$27*(K2/Y2)*$W2,3),"没有上级")</f>
        <v>0</v>
      </c>
      <c r="U2" s="17">
        <f>IF(ISNUMBER(agent!$O$30*(K2/Y2)*$W2),TRUNC(agent!$O$30*(K2/Y2)*$W2,3),"没有上级")</f>
        <v>0</v>
      </c>
      <c r="V2" s="17">
        <f>IF(ISNUMBER(agent!$O$33*(K2/Y2)*$W2),TRUNC(agent!$O$33*(K2/Y2)*$W2,3),"没有上级")</f>
        <v>0</v>
      </c>
      <c r="W2" s="17">
        <f>TRUNC(0.02,3)</f>
        <v>0.02</v>
      </c>
      <c r="X2" s="17"/>
      <c r="Y2" s="17">
        <f>TRUNC(Z2-W2*(9.9-agent!B$3)*10,3)</f>
        <v>19.98</v>
      </c>
      <c r="Z2" s="17">
        <f>TRUNC(18+W2*99,3)</f>
        <v>19.98</v>
      </c>
      <c r="AA2" s="18" t="s">
        <v>95</v>
      </c>
      <c r="AB2" s="18" t="s">
        <v>107</v>
      </c>
      <c r="AD2" s="17" t="s">
        <v>108</v>
      </c>
      <c r="AE2" s="18" t="s">
        <v>109</v>
      </c>
    </row>
    <row r="3" spans="1:31" ht="74.25" customHeight="1" x14ac:dyDescent="0.15">
      <c r="A3" s="5">
        <v>7</v>
      </c>
      <c r="D3" s="14" t="s">
        <v>19</v>
      </c>
      <c r="E3" s="16" t="s">
        <v>81</v>
      </c>
      <c r="F3" s="42" t="str">
        <f>PK10Source!D12</f>
        <v>01 02 03 04 05 06 07 08 09 10,01 02 03 04 05 06 07 08 09 10,01 02 03 04 05 06 07 08 09 10,01 02 03 04 05 06 07 08 09 10,01 02 03 04 05 06 07 08 09 10</v>
      </c>
      <c r="G3" s="14">
        <f>PK10Source!E12</f>
        <v>1</v>
      </c>
      <c r="H3" s="14">
        <f>PK10Source!F12</f>
        <v>1</v>
      </c>
      <c r="I3" s="14">
        <f>PK10Source!G12</f>
        <v>60480</v>
      </c>
      <c r="J3" s="41">
        <f>IF(X$3=1,IF(agent!B$3=9.9,0,I3*(agent!D$6-agent!B$3)/100),SUM(M3:V3))</f>
        <v>0</v>
      </c>
      <c r="K3" s="14">
        <f>PK10Source!H12</f>
        <v>60419.519999999997</v>
      </c>
      <c r="L3" s="14">
        <f>L2-I3+K3</f>
        <v>99999939.11999999</v>
      </c>
      <c r="M3" s="26">
        <f>IF(ISNUMBER(agent!$O$6*(K3/Y3)*$W3),TRUNC(agent!$O$6*(K3/Y3)*$W3,3),"没有上级")</f>
        <v>0</v>
      </c>
      <c r="N3" s="26">
        <f>IF(ISNUMBER(agent!$O$9*(K3/Y3)*$W3),TRUNC(agent!$O$9*(K3/Y3)*$W3,3),"没有上级")</f>
        <v>0</v>
      </c>
      <c r="O3" s="26">
        <f>IF(ISNUMBER(agent!$O$12*(K3/Y3)*$W3),TRUNC(agent!$O$12*(K3/Y3)*$W3,3),"没有上级")</f>
        <v>0</v>
      </c>
      <c r="P3" s="26">
        <f>IF(ISNUMBER(agent!$O$15*(K3/Y3)*$W3),TRUNC(agent!$O$15*(K3/Y3)*$W3,3),"没有上级")</f>
        <v>0</v>
      </c>
      <c r="Q3" s="26">
        <f>IF(ISNUMBER(agent!$O$18*(K3/Y3)*$W3),TRUNC(agent!$O$18*(K3/Y3)*$W3,3),"没有上级")</f>
        <v>0</v>
      </c>
      <c r="R3" s="26">
        <f>IF(ISNUMBER(agent!$O$21*(K3/Y3)*$W3),TRUNC(agent!$O$21*(K3/Y3)*$W3,3),"没有上级")</f>
        <v>0</v>
      </c>
      <c r="S3" s="26">
        <f>IF(ISNUMBER(agent!$O$24*(K3/Y3)*$W3),TRUNC(agent!$O$24*(K3/Y3)*$W3,3),"没有上级")</f>
        <v>0</v>
      </c>
      <c r="T3" s="26">
        <f>IF(ISNUMBER(agent!$O$27*(K3/Y3)*$W3),TRUNC(agent!$O$27*(K3/Y3)*$W3,3),"没有上级")</f>
        <v>0</v>
      </c>
      <c r="U3" s="26">
        <f>IF(ISNUMBER(agent!$O$30*(K3/Y3)*$W3),TRUNC(agent!$O$30*(K3/Y3)*$W3,3),"没有上级")</f>
        <v>0</v>
      </c>
      <c r="V3" s="26">
        <f>IF(ISNUMBER(agent!$O$33*(K3/Y3)*$W3),TRUNC(agent!$O$33*(K3/Y3)*$W3,3),"没有上级")</f>
        <v>0</v>
      </c>
      <c r="W3" s="17">
        <f>TRUNC(60.48,3)</f>
        <v>60.48</v>
      </c>
      <c r="X3" s="17">
        <v>1</v>
      </c>
      <c r="Y3" s="36">
        <f>TRUNC(Z3-W3*(9.9-agent!B$3)*10,3)</f>
        <v>60419.519999999997</v>
      </c>
      <c r="Z3" s="17">
        <f>TRUNC(54432+W3*99,3)</f>
        <v>60419.519999999997</v>
      </c>
      <c r="AA3" s="18" t="s">
        <v>96</v>
      </c>
      <c r="AB3" s="5">
        <f>TRUNC(0.002257,3)</f>
        <v>2E-3</v>
      </c>
      <c r="AD3" s="17">
        <f>TRUNC(AE3-AB3*(9.9-agent!B$3)*10,3)</f>
        <v>2.2229999999999999</v>
      </c>
      <c r="AE3" s="17">
        <f>TRUNC(2.025+AB3*99,3)</f>
        <v>2.2229999999999999</v>
      </c>
    </row>
    <row r="4" spans="1:31" x14ac:dyDescent="0.15">
      <c r="A4" s="5">
        <v>9</v>
      </c>
      <c r="D4" s="14" t="s">
        <v>19</v>
      </c>
      <c r="E4" s="5" t="s">
        <v>20</v>
      </c>
      <c r="F4" s="42" t="str">
        <f>PK10Source!D17</f>
        <v>01 02 03 04 05,06 07 08 09 10</v>
      </c>
      <c r="G4" s="14">
        <f>PK10Source!E17</f>
        <v>3</v>
      </c>
      <c r="H4" s="14">
        <f>PK10Source!F17</f>
        <v>1</v>
      </c>
      <c r="I4" s="14">
        <f>PK10Source!G17</f>
        <v>12</v>
      </c>
      <c r="J4" s="41">
        <f>IF(X$3=1,IF(agent!B$3=9.9,0,I4*(agent!D$6-agent!B$3)/100),SUM(M4:V4))</f>
        <v>0</v>
      </c>
      <c r="K4" s="14">
        <f>PK10Source!H17</f>
        <v>0</v>
      </c>
      <c r="L4" s="29">
        <f t="shared" ref="L4:L12" si="0">L3-I4+K4</f>
        <v>99999927.11999999</v>
      </c>
      <c r="M4" s="26">
        <f>IF(ISNUMBER(agent!$O$6*(K4/Y4)*$W4),TRUNC(agent!$O$6*(K4/Y4)*$W4,3),"没有上级")</f>
        <v>0</v>
      </c>
      <c r="N4" s="26">
        <f>IF(ISNUMBER(agent!$O$9*(K4/Y4)*$W4),TRUNC(agent!$O$9*(K4/Y4)*$W4,3),"没有上级")</f>
        <v>0</v>
      </c>
      <c r="O4" s="26">
        <f>IF(ISNUMBER(agent!$O$12*(K4/Y4)*$W4),TRUNC(agent!$O$12*(K4/Y4)*$W4,3),"没有上级")</f>
        <v>0</v>
      </c>
      <c r="P4" s="26">
        <f>IF(ISNUMBER(agent!$O$15*(K4/Y4)*$W4),TRUNC(agent!$O$15*(K4/Y4)*$W4,3),"没有上级")</f>
        <v>0</v>
      </c>
      <c r="Q4" s="26">
        <f>IF(ISNUMBER(agent!$O$18*(K4/Y4)*$W4),TRUNC(agent!$O$18*(K4/Y4)*$W4,3),"没有上级")</f>
        <v>0</v>
      </c>
      <c r="R4" s="26">
        <f>IF(ISNUMBER(agent!$O$21*(K4/Y4)*$W4),TRUNC(agent!$O$21*(K4/Y4)*$W4,3),"没有上级")</f>
        <v>0</v>
      </c>
      <c r="S4" s="26">
        <f>IF(ISNUMBER(agent!$O$24*(K4/Y4)*$W4),TRUNC(agent!$O$24*(K4/Y4)*$W4,3),"没有上级")</f>
        <v>0</v>
      </c>
      <c r="T4" s="26">
        <f>IF(ISNUMBER(agent!$O$27*(K4/Y4)*$W4),TRUNC(agent!$O$27*(K4/Y4)*$W4,3),"没有上级")</f>
        <v>0</v>
      </c>
      <c r="U4" s="26">
        <f>IF(ISNUMBER(agent!$O$30*(K4/Y4)*$W4),TRUNC(agent!$O$30*(K4/Y4)*$W4,3),"没有上级")</f>
        <v>0</v>
      </c>
      <c r="V4" s="26">
        <f>IF(ISNUMBER(agent!$O$33*(K4/Y4)*$W4),TRUNC(agent!$O$33*(K4/Y4)*$W4,3),"没有上级")</f>
        <v>0</v>
      </c>
      <c r="W4" s="17">
        <f>TRUNC(60.48,3)</f>
        <v>60.48</v>
      </c>
      <c r="X4" s="17"/>
      <c r="Y4" s="36">
        <f>TRUNC(Z4-W4*(9.9-agent!B$3)*10,3)</f>
        <v>60419.519999999997</v>
      </c>
      <c r="Z4" s="17">
        <f>TRUNC(54432+W4*99,3)</f>
        <v>60419.519999999997</v>
      </c>
      <c r="AA4" s="18" t="s">
        <v>97</v>
      </c>
      <c r="AB4" s="17">
        <f>TRUNC(0.0018,3)</f>
        <v>1E-3</v>
      </c>
      <c r="AD4" s="24">
        <f>TRUNC(AE4-AB4*(9.9-agent!B$3)*10,3)</f>
        <v>1.7190000000000001</v>
      </c>
      <c r="AE4" s="17">
        <f>TRUNC(1.62+AB4*99,3)</f>
        <v>1.7190000000000001</v>
      </c>
    </row>
    <row r="5" spans="1:31" ht="54" x14ac:dyDescent="0.15">
      <c r="A5" s="5">
        <v>10</v>
      </c>
      <c r="D5" s="14" t="s">
        <v>21</v>
      </c>
      <c r="E5" s="16" t="s">
        <v>81</v>
      </c>
      <c r="F5" s="42" t="str">
        <f>PK10Source!D18</f>
        <v>01 02 03 04 05 06 07 08 09 10,01 02 03 04 05 06 07 08 09 10,01 02 03 04 05 06 07 08 09 10,01 02 03 04 05 06 07 08 09 10</v>
      </c>
      <c r="G5" s="14">
        <f>PK10Source!E18</f>
        <v>1</v>
      </c>
      <c r="H5" s="14">
        <f>PK10Source!F18</f>
        <v>1</v>
      </c>
      <c r="I5" s="14">
        <f>PK10Source!G18</f>
        <v>10080</v>
      </c>
      <c r="J5" s="41">
        <f>IF(X$3=1,IF(agent!B$3=9.9,0,I5*(agent!D$6-agent!B$3)/100),SUM(M5:V5))</f>
        <v>0</v>
      </c>
      <c r="K5" s="14">
        <f>PK10Source!H18</f>
        <v>10069.92</v>
      </c>
      <c r="L5" s="29">
        <f t="shared" si="0"/>
        <v>99999917.039999992</v>
      </c>
      <c r="M5" s="26">
        <f>IF(ISNUMBER(agent!$O$6*(K5/Y5)*$W5),TRUNC(agent!$O$6*(K5/Y5)*$W5,3),"没有上级")</f>
        <v>0</v>
      </c>
      <c r="N5" s="26">
        <f>IF(ISNUMBER(agent!$O$9*(K5/Y5)*$W5),TRUNC(agent!$O$9*(K5/Y5)*$W5,3),"没有上级")</f>
        <v>0</v>
      </c>
      <c r="O5" s="26">
        <f>IF(ISNUMBER(agent!$O$12*(K5/Y5)*$W5),TRUNC(agent!$O$12*(K5/Y5)*$W5,3),"没有上级")</f>
        <v>0</v>
      </c>
      <c r="P5" s="26">
        <f>IF(ISNUMBER(agent!$O$15*(K5/Y5)*$W5),TRUNC(agent!$O$15*(K5/Y5)*$W5,3),"没有上级")</f>
        <v>0</v>
      </c>
      <c r="Q5" s="26">
        <f>IF(ISNUMBER(agent!$O$18*(K5/Y5)*$W5),TRUNC(agent!$O$18*(K5/Y5)*$W5,3),"没有上级")</f>
        <v>0</v>
      </c>
      <c r="R5" s="26">
        <f>IF(ISNUMBER(agent!$O$21*(K5/Y5)*$W5),TRUNC(agent!$O$21*(K5/Y5)*$W5,3),"没有上级")</f>
        <v>0</v>
      </c>
      <c r="S5" s="26">
        <f>IF(ISNUMBER(agent!$O$24*(K5/Y5)*$W5),TRUNC(agent!$O$24*(K5/Y5)*$W5,3),"没有上级")</f>
        <v>0</v>
      </c>
      <c r="T5" s="26">
        <f>IF(ISNUMBER(agent!$O$27*(K5/Y5)*$W5),TRUNC(agent!$O$27*(K5/Y5)*$W5,3),"没有上级")</f>
        <v>0</v>
      </c>
      <c r="U5" s="26">
        <f>IF(ISNUMBER(agent!$O$30*(K5/Y5)*$W5),TRUNC(agent!$O$30*(K5/Y5)*$W5,3),"没有上级")</f>
        <v>0</v>
      </c>
      <c r="V5" s="26">
        <f>IF(ISNUMBER(agent!$O$33*(K5/Y5)*$W5),TRUNC(agent!$O$33*(K5/Y5)*$W5,3),"没有上级")</f>
        <v>0</v>
      </c>
      <c r="W5" s="17">
        <f>TRUNC(10.08,3)</f>
        <v>10.08</v>
      </c>
      <c r="X5" s="17"/>
      <c r="Y5" s="36">
        <f>TRUNC(Z5-W5*(9.9-agent!B$3)*10,3)</f>
        <v>10069.92</v>
      </c>
      <c r="Z5" s="17">
        <f>TRUNC(9072+W5*99,3)</f>
        <v>10069.92</v>
      </c>
      <c r="AA5" s="18" t="s">
        <v>98</v>
      </c>
      <c r="AB5" s="17">
        <f>TRUNC(0.045,3)</f>
        <v>4.4999999999999998E-2</v>
      </c>
      <c r="AD5" s="24">
        <f>TRUNC(AE5-AB5*(9.9-agent!B$3)*10,3)</f>
        <v>44.954999999999998</v>
      </c>
      <c r="AE5" s="17">
        <f>TRUNC(40.5+AB5*99,3)</f>
        <v>44.954999999999998</v>
      </c>
    </row>
    <row r="6" spans="1:31" ht="27" x14ac:dyDescent="0.15">
      <c r="A6" s="5">
        <v>11</v>
      </c>
      <c r="D6" s="14" t="s">
        <v>21</v>
      </c>
      <c r="E6" s="5" t="s">
        <v>22</v>
      </c>
      <c r="F6" s="42" t="str">
        <f>PK10Source!D22</f>
        <v>01 02 03 04,05 06 07 08,09 10 01 02</v>
      </c>
      <c r="G6" s="14">
        <f>PK10Source!E22</f>
        <v>2</v>
      </c>
      <c r="H6" s="14">
        <f>PK10Source!F22</f>
        <v>1</v>
      </c>
      <c r="I6" s="14">
        <f>PK10Source!G22</f>
        <v>12</v>
      </c>
      <c r="J6" s="41">
        <f>IF(X$3=1,IF(agent!B$3=9.9,0,I6*(agent!D$6-agent!B$3)/100),SUM(M6:V6))</f>
        <v>0</v>
      </c>
      <c r="K6" s="14">
        <f>PK10Source!H22</f>
        <v>0</v>
      </c>
      <c r="L6" s="29">
        <f t="shared" si="0"/>
        <v>99999905.039999992</v>
      </c>
      <c r="M6" s="26">
        <f>IF(ISNUMBER(agent!$O$6*(K6/Y6)*$W6),TRUNC(agent!$O$6*(K6/Y6)*$W6,3),"没有上级")</f>
        <v>0</v>
      </c>
      <c r="N6" s="26">
        <f>IF(ISNUMBER(agent!$O$9*(K6/Y6)*$W6),TRUNC(agent!$O$9*(K6/Y6)*$W6,3),"没有上级")</f>
        <v>0</v>
      </c>
      <c r="O6" s="26">
        <f>IF(ISNUMBER(agent!$O$12*(K6/Y6)*$W6),TRUNC(agent!$O$12*(K6/Y6)*$W6,3),"没有上级")</f>
        <v>0</v>
      </c>
      <c r="P6" s="26">
        <f>IF(ISNUMBER(agent!$O$15*(K6/Y6)*$W6),TRUNC(agent!$O$15*(K6/Y6)*$W6,3),"没有上级")</f>
        <v>0</v>
      </c>
      <c r="Q6" s="26">
        <f>IF(ISNUMBER(agent!$O$18*(K6/Y6)*$W6),TRUNC(agent!$O$18*(K6/Y6)*$W6,3),"没有上级")</f>
        <v>0</v>
      </c>
      <c r="R6" s="26">
        <f>IF(ISNUMBER(agent!$O$21*(K6/Y6)*$W6),TRUNC(agent!$O$21*(K6/Y6)*$W6,3),"没有上级")</f>
        <v>0</v>
      </c>
      <c r="S6" s="26">
        <f>IF(ISNUMBER(agent!$O$24*(K6/Y6)*$W6),TRUNC(agent!$O$24*(K6/Y6)*$W6,3),"没有上级")</f>
        <v>0</v>
      </c>
      <c r="T6" s="26">
        <f>IF(ISNUMBER(agent!$O$27*(K6/Y6)*$W6),TRUNC(agent!$O$27*(K6/Y6)*$W6,3),"没有上级")</f>
        <v>0</v>
      </c>
      <c r="U6" s="26">
        <f>IF(ISNUMBER(agent!$O$30*(K6/Y6)*$W6),TRUNC(agent!$O$30*(K6/Y6)*$W6,3),"没有上级")</f>
        <v>0</v>
      </c>
      <c r="V6" s="26">
        <f>IF(ISNUMBER(agent!$O$33*(K6/Y6)*$W6),TRUNC(agent!$O$33*(K6/Y6)*$W6,3),"没有上级")</f>
        <v>0</v>
      </c>
      <c r="W6" s="17">
        <f>TRUNC(10.08,3)</f>
        <v>10.08</v>
      </c>
      <c r="X6" s="17"/>
      <c r="Y6" s="36">
        <f>TRUNC(Z6-W6*(9.9-agent!B$3)*10,3)</f>
        <v>10069.92</v>
      </c>
      <c r="Z6" s="17">
        <f>TRUNC(9072+W6*99,3)</f>
        <v>10069.92</v>
      </c>
      <c r="AA6" s="18" t="s">
        <v>99</v>
      </c>
      <c r="AB6" s="17">
        <f>TRUNC(0.0225,3)</f>
        <v>2.1999999999999999E-2</v>
      </c>
      <c r="AD6" s="24">
        <f>TRUNC(AE6-AB6*(9.9-agent!B$3)*10,3)</f>
        <v>22.428000000000001</v>
      </c>
      <c r="AE6" s="17">
        <f>TRUNC(20.25+AB6*99,3)</f>
        <v>22.428000000000001</v>
      </c>
    </row>
    <row r="7" spans="1:31" ht="40.5" x14ac:dyDescent="0.15">
      <c r="A7" s="5">
        <v>12</v>
      </c>
      <c r="D7" s="14" t="s">
        <v>23</v>
      </c>
      <c r="E7" s="16" t="s">
        <v>81</v>
      </c>
      <c r="F7" s="42" t="str">
        <f>PK10Source!D23</f>
        <v>01 02 03 04 05 06 07 08 09 10,01 02 03 04 05 06 07 08 09 10,01 02 03 04 05 06 07 08 09 10</v>
      </c>
      <c r="G7" s="14">
        <f>PK10Source!E23</f>
        <v>4</v>
      </c>
      <c r="H7" s="14">
        <f>PK10Source!F23</f>
        <v>1</v>
      </c>
      <c r="I7" s="14">
        <f>PK10Source!G23</f>
        <v>5760</v>
      </c>
      <c r="J7" s="41">
        <f>IF(X$3=1,IF(agent!B$3=9.9,0,I7*(agent!D$6-agent!B$3)/100),SUM(M7:V7))</f>
        <v>0</v>
      </c>
      <c r="K7" s="14">
        <f>PK10Source!H23</f>
        <v>5754.24</v>
      </c>
      <c r="L7" s="29">
        <f t="shared" si="0"/>
        <v>99999899.279999986</v>
      </c>
      <c r="M7" s="26">
        <f>IF(ISNUMBER(agent!$O$6*(K7/Y7)*$W7),TRUNC(agent!$O$6*(K7/Y7)*$W7,3),"没有上级")</f>
        <v>0</v>
      </c>
      <c r="N7" s="26">
        <f>IF(ISNUMBER(agent!$O$9*(K7/Y7)*$W7),TRUNC(agent!$O$9*(K7/Y7)*$W7,3),"没有上级")</f>
        <v>0</v>
      </c>
      <c r="O7" s="26">
        <f>IF(ISNUMBER(agent!$O$12*(K7/Y7)*$W7),TRUNC(agent!$O$12*(K7/Y7)*$W7,3),"没有上级")</f>
        <v>0</v>
      </c>
      <c r="P7" s="26">
        <f>IF(ISNUMBER(agent!$O$15*(K7/Y7)*$W7),TRUNC(agent!$O$15*(K7/Y7)*$W7,3),"没有上级")</f>
        <v>0</v>
      </c>
      <c r="Q7" s="26">
        <f>IF(ISNUMBER(agent!$O$18*(K7/Y7)*$W7),TRUNC(agent!$O$18*(K7/Y7)*$W7,3),"没有上级")</f>
        <v>0</v>
      </c>
      <c r="R7" s="26">
        <f>IF(ISNUMBER(agent!$O$21*(K7/Y7)*$W7),TRUNC(agent!$O$21*(K7/Y7)*$W7,3),"没有上级")</f>
        <v>0</v>
      </c>
      <c r="S7" s="26">
        <f>IF(ISNUMBER(agent!$O$24*(K7/Y7)*$W7),TRUNC(agent!$O$24*(K7/Y7)*$W7,3),"没有上级")</f>
        <v>0</v>
      </c>
      <c r="T7" s="26">
        <f>IF(ISNUMBER(agent!$O$27*(K7/Y7)*$W7),TRUNC(agent!$O$27*(K7/Y7)*$W7,3),"没有上级")</f>
        <v>0</v>
      </c>
      <c r="U7" s="26">
        <f>IF(ISNUMBER(agent!$O$30*(K7/Y7)*$W7),TRUNC(agent!$O$30*(K7/Y7)*$W7,3),"没有上级")</f>
        <v>0</v>
      </c>
      <c r="V7" s="26">
        <f>IF(ISNUMBER(agent!$O$33*(K7/Y7)*$W7),TRUNC(agent!$O$33*(K7/Y7)*$W7,3),"没有上级")</f>
        <v>0</v>
      </c>
      <c r="W7" s="17">
        <f>TRUNC(1.44,3)</f>
        <v>1.44</v>
      </c>
      <c r="X7" s="17"/>
      <c r="Y7" s="36">
        <f>TRUNC(Z7-W7*(9.9-agent!B$3)*10,3)</f>
        <v>1438.56</v>
      </c>
      <c r="Z7" s="17">
        <f>TRUNC(1296+W7*99,3)</f>
        <v>1438.56</v>
      </c>
      <c r="AA7" s="18" t="s">
        <v>100</v>
      </c>
      <c r="AB7" s="17">
        <f>TRUNC(0.015,3)</f>
        <v>1.4999999999999999E-2</v>
      </c>
      <c r="AD7" s="24">
        <f>TRUNC(AE7-AB7*(9.9-agent!B$3)*10,3)</f>
        <v>14.984999999999999</v>
      </c>
      <c r="AE7" s="17">
        <f>TRUNC(13.5+AB7*99,3)</f>
        <v>14.984999999999999</v>
      </c>
    </row>
    <row r="8" spans="1:31" ht="13.5" customHeight="1" x14ac:dyDescent="0.15">
      <c r="A8" s="5">
        <v>13</v>
      </c>
      <c r="D8" s="14" t="s">
        <v>23</v>
      </c>
      <c r="E8" s="5" t="s">
        <v>24</v>
      </c>
      <c r="F8" s="42" t="str">
        <f>PK10Source!D26</f>
        <v>09 08 01</v>
      </c>
      <c r="G8" s="14">
        <f>PK10Source!E26</f>
        <v>5</v>
      </c>
      <c r="H8" s="14">
        <f>PK10Source!F26</f>
        <v>1</v>
      </c>
      <c r="I8" s="14">
        <f>PK10Source!G26</f>
        <v>10</v>
      </c>
      <c r="J8" s="41">
        <f>IF(X$3=1,IF(agent!B$3=9.9,0,I8*(agent!D$6-agent!B$3)/100),SUM(M8:V8))</f>
        <v>0</v>
      </c>
      <c r="K8" s="14">
        <f>PK10Source!H26</f>
        <v>0</v>
      </c>
      <c r="L8" s="29">
        <f t="shared" si="0"/>
        <v>99999889.279999986</v>
      </c>
      <c r="M8" s="26">
        <f>IF(ISNUMBER(agent!$O$6*(K8/Y8)*$W8),TRUNC(agent!$O$6*(K8/Y8)*$W8,3),"没有上级")</f>
        <v>0</v>
      </c>
      <c r="N8" s="26">
        <f>IF(ISNUMBER(agent!$O$9*(K8/Y8)*$W8),TRUNC(agent!$O$9*(K8/Y8)*$W8,3),"没有上级")</f>
        <v>0</v>
      </c>
      <c r="O8" s="26">
        <f>IF(ISNUMBER(agent!$O$12*(K8/Y8)*$W8),TRUNC(agent!$O$12*(K8/Y8)*$W8,3),"没有上级")</f>
        <v>0</v>
      </c>
      <c r="P8" s="26">
        <f>IF(ISNUMBER(agent!$O$15*(K8/Y8)*$W8),TRUNC(agent!$O$15*(K8/Y8)*$W8,3),"没有上级")</f>
        <v>0</v>
      </c>
      <c r="Q8" s="26">
        <f>IF(ISNUMBER(agent!$O$18*(K8/Y8)*$W8),TRUNC(agent!$O$18*(K8/Y8)*$W8,3),"没有上级")</f>
        <v>0</v>
      </c>
      <c r="R8" s="26">
        <f>IF(ISNUMBER(agent!$O$21*(K8/Y8)*$W8),TRUNC(agent!$O$21*(K8/Y8)*$W8,3),"没有上级")</f>
        <v>0</v>
      </c>
      <c r="S8" s="26">
        <f>IF(ISNUMBER(agent!$O$24*(K8/Y8)*$W8),TRUNC(agent!$O$24*(K8/Y8)*$W8,3),"没有上级")</f>
        <v>0</v>
      </c>
      <c r="T8" s="26">
        <f>IF(ISNUMBER(agent!$O$27*(K8/Y8)*$W8),TRUNC(agent!$O$27*(K8/Y8)*$W8,3),"没有上级")</f>
        <v>0</v>
      </c>
      <c r="U8" s="26">
        <f>IF(ISNUMBER(agent!$O$30*(K8/Y8)*$W8),TRUNC(agent!$O$30*(K8/Y8)*$W8,3),"没有上级")</f>
        <v>0</v>
      </c>
      <c r="V8" s="26">
        <f>IF(ISNUMBER(agent!$O$33*(K8/Y8)*$W8),TRUNC(agent!$O$33*(K8/Y8)*$W8,3),"没有上级")</f>
        <v>0</v>
      </c>
      <c r="W8" s="17">
        <f>TRUNC(1.44,3)</f>
        <v>1.44</v>
      </c>
      <c r="X8" s="17"/>
      <c r="Y8" s="36">
        <f>TRUNC(Z8-W8*(9.9-agent!B$3)*10,3)</f>
        <v>1438.56</v>
      </c>
      <c r="Z8" s="17">
        <f>TRUNC(1296+W8*99,3)</f>
        <v>1438.56</v>
      </c>
      <c r="AA8" s="18" t="s">
        <v>101</v>
      </c>
      <c r="AB8" s="17">
        <f>TRUNC(0.0112142857,3)</f>
        <v>1.0999999999999999E-2</v>
      </c>
      <c r="AD8" s="24">
        <f>TRUNC(AE8-AB8*(9.9-agent!B$3)*10,3)</f>
        <v>11.214</v>
      </c>
      <c r="AE8" s="17">
        <f>TRUNC(10.125+AB8*99,3)</f>
        <v>11.214</v>
      </c>
    </row>
    <row r="9" spans="1:31" ht="27" x14ac:dyDescent="0.15">
      <c r="A9" s="5">
        <v>14</v>
      </c>
      <c r="D9" s="14" t="s">
        <v>25</v>
      </c>
      <c r="E9" s="16" t="s">
        <v>81</v>
      </c>
      <c r="F9" s="42" t="str">
        <f>PK10Source!D27</f>
        <v>01 02 03 04 05 06 07 08 09 10,01 02 03 04 05 06 07 08 09 10</v>
      </c>
      <c r="G9" s="14">
        <f>PK10Source!E27</f>
        <v>1</v>
      </c>
      <c r="H9" s="14">
        <f>PK10Source!F27</f>
        <v>1</v>
      </c>
      <c r="I9" s="14">
        <f>PK10Source!G27</f>
        <v>180</v>
      </c>
      <c r="J9" s="41">
        <f>IF(X$3=1,IF(agent!B$3=9.9,0,I9*(agent!D$6-agent!B$3)/100),SUM(M9:V9))</f>
        <v>0</v>
      </c>
      <c r="K9" s="14">
        <f>PK10Source!H27</f>
        <v>179.82</v>
      </c>
      <c r="L9" s="29">
        <f t="shared" si="0"/>
        <v>99999889.099999979</v>
      </c>
      <c r="M9" s="26">
        <f>IF(ISNUMBER(agent!$O$6*(K9/Y9)*$W9),TRUNC(agent!$O$6*(K9/Y9)*$W9,3),"没有上级")</f>
        <v>0</v>
      </c>
      <c r="N9" s="26">
        <f>IF(ISNUMBER(agent!$O$9*(K9/Y9)*$W9),TRUNC(agent!$O$9*(K9/Y9)*$W9,3),"没有上级")</f>
        <v>0</v>
      </c>
      <c r="O9" s="26">
        <f>IF(ISNUMBER(agent!$O$12*(K9/Y9)*$W9),TRUNC(agent!$O$12*(K9/Y9)*$W9,3),"没有上级")</f>
        <v>0</v>
      </c>
      <c r="P9" s="26">
        <f>IF(ISNUMBER(agent!$O$15*(K9/Y9)*$W9),TRUNC(agent!$O$15*(K9/Y9)*$W9,3),"没有上级")</f>
        <v>0</v>
      </c>
      <c r="Q9" s="26">
        <f>IF(ISNUMBER(agent!$O$18*(K9/Y9)*$W9),TRUNC(agent!$O$18*(K9/Y9)*$W9,3),"没有上级")</f>
        <v>0</v>
      </c>
      <c r="R9" s="26">
        <f>IF(ISNUMBER(agent!$O$21*(K9/Y9)*$W9),TRUNC(agent!$O$21*(K9/Y9)*$W9,3),"没有上级")</f>
        <v>0</v>
      </c>
      <c r="S9" s="26">
        <f>IF(ISNUMBER(agent!$O$24*(K9/Y9)*$W9),TRUNC(agent!$O$24*(K9/Y9)*$W9,3),"没有上级")</f>
        <v>0</v>
      </c>
      <c r="T9" s="26">
        <f>IF(ISNUMBER(agent!$O$27*(K9/Y9)*$W9),TRUNC(agent!$O$27*(K9/Y9)*$W9,3),"没有上级")</f>
        <v>0</v>
      </c>
      <c r="U9" s="26">
        <f>IF(ISNUMBER(agent!$O$30*(K9/Y9)*$W9),TRUNC(agent!$O$30*(K9/Y9)*$W9,3),"没有上级")</f>
        <v>0</v>
      </c>
      <c r="V9" s="26">
        <f>IF(ISNUMBER(agent!$O$33*(K9/Y9)*$W9),TRUNC(agent!$O$33*(K9/Y9)*$W9,3),"没有上级")</f>
        <v>0</v>
      </c>
      <c r="W9" s="17">
        <f>TRUNC(0.18,3)</f>
        <v>0.18</v>
      </c>
      <c r="X9" s="17"/>
      <c r="Y9" s="36">
        <f>TRUNC(Z9-W9*(9.9-agent!B$3)*10,3)</f>
        <v>179.82</v>
      </c>
      <c r="Z9" s="17">
        <f>TRUNC(162+W9*99,3)</f>
        <v>179.82</v>
      </c>
      <c r="AA9" s="18" t="s">
        <v>102</v>
      </c>
      <c r="AB9" s="17">
        <f>TRUNC(0.009,3)</f>
        <v>8.9999999999999993E-3</v>
      </c>
      <c r="AD9" s="24">
        <f>TRUNC(AE9-AB9*(9.9-agent!B$3)*10,3)</f>
        <v>8.9909999999999997</v>
      </c>
      <c r="AE9" s="17">
        <f>TRUNC(8.1+AB9*99,3)</f>
        <v>8.9909999999999997</v>
      </c>
    </row>
    <row r="10" spans="1:31" x14ac:dyDescent="0.15">
      <c r="A10" s="5">
        <v>15</v>
      </c>
      <c r="D10" s="14" t="s">
        <v>25</v>
      </c>
      <c r="E10" s="5" t="s">
        <v>24</v>
      </c>
      <c r="F10" s="42" t="str">
        <f>PK10Source!D29</f>
        <v>02 03,08 09,09 04,05 09</v>
      </c>
      <c r="G10" s="14">
        <f>PK10Source!E29</f>
        <v>2</v>
      </c>
      <c r="H10" s="14">
        <f>PK10Source!F29</f>
        <v>1</v>
      </c>
      <c r="I10" s="14">
        <f>PK10Source!G29</f>
        <v>16</v>
      </c>
      <c r="J10" s="41">
        <f>IF(X$3=1,IF(agent!B$3=9.9,0,I10*(agent!D$6-agent!B$3)/100),SUM(M10:V10))</f>
        <v>0</v>
      </c>
      <c r="K10" s="14">
        <f>PK10Source!H29</f>
        <v>0</v>
      </c>
      <c r="L10" s="29">
        <f t="shared" si="0"/>
        <v>99999873.099999979</v>
      </c>
      <c r="M10" s="26">
        <f>IF(ISNUMBER(agent!$O$6*(K10/Y10)*$W10),TRUNC(agent!$O$6*(K10/Y10)*$W10,3),"没有上级")</f>
        <v>0</v>
      </c>
      <c r="N10" s="26">
        <f>IF(ISNUMBER(agent!$O$9*(K10/Y10)*$W10),TRUNC(agent!$O$9*(K10/Y10)*$W10,3),"没有上级")</f>
        <v>0</v>
      </c>
      <c r="O10" s="26">
        <f>IF(ISNUMBER(agent!$O$12*(K10/Y10)*$W10),TRUNC(agent!$O$12*(K10/Y10)*$W10,3),"没有上级")</f>
        <v>0</v>
      </c>
      <c r="P10" s="26">
        <f>IF(ISNUMBER(agent!$O$15*(K10/Y10)*$W10),TRUNC(agent!$O$15*(K10/Y10)*$W10,3),"没有上级")</f>
        <v>0</v>
      </c>
      <c r="Q10" s="26">
        <f>IF(ISNUMBER(agent!$O$18*(K10/Y10)*$W10),TRUNC(agent!$O$18*(K10/Y10)*$W10,3),"没有上级")</f>
        <v>0</v>
      </c>
      <c r="R10" s="26">
        <f>IF(ISNUMBER(agent!$O$21*(K10/Y10)*$W10),TRUNC(agent!$O$21*(K10/Y10)*$W10,3),"没有上级")</f>
        <v>0</v>
      </c>
      <c r="S10" s="26">
        <f>IF(ISNUMBER(agent!$O$24*(K10/Y10)*$W10),TRUNC(agent!$O$24*(K10/Y10)*$W10,3),"没有上级")</f>
        <v>0</v>
      </c>
      <c r="T10" s="26">
        <f>IF(ISNUMBER(agent!$O$27*(K10/Y10)*$W10),TRUNC(agent!$O$27*(K10/Y10)*$W10,3),"没有上级")</f>
        <v>0</v>
      </c>
      <c r="U10" s="26">
        <f>IF(ISNUMBER(agent!$O$30*(K10/Y10)*$W10),TRUNC(agent!$O$30*(K10/Y10)*$W10,3),"没有上级")</f>
        <v>0</v>
      </c>
      <c r="V10" s="26">
        <f>IF(ISNUMBER(agent!$O$33*(K10/Y10)*$W10),TRUNC(agent!$O$33*(K10/Y10)*$W10,3),"没有上级")</f>
        <v>0</v>
      </c>
      <c r="W10" s="17">
        <f>TRUNC(0.18,3)</f>
        <v>0.18</v>
      </c>
      <c r="X10" s="17"/>
      <c r="Y10" s="36">
        <f>TRUNC(Z10-W10*(9.9-agent!B$3)*10,3)</f>
        <v>179.82</v>
      </c>
      <c r="Z10" s="17">
        <f>TRUNC(162+W10*99,3)</f>
        <v>179.82</v>
      </c>
      <c r="AA10" s="18" t="s">
        <v>103</v>
      </c>
      <c r="AB10" s="17">
        <f>AB8</f>
        <v>1.0999999999999999E-2</v>
      </c>
      <c r="AD10" s="17">
        <f>AD8</f>
        <v>11.214</v>
      </c>
      <c r="AE10" s="17">
        <f>AE8</f>
        <v>11.214</v>
      </c>
    </row>
    <row r="11" spans="1:31" x14ac:dyDescent="0.15">
      <c r="A11" s="5">
        <v>16</v>
      </c>
      <c r="D11" s="14" t="s">
        <v>26</v>
      </c>
      <c r="E11" s="16" t="s">
        <v>81</v>
      </c>
      <c r="F11" s="42" t="str">
        <f>PK10Source!D30</f>
        <v xml:space="preserve">01 02 03 04 05 06 07 08 09 10 </v>
      </c>
      <c r="G11" s="14">
        <f>PK10Source!E30</f>
        <v>3</v>
      </c>
      <c r="H11" s="14">
        <f>PK10Source!F30</f>
        <v>1</v>
      </c>
      <c r="I11" s="14">
        <f>PK10Source!G30</f>
        <v>60</v>
      </c>
      <c r="J11" s="41">
        <f>IF(X$3=1,IF(agent!B$3=9.9,0,I11*(agent!D$6-agent!B$3)/100),SUM(M11:V11))</f>
        <v>0</v>
      </c>
      <c r="K11" s="14">
        <f>PK10Source!H30</f>
        <v>59.94</v>
      </c>
      <c r="L11" s="29">
        <f t="shared" si="0"/>
        <v>99999873.039999977</v>
      </c>
      <c r="M11" s="26">
        <f>IF(ISNUMBER(agent!$O$6*(K11/Y11)*$W11),TRUNC(agent!$O$6*(K11/Y11)*$W11,3),"没有上级")</f>
        <v>0</v>
      </c>
      <c r="N11" s="26">
        <f>IF(ISNUMBER(agent!$O$9*(K11/Y11)*$W11),TRUNC(agent!$O$9*(K11/Y11)*$W11,3),"没有上级")</f>
        <v>0</v>
      </c>
      <c r="O11" s="26">
        <f>IF(ISNUMBER(agent!$O$12*(K11/Y11)*$W11),TRUNC(agent!$O$12*(K11/Y11)*$W11,3),"没有上级")</f>
        <v>0</v>
      </c>
      <c r="P11" s="26">
        <f>IF(ISNUMBER(agent!$O$15*(K11/Y11)*$W11),TRUNC(agent!$O$15*(K11/Y11)*$W11,3),"没有上级")</f>
        <v>0</v>
      </c>
      <c r="Q11" s="26">
        <f>IF(ISNUMBER(agent!$O$18*(K11/Y11)*$W11),TRUNC(agent!$O$18*(K11/Y11)*$W11,3),"没有上级")</f>
        <v>0</v>
      </c>
      <c r="R11" s="26">
        <f>IF(ISNUMBER(agent!$O$21*(K11/Y11)*$W11),TRUNC(agent!$O$21*(K11/Y11)*$W11,3),"没有上级")</f>
        <v>0</v>
      </c>
      <c r="S11" s="26">
        <f>IF(ISNUMBER(agent!$O$24*(K11/Y11)*$W11),TRUNC(agent!$O$24*(K11/Y11)*$W11,3),"没有上级")</f>
        <v>0</v>
      </c>
      <c r="T11" s="26">
        <f>IF(ISNUMBER(agent!$O$27*(K11/Y11)*$W11),TRUNC(agent!$O$27*(K11/Y11)*$W11,3),"没有上级")</f>
        <v>0</v>
      </c>
      <c r="U11" s="26">
        <f>IF(ISNUMBER(agent!$O$30*(K11/Y11)*$W11),TRUNC(agent!$O$30*(K11/Y11)*$W11,3),"没有上级")</f>
        <v>0</v>
      </c>
      <c r="V11" s="26">
        <f>IF(ISNUMBER(agent!$O$33*(K11/Y11)*$W11),TRUNC(agent!$O$33*(K11/Y11)*$W11,3),"没有上级")</f>
        <v>0</v>
      </c>
      <c r="W11" s="17">
        <f>TRUNC(0.02,3)</f>
        <v>0.02</v>
      </c>
      <c r="X11" s="17"/>
      <c r="Y11" s="36">
        <f>TRUNC(Z11-W11*(9.9-agent!B$3)*10,3)</f>
        <v>19.98</v>
      </c>
      <c r="Z11" s="17">
        <f>TRUNC(18+W11*99,3)</f>
        <v>19.98</v>
      </c>
      <c r="AA11" s="18" t="s">
        <v>104</v>
      </c>
      <c r="AB11" s="17">
        <f>AB7</f>
        <v>1.4999999999999999E-2</v>
      </c>
      <c r="AD11" s="17">
        <f>AD7</f>
        <v>14.984999999999999</v>
      </c>
      <c r="AE11" s="17">
        <f>AE7</f>
        <v>14.984999999999999</v>
      </c>
    </row>
    <row r="12" spans="1:31" ht="40.5" x14ac:dyDescent="0.15">
      <c r="A12" s="5">
        <v>18</v>
      </c>
      <c r="D12" s="14" t="s">
        <v>27</v>
      </c>
      <c r="E12" s="5" t="s">
        <v>28</v>
      </c>
      <c r="F12" s="42" t="str">
        <f>PK10Source!D31</f>
        <v>和大 和小 和单 和双,03 04 05 06 07 08 09 10 11 12 13 14 15 16 17 18 19</v>
      </c>
      <c r="G12" s="14">
        <f>PK10Source!E31</f>
        <v>1</v>
      </c>
      <c r="H12" s="14">
        <f>PK10Source!F31</f>
        <v>3</v>
      </c>
      <c r="I12" s="14">
        <f>PK10Source!G31</f>
        <v>63</v>
      </c>
      <c r="J12" s="41">
        <f>IF(X$3=1,IF(agent!B$3=9.9,0,I12*(agent!D$6-agent!B$3)/100),SUM(M12:V12))</f>
        <v>0</v>
      </c>
      <c r="K12" s="38">
        <f>PK10Source!H31</f>
        <v>45.468000000000004</v>
      </c>
      <c r="L12" s="29">
        <f t="shared" si="0"/>
        <v>99999855.507999972</v>
      </c>
      <c r="M12" s="24">
        <f>IF(ISNUMBER(agent!$O$6*$Y12*$W12),TRUNC(agent!$O$6*H12*W12,3),"没有上级")</f>
        <v>0</v>
      </c>
      <c r="N12" s="28">
        <f>IF(ISNUMBER(agent!$O$9*$Y12*$W12),TRUNC(agent!$O$9*H12*W12,3),"没有上级")</f>
        <v>0</v>
      </c>
      <c r="O12" s="28">
        <f>IF(ISNUMBER(agent!$O$12*$Y12*$W12),TRUNC(agent!$O$12*H12*W12,3),"没有上级")</f>
        <v>0</v>
      </c>
      <c r="P12" s="28">
        <f>IF(ISNUMBER(agent!$O$15*$Y12*$W12),TRUNC(agent!$O$15*H12*W12,3),"没有上级")</f>
        <v>0</v>
      </c>
      <c r="Q12" s="28">
        <f>IF(ISNUMBER(agent!$O$18*$Y12*$W12),TRUNC(agent!$O$18*H12*W12,3),"没有上级")</f>
        <v>0</v>
      </c>
      <c r="R12" s="28">
        <f>IF(ISNUMBER(agent!$O$21*$Y12*$W12),TRUNC(agent!$O$21*H12*W12,3),"没有上级")</f>
        <v>0</v>
      </c>
      <c r="S12" s="28">
        <f>IF(ISNUMBER(agent!$O$24*$Y12*$W12),TRUNC(agent!$O$24*H12*W12,3),"没有上级")</f>
        <v>0</v>
      </c>
      <c r="T12" s="28">
        <f>IF(ISNUMBER(agent!$O$27*$Y12*$W12),TRUNC(agent!$O$27*H12*W12,3),"没有上级")</f>
        <v>0</v>
      </c>
      <c r="U12" s="28">
        <f>IF(ISNUMBER(agent!$O$30*$Y12*$W12),TRUNC(agent!$O$30*H12*W12,3),"没有上级")</f>
        <v>0</v>
      </c>
      <c r="V12" s="28">
        <f>IF(ISNUMBER(agent!$O$33*$Y12*$W12),TRUNC(agent!$O$33*H12*W12,3),"没有上级")</f>
        <v>0</v>
      </c>
      <c r="W12" s="17">
        <f>SUM(PK10Source!P29:P37)</f>
        <v>1.3999999999999999E-2</v>
      </c>
      <c r="X12" s="17"/>
      <c r="Y12" s="36">
        <f>TRUNC(Z12-W12*(9.9-agent!B$3)*10,3)</f>
        <v>15.156000000000001</v>
      </c>
      <c r="Z12" s="17">
        <f>SUM(PK10Source!Q29:Q37)</f>
        <v>15.156000000000001</v>
      </c>
      <c r="AA12" s="18" t="s">
        <v>105</v>
      </c>
      <c r="AB12" s="17">
        <f>AB6</f>
        <v>2.1999999999999999E-2</v>
      </c>
      <c r="AD12" s="17">
        <f>AD6</f>
        <v>22.428000000000001</v>
      </c>
      <c r="AE12" s="17">
        <f>AE6</f>
        <v>22.428000000000001</v>
      </c>
    </row>
    <row r="13" spans="1:31" ht="67.5" x14ac:dyDescent="0.15">
      <c r="A13" s="5">
        <v>19</v>
      </c>
      <c r="D13" s="14" t="s">
        <v>29</v>
      </c>
      <c r="E13" s="5" t="s">
        <v>30</v>
      </c>
      <c r="F13" s="42" t="str">
        <f>PK10Source!D33</f>
        <v>大 小 单 双 龙 虎,大 小 单 双 龙 虎,大 小 单 双 龙 虎,大 小 单 双 龙 虎,大 小 单 双 龙 虎,大 小 单 双,大 小 单 双,大 小 单 双,大 小 单 双,大 小 单 双</v>
      </c>
      <c r="G13" s="14">
        <f>PK10Source!E33</f>
        <v>1</v>
      </c>
      <c r="H13" s="14">
        <f>PK10Source!F33</f>
        <v>4</v>
      </c>
      <c r="I13" s="14">
        <f>PK10Source!G33</f>
        <v>200</v>
      </c>
      <c r="J13" s="41">
        <f>IF(X$3=1,IF(agent!B$3=9.9,0,I13*(agent!D$6-agent!B$3)/100),SUM(M13:V13))</f>
        <v>0</v>
      </c>
      <c r="K13" s="14">
        <f>PK10Source!H33</f>
        <v>199.80000000000004</v>
      </c>
      <c r="L13" s="29">
        <f>L12-I13+K13</f>
        <v>99999855.307999969</v>
      </c>
      <c r="M13" s="24">
        <f>IF(ISNUMBER(agent!$O$6*(K13/Y13)*$W13),TRUNC(agent!$O$6*(K13/Y13)*$W13,3),"没有上级")</f>
        <v>0</v>
      </c>
      <c r="N13" s="24">
        <f>IF(ISNUMBER(agent!$O$9*(K13/Y13)*$W13),TRUNC(agent!$O$9*(K13/Y13)*$W13,3),"没有上级")</f>
        <v>0</v>
      </c>
      <c r="O13" s="24">
        <f>IF(ISNUMBER(agent!$O$12*(K13/Y13)*$W13),TRUNC(agent!$O$12*(K13/Y13)*$W13,3),"没有上级")</f>
        <v>0</v>
      </c>
      <c r="P13" s="24">
        <f>IF(ISNUMBER(agent!$O$15*(K13/Y13)*$W13),TRUNC(agent!$O$15*(K13/Y13)*$W13,3),"没有上级")</f>
        <v>0</v>
      </c>
      <c r="Q13" s="24">
        <f>IF(ISNUMBER(agent!$O$18*(K13/Y13)*$W13),TRUNC(agent!$O$18*(K13/Y13)*$W13,3),"没有上级")</f>
        <v>0</v>
      </c>
      <c r="R13" s="24">
        <f>IF(ISNUMBER(agent!$O$21*(K13/Y13)*$W13),TRUNC(agent!$O$21*(K13/Y13)*$W13,3),"没有上级")</f>
        <v>0</v>
      </c>
      <c r="S13" s="24">
        <f>IF(ISNUMBER(agent!$O$24*(K13/Y13)*$W13),TRUNC(agent!$O$24*(K13/Y13)*$W13,3),"没有上级")</f>
        <v>0</v>
      </c>
      <c r="T13" s="24">
        <f>IF(ISNUMBER(agent!$O$27*(K13/Y13)*$W13),TRUNC(agent!$O$27*(K13/Y13)*$W13,3),"没有上级")</f>
        <v>0</v>
      </c>
      <c r="U13" s="24">
        <f>IF(ISNUMBER(agent!$O$30*(K13/Y13)*$W13),TRUNC(agent!$O$30*(K13/Y13)*$W13,3),"没有上级")</f>
        <v>0</v>
      </c>
      <c r="V13" s="24">
        <f>IF(ISNUMBER(agent!$O$33*(K13/Y13)*$W13),TRUNC(agent!$O$33*(K13/Y13)*$W13,3),"没有上级")</f>
        <v>0</v>
      </c>
      <c r="W13" s="17">
        <f>TRUNC(0.002,3)</f>
        <v>2E-3</v>
      </c>
      <c r="X13" s="17"/>
      <c r="Y13" s="36">
        <f>TRUNC(Z13-W13*(9.9-agent!B$3)*10,3)</f>
        <v>1.998</v>
      </c>
      <c r="Z13" s="17">
        <f>TRUNC(1.8+W13*99,3)</f>
        <v>1.998</v>
      </c>
      <c r="AA13" s="18" t="s">
        <v>106</v>
      </c>
      <c r="AB13" s="17">
        <f>AB5</f>
        <v>4.4999999999999998E-2</v>
      </c>
      <c r="AD13" s="17">
        <f>AD5</f>
        <v>44.954999999999998</v>
      </c>
      <c r="AE13" s="17">
        <f>AE5</f>
        <v>44.954999999999998</v>
      </c>
    </row>
  </sheetData>
  <autoFilter ref="A1:L13"/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42"/>
  <sheetViews>
    <sheetView topLeftCell="D1" workbookViewId="0">
      <pane ySplit="1" topLeftCell="A2" activePane="bottomLeft" state="frozen"/>
      <selection pane="bottomLeft" activeCell="N12" sqref="N12"/>
    </sheetView>
  </sheetViews>
  <sheetFormatPr defaultColWidth="9" defaultRowHeight="13.5" x14ac:dyDescent="0.15"/>
  <cols>
    <col min="1" max="1" width="9" style="5" customWidth="1"/>
    <col min="2" max="2" width="10.125" style="5" customWidth="1"/>
    <col min="3" max="3" width="44.5" style="12" customWidth="1"/>
    <col min="4" max="4" width="28.375" style="12" customWidth="1"/>
    <col min="5" max="5" width="11.375" style="5" customWidth="1"/>
    <col min="6" max="6" width="6.75" style="5" customWidth="1"/>
    <col min="7" max="7" width="9.5" style="11" bestFit="1" customWidth="1"/>
    <col min="8" max="8" width="12.125" style="24" customWidth="1"/>
    <col min="9" max="9" width="9.875" style="5" customWidth="1"/>
    <col min="10" max="10" width="14.25" style="2" hidden="1" customWidth="1"/>
    <col min="11" max="11" width="12.75" style="5" bestFit="1" customWidth="1"/>
    <col min="12" max="12" width="15" style="5" customWidth="1"/>
    <col min="13" max="13" width="18.5" style="5" customWidth="1"/>
    <col min="14" max="14" width="22.75" style="6" customWidth="1"/>
    <col min="15" max="15" width="10.5" style="5" bestFit="1" customWidth="1"/>
    <col min="16" max="16" width="32.75" style="5" bestFit="1" customWidth="1"/>
    <col min="17" max="16384" width="9" style="5"/>
  </cols>
  <sheetData>
    <row r="1" spans="1:17" x14ac:dyDescent="0.15">
      <c r="A1" s="30" t="s">
        <v>144</v>
      </c>
      <c r="B1" s="5" t="s">
        <v>1</v>
      </c>
      <c r="D1" s="12" t="s">
        <v>11</v>
      </c>
      <c r="E1" s="5" t="s">
        <v>4</v>
      </c>
      <c r="F1" s="5" t="s">
        <v>12</v>
      </c>
      <c r="G1" s="11" t="s">
        <v>13</v>
      </c>
      <c r="H1" s="24" t="s">
        <v>7</v>
      </c>
      <c r="I1" s="5" t="s">
        <v>10</v>
      </c>
      <c r="J1" s="5" t="s">
        <v>5</v>
      </c>
      <c r="K1" s="25" t="s">
        <v>128</v>
      </c>
      <c r="L1" s="5" t="s">
        <v>8</v>
      </c>
      <c r="M1" s="19" t="s">
        <v>31</v>
      </c>
      <c r="N1" s="5"/>
      <c r="O1" s="5" t="s">
        <v>9</v>
      </c>
    </row>
    <row r="2" spans="1:17" ht="40.5" customHeight="1" x14ac:dyDescent="0.15">
      <c r="A2" s="45" t="s">
        <v>143</v>
      </c>
      <c r="B2" s="43" t="s">
        <v>18</v>
      </c>
      <c r="C2" s="8" t="s">
        <v>145</v>
      </c>
      <c r="D2" s="44" t="str">
        <f>TRIM(IF(LEN(C2)=0,"-",C2))&amp;","&amp;TRIM(IF(LEN(C3)=0,"-",C3))&amp;","&amp;TRIM(IF(LEN(C4)=0,"-",C4))&amp;","&amp;TRIM(IF(LEN(C5)=0,"-",C5))&amp;","&amp;TRIM(IF(LEN(C6)=0,"-",C6))&amp;","&amp;TRIM(IF(LEN(C7)=0,"-",C7))&amp;","&amp;TRIM(IF(LEN(C8)=0,"-",C8))&amp;","&amp;TRIM(IF(LEN(C9)=0,"-",C9))&amp;","&amp;TRIM(IF(LEN(C10)=0,"-",C10))&amp;","&amp;TRIM(IF(LEN(C11)=0,"-",C11))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E2" s="45">
        <v>2</v>
      </c>
      <c r="F2" s="45">
        <v>1</v>
      </c>
      <c r="G2" s="43">
        <f>(LEN(SUBSTITUTE(C2," ",))+LEN(SUBSTITUTE(C3," ",))+LEN(SUBSTITUTE(C4," ",))+LEN(SUBSTITUTE(C5," ",))+LEN(SUBSTITUTE(C6," ",))+LEN(SUBSTITUTE(C7," ",))+LEN(SUBSTITUTE(C8," ",))+LEN(SUBSTITUTE(C9," ",))+LEN(SUBSTITUTE(C10," ",))+LEN(SUBSTITUTE(C11," ",)))/2*E2*2</f>
        <v>400</v>
      </c>
      <c r="H2" s="44">
        <f>SUM(N(ISNUMBER(FIND(M2,C2,1))),N(ISNUMBER(FIND(M3,C3,1))),N(ISNUMBER(FIND(M4,C4,1))),N(ISNUMBER(FIND(M5,C5,1))),N(ISNUMBER(FIND(M6,C6,1))),N(ISNUMBER(FIND(M7,C7,1))),N(ISNUMBER(FIND(M8,C8,1))),N(ISNUMBER(FIND(M9,C9,1))),N(ISNUMBER(FIND(M10,C10,1))),N(ISNUMBER(FIND(M11,C11,1))))*K2*E2</f>
        <v>399.6</v>
      </c>
      <c r="I2" s="43">
        <f>O2-G2+H2</f>
        <v>99999999.599999994</v>
      </c>
      <c r="J2" s="43"/>
      <c r="K2" s="44">
        <f>'PK10'!Y2</f>
        <v>19.98</v>
      </c>
      <c r="L2" s="44"/>
      <c r="M2" s="16" t="str">
        <f>LEFT(N12,2)</f>
        <v>07</v>
      </c>
      <c r="O2" s="5">
        <v>100000000</v>
      </c>
      <c r="P2" s="35" t="e">
        <f>#REF!</f>
        <v>#REF!</v>
      </c>
      <c r="Q2" s="5">
        <v>88</v>
      </c>
    </row>
    <row r="3" spans="1:17" x14ac:dyDescent="0.15">
      <c r="A3" s="45"/>
      <c r="B3" s="43"/>
      <c r="C3" s="8" t="s">
        <v>146</v>
      </c>
      <c r="D3" s="44"/>
      <c r="E3" s="45"/>
      <c r="F3" s="45"/>
      <c r="G3" s="43"/>
      <c r="H3" s="44"/>
      <c r="I3" s="43"/>
      <c r="J3" s="43"/>
      <c r="K3" s="44"/>
      <c r="L3" s="44"/>
      <c r="M3" s="14" t="str">
        <f>MID(N12,4,2)</f>
        <v>06</v>
      </c>
      <c r="N3" s="15"/>
      <c r="P3" s="37" t="e">
        <f>#REF!</f>
        <v>#REF!</v>
      </c>
      <c r="Q3" s="34">
        <v>89</v>
      </c>
    </row>
    <row r="4" spans="1:17" x14ac:dyDescent="0.15">
      <c r="A4" s="45"/>
      <c r="B4" s="43"/>
      <c r="C4" s="8" t="s">
        <v>53</v>
      </c>
      <c r="D4" s="44"/>
      <c r="E4" s="45"/>
      <c r="F4" s="45"/>
      <c r="G4" s="43"/>
      <c r="H4" s="44"/>
      <c r="I4" s="43"/>
      <c r="J4" s="43"/>
      <c r="K4" s="44"/>
      <c r="L4" s="44"/>
      <c r="M4" s="26" t="str">
        <f>MID(N12,7,2)</f>
        <v>03</v>
      </c>
      <c r="N4" s="15"/>
      <c r="P4" s="37" t="e">
        <f>#REF!</f>
        <v>#REF!</v>
      </c>
      <c r="Q4" s="34">
        <v>90</v>
      </c>
    </row>
    <row r="5" spans="1:17" ht="23.25" customHeight="1" x14ac:dyDescent="0.15">
      <c r="A5" s="45"/>
      <c r="B5" s="43"/>
      <c r="C5" s="8" t="s">
        <v>53</v>
      </c>
      <c r="D5" s="44"/>
      <c r="E5" s="45"/>
      <c r="F5" s="45"/>
      <c r="G5" s="43"/>
      <c r="H5" s="44"/>
      <c r="I5" s="43"/>
      <c r="J5" s="43"/>
      <c r="K5" s="44"/>
      <c r="L5" s="44"/>
      <c r="M5" s="26" t="str">
        <f>MID(N12,10,2)</f>
        <v>05</v>
      </c>
      <c r="N5" s="15"/>
      <c r="P5" s="37" t="e">
        <f>#REF!</f>
        <v>#REF!</v>
      </c>
      <c r="Q5" s="34">
        <v>91</v>
      </c>
    </row>
    <row r="6" spans="1:17" x14ac:dyDescent="0.15">
      <c r="A6" s="45"/>
      <c r="B6" s="43"/>
      <c r="C6" s="8" t="s">
        <v>147</v>
      </c>
      <c r="D6" s="44"/>
      <c r="E6" s="45"/>
      <c r="F6" s="45"/>
      <c r="G6" s="43"/>
      <c r="H6" s="44"/>
      <c r="I6" s="43"/>
      <c r="J6" s="43"/>
      <c r="K6" s="44"/>
      <c r="L6" s="44"/>
      <c r="M6" s="26" t="str">
        <f>MID(N12,13,2)</f>
        <v>01</v>
      </c>
      <c r="N6" s="15"/>
      <c r="P6" s="37" t="e">
        <f>#REF!</f>
        <v>#REF!</v>
      </c>
      <c r="Q6" s="34">
        <v>72</v>
      </c>
    </row>
    <row r="7" spans="1:17" ht="14.25" customHeight="1" x14ac:dyDescent="0.15">
      <c r="A7" s="45"/>
      <c r="B7" s="43"/>
      <c r="C7" s="8" t="s">
        <v>53</v>
      </c>
      <c r="D7" s="44"/>
      <c r="E7" s="45"/>
      <c r="F7" s="45"/>
      <c r="G7" s="43"/>
      <c r="H7" s="44"/>
      <c r="I7" s="43"/>
      <c r="J7" s="43"/>
      <c r="K7" s="44"/>
      <c r="L7" s="44"/>
      <c r="M7" s="26" t="str">
        <f>MID(N12,16,2)</f>
        <v>09</v>
      </c>
      <c r="N7" s="15"/>
      <c r="P7" s="37" t="e">
        <f>#REF!</f>
        <v>#REF!</v>
      </c>
      <c r="Q7" s="34">
        <v>73</v>
      </c>
    </row>
    <row r="8" spans="1:17" x14ac:dyDescent="0.15">
      <c r="A8" s="45"/>
      <c r="B8" s="43"/>
      <c r="C8" s="8" t="s">
        <v>148</v>
      </c>
      <c r="D8" s="44"/>
      <c r="E8" s="45"/>
      <c r="F8" s="45"/>
      <c r="G8" s="43"/>
      <c r="H8" s="44"/>
      <c r="I8" s="43"/>
      <c r="J8" s="43"/>
      <c r="K8" s="44"/>
      <c r="L8" s="44"/>
      <c r="M8" s="26" t="str">
        <f>MID(N12,19,2)</f>
        <v>04</v>
      </c>
      <c r="N8" s="15"/>
      <c r="P8" s="35"/>
      <c r="Q8" s="34"/>
    </row>
    <row r="9" spans="1:17" x14ac:dyDescent="0.15">
      <c r="A9" s="45"/>
      <c r="B9" s="43"/>
      <c r="C9" s="8" t="s">
        <v>147</v>
      </c>
      <c r="D9" s="44"/>
      <c r="E9" s="45"/>
      <c r="F9" s="45"/>
      <c r="G9" s="43"/>
      <c r="H9" s="44"/>
      <c r="I9" s="43"/>
      <c r="J9" s="43"/>
      <c r="K9" s="44"/>
      <c r="L9" s="44"/>
      <c r="M9" s="26" t="str">
        <f>MID(N12,22,2)</f>
        <v>02</v>
      </c>
      <c r="N9" s="15"/>
      <c r="P9" s="34"/>
      <c r="Q9" s="34"/>
    </row>
    <row r="10" spans="1:17" x14ac:dyDescent="0.15">
      <c r="A10" s="45"/>
      <c r="B10" s="43"/>
      <c r="C10" s="8" t="s">
        <v>33</v>
      </c>
      <c r="D10" s="44"/>
      <c r="E10" s="45"/>
      <c r="F10" s="45"/>
      <c r="G10" s="43"/>
      <c r="H10" s="44"/>
      <c r="I10" s="43"/>
      <c r="J10" s="43"/>
      <c r="K10" s="44"/>
      <c r="L10" s="44"/>
      <c r="M10" s="26" t="str">
        <f>MID(N12,25,2)</f>
        <v>08</v>
      </c>
      <c r="N10" s="15"/>
      <c r="P10" s="34"/>
      <c r="Q10" s="34"/>
    </row>
    <row r="11" spans="1:17" x14ac:dyDescent="0.15">
      <c r="A11" s="45"/>
      <c r="B11" s="43"/>
      <c r="C11" s="8" t="s">
        <v>146</v>
      </c>
      <c r="D11" s="44"/>
      <c r="E11" s="45"/>
      <c r="F11" s="45"/>
      <c r="G11" s="43"/>
      <c r="H11" s="44"/>
      <c r="I11" s="43"/>
      <c r="J11" s="43"/>
      <c r="K11" s="44"/>
      <c r="L11" s="44"/>
      <c r="M11" s="26" t="str">
        <f>MID(N12,28,2)</f>
        <v>10</v>
      </c>
      <c r="N11" s="15"/>
      <c r="P11" s="34"/>
      <c r="Q11" s="34"/>
    </row>
    <row r="12" spans="1:17" ht="37.5" customHeight="1" x14ac:dyDescent="0.15">
      <c r="A12" s="45" t="s">
        <v>57</v>
      </c>
      <c r="B12" s="45" t="s">
        <v>77</v>
      </c>
      <c r="C12" s="8" t="s">
        <v>192</v>
      </c>
      <c r="D12" s="44" t="str">
        <f>TRIM(IF(LEN(C12)=0,"-",C12))&amp;","&amp;TRIM(IF(LEN(C13)=0,"-",C13))&amp;","&amp;TRIM(IF(LEN(C14)=0,"-",C14))&amp;","&amp;TRIM(IF(LEN(C15)=0,"-",C15))&amp;","&amp;TRIM(IF(LEN(C16)=0,"-",C16))</f>
        <v>01 02 03 04 05 06 07 08 09 10,01 02 03 04 05 06 07 08 09 10,01 02 03 04 05 06 07 08 09 10,01 02 03 04 05 06 07 08 09 10,01 02 03 04 05 06 07 08 09 10</v>
      </c>
      <c r="E12" s="45">
        <v>1</v>
      </c>
      <c r="F12" s="45">
        <v>1</v>
      </c>
      <c r="G12" s="43">
        <f>30240*E12*2</f>
        <v>60480</v>
      </c>
      <c r="H12" s="43">
        <f>N(AND(ISNUMBER(FIND(M2,C12,1)),ISNUMBER(FIND(M3,C13,1)),ISNUMBER(FIND(M4,C14,1)),ISNUMBER(FIND(M5,C15,1)),ISNUMBER(FIND(M6,C16,1))))*K12*E12</f>
        <v>60419.519999999997</v>
      </c>
      <c r="I12" s="43">
        <f>I2-G12+H12</f>
        <v>99999939.11999999</v>
      </c>
      <c r="J12" s="43"/>
      <c r="K12" s="43">
        <f>'PK10'!Y3</f>
        <v>60419.519999999997</v>
      </c>
      <c r="L12" s="43">
        <f>IF(ISNUMBER(agent!$O$6*Y12*$W12),TRUNC(agent!$O$6*SUM(PK10Source!O29:O30)*SUM(PK10Source!P29:P30)+agent!$O$6*SUM(PK10Source!O31:O32)*SUM(PK10Source!P31:P32)+agent!$O$6*SUM(PK10Source!O33:O37)*SUM(PK10Source!P33:P37),3),"没有上级")</f>
        <v>0</v>
      </c>
      <c r="M12" s="31" t="str">
        <f>M2&amp;" "&amp;M3&amp;" "&amp;M4&amp;" "&amp;M5&amp;" "&amp;M6&amp;" "&amp;M7&amp;" "&amp;M8&amp;" "&amp;M9&amp;" "&amp;M10&amp;" "&amp;M11</f>
        <v>07 06 03 05 01 09 04 02 08 10</v>
      </c>
      <c r="N12" s="8" t="str">
        <f>GetAwardResult!D2</f>
        <v>07,06,03,05,01,09,04,02,08,10</v>
      </c>
      <c r="P12" s="34"/>
      <c r="Q12" s="34"/>
    </row>
    <row r="13" spans="1:17" ht="21.75" customHeight="1" x14ac:dyDescent="0.15">
      <c r="A13" s="43"/>
      <c r="B13" s="43"/>
      <c r="C13" s="8" t="s">
        <v>33</v>
      </c>
      <c r="D13" s="44"/>
      <c r="E13" s="45"/>
      <c r="F13" s="45"/>
      <c r="G13" s="43"/>
      <c r="H13" s="43"/>
      <c r="I13" s="43"/>
      <c r="J13" s="43"/>
      <c r="K13" s="43"/>
      <c r="L13" s="43"/>
      <c r="M13" s="14" t="str">
        <f>IF(MOD(M2,2)=0,"双","单")</f>
        <v>单</v>
      </c>
      <c r="N13" s="15" t="str">
        <f>IF(INT(M2)&gt;5,"大","小")</f>
        <v>大</v>
      </c>
      <c r="O13" s="5" t="str">
        <f>IF(M2&gt;M11,"龙","虎")</f>
        <v>虎</v>
      </c>
      <c r="P13" s="34"/>
      <c r="Q13" s="34"/>
    </row>
    <row r="14" spans="1:17" x14ac:dyDescent="0.15">
      <c r="A14" s="43"/>
      <c r="B14" s="43"/>
      <c r="C14" s="8" t="s">
        <v>150</v>
      </c>
      <c r="D14" s="44"/>
      <c r="E14" s="45"/>
      <c r="F14" s="45"/>
      <c r="G14" s="43"/>
      <c r="H14" s="43"/>
      <c r="I14" s="43"/>
      <c r="J14" s="43"/>
      <c r="K14" s="43"/>
      <c r="L14" s="43"/>
      <c r="M14" s="14" t="str">
        <f t="shared" ref="M14:M21" si="0">IF(MOD(M3,2)=0,"双","单")</f>
        <v>双</v>
      </c>
      <c r="N14" s="15" t="str">
        <f t="shared" ref="N14:N22" si="1">IF(INT(M3)&gt;5,"大","小")</f>
        <v>大</v>
      </c>
      <c r="O14" s="14" t="str">
        <f>IF(M3&gt;M10,"龙","虎")</f>
        <v>虎</v>
      </c>
      <c r="P14" s="34"/>
    </row>
    <row r="15" spans="1:17" x14ac:dyDescent="0.15">
      <c r="A15" s="43"/>
      <c r="B15" s="43"/>
      <c r="C15" s="8" t="s">
        <v>151</v>
      </c>
      <c r="D15" s="44"/>
      <c r="E15" s="45"/>
      <c r="F15" s="45"/>
      <c r="G15" s="43"/>
      <c r="H15" s="43"/>
      <c r="I15" s="43"/>
      <c r="J15" s="43"/>
      <c r="K15" s="43"/>
      <c r="L15" s="43"/>
      <c r="M15" s="14" t="str">
        <f t="shared" si="0"/>
        <v>单</v>
      </c>
      <c r="N15" s="15" t="str">
        <f t="shared" si="1"/>
        <v>小</v>
      </c>
      <c r="O15" s="14" t="str">
        <f>IF(M4&gt;M9,"龙","虎")</f>
        <v>龙</v>
      </c>
      <c r="P15" s="34"/>
    </row>
    <row r="16" spans="1:17" x14ac:dyDescent="0.15">
      <c r="A16" s="43"/>
      <c r="B16" s="43"/>
      <c r="C16" s="8" t="s">
        <v>151</v>
      </c>
      <c r="D16" s="44"/>
      <c r="E16" s="45"/>
      <c r="F16" s="45"/>
      <c r="G16" s="43"/>
      <c r="H16" s="43"/>
      <c r="I16" s="43"/>
      <c r="J16" s="43"/>
      <c r="K16" s="43"/>
      <c r="L16" s="43"/>
      <c r="M16" s="14" t="str">
        <f t="shared" si="0"/>
        <v>单</v>
      </c>
      <c r="N16" s="15" t="str">
        <f t="shared" si="1"/>
        <v>小</v>
      </c>
      <c r="O16" s="14" t="str">
        <f>IF(M5&gt;M8,"龙","虎")</f>
        <v>龙</v>
      </c>
      <c r="P16" s="34"/>
      <c r="Q16" s="34"/>
    </row>
    <row r="17" spans="1:17" ht="27" x14ac:dyDescent="0.15">
      <c r="A17" s="43"/>
      <c r="B17" s="5" t="s">
        <v>20</v>
      </c>
      <c r="C17" s="8" t="s">
        <v>162</v>
      </c>
      <c r="D17" s="8" t="str">
        <f>C17</f>
        <v>01 02 03 04 05,06 07 08 09 10</v>
      </c>
      <c r="E17" s="13">
        <v>3</v>
      </c>
      <c r="F17" s="5">
        <v>1</v>
      </c>
      <c r="G17" s="11">
        <f>L17*E17*2</f>
        <v>12</v>
      </c>
      <c r="H17" s="24">
        <f>IF(ISNUMBER(FIND(LEFT(M12,14),D17,1)),E17*K17,0)</f>
        <v>0</v>
      </c>
      <c r="I17" s="9">
        <f>I12-G17+H17</f>
        <v>99999927.11999999</v>
      </c>
      <c r="J17" s="5"/>
      <c r="K17" s="8">
        <f>'PK10'!Y4</f>
        <v>60419.519999999997</v>
      </c>
      <c r="L17" s="7">
        <f>LEN(SUBSTITUTE(SUBSTITUTE(D17,",",)," ",))/10</f>
        <v>2</v>
      </c>
      <c r="M17" s="14" t="str">
        <f t="shared" si="0"/>
        <v>单</v>
      </c>
      <c r="N17" s="15" t="str">
        <f t="shared" si="1"/>
        <v>小</v>
      </c>
      <c r="O17" s="14" t="str">
        <f>IF(M6&gt;M7,"龙","虎")</f>
        <v>虎</v>
      </c>
      <c r="P17" s="34"/>
      <c r="Q17" s="34"/>
    </row>
    <row r="18" spans="1:17" x14ac:dyDescent="0.15">
      <c r="A18" s="45" t="s">
        <v>59</v>
      </c>
      <c r="B18" s="45" t="s">
        <v>78</v>
      </c>
      <c r="C18" s="8" t="s">
        <v>36</v>
      </c>
      <c r="D18" s="44" t="str">
        <f>TRIM(IF(LEN(C18)=0,"-",C18))&amp;","&amp;TRIM(IF(LEN(C19)=0,"-",C19))&amp;","&amp;TRIM(IF(LEN(C20)=0,"-",C20))&amp;","&amp;TRIM(IF(LEN(C21)=0,"-",C21))</f>
        <v>01 02 03 04 05 06 07 08 09 10,01 02 03 04 05 06 07 08 09 10,01 02 03 04 05 06 07 08 09 10,01 02 03 04 05 06 07 08 09 10</v>
      </c>
      <c r="E18" s="45">
        <v>1</v>
      </c>
      <c r="F18" s="45">
        <v>1</v>
      </c>
      <c r="G18" s="43">
        <f>5040*E18*2</f>
        <v>10080</v>
      </c>
      <c r="H18" s="43">
        <f>N(AND(ISNUMBER(FIND(M2,C18,1)),ISNUMBER(FIND(M3,C19,1)),ISNUMBER(FIND(M4,C20,1)),ISNUMBER(FIND(M5,C21,1))))*K18*E18</f>
        <v>10069.92</v>
      </c>
      <c r="I18" s="43">
        <f>I17-G18+H18</f>
        <v>99999917.039999992</v>
      </c>
      <c r="J18" s="43"/>
      <c r="K18" s="43">
        <f>'PK10'!Y5</f>
        <v>10069.92</v>
      </c>
      <c r="L18" s="43"/>
      <c r="M18" s="14" t="str">
        <f t="shared" si="0"/>
        <v>单</v>
      </c>
      <c r="N18" s="15" t="str">
        <f t="shared" si="1"/>
        <v>大</v>
      </c>
      <c r="O18" s="14"/>
      <c r="P18" s="34"/>
      <c r="Q18" s="34"/>
    </row>
    <row r="19" spans="1:17" x14ac:dyDescent="0.15">
      <c r="A19" s="43"/>
      <c r="B19" s="43"/>
      <c r="C19" s="8" t="s">
        <v>33</v>
      </c>
      <c r="D19" s="44"/>
      <c r="E19" s="45"/>
      <c r="F19" s="45"/>
      <c r="G19" s="43"/>
      <c r="H19" s="43"/>
      <c r="I19" s="43"/>
      <c r="J19" s="43"/>
      <c r="K19" s="43"/>
      <c r="L19" s="43"/>
      <c r="M19" s="14" t="str">
        <f t="shared" si="0"/>
        <v>双</v>
      </c>
      <c r="N19" s="15" t="str">
        <f t="shared" si="1"/>
        <v>小</v>
      </c>
      <c r="O19" s="14"/>
      <c r="P19" s="34"/>
      <c r="Q19" s="34"/>
    </row>
    <row r="20" spans="1:17" x14ac:dyDescent="0.15">
      <c r="A20" s="43"/>
      <c r="B20" s="43"/>
      <c r="C20" s="8" t="s">
        <v>37</v>
      </c>
      <c r="D20" s="44"/>
      <c r="E20" s="45"/>
      <c r="F20" s="45"/>
      <c r="G20" s="43"/>
      <c r="H20" s="43"/>
      <c r="I20" s="43"/>
      <c r="J20" s="43"/>
      <c r="K20" s="43"/>
      <c r="L20" s="43"/>
      <c r="M20" s="14" t="str">
        <f t="shared" si="0"/>
        <v>双</v>
      </c>
      <c r="N20" s="15" t="str">
        <f t="shared" si="1"/>
        <v>小</v>
      </c>
      <c r="O20" s="14"/>
      <c r="P20" s="34"/>
      <c r="Q20" s="34"/>
    </row>
    <row r="21" spans="1:17" x14ac:dyDescent="0.15">
      <c r="A21" s="43"/>
      <c r="B21" s="43"/>
      <c r="C21" s="8" t="s">
        <v>37</v>
      </c>
      <c r="D21" s="44"/>
      <c r="E21" s="45"/>
      <c r="F21" s="45"/>
      <c r="G21" s="43"/>
      <c r="H21" s="43"/>
      <c r="I21" s="43"/>
      <c r="J21" s="43"/>
      <c r="K21" s="43"/>
      <c r="L21" s="43"/>
      <c r="M21" s="14" t="str">
        <f t="shared" si="0"/>
        <v>双</v>
      </c>
      <c r="N21" s="15" t="str">
        <f t="shared" si="1"/>
        <v>大</v>
      </c>
      <c r="O21" s="14"/>
      <c r="P21" s="34"/>
      <c r="Q21" s="34"/>
    </row>
    <row r="22" spans="1:17" ht="27" customHeight="1" x14ac:dyDescent="0.15">
      <c r="A22" s="43"/>
      <c r="B22" s="5" t="s">
        <v>22</v>
      </c>
      <c r="C22" s="8" t="s">
        <v>149</v>
      </c>
      <c r="D22" s="8" t="str">
        <f>C22</f>
        <v>01 02 03 04,05 06 07 08,09 10 01 02</v>
      </c>
      <c r="E22" s="13">
        <v>2</v>
      </c>
      <c r="F22" s="5">
        <v>1</v>
      </c>
      <c r="G22" s="14">
        <f>L22*E22*2</f>
        <v>12</v>
      </c>
      <c r="H22" s="24">
        <f>IF(ISNUMBER(FIND(LEFT(M12,11),D22,1)),E22*K22,0)</f>
        <v>0</v>
      </c>
      <c r="I22" s="9">
        <f>I18-G22+H22</f>
        <v>99999905.039999992</v>
      </c>
      <c r="J22" s="5"/>
      <c r="K22" s="8">
        <f>'PK10'!Y6</f>
        <v>10069.92</v>
      </c>
      <c r="L22" s="33">
        <f>LEN(SUBSTITUTE(SUBSTITUTE(D22,",",)," ",))/8</f>
        <v>3</v>
      </c>
      <c r="M22" s="14" t="str">
        <f>IF(MOD(M11,2)=0,"双","单")</f>
        <v>双</v>
      </c>
      <c r="N22" s="15" t="str">
        <f t="shared" si="1"/>
        <v>大</v>
      </c>
      <c r="O22" s="14"/>
      <c r="P22" s="34"/>
      <c r="Q22" s="34"/>
    </row>
    <row r="23" spans="1:17" x14ac:dyDescent="0.15">
      <c r="A23" s="45" t="s">
        <v>61</v>
      </c>
      <c r="B23" s="45" t="s">
        <v>79</v>
      </c>
      <c r="C23" s="8" t="s">
        <v>33</v>
      </c>
      <c r="D23" s="44" t="str">
        <f>TRIM(IF(LEN(C23)=0,"-",C23))&amp;","&amp;TRIM(IF(LEN(C24)=0,"-",C24))&amp;","&amp;TRIM(IF(LEN(C25)=0,"-",C25))</f>
        <v>01 02 03 04 05 06 07 08 09 10,01 02 03 04 05 06 07 08 09 10,01 02 03 04 05 06 07 08 09 10</v>
      </c>
      <c r="E23" s="45">
        <v>4</v>
      </c>
      <c r="F23" s="45">
        <v>1</v>
      </c>
      <c r="G23" s="43">
        <f>720*E23*2</f>
        <v>5760</v>
      </c>
      <c r="H23" s="43">
        <f>N(AND(ISNUMBER(FIND(M2,C23,1)),ISNUMBER(FIND(M3,C24,1)),ISNUMBER(FIND(M4,C25,1))))*K23*E23</f>
        <v>5754.24</v>
      </c>
      <c r="I23" s="43">
        <f>I22-G23+H23</f>
        <v>99999899.279999986</v>
      </c>
      <c r="J23" s="43"/>
      <c r="K23" s="43">
        <f>'PK10'!Y7</f>
        <v>1438.56</v>
      </c>
      <c r="L23" s="43"/>
      <c r="M23" s="14"/>
      <c r="N23" s="10"/>
      <c r="P23" s="34"/>
      <c r="Q23" s="34"/>
    </row>
    <row r="24" spans="1:17" x14ac:dyDescent="0.15">
      <c r="A24" s="43"/>
      <c r="B24" s="43"/>
      <c r="C24" s="8" t="s">
        <v>35</v>
      </c>
      <c r="D24" s="44"/>
      <c r="E24" s="45"/>
      <c r="F24" s="45"/>
      <c r="G24" s="43"/>
      <c r="H24" s="43"/>
      <c r="I24" s="43"/>
      <c r="J24" s="43"/>
      <c r="K24" s="43"/>
      <c r="L24" s="43"/>
      <c r="M24" s="14"/>
      <c r="N24" s="10"/>
      <c r="P24" s="34"/>
      <c r="Q24" s="34"/>
    </row>
    <row r="25" spans="1:17" x14ac:dyDescent="0.15">
      <c r="A25" s="43"/>
      <c r="B25" s="43"/>
      <c r="C25" s="8" t="s">
        <v>33</v>
      </c>
      <c r="D25" s="44"/>
      <c r="E25" s="45"/>
      <c r="F25" s="45"/>
      <c r="G25" s="43"/>
      <c r="H25" s="43"/>
      <c r="I25" s="43"/>
      <c r="J25" s="43"/>
      <c r="K25" s="43"/>
      <c r="L25" s="43"/>
      <c r="M25" s="14"/>
      <c r="N25" s="10"/>
      <c r="P25" s="34"/>
      <c r="Q25" s="34"/>
    </row>
    <row r="26" spans="1:17" x14ac:dyDescent="0.15">
      <c r="A26" s="43"/>
      <c r="B26" s="5" t="s">
        <v>24</v>
      </c>
      <c r="C26" s="8" t="s">
        <v>66</v>
      </c>
      <c r="D26" s="8" t="str">
        <f>C26</f>
        <v>09 08 01</v>
      </c>
      <c r="E26" s="13">
        <v>5</v>
      </c>
      <c r="F26" s="5">
        <v>1</v>
      </c>
      <c r="G26" s="14">
        <f>L26*E26*2</f>
        <v>10</v>
      </c>
      <c r="H26" s="24">
        <f>IF(ISNUMBER(FIND(LEFT(M12,8),D26,1)),E26*K26,0)</f>
        <v>0</v>
      </c>
      <c r="I26" s="9">
        <f>I23-G26+H26</f>
        <v>99999889.279999986</v>
      </c>
      <c r="J26" s="5"/>
      <c r="K26" s="8">
        <f>'PK10'!Y8</f>
        <v>1438.56</v>
      </c>
      <c r="L26" s="33">
        <f>LEN(SUBSTITUTE(SUBSTITUTE(D26,",",)," ",))/6</f>
        <v>1</v>
      </c>
      <c r="M26" s="14"/>
      <c r="N26" s="10"/>
      <c r="P26" s="34"/>
      <c r="Q26" s="34"/>
    </row>
    <row r="27" spans="1:17" x14ac:dyDescent="0.15">
      <c r="A27" s="45" t="s">
        <v>63</v>
      </c>
      <c r="B27" s="45" t="s">
        <v>80</v>
      </c>
      <c r="C27" s="8" t="s">
        <v>33</v>
      </c>
      <c r="D27" s="44" t="str">
        <f>TRIM(IF(LEN(C27)=0,"-",C27))&amp;","&amp;TRIM(IF(LEN(C28)=0,"-",C28))</f>
        <v>01 02 03 04 05 06 07 08 09 10,01 02 03 04 05 06 07 08 09 10</v>
      </c>
      <c r="E27" s="45">
        <v>1</v>
      </c>
      <c r="F27" s="45">
        <v>1</v>
      </c>
      <c r="G27" s="43">
        <f>((LEN(SUBSTITUTE(C27," ",))/2*LEN(SUBSTITUTE(C28," ",))/2)-10)*E27*2</f>
        <v>180</v>
      </c>
      <c r="H27" s="43">
        <f>N(AND(ISNUMBER(FIND(M2,C27,1)),ISNUMBER(FIND(M3,C28,1))))*K27*E27</f>
        <v>179.82</v>
      </c>
      <c r="I27" s="43">
        <f>I26-G27+H27</f>
        <v>99999889.099999979</v>
      </c>
      <c r="J27" s="43"/>
      <c r="K27" s="43">
        <f>'PK10'!Y9</f>
        <v>179.82</v>
      </c>
      <c r="L27" s="43"/>
      <c r="M27" s="14"/>
      <c r="N27" s="10"/>
      <c r="P27" s="34"/>
      <c r="Q27" s="34"/>
    </row>
    <row r="28" spans="1:17" x14ac:dyDescent="0.15">
      <c r="A28" s="43"/>
      <c r="B28" s="43"/>
      <c r="C28" s="8" t="s">
        <v>34</v>
      </c>
      <c r="D28" s="44"/>
      <c r="E28" s="45"/>
      <c r="F28" s="45"/>
      <c r="G28" s="43"/>
      <c r="H28" s="43"/>
      <c r="I28" s="43"/>
      <c r="J28" s="43"/>
      <c r="K28" s="43"/>
      <c r="L28" s="43"/>
      <c r="M28" s="14"/>
      <c r="N28" s="10"/>
      <c r="O28" s="27" t="s">
        <v>139</v>
      </c>
      <c r="P28" s="27" t="s">
        <v>140</v>
      </c>
      <c r="Q28" s="27" t="s">
        <v>141</v>
      </c>
    </row>
    <row r="29" spans="1:17" x14ac:dyDescent="0.15">
      <c r="A29" s="43"/>
      <c r="B29" s="5" t="s">
        <v>24</v>
      </c>
      <c r="C29" s="8" t="s">
        <v>138</v>
      </c>
      <c r="D29" s="8" t="str">
        <f>C29</f>
        <v>02 03,08 09,09 04,05 09</v>
      </c>
      <c r="E29" s="13">
        <v>2</v>
      </c>
      <c r="F29" s="5">
        <v>1</v>
      </c>
      <c r="G29" s="14">
        <f>L29*E29*2</f>
        <v>16</v>
      </c>
      <c r="H29" s="24">
        <f>IF(ISNUMBER(FIND(LEFT(M12,5),D29,1)),E29*K29,0)</f>
        <v>0</v>
      </c>
      <c r="I29" s="5">
        <f>I27-G29+H29</f>
        <v>99999873.099999979</v>
      </c>
      <c r="J29" s="5"/>
      <c r="K29" s="8">
        <f>'PK10'!Y10</f>
        <v>179.82</v>
      </c>
      <c r="L29" s="33">
        <f>LEN(SUBSTITUTE(SUBSTITUTE(D29,",",)," ",))/4</f>
        <v>4</v>
      </c>
      <c r="M29" s="16" t="s">
        <v>51</v>
      </c>
      <c r="N29" s="8">
        <f>N(AND(SUM(INT(M2),INT(M3))&gt;11,ISNUMBER(FIND(M29,C31,1))))</f>
        <v>1</v>
      </c>
      <c r="O29" s="5">
        <f>N29*'PK10'!AD3</f>
        <v>2.2229999999999999</v>
      </c>
      <c r="P29" s="5">
        <f>N29*'PK10'!AB3</f>
        <v>2E-3</v>
      </c>
      <c r="Q29" s="5">
        <f>N29*'PK10'!AE3</f>
        <v>2.2229999999999999</v>
      </c>
    </row>
    <row r="30" spans="1:17" ht="27" x14ac:dyDescent="0.15">
      <c r="A30" s="16" t="s">
        <v>65</v>
      </c>
      <c r="B30" s="16" t="s">
        <v>77</v>
      </c>
      <c r="C30" s="8" t="s">
        <v>33</v>
      </c>
      <c r="D30" s="8" t="s">
        <v>53</v>
      </c>
      <c r="E30" s="13">
        <v>3</v>
      </c>
      <c r="F30" s="5">
        <v>1</v>
      </c>
      <c r="G30" s="11">
        <f>LEN(SUBSTITUTE(C28," ",))/2*E30*2</f>
        <v>60</v>
      </c>
      <c r="H30" s="24">
        <f>N(AND(ISNUMBER(FIND(M2,C30,1))))*K30*E30</f>
        <v>59.94</v>
      </c>
      <c r="I30" s="5">
        <f>I29-G30+H30</f>
        <v>99999873.039999977</v>
      </c>
      <c r="J30" s="5"/>
      <c r="K30" s="8">
        <f>'PK10'!Y11</f>
        <v>19.98</v>
      </c>
      <c r="M30" s="16" t="s">
        <v>45</v>
      </c>
      <c r="N30" s="8">
        <f>N(AND(SUM(INT(M2),INT(M3))&lt;12,ISNUMBER(FIND(M30,C31,1))))</f>
        <v>0</v>
      </c>
      <c r="O30" s="5">
        <f>N30*'PK10'!AD4</f>
        <v>0</v>
      </c>
      <c r="P30" s="28">
        <f>N30*'PK10'!AB4</f>
        <v>0</v>
      </c>
      <c r="Q30" s="28">
        <f>N30*'PK10'!AE4</f>
        <v>0</v>
      </c>
    </row>
    <row r="31" spans="1:17" x14ac:dyDescent="0.15">
      <c r="A31" s="43"/>
      <c r="B31" s="43" t="s">
        <v>28</v>
      </c>
      <c r="C31" s="8" t="s">
        <v>39</v>
      </c>
      <c r="D31" s="44" t="str">
        <f>TRIM(IF(LEN(C31)=0,"-",C31))&amp;","&amp;TRIM(IF(LEN(C32)=0,"-",C32))</f>
        <v>和大 和小 和单 和双,03 04 05 06 07 08 09 10 11 12 13 14 15 16 17 18 19</v>
      </c>
      <c r="E31" s="43">
        <v>1</v>
      </c>
      <c r="F31" s="45">
        <v>3</v>
      </c>
      <c r="G31" s="43">
        <f>(LEN(SUBSTITUTE(C31," ",))+LEN(SUBSTITUTE(C32," ",)))/2*F31</f>
        <v>63</v>
      </c>
      <c r="H31" s="43">
        <f>SUM(O29:O37)*F31</f>
        <v>45.468000000000004</v>
      </c>
      <c r="I31" s="43">
        <f>I30-G31+H31</f>
        <v>99999855.507999972</v>
      </c>
      <c r="J31" s="43"/>
      <c r="K31" s="43">
        <f>'PK10'!Y12</f>
        <v>15.156000000000001</v>
      </c>
      <c r="L31" s="43"/>
      <c r="M31" s="16" t="s">
        <v>46</v>
      </c>
      <c r="N31" s="8">
        <f>N(AND(MOD(SUM(INT(M2),INT(M3)),2)=0,ISNUMBER(FIND(M31,C31,1))))</f>
        <v>0</v>
      </c>
      <c r="O31" s="14">
        <f>N31*'PK10'!AD3</f>
        <v>0</v>
      </c>
      <c r="P31" s="28">
        <f>N31*'PK10'!AB3</f>
        <v>0</v>
      </c>
      <c r="Q31" s="28">
        <f>N31*'PK10'!AE3</f>
        <v>0</v>
      </c>
    </row>
    <row r="32" spans="1:17" s="11" customFormat="1" ht="27" x14ac:dyDescent="0.15">
      <c r="A32" s="43"/>
      <c r="B32" s="43"/>
      <c r="C32" s="8" t="s">
        <v>38</v>
      </c>
      <c r="D32" s="44"/>
      <c r="E32" s="43"/>
      <c r="F32" s="45"/>
      <c r="G32" s="43"/>
      <c r="H32" s="43"/>
      <c r="I32" s="43"/>
      <c r="J32" s="43"/>
      <c r="K32" s="43"/>
      <c r="L32" s="43"/>
      <c r="M32" s="16" t="s">
        <v>52</v>
      </c>
      <c r="N32" s="8">
        <f>N(AND(MOD(SUM(INT(M2),INT(M3)),2)=1,ISNUMBER(FIND(M32,C31,1))))</f>
        <v>1</v>
      </c>
      <c r="O32" s="14">
        <f>N32*'PK10'!AD4</f>
        <v>1.7190000000000001</v>
      </c>
      <c r="P32" s="28">
        <f>N32*'PK10'!AB4</f>
        <v>1E-3</v>
      </c>
      <c r="Q32" s="28">
        <f>N32*'PK10'!AE4</f>
        <v>1.7190000000000001</v>
      </c>
    </row>
    <row r="33" spans="1:17" x14ac:dyDescent="0.15">
      <c r="A33" s="43"/>
      <c r="B33" s="43" t="s">
        <v>30</v>
      </c>
      <c r="C33" s="8" t="s">
        <v>40</v>
      </c>
      <c r="D33" s="44" t="str">
        <f>TRIM(IF(LEN(C33)=0,"-",C33))&amp;","&amp;TRIM(IF(LEN(C34)=0,"-",C34))&amp;","&amp;TRIM(IF(LEN(C35)=0,"-",C35))&amp;","&amp;TRIM(IF(LEN(C36)=0,"-",C36))&amp;","&amp;TRIM(IF(LEN(C37)=0,"-",C37))&amp;","&amp;TRIM(IF(LEN(C38)=0,"-",C38))&amp;","&amp;TRIM(IF(LEN(C39)=0,"-",C39))&amp;","&amp;TRIM(IF(LEN(C40)=0,"-",C40))&amp;","&amp;TRIM(IF(LEN(C41)=0,"-",C41))&amp;","&amp;TRIM(IF(LEN(C42)=0,"-",C42))</f>
        <v>大 小 单 双 龙 虎,大 小 单 双 龙 虎,大 小 单 双 龙 虎,大 小 单 双 龙 虎,大 小 单 双 龙 虎,大 小 单 双,大 小 单 双,大 小 单 双,大 小 单 双,大 小 单 双</v>
      </c>
      <c r="E33" s="43">
        <v>1</v>
      </c>
      <c r="F33" s="45">
        <v>4</v>
      </c>
      <c r="G33" s="43">
        <f>(LEN(SUBSTITUTE(C33," ",))+LEN(SUBSTITUTE(C34," ",))+LEN(SUBSTITUTE(C35," ",))+LEN(SUBSTITUTE(C36," ",))+LEN(SUBSTITUTE(C37," ",))+LEN(SUBSTITUTE(C38," ",))+LEN(SUBSTITUTE(C39," ",))+LEN(SUBSTITUTE(C40," ",))+LEN(SUBSTITUTE(C41," ",))+LEN(SUBSTITUTE(C42," ",)))*F33</f>
        <v>200</v>
      </c>
      <c r="H33" s="45">
        <f>SUM(L33:L42)</f>
        <v>199.80000000000004</v>
      </c>
      <c r="I33" s="43">
        <f>I31-G33+H33</f>
        <v>99999855.307999969</v>
      </c>
      <c r="J33" s="43"/>
      <c r="K33" s="43">
        <f>'PK10'!Y13</f>
        <v>1.998</v>
      </c>
      <c r="L33" s="9">
        <f>SUM(N(ISNUMBER(FIND($M13,$C33,1))),N(ISNUMBER(FIND($N13,$C33,1))),N(ISNUMBER(FIND($O13,$C33,1))))*K33*F33</f>
        <v>23.975999999999999</v>
      </c>
      <c r="M33" s="16" t="s">
        <v>47</v>
      </c>
      <c r="N33" s="8">
        <f>IF(SUM(INT(M2),INT(M3))&lt;10,N(ISNUMBER(FIND((0&amp;SUM(INT(M2),INT(M3))),M33,1))),N(ISNUMBER(FIND(SUM(INT(M2),INT(M3)),M33,1))))</f>
        <v>0</v>
      </c>
      <c r="O33" s="5">
        <f>N33*'PK10'!AD5</f>
        <v>0</v>
      </c>
      <c r="P33" s="5">
        <f>N33*'PK10'!AB5</f>
        <v>0</v>
      </c>
      <c r="Q33" s="5">
        <f>N33*'PK10'!AE5</f>
        <v>0</v>
      </c>
    </row>
    <row r="34" spans="1:17" x14ac:dyDescent="0.15">
      <c r="A34" s="43"/>
      <c r="B34" s="43"/>
      <c r="C34" s="8" t="s">
        <v>41</v>
      </c>
      <c r="D34" s="44"/>
      <c r="E34" s="43"/>
      <c r="F34" s="45"/>
      <c r="G34" s="43"/>
      <c r="H34" s="43"/>
      <c r="I34" s="43"/>
      <c r="J34" s="43"/>
      <c r="K34" s="43"/>
      <c r="L34" s="9">
        <f>SUM(N(ISNUMBER(FIND($M14,$C34,1))),N(ISNUMBER(FIND($N14,$C34,1))),N(ISNUMBER(FIND($O14,$C34,1))))*K33*F33</f>
        <v>23.975999999999999</v>
      </c>
      <c r="M34" s="16" t="s">
        <v>48</v>
      </c>
      <c r="N34" s="8">
        <f>IF(SUM(INT(M2),INT(M3))&lt;10,N(ISNUMBER(FIND((0&amp;SUM(INT(M2),INT(M3))),M34,1))),N(ISNUMBER(FIND(SUM(INT(M2),INT(M3)),M34,1))))</f>
        <v>0</v>
      </c>
      <c r="O34" s="5">
        <f>N34*'PK10'!AD6</f>
        <v>0</v>
      </c>
      <c r="P34" s="28">
        <f>N34*'PK10'!AB6</f>
        <v>0</v>
      </c>
      <c r="Q34" s="28">
        <f>N34*'PK10'!AE6</f>
        <v>0</v>
      </c>
    </row>
    <row r="35" spans="1:17" x14ac:dyDescent="0.15">
      <c r="A35" s="43"/>
      <c r="B35" s="43"/>
      <c r="C35" s="8" t="s">
        <v>41</v>
      </c>
      <c r="D35" s="44"/>
      <c r="E35" s="43"/>
      <c r="F35" s="45"/>
      <c r="G35" s="43"/>
      <c r="H35" s="43"/>
      <c r="I35" s="43"/>
      <c r="J35" s="43"/>
      <c r="K35" s="43"/>
      <c r="L35" s="9">
        <f>SUM(N(ISNUMBER(FIND($M15,$C35,1))),N(ISNUMBER(FIND($N15,$C35,1))),N(ISNUMBER(FIND($O15,$C35,1))))*K33*F33</f>
        <v>23.975999999999999</v>
      </c>
      <c r="M35" s="16" t="s">
        <v>49</v>
      </c>
      <c r="N35" s="8">
        <f>IF(SUM(INT(M2),INT(M3))&lt;10,N(ISNUMBER(FIND((0&amp;SUM(INT(M2),INT(M3))),M35,1))),N(ISNUMBER(FIND(SUM(INT(M2),INT(M3)),M35,1))))</f>
        <v>0</v>
      </c>
      <c r="O35" s="5">
        <f>N35*'PK10'!AD7</f>
        <v>0</v>
      </c>
      <c r="P35" s="28">
        <f>N35*'PK10'!AB7</f>
        <v>0</v>
      </c>
      <c r="Q35" s="28">
        <f>N35*'PK10'!AE7</f>
        <v>0</v>
      </c>
    </row>
    <row r="36" spans="1:17" x14ac:dyDescent="0.15">
      <c r="A36" s="43"/>
      <c r="B36" s="43"/>
      <c r="C36" s="8" t="s">
        <v>41</v>
      </c>
      <c r="D36" s="44"/>
      <c r="E36" s="43"/>
      <c r="F36" s="45"/>
      <c r="G36" s="43"/>
      <c r="H36" s="43"/>
      <c r="I36" s="43"/>
      <c r="J36" s="43"/>
      <c r="K36" s="43"/>
      <c r="L36" s="9">
        <f>SUM(N(ISNUMBER(FIND($M16,$C36,1))),N(ISNUMBER(FIND($N16,$C36,1))),N(ISNUMBER(FIND($O16,$C36,1))))*K33*F33</f>
        <v>23.975999999999999</v>
      </c>
      <c r="M36" s="16" t="s">
        <v>50</v>
      </c>
      <c r="N36" s="8">
        <f>IF(SUM(INT(M2),INT(M3))&lt;10,N(ISNUMBER(FIND((0&amp;SUM(INT(M2),INT(M3))),M36,1))),N(ISNUMBER(FIND(SUM(INT(M2),INT(M3)),M36,1))))</f>
        <v>1</v>
      </c>
      <c r="O36" s="5">
        <f>N36*'PK10'!AD8</f>
        <v>11.214</v>
      </c>
      <c r="P36" s="28">
        <f>N36*'PK10'!AB8</f>
        <v>1.0999999999999999E-2</v>
      </c>
      <c r="Q36" s="28">
        <f>N36*'PK10'!AE8</f>
        <v>11.214</v>
      </c>
    </row>
    <row r="37" spans="1:17" x14ac:dyDescent="0.15">
      <c r="A37" s="43"/>
      <c r="B37" s="43"/>
      <c r="C37" s="8" t="s">
        <v>41</v>
      </c>
      <c r="D37" s="44"/>
      <c r="E37" s="43"/>
      <c r="F37" s="45"/>
      <c r="G37" s="43"/>
      <c r="H37" s="43"/>
      <c r="I37" s="43"/>
      <c r="J37" s="43"/>
      <c r="K37" s="43"/>
      <c r="L37" s="9">
        <f>SUM(N(ISNUMBER(FIND($M17,$C37,1))),N(ISNUMBER(FIND($N17,$C37,1))),N(ISNUMBER(FIND($O17,$C37,1))))*K33*F33</f>
        <v>23.975999999999999</v>
      </c>
      <c r="M37" s="5">
        <v>11</v>
      </c>
      <c r="N37" s="8">
        <f>IF(SUM(INT(M2),INT(M3))&lt;10,N(ISNUMBER(FIND((0&amp;SUM(INT(M2),INT(M3))),M37,1))),N(ISNUMBER(FIND(SUM(INT(M2),INT(M3)),M37,1))))</f>
        <v>0</v>
      </c>
      <c r="O37" s="5">
        <f>N37*'PK10'!AD9</f>
        <v>0</v>
      </c>
      <c r="P37" s="28">
        <f>N37*'PK10'!AB9</f>
        <v>0</v>
      </c>
      <c r="Q37" s="28">
        <f>N37*'PK10'!AE9</f>
        <v>0</v>
      </c>
    </row>
    <row r="38" spans="1:17" x14ac:dyDescent="0.15">
      <c r="A38" s="43"/>
      <c r="B38" s="43"/>
      <c r="C38" s="8" t="s">
        <v>42</v>
      </c>
      <c r="D38" s="44"/>
      <c r="E38" s="43"/>
      <c r="F38" s="45"/>
      <c r="G38" s="43"/>
      <c r="H38" s="43"/>
      <c r="I38" s="43"/>
      <c r="J38" s="43"/>
      <c r="K38" s="43"/>
      <c r="L38" s="9">
        <f>SUM(N(ISNUMBER(FIND($M18,$C38,1))),N(ISNUMBER(FIND($N18,$C38,1))))*K33*F33</f>
        <v>15.984</v>
      </c>
      <c r="N38" s="10"/>
    </row>
    <row r="39" spans="1:17" x14ac:dyDescent="0.15">
      <c r="A39" s="43"/>
      <c r="B39" s="43"/>
      <c r="C39" s="8" t="s">
        <v>42</v>
      </c>
      <c r="D39" s="44"/>
      <c r="E39" s="43"/>
      <c r="F39" s="45"/>
      <c r="G39" s="43"/>
      <c r="H39" s="43"/>
      <c r="I39" s="43"/>
      <c r="J39" s="43"/>
      <c r="K39" s="43"/>
      <c r="L39" s="9">
        <f>SUM(N(ISNUMBER(FIND($M19,$C39,1))),N(ISNUMBER(FIND($N19,$C39,1))))*K33*F33</f>
        <v>15.984</v>
      </c>
    </row>
    <row r="40" spans="1:17" x14ac:dyDescent="0.15">
      <c r="A40" s="43"/>
      <c r="B40" s="43"/>
      <c r="C40" s="8" t="s">
        <v>43</v>
      </c>
      <c r="D40" s="44"/>
      <c r="E40" s="43"/>
      <c r="F40" s="45"/>
      <c r="G40" s="43"/>
      <c r="H40" s="43"/>
      <c r="I40" s="43"/>
      <c r="J40" s="43"/>
      <c r="K40" s="43"/>
      <c r="L40" s="9">
        <f>SUM(N(ISNUMBER(FIND($M20,$C40,1))),N(ISNUMBER(FIND($N20,$C40,1))))*K33*F33</f>
        <v>15.984</v>
      </c>
    </row>
    <row r="41" spans="1:17" x14ac:dyDescent="0.15">
      <c r="A41" s="43"/>
      <c r="B41" s="43"/>
      <c r="C41" s="8" t="s">
        <v>44</v>
      </c>
      <c r="D41" s="44"/>
      <c r="E41" s="43"/>
      <c r="F41" s="45"/>
      <c r="G41" s="43"/>
      <c r="H41" s="43"/>
      <c r="I41" s="43"/>
      <c r="J41" s="43"/>
      <c r="K41" s="43"/>
      <c r="L41" s="9">
        <f>SUM(N(ISNUMBER(FIND($M21,$C41,1))),N(ISNUMBER(FIND($N21,$C41,1))))*K33*F33</f>
        <v>15.984</v>
      </c>
    </row>
    <row r="42" spans="1:17" x14ac:dyDescent="0.15">
      <c r="A42" s="43"/>
      <c r="B42" s="43"/>
      <c r="C42" s="8" t="s">
        <v>42</v>
      </c>
      <c r="D42" s="44"/>
      <c r="E42" s="43"/>
      <c r="F42" s="45"/>
      <c r="G42" s="43"/>
      <c r="H42" s="43"/>
      <c r="I42" s="43"/>
      <c r="J42" s="43"/>
      <c r="K42" s="43"/>
      <c r="L42" s="9">
        <f>SUM(N(ISNUMBER(FIND($M22,$C42,1))),N(ISNUMBER(FIND($N22,$C42,1))))*K33*F33</f>
        <v>15.984</v>
      </c>
    </row>
  </sheetData>
  <dataConsolidate/>
  <mergeCells count="76">
    <mergeCell ref="A33:A42"/>
    <mergeCell ref="B33:B42"/>
    <mergeCell ref="B27:B28"/>
    <mergeCell ref="B23:B25"/>
    <mergeCell ref="B18:B21"/>
    <mergeCell ref="A18:A22"/>
    <mergeCell ref="A23:A26"/>
    <mergeCell ref="A27:A29"/>
    <mergeCell ref="D27:D28"/>
    <mergeCell ref="B31:B32"/>
    <mergeCell ref="A31:A32"/>
    <mergeCell ref="A12:A17"/>
    <mergeCell ref="A2:A11"/>
    <mergeCell ref="D18:D21"/>
    <mergeCell ref="D23:D25"/>
    <mergeCell ref="D2:D11"/>
    <mergeCell ref="D12:D16"/>
    <mergeCell ref="B2:B11"/>
    <mergeCell ref="B12:B16"/>
    <mergeCell ref="D33:D42"/>
    <mergeCell ref="D31:D32"/>
    <mergeCell ref="E31:E32"/>
    <mergeCell ref="E33:E42"/>
    <mergeCell ref="F33:F42"/>
    <mergeCell ref="F31:F32"/>
    <mergeCell ref="F27:F28"/>
    <mergeCell ref="F23:F25"/>
    <mergeCell ref="F18:F21"/>
    <mergeCell ref="F12:F16"/>
    <mergeCell ref="F2:F11"/>
    <mergeCell ref="E2:E11"/>
    <mergeCell ref="E12:E16"/>
    <mergeCell ref="E18:E21"/>
    <mergeCell ref="E23:E25"/>
    <mergeCell ref="E27:E28"/>
    <mergeCell ref="G33:G42"/>
    <mergeCell ref="G2:G11"/>
    <mergeCell ref="I2:I11"/>
    <mergeCell ref="J2:J11"/>
    <mergeCell ref="G12:G16"/>
    <mergeCell ref="I12:I16"/>
    <mergeCell ref="J12:J16"/>
    <mergeCell ref="J27:J28"/>
    <mergeCell ref="G18:G21"/>
    <mergeCell ref="G23:G25"/>
    <mergeCell ref="G27:G28"/>
    <mergeCell ref="G31:G32"/>
    <mergeCell ref="I31:I32"/>
    <mergeCell ref="J31:J32"/>
    <mergeCell ref="I33:I42"/>
    <mergeCell ref="J33:J42"/>
    <mergeCell ref="H2:H11"/>
    <mergeCell ref="H33:H42"/>
    <mergeCell ref="H23:H25"/>
    <mergeCell ref="L2:L11"/>
    <mergeCell ref="H12:H16"/>
    <mergeCell ref="L12:L16"/>
    <mergeCell ref="H18:H21"/>
    <mergeCell ref="L18:L21"/>
    <mergeCell ref="I18:I21"/>
    <mergeCell ref="J18:J21"/>
    <mergeCell ref="K2:K11"/>
    <mergeCell ref="K12:K16"/>
    <mergeCell ref="K18:K21"/>
    <mergeCell ref="L23:L25"/>
    <mergeCell ref="H27:H28"/>
    <mergeCell ref="L27:L28"/>
    <mergeCell ref="H31:H32"/>
    <mergeCell ref="L31:L32"/>
    <mergeCell ref="K31:K32"/>
    <mergeCell ref="K33:K42"/>
    <mergeCell ref="I23:I25"/>
    <mergeCell ref="J23:J25"/>
    <mergeCell ref="I27:I28"/>
    <mergeCell ref="K23:K25"/>
    <mergeCell ref="K27:K2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3"/>
  <sheetViews>
    <sheetView workbookViewId="0">
      <selection activeCell="F23" sqref="F23"/>
    </sheetView>
  </sheetViews>
  <sheetFormatPr defaultColWidth="9" defaultRowHeight="13.5" x14ac:dyDescent="0.15"/>
  <cols>
    <col min="1" max="2" width="14.75" style="3" bestFit="1" customWidth="1"/>
    <col min="3" max="3" width="45.625" style="3" customWidth="1"/>
    <col min="4" max="4" width="13.625" style="3" bestFit="1" customWidth="1"/>
    <col min="5" max="5" width="12.5" style="3" bestFit="1" customWidth="1"/>
    <col min="6" max="6" width="11.375" style="3" bestFit="1" customWidth="1"/>
    <col min="7" max="7" width="16" style="3" bestFit="1" customWidth="1"/>
    <col min="8" max="8" width="18.5" style="3" bestFit="1" customWidth="1"/>
    <col min="9" max="9" width="13.625" style="3" bestFit="1" customWidth="1"/>
    <col min="10" max="10" width="16" style="3" bestFit="1" customWidth="1"/>
    <col min="11" max="16384" width="9" style="3"/>
  </cols>
  <sheetData>
    <row r="1" spans="1:10" x14ac:dyDescent="0.15">
      <c r="A1" s="3" t="s">
        <v>152</v>
      </c>
      <c r="B1" s="3" t="s">
        <v>153</v>
      </c>
      <c r="C1" s="3" t="s">
        <v>154</v>
      </c>
      <c r="D1" s="3" t="s">
        <v>155</v>
      </c>
      <c r="E1" s="3" t="s">
        <v>156</v>
      </c>
      <c r="F1" s="3" t="s">
        <v>157</v>
      </c>
      <c r="G1" s="3" t="s">
        <v>158</v>
      </c>
      <c r="H1" s="3" t="s">
        <v>159</v>
      </c>
      <c r="I1" s="3" t="s">
        <v>160</v>
      </c>
      <c r="J1" s="3" t="s">
        <v>161</v>
      </c>
    </row>
    <row r="2" spans="1:10" ht="34.5" customHeight="1" x14ac:dyDescent="0.15">
      <c r="A2" s="4" t="s">
        <v>54</v>
      </c>
      <c r="B2" s="4" t="s">
        <v>54</v>
      </c>
      <c r="C2" s="4" t="s">
        <v>67</v>
      </c>
      <c r="D2" s="4">
        <v>2</v>
      </c>
      <c r="E2" s="4">
        <v>1</v>
      </c>
      <c r="F2" s="4">
        <v>400</v>
      </c>
      <c r="G2" s="4">
        <v>0</v>
      </c>
      <c r="H2" s="4">
        <v>399.6</v>
      </c>
      <c r="I2" s="4">
        <v>99999999.599999994</v>
      </c>
      <c r="J2" s="4"/>
    </row>
    <row r="3" spans="1:10" ht="17.25" customHeight="1" x14ac:dyDescent="0.15">
      <c r="A3" s="32" t="s">
        <v>56</v>
      </c>
      <c r="B3" s="32" t="s">
        <v>2</v>
      </c>
      <c r="C3" s="32" t="s">
        <v>193</v>
      </c>
      <c r="D3" s="32">
        <v>1</v>
      </c>
      <c r="E3" s="32">
        <v>1</v>
      </c>
      <c r="F3" s="32">
        <v>60480</v>
      </c>
      <c r="G3" s="32">
        <v>0</v>
      </c>
      <c r="H3" s="32">
        <v>60419.519999999997</v>
      </c>
      <c r="I3" s="32">
        <v>99999939.11999999</v>
      </c>
      <c r="J3" s="32"/>
    </row>
    <row r="4" spans="1:10" x14ac:dyDescent="0.15">
      <c r="A4" s="32" t="s">
        <v>56</v>
      </c>
      <c r="B4" s="32" t="s">
        <v>68</v>
      </c>
      <c r="C4" s="32" t="s">
        <v>194</v>
      </c>
      <c r="D4" s="32">
        <v>3</v>
      </c>
      <c r="E4" s="32">
        <v>1</v>
      </c>
      <c r="F4" s="32">
        <v>12</v>
      </c>
      <c r="G4" s="32">
        <v>0</v>
      </c>
      <c r="H4" s="32">
        <v>0</v>
      </c>
      <c r="I4" s="32">
        <v>99999927.11999999</v>
      </c>
      <c r="J4" s="32"/>
    </row>
    <row r="5" spans="1:10" ht="23.25" customHeight="1" x14ac:dyDescent="0.15">
      <c r="A5" s="32" t="s">
        <v>58</v>
      </c>
      <c r="B5" s="32" t="s">
        <v>2</v>
      </c>
      <c r="C5" s="32" t="s">
        <v>69</v>
      </c>
      <c r="D5" s="32">
        <v>1</v>
      </c>
      <c r="E5" s="32">
        <v>1</v>
      </c>
      <c r="F5" s="32">
        <v>10080</v>
      </c>
      <c r="G5" s="32">
        <v>0</v>
      </c>
      <c r="H5" s="32">
        <v>10069.92</v>
      </c>
      <c r="I5" s="32">
        <v>99999917.039999992</v>
      </c>
      <c r="J5" s="32"/>
    </row>
    <row r="6" spans="1:10" x14ac:dyDescent="0.15">
      <c r="A6" s="32" t="s">
        <v>58</v>
      </c>
      <c r="B6" s="32" t="s">
        <v>68</v>
      </c>
      <c r="C6" s="32" t="s">
        <v>195</v>
      </c>
      <c r="D6" s="32">
        <v>2</v>
      </c>
      <c r="E6" s="32">
        <v>1</v>
      </c>
      <c r="F6" s="32">
        <v>12</v>
      </c>
      <c r="G6" s="32">
        <v>0</v>
      </c>
      <c r="H6" s="32">
        <v>0</v>
      </c>
      <c r="I6" s="32">
        <v>99999905.039999992</v>
      </c>
      <c r="J6" s="32"/>
    </row>
    <row r="7" spans="1:10" ht="21.75" customHeight="1" x14ac:dyDescent="0.15">
      <c r="A7" s="32" t="s">
        <v>60</v>
      </c>
      <c r="B7" s="32" t="s">
        <v>2</v>
      </c>
      <c r="C7" s="32" t="s">
        <v>70</v>
      </c>
      <c r="D7" s="32">
        <v>4</v>
      </c>
      <c r="E7" s="32">
        <v>1</v>
      </c>
      <c r="F7" s="32">
        <v>5760</v>
      </c>
      <c r="G7" s="32">
        <v>0</v>
      </c>
      <c r="H7" s="32">
        <v>5754.24</v>
      </c>
      <c r="I7" s="32">
        <v>99999899.279999986</v>
      </c>
      <c r="J7" s="32"/>
    </row>
    <row r="8" spans="1:10" x14ac:dyDescent="0.15">
      <c r="A8" s="32" t="s">
        <v>60</v>
      </c>
      <c r="B8" s="32" t="s">
        <v>68</v>
      </c>
      <c r="C8" s="32" t="s">
        <v>196</v>
      </c>
      <c r="D8" s="32">
        <v>5</v>
      </c>
      <c r="E8" s="32">
        <v>1</v>
      </c>
      <c r="F8" s="32">
        <v>10</v>
      </c>
      <c r="G8" s="32">
        <v>0</v>
      </c>
      <c r="H8" s="32">
        <v>0</v>
      </c>
      <c r="I8" s="32">
        <v>99999889.279999986</v>
      </c>
      <c r="J8" s="32"/>
    </row>
    <row r="9" spans="1:10" x14ac:dyDescent="0.15">
      <c r="A9" s="32" t="s">
        <v>62</v>
      </c>
      <c r="B9" s="32" t="s">
        <v>2</v>
      </c>
      <c r="C9" s="32" t="s">
        <v>71</v>
      </c>
      <c r="D9" s="32">
        <v>1</v>
      </c>
      <c r="E9" s="32">
        <v>1</v>
      </c>
      <c r="F9" s="32">
        <v>180</v>
      </c>
      <c r="G9" s="32">
        <v>0</v>
      </c>
      <c r="H9" s="32">
        <v>179.82</v>
      </c>
      <c r="I9" s="32">
        <v>99999889.099999979</v>
      </c>
      <c r="J9" s="32"/>
    </row>
    <row r="10" spans="1:10" x14ac:dyDescent="0.15">
      <c r="A10" s="32" t="s">
        <v>62</v>
      </c>
      <c r="B10" s="32" t="s">
        <v>68</v>
      </c>
      <c r="C10" s="32" t="s">
        <v>142</v>
      </c>
      <c r="D10" s="32">
        <v>2</v>
      </c>
      <c r="E10" s="32">
        <v>1</v>
      </c>
      <c r="F10" s="32">
        <v>16</v>
      </c>
      <c r="G10" s="32">
        <v>0</v>
      </c>
      <c r="H10" s="32">
        <v>0</v>
      </c>
      <c r="I10" s="32">
        <v>99999873.099999979</v>
      </c>
      <c r="J10" s="32"/>
    </row>
    <row r="11" spans="1:10" x14ac:dyDescent="0.15">
      <c r="A11" s="32" t="s">
        <v>64</v>
      </c>
      <c r="B11" s="32" t="s">
        <v>2</v>
      </c>
      <c r="C11" s="32" t="s">
        <v>32</v>
      </c>
      <c r="D11" s="32">
        <v>3</v>
      </c>
      <c r="E11" s="32">
        <v>1</v>
      </c>
      <c r="F11" s="32">
        <v>60</v>
      </c>
      <c r="G11" s="32">
        <v>0</v>
      </c>
      <c r="H11" s="32">
        <v>59.94</v>
      </c>
      <c r="I11" s="32">
        <v>99999873.039999977</v>
      </c>
      <c r="J11" s="32"/>
    </row>
    <row r="12" spans="1:10" x14ac:dyDescent="0.15">
      <c r="A12" s="32" t="s">
        <v>72</v>
      </c>
      <c r="B12" s="32" t="s">
        <v>73</v>
      </c>
      <c r="C12" s="32" t="s">
        <v>74</v>
      </c>
      <c r="D12" s="32">
        <v>1</v>
      </c>
      <c r="E12" s="32">
        <v>3</v>
      </c>
      <c r="F12" s="32">
        <v>63</v>
      </c>
      <c r="G12" s="32">
        <v>0</v>
      </c>
      <c r="H12" s="32">
        <v>45.468000000000004</v>
      </c>
      <c r="I12" s="32">
        <v>99999855.507999972</v>
      </c>
      <c r="J12" s="32"/>
    </row>
    <row r="13" spans="1:10" ht="22.5" customHeight="1" x14ac:dyDescent="0.15">
      <c r="A13" s="32" t="s">
        <v>75</v>
      </c>
      <c r="B13" s="32" t="s">
        <v>75</v>
      </c>
      <c r="C13" s="32" t="s">
        <v>76</v>
      </c>
      <c r="D13" s="32">
        <v>1</v>
      </c>
      <c r="E13" s="32">
        <v>4</v>
      </c>
      <c r="F13" s="32">
        <v>200</v>
      </c>
      <c r="G13" s="32">
        <v>0</v>
      </c>
      <c r="H13" s="32">
        <v>199.80000000000004</v>
      </c>
      <c r="I13" s="32">
        <v>99999855.307999969</v>
      </c>
      <c r="J13" s="3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48"/>
  <sheetViews>
    <sheetView zoomScaleNormal="100" workbookViewId="0">
      <pane ySplit="1" topLeftCell="A2" activePane="bottomLeft" state="frozen"/>
      <selection activeCell="D1" sqref="D1"/>
      <selection pane="bottomLeft" activeCell="A14" sqref="A14:B14"/>
    </sheetView>
  </sheetViews>
  <sheetFormatPr defaultColWidth="9" defaultRowHeight="13.5" x14ac:dyDescent="0.15"/>
  <cols>
    <col min="1" max="1" width="10.375" style="22" customWidth="1"/>
    <col min="2" max="2" width="17.875" style="22" customWidth="1"/>
    <col min="3" max="3" width="12.875" style="22" customWidth="1"/>
    <col min="4" max="4" width="13.25" style="22" customWidth="1"/>
    <col min="5" max="5" width="14.625" style="22" customWidth="1"/>
    <col min="6" max="6" width="12.875" style="22" customWidth="1"/>
    <col min="7" max="7" width="11" style="22" customWidth="1"/>
    <col min="8" max="9" width="11.25" style="22" customWidth="1"/>
    <col min="10" max="10" width="13.25" style="22" customWidth="1"/>
    <col min="11" max="11" width="9" style="22"/>
    <col min="12" max="12" width="11.125" style="22" customWidth="1"/>
    <col min="13" max="13" width="9" style="22"/>
    <col min="14" max="14" width="10.875" style="22" customWidth="1"/>
    <col min="15" max="16384" width="9" style="22"/>
  </cols>
  <sheetData>
    <row r="1" spans="1:15" ht="13.5" customHeight="1" x14ac:dyDescent="0.15">
      <c r="A1" s="20" t="s">
        <v>202</v>
      </c>
      <c r="G1" s="20" t="s">
        <v>203</v>
      </c>
      <c r="H1" s="21" t="s">
        <v>204</v>
      </c>
      <c r="I1" s="21" t="s">
        <v>110</v>
      </c>
      <c r="J1" s="46" t="s">
        <v>205</v>
      </c>
      <c r="K1" s="46"/>
      <c r="L1" s="46" t="s">
        <v>206</v>
      </c>
      <c r="M1" s="46"/>
      <c r="N1" s="46" t="s">
        <v>207</v>
      </c>
      <c r="O1" s="46"/>
    </row>
    <row r="2" spans="1:15" x14ac:dyDescent="0.15">
      <c r="A2" s="22">
        <v>10002</v>
      </c>
      <c r="B2" s="20" t="s">
        <v>208</v>
      </c>
      <c r="F2" s="22" t="s">
        <v>209</v>
      </c>
      <c r="G2" s="22">
        <v>10002</v>
      </c>
      <c r="H2" s="22" t="s">
        <v>130</v>
      </c>
      <c r="I2" s="22">
        <v>9.9</v>
      </c>
      <c r="J2" s="23">
        <v>1499688</v>
      </c>
      <c r="K2" s="22">
        <f>I2</f>
        <v>9.9</v>
      </c>
      <c r="L2" s="23">
        <v>1591936</v>
      </c>
      <c r="M2" s="22">
        <f>K2-0.6</f>
        <v>9.3000000000000007</v>
      </c>
      <c r="N2" s="23"/>
      <c r="O2" s="22">
        <f>K2-0.5</f>
        <v>9.4</v>
      </c>
    </row>
    <row r="3" spans="1:15" x14ac:dyDescent="0.15">
      <c r="B3" s="20">
        <f>INDEX(G$2:O$48,MATCH(A2,G:G)-1,3)</f>
        <v>9.9</v>
      </c>
      <c r="F3" s="22" t="s">
        <v>210</v>
      </c>
      <c r="G3" s="22">
        <v>10003</v>
      </c>
      <c r="H3" s="22">
        <f>L2</f>
        <v>1591936</v>
      </c>
      <c r="I3" s="22">
        <f>M2</f>
        <v>9.3000000000000007</v>
      </c>
      <c r="J3" s="23">
        <v>1691330</v>
      </c>
      <c r="K3" s="22">
        <f>I3</f>
        <v>9.3000000000000007</v>
      </c>
      <c r="L3" s="23">
        <v>1796656</v>
      </c>
      <c r="M3" s="22">
        <f>K3-0.6</f>
        <v>8.7000000000000011</v>
      </c>
      <c r="N3" s="23"/>
      <c r="O3" s="22">
        <f>K3-0.3</f>
        <v>9</v>
      </c>
    </row>
    <row r="4" spans="1:15" x14ac:dyDescent="0.15">
      <c r="F4" s="22" t="s">
        <v>131</v>
      </c>
      <c r="G4" s="22">
        <v>10004</v>
      </c>
      <c r="H4" s="22">
        <f>L3</f>
        <v>1796656</v>
      </c>
      <c r="I4" s="22">
        <f>M3</f>
        <v>8.7000000000000011</v>
      </c>
      <c r="J4" s="23">
        <v>1109864</v>
      </c>
      <c r="K4" s="22">
        <f>I4</f>
        <v>8.7000000000000011</v>
      </c>
      <c r="L4" s="23"/>
      <c r="N4" s="23"/>
    </row>
    <row r="5" spans="1:15" x14ac:dyDescent="0.15">
      <c r="B5" s="20" t="s">
        <v>111</v>
      </c>
      <c r="C5" s="20" t="s">
        <v>132</v>
      </c>
      <c r="D5" s="20" t="s">
        <v>112</v>
      </c>
      <c r="E5" s="20" t="s">
        <v>82</v>
      </c>
      <c r="J5" s="23"/>
      <c r="L5" s="23"/>
      <c r="N5" s="23"/>
    </row>
    <row r="6" spans="1:15" x14ac:dyDescent="0.15">
      <c r="B6" s="22" t="str">
        <f>IF(ISNUMBER(INDEX(G$2:O$12,MATCH(A2,G:G)-1,2)),INDEX(G$2:O$12,MATCH(A2,G:G)-1,2),"没有上级")</f>
        <v>没有上级</v>
      </c>
      <c r="C6" s="23" t="str">
        <f>IF(ISNUMBER(INT(B6)),IF(AND(G2&lt;10005,G2&gt;10001),INDEX(G$2:O$48,MATCH(B6,L:L,0)-1,1),IF(G2=10002,"没有上级",INDEX(G$2:O$48,MATCH(B6,N:N,0)-1,1))),"没有上级")</f>
        <v>没有上级</v>
      </c>
      <c r="D6" s="22" t="str">
        <f>IF(ISNUMBER(INDEX(G$2:O$48,MATCH(C6,$G:$G)-1,3)),INDEX(G$2:O$48,MATCH(C6,$G:$G)-1,3),"没有上级")</f>
        <v>没有上级</v>
      </c>
      <c r="E6" s="22" t="str">
        <f>IF(ISNUMBER(D6-B3),ROUND((D6-B3)*10,0),"没有上级")</f>
        <v>没有上级</v>
      </c>
      <c r="J6" s="23"/>
      <c r="L6" s="23"/>
      <c r="N6" s="23"/>
    </row>
    <row r="7" spans="1:15" x14ac:dyDescent="0.15">
      <c r="J7" s="23"/>
      <c r="L7" s="23"/>
      <c r="N7" s="23"/>
    </row>
    <row r="8" spans="1:15" x14ac:dyDescent="0.15">
      <c r="B8" s="20" t="s">
        <v>113</v>
      </c>
      <c r="C8" s="20" t="s">
        <v>133</v>
      </c>
      <c r="D8" s="20" t="s">
        <v>114</v>
      </c>
      <c r="E8" s="22" t="s">
        <v>136</v>
      </c>
      <c r="J8" s="23"/>
      <c r="L8" s="23"/>
      <c r="N8" s="23"/>
    </row>
    <row r="9" spans="1:15" x14ac:dyDescent="0.15">
      <c r="B9" s="22" t="str">
        <f>IF(ISNUMBER(INDEX(G$2:O$48,MATCH(C6,G:G)-1,2)),INDEX(G$2:O$48,MATCH(C6,G:G)-1,2),"没有上级")</f>
        <v>没有上级</v>
      </c>
      <c r="C9" s="23" t="str">
        <f>IF(ISNUMBER(INT(B9)),IF(AND(C6&lt;10005,C6&gt;10001),INDEX(G$2:O$48,MATCH(B9,L:L,0)-1,1),IF(C6=10002,"没有上级",INDEX(G$2:O$48,MATCH(B9,N:N,0)-1,1))),"没有上级")</f>
        <v>没有上级</v>
      </c>
      <c r="D9" s="22" t="str">
        <f>IF(ISNUMBER(INDEX(G$2:O$12,MATCH(C9,$G:$G)-1,3)),INDEX(G$2:O$48,MATCH(C9,$G:$G)-1,3),"没有上级")</f>
        <v>没有上级</v>
      </c>
      <c r="E9" s="22" t="str">
        <f>IF(ISNUMBER(D9-D6),ROUND((D9-D6)*10,0),"没有上级")</f>
        <v>没有上级</v>
      </c>
      <c r="J9" s="23"/>
      <c r="L9" s="23"/>
      <c r="N9" s="23"/>
    </row>
    <row r="10" spans="1:15" x14ac:dyDescent="0.15">
      <c r="J10" s="23"/>
      <c r="L10" s="23"/>
      <c r="N10" s="23"/>
    </row>
    <row r="11" spans="1:15" x14ac:dyDescent="0.15">
      <c r="B11" s="20" t="s">
        <v>115</v>
      </c>
      <c r="C11" s="20" t="s">
        <v>134</v>
      </c>
      <c r="D11" s="20" t="s">
        <v>116</v>
      </c>
      <c r="E11" s="22" t="s">
        <v>211</v>
      </c>
      <c r="J11" s="23"/>
      <c r="L11" s="23"/>
      <c r="N11" s="23"/>
    </row>
    <row r="12" spans="1:15" x14ac:dyDescent="0.15">
      <c r="B12" s="22" t="str">
        <f>IF(ISNUMBER(INDEX(G$2:O$48,MATCH(C9,G:G)-1,2)),INDEX(G$2:O$48,MATCH(C9,G:G)-1,2),"没有上级")</f>
        <v>没有上级</v>
      </c>
      <c r="C12" s="23" t="str">
        <f>IF(ISNUMBER(INT(B12)),IF(AND(C9&lt;10005,C9&gt;10001),INDEX(G$2:O$48,MATCH(B12,L:L,0)-1,1),IF(C9=10002,"没有上级",INDEX(G$2:O$48,MATCH(B12,N:N,0)-1,1))),"没有上级")</f>
        <v>没有上级</v>
      </c>
      <c r="D12" s="22" t="str">
        <f>IF(ISNUMBER(INDEX(G$2:O$48,MATCH(C12,$G:$G)-1,3)),INDEX(G$2:O$48,MATCH(C12,$G:$G)-1,3),"没有上级")</f>
        <v>没有上级</v>
      </c>
      <c r="E12" s="22" t="str">
        <f>IF(ISNUMBER(D12-D9),ROUND((D12-D9)*10,0),"没有上级")</f>
        <v>没有上级</v>
      </c>
      <c r="J12" s="23"/>
      <c r="L12" s="23"/>
      <c r="N12" s="23"/>
    </row>
    <row r="13" spans="1:15" x14ac:dyDescent="0.15">
      <c r="J13" s="23"/>
      <c r="L13" s="23"/>
      <c r="N13" s="23"/>
    </row>
    <row r="14" spans="1:15" x14ac:dyDescent="0.15">
      <c r="B14" s="20" t="s">
        <v>212</v>
      </c>
      <c r="C14" s="20" t="s">
        <v>213</v>
      </c>
      <c r="D14" s="20" t="s">
        <v>214</v>
      </c>
      <c r="E14" s="22" t="s">
        <v>215</v>
      </c>
      <c r="J14" s="23"/>
      <c r="L14" s="23"/>
      <c r="N14" s="23"/>
    </row>
    <row r="15" spans="1:15" x14ac:dyDescent="0.15">
      <c r="B15" s="22" t="str">
        <f>IF(ISNUMBER(INDEX(G$2:O$48,MATCH(C12,G:G)-1,2)),INDEX(G$2:O$48,MATCH(C12,G:G)-1,2),"没有上级")</f>
        <v>没有上级</v>
      </c>
      <c r="C15" s="23" t="str">
        <f>IF(ISNUMBER(INT(B15)),IF(AND(C12&lt;10005,C12&gt;10001),INDEX(G$2:O$48,MATCH(B15,L:L,0)-1,1),IF(C12=10002,"没有上级",INDEX(G$2:O$48,MATCH(B15,N:N,0)-1,1))),"没有上级")</f>
        <v>没有上级</v>
      </c>
      <c r="D15" s="22" t="str">
        <f>IF(ISNUMBER(INDEX(G$2:O$48,MATCH(C15,$G:$G)-1,3)),INDEX(G$2:O$48,MATCH(C15,$G:$G)-1,3),"没有上级")</f>
        <v>没有上级</v>
      </c>
      <c r="E15" s="22" t="str">
        <f>IF(ISNUMBER(D15-D12),ROUND((D15-D12)*10,0),"没有上级")</f>
        <v>没有上级</v>
      </c>
    </row>
    <row r="17" spans="2:5" x14ac:dyDescent="0.15">
      <c r="B17" s="20" t="s">
        <v>216</v>
      </c>
      <c r="C17" s="20" t="s">
        <v>217</v>
      </c>
      <c r="D17" s="20" t="s">
        <v>117</v>
      </c>
      <c r="E17" s="22" t="s">
        <v>118</v>
      </c>
    </row>
    <row r="18" spans="2:5" x14ac:dyDescent="0.15">
      <c r="B18" s="22" t="str">
        <f>IF(ISNUMBER(INDEX(G$2:O$48,MATCH(C15,G:G)-1,2)),INDEX(G$2:O$48,MATCH(C15,G:G)-1,2),"没有上级")</f>
        <v>没有上级</v>
      </c>
      <c r="C18" s="23" t="str">
        <f>IF(ISNUMBER(INT(B18)),IF(AND(C15&lt;10005,C15&gt;10001),INDEX(G$2:O$48,MATCH(B18,L:L,0)-1,1),IF(C15=10002,"没有上级",INDEX(G$2:O$48,MATCH(B18,N:N,0)-1,1))),"没有上级")</f>
        <v>没有上级</v>
      </c>
      <c r="D18" s="22" t="str">
        <f>IF(ISNUMBER(INDEX(G$2:O$48,MATCH(C18,$G:$G)-1,3)),INDEX(G$2:O$48,MATCH(C18,$G:$G)-1,3),"没有上级")</f>
        <v>没有上级</v>
      </c>
      <c r="E18" s="22" t="str">
        <f>IF(ISNUMBER(D18-D15),ROUND((D18-D15)*10,0),"没有上级")</f>
        <v>没有上级</v>
      </c>
    </row>
    <row r="20" spans="2:5" x14ac:dyDescent="0.15">
      <c r="B20" s="20" t="s">
        <v>218</v>
      </c>
      <c r="C20" s="20" t="s">
        <v>219</v>
      </c>
      <c r="D20" s="20" t="s">
        <v>220</v>
      </c>
      <c r="E20" s="22" t="s">
        <v>221</v>
      </c>
    </row>
    <row r="21" spans="2:5" x14ac:dyDescent="0.15">
      <c r="B21" s="22" t="str">
        <f>IF(ISNUMBER(INDEX(G$2:O$48,MATCH(C18,G:G)-1,2)),INDEX(G$2:O$48,MATCH(C18,G:G)-1,2),"没有上级")</f>
        <v>没有上级</v>
      </c>
      <c r="C21" s="23" t="str">
        <f>IF(ISNUMBER(INT(B21)),IF(AND(C18&lt;10005,C18&gt;10001),INDEX(G$2:O$48,MATCH(B21,L:L,0)-1,1),IF(C18=10002,"没有上级",INDEX(G$2:O$48,MATCH(B21,N:N,0)-1,1))),"没有上级")</f>
        <v>没有上级</v>
      </c>
      <c r="D21" s="22" t="str">
        <f>IF(ISNUMBER(INDEX(G$2:O$48,MATCH(C21,$G:$G)-1,3)),INDEX(G$2:O$48,MATCH(C21,$G:$G)-1,3),"没有上级")</f>
        <v>没有上级</v>
      </c>
      <c r="E21" s="22" t="str">
        <f>IF(ISNUMBER(D21-D18),ROUND((D21-D18)*10,0),"没有上级")</f>
        <v>没有上级</v>
      </c>
    </row>
    <row r="23" spans="2:5" x14ac:dyDescent="0.15">
      <c r="B23" s="20" t="s">
        <v>222</v>
      </c>
      <c r="C23" s="20" t="s">
        <v>223</v>
      </c>
      <c r="D23" s="20" t="s">
        <v>119</v>
      </c>
      <c r="E23" s="22" t="s">
        <v>224</v>
      </c>
    </row>
    <row r="24" spans="2:5" x14ac:dyDescent="0.15">
      <c r="B24" s="22" t="str">
        <f>IF(ISNUMBER(INDEX(G$2:O$48,MATCH(C21,G:G)-1,2)),INDEX(G$2:O$48,MATCH(C21,G:G)-1,2),"没有上级")</f>
        <v>没有上级</v>
      </c>
      <c r="C24" s="23" t="str">
        <f>IF(ISNUMBER(INT(B24)),IF(AND(C21&lt;10005,C21&gt;10001),INDEX(G$2:O$48,MATCH(B24,L:L,0)-1,1),IF(C21=10002,"没有上级",INDEX(G$2:O$48,MATCH(B24,N:N,0)-1,1))),"没有上级")</f>
        <v>没有上级</v>
      </c>
      <c r="D24" s="22" t="str">
        <f>IF(ISNUMBER(INDEX(G$2:O$48,MATCH(C24,$G:$G)-1,3)),INDEX(G$2:O$48,MATCH(C24,$G:$G)-1,3),"没有上级")</f>
        <v>没有上级</v>
      </c>
      <c r="E24" s="22" t="str">
        <f>IF(ISNUMBER(D24-D21),ROUND((D24-D21)*10,0),"没有上级")</f>
        <v>没有上级</v>
      </c>
    </row>
    <row r="26" spans="2:5" x14ac:dyDescent="0.15">
      <c r="B26" s="20" t="s">
        <v>120</v>
      </c>
      <c r="C26" s="20" t="s">
        <v>121</v>
      </c>
      <c r="D26" s="20" t="s">
        <v>122</v>
      </c>
      <c r="E26" s="22" t="s">
        <v>225</v>
      </c>
    </row>
    <row r="27" spans="2:5" x14ac:dyDescent="0.15">
      <c r="B27" s="22" t="str">
        <f>IF(ISNUMBER(INDEX(G$2:O$48,MATCH(C24,G:G)-1,2)),INDEX(G$2:O$48,MATCH(C24,G:G)-1,2),"没有上级")</f>
        <v>没有上级</v>
      </c>
      <c r="C27" s="23" t="str">
        <f>IF(ISNUMBER(INT(B27)),IF(AND(C24&lt;10005,C24&gt;10001),INDEX(G$2:O$48,MATCH(B27,L:L,0)-1,1),IF(C24=10002,"没有上级",INDEX(G$2:O$48,MATCH(B27,N:N,0)-1,1))),"没有上级")</f>
        <v>没有上级</v>
      </c>
      <c r="D27" s="22" t="str">
        <f>IF(ISNUMBER(INDEX(G$2:O$48,MATCH(C27,$G:$G)-1,3)),INDEX(G$2:O$48,MATCH(C27,$G:$G)-1,3),"没有上级")</f>
        <v>没有上级</v>
      </c>
      <c r="E27" s="22" t="str">
        <f>IF(ISNUMBER(D27-D24),ROUND((D27-D24)*10,0),"没有上级")</f>
        <v>没有上级</v>
      </c>
    </row>
    <row r="29" spans="2:5" x14ac:dyDescent="0.15">
      <c r="B29" s="20" t="s">
        <v>226</v>
      </c>
      <c r="C29" s="20" t="s">
        <v>227</v>
      </c>
      <c r="D29" s="20" t="s">
        <v>228</v>
      </c>
      <c r="E29" s="22" t="s">
        <v>229</v>
      </c>
    </row>
    <row r="30" spans="2:5" x14ac:dyDescent="0.15">
      <c r="B30" s="22" t="str">
        <f>IF(ISNUMBER(INDEX(G$2:O$48,MATCH(C27,G:G)-1,2)),INDEX(G$2:O$48,MATCH(C27,G:G)-1,2),"没有上级")</f>
        <v>没有上级</v>
      </c>
      <c r="C30" s="23" t="str">
        <f>IF(ISNUMBER(INT(B30)),IF(AND(C27&lt;10005,C27&gt;10001),INDEX(G$2:O$48,MATCH(B30,L:L,0)-1,1),IF(C27=10002,"没有上级",INDEX(G$2:O$48,MATCH(B30,N:N,0)-1,1))),"没有上级")</f>
        <v>没有上级</v>
      </c>
      <c r="D30" s="22" t="str">
        <f>IF(ISNUMBER(INDEX(G$2:O$48,MATCH(C30,$G:$G)-1,3)),INDEX(G$2:O$48,MATCH(C30,$G:$G)-1,3),"没有上级")</f>
        <v>没有上级</v>
      </c>
      <c r="E30" s="22" t="str">
        <f>IF(ISNUMBER(D30-D27),ROUND((D30-D27)*10,0),"没有上级")</f>
        <v>没有上级</v>
      </c>
    </row>
    <row r="31" spans="2:5" x14ac:dyDescent="0.15">
      <c r="C31" s="23"/>
    </row>
    <row r="32" spans="2:5" x14ac:dyDescent="0.15">
      <c r="B32" s="20" t="s">
        <v>230</v>
      </c>
      <c r="C32" s="20" t="s">
        <v>231</v>
      </c>
      <c r="D32" s="20" t="s">
        <v>123</v>
      </c>
      <c r="E32" s="22" t="s">
        <v>124</v>
      </c>
    </row>
    <row r="33" spans="2:5" x14ac:dyDescent="0.15">
      <c r="B33" s="22" t="str">
        <f>IF(ISNUMBER(INDEX(G$2:O$48,MATCH(C30,G:G)-1,2)),INDEX(G$2:O$48,MATCH(C30,G:G)-1,2),"没有上级")</f>
        <v>没有上级</v>
      </c>
      <c r="C33" s="23" t="str">
        <f>IF(ISNUMBER(INT(B33)),IF(AND(C30&lt;10005,C30&gt;10001),INDEX(G$2:O$48,MATCH(B33,L:L,0)-1,1),IF(C30=10002,"没有上级",INDEX(G$2:O$48,MATCH(B33,N:N,0)-1,1))),"没有上级")</f>
        <v>没有上级</v>
      </c>
      <c r="D33" s="22" t="str">
        <f>IF(ISNUMBER(INDEX(G$2:O$48,MATCH(C33,$G:$G)-1,3)),INDEX(G$2:O$48,MATCH(C33,$G:$G)-1,3),"没有上级")</f>
        <v>没有上级</v>
      </c>
      <c r="E33" s="22" t="str">
        <f>IF(ISNUMBER(D33-D30),ROUND((D33-D30)*10,0),"没有上级")</f>
        <v>没有上级</v>
      </c>
    </row>
    <row r="35" spans="2:5" x14ac:dyDescent="0.15">
      <c r="B35" s="20" t="s">
        <v>232</v>
      </c>
      <c r="C35" s="20" t="s">
        <v>233</v>
      </c>
      <c r="D35" s="20" t="s">
        <v>234</v>
      </c>
      <c r="E35" s="22" t="s">
        <v>235</v>
      </c>
    </row>
    <row r="36" spans="2:5" x14ac:dyDescent="0.15">
      <c r="B36" s="22" t="str">
        <f>IF(ISNUMBER(INDEX(G$2:O$48,MATCH(C33,G:G)-1,2)),INDEX(G$2:O$48,MATCH(C33,G:G)-1,2),"没有上级")</f>
        <v>没有上级</v>
      </c>
      <c r="C36" s="23" t="str">
        <f>IF(ISNUMBER(INT(B36)),IF(AND(C33&lt;10005,C33&gt;10001),INDEX(G$2:O$48,MATCH(B36,L:L,0)-1,1),IF(C33=10002,"没有上级",INDEX(G$2:O$48,MATCH(B36,N:N,0)-1,1))),"没有上级")</f>
        <v>没有上级</v>
      </c>
      <c r="D36" s="22" t="str">
        <f>IF(ISNUMBER(INDEX(G$2:O$48,MATCH(C36,$G:$G)-1,3)),INDEX(G$2:O$48,MATCH(C36,$G:$G)-1,3),"没有上级")</f>
        <v>没有上级</v>
      </c>
      <c r="E36" s="22" t="str">
        <f>IF(ISNUMBER(D36-D33),ROUND((D36-D33)*10,0),"没有上级")</f>
        <v>没有上级</v>
      </c>
    </row>
    <row r="38" spans="2:5" x14ac:dyDescent="0.15">
      <c r="B38" s="20" t="s">
        <v>125</v>
      </c>
      <c r="C38" s="20" t="s">
        <v>126</v>
      </c>
      <c r="D38" s="20" t="s">
        <v>236</v>
      </c>
      <c r="E38" s="22" t="s">
        <v>137</v>
      </c>
    </row>
    <row r="39" spans="2:5" x14ac:dyDescent="0.15">
      <c r="B39" s="22" t="str">
        <f>IF(ISNUMBER(INDEX(G$2:O$48,MATCH(C36,G:G)-1,2)),INDEX(G$2:O$48,MATCH(C36,G:G)-1,2),"没有上级")</f>
        <v>没有上级</v>
      </c>
      <c r="C39" s="23" t="str">
        <f>IF(ISNUMBER(INT(B39)),IF(AND(C36&lt;10005,C36&gt;10001),INDEX(G$2:O$48,MATCH(B39,L:L,0)-1,1),IF(C36=10002,"没有上级",INDEX(G$2:O$48,MATCH(B39,N:N,0)-1,1))),"没有上级")</f>
        <v>没有上级</v>
      </c>
      <c r="D39" s="22" t="str">
        <f>IF(ISNUMBER(INDEX(G$2:O$48,MATCH(C39,$G:$G)-1,3)),INDEX(G$2:O$48,MATCH(C39,$G:$G)-1,3),"没有上级")</f>
        <v>没有上级</v>
      </c>
      <c r="E39" s="22" t="str">
        <f>IF(ISNUMBER(D39-D36),ROUND((D39-D36)*10,0),"没有上级")</f>
        <v>没有上级</v>
      </c>
    </row>
    <row r="41" spans="2:5" x14ac:dyDescent="0.15">
      <c r="B41" s="20" t="s">
        <v>237</v>
      </c>
      <c r="C41" s="20" t="s">
        <v>135</v>
      </c>
      <c r="D41" s="20" t="s">
        <v>238</v>
      </c>
      <c r="E41" s="22" t="s">
        <v>239</v>
      </c>
    </row>
    <row r="42" spans="2:5" x14ac:dyDescent="0.15">
      <c r="B42" s="22" t="str">
        <f>IF(ISNUMBER(INDEX(G$2:O$48,MATCH(C39,G:G)-1,2)),INDEX(G$2:O$48,MATCH(C39,G:G)-1,2),"没有上级")</f>
        <v>没有上级</v>
      </c>
      <c r="C42" s="23" t="str">
        <f>IF(ISNUMBER(INT(B42)),IF(AND(C39&lt;10005,C39&gt;10001),INDEX(G$2:O$48,MATCH(B42,L:L,0)-1,1),IF(C39=10002,"没有上级",INDEX(G$2:O$48,MATCH(B42,N:N,0)-1,1))),"没有上级")</f>
        <v>没有上级</v>
      </c>
      <c r="D42" s="22" t="str">
        <f>IF(ISNUMBER(INDEX(G$2:O$48,MATCH(C42,$G:$G)-1,3)),INDEX(G$2:O$48,MATCH(C42,$G:$G)-1,3),"没有上级")</f>
        <v>没有上级</v>
      </c>
      <c r="E42" s="22" t="str">
        <f>IF(ISNUMBER(D42-D39),ROUND((D42-D39)*10,0),"没有上级")</f>
        <v>没有上级</v>
      </c>
    </row>
    <row r="44" spans="2:5" x14ac:dyDescent="0.15">
      <c r="B44" s="20" t="s">
        <v>127</v>
      </c>
      <c r="C44" s="20" t="s">
        <v>240</v>
      </c>
      <c r="D44" s="20" t="s">
        <v>241</v>
      </c>
      <c r="E44" s="22" t="s">
        <v>242</v>
      </c>
    </row>
    <row r="45" spans="2:5" x14ac:dyDescent="0.15">
      <c r="B45" s="22" t="str">
        <f>IF(ISNUMBER(INDEX(G$2:O$48,MATCH(C42,G:G)-1,2)),INDEX(G$2:O$48,MATCH(C42,G:G)-1,2),"没有上级")</f>
        <v>没有上级</v>
      </c>
      <c r="C45" s="23" t="str">
        <f>IF(ISNUMBER(INT(B45)),IF(AND(C42&lt;10005,C42&gt;10001),INDEX(G$2:O$48,MATCH(B45,L:L,0)-1,1),IF(C42=10002,"没有上级",INDEX(G$2:O$48,MATCH(B45,N:N,0)-1,1))),"没有上级")</f>
        <v>没有上级</v>
      </c>
      <c r="D45" s="22" t="str">
        <f>IF(ISNUMBER(INDEX(G$2:O$48,MATCH(C45,$G:$G)-1,3)),INDEX(G$2:O$48,MATCH(C45,$G:$G)-1,3),"没有上级")</f>
        <v>没有上级</v>
      </c>
      <c r="E45" s="22" t="str">
        <f>IF(ISNUMBER(D45-D42),ROUND((D45-D42)*10,0),"没有上级")</f>
        <v>没有上级</v>
      </c>
    </row>
    <row r="47" spans="2:5" x14ac:dyDescent="0.15">
      <c r="B47" s="20" t="s">
        <v>243</v>
      </c>
      <c r="C47" s="20" t="s">
        <v>244</v>
      </c>
      <c r="D47" s="20" t="s">
        <v>245</v>
      </c>
      <c r="E47" s="22" t="s">
        <v>246</v>
      </c>
    </row>
    <row r="48" spans="2:5" x14ac:dyDescent="0.15">
      <c r="B48" s="22" t="str">
        <f>IF(ISNUMBER(INDEX(G$2:O$48,MATCH(C45,G:G)-1,2)),INDEX(G$2:O$48,MATCH(C45,G:G)-1,2),"没有上级")</f>
        <v>没有上级</v>
      </c>
      <c r="C48" s="23" t="str">
        <f>IF(ISNUMBER(INT(B48)),IF(AND(C45&lt;10005,C45&gt;10001),INDEX(G$2:O$48,MATCH(B48,L:L,0)-1,1),IF(C45=10002,"没有上级",INDEX(G$2:O$48,MATCH(B48,N:N,0)-1,1))),"没有上级")</f>
        <v>没有上级</v>
      </c>
      <c r="D48" s="22" t="str">
        <f>IF(ISNUMBER(INDEX(G$2:O$48,MATCH(C48,$G:$G)-1,3)),INDEX(G$2:O$48,MATCH(C48,$G:$G)-1,3),"没有上级")</f>
        <v>没有上级</v>
      </c>
      <c r="E48" s="22" t="str">
        <f>IF(ISNUMBER(D48-D45),ROUND((D48-D45)*10,0),"没有上级")</f>
        <v>没有上级</v>
      </c>
    </row>
  </sheetData>
  <mergeCells count="3">
    <mergeCell ref="J1:K1"/>
    <mergeCell ref="L1:M1"/>
    <mergeCell ref="N1:O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49"/>
  <sheetViews>
    <sheetView tabSelected="1" workbookViewId="0">
      <selection activeCell="F29" sqref="F29"/>
    </sheetView>
  </sheetViews>
  <sheetFormatPr defaultRowHeight="13.5" x14ac:dyDescent="0.15"/>
  <cols>
    <col min="3" max="3" width="12.75" bestFit="1" customWidth="1"/>
    <col min="4" max="4" width="32.75" bestFit="1" customWidth="1"/>
  </cols>
  <sheetData>
    <row r="1" spans="1:7" x14ac:dyDescent="0.15">
      <c r="A1" t="str">
        <f>'PK10'!I1</f>
        <v>spend</v>
      </c>
      <c r="B1" t="str">
        <f>'PK10'!J1</f>
        <v>返利总和</v>
      </c>
      <c r="C1" t="str">
        <f>'PK10'!K1</f>
        <v>DrawnAmount</v>
      </c>
      <c r="D1" s="40" t="s">
        <v>198</v>
      </c>
      <c r="E1" t="s">
        <v>199</v>
      </c>
      <c r="F1" t="s">
        <v>200</v>
      </c>
      <c r="G1" t="s">
        <v>201</v>
      </c>
    </row>
    <row r="2" spans="1:7" x14ac:dyDescent="0.15">
      <c r="A2">
        <f>'PK10'!I2</f>
        <v>400</v>
      </c>
      <c r="B2">
        <f>'PK10'!J2</f>
        <v>0</v>
      </c>
      <c r="C2">
        <f>'PK10'!K2</f>
        <v>399.6</v>
      </c>
      <c r="D2" t="s">
        <v>247</v>
      </c>
      <c r="E2">
        <v>400</v>
      </c>
      <c r="F2">
        <v>2.3999999999999986</v>
      </c>
      <c r="G2">
        <v>397.2</v>
      </c>
    </row>
    <row r="3" spans="1:7" x14ac:dyDescent="0.15">
      <c r="A3">
        <f>'PK10'!I3</f>
        <v>60480</v>
      </c>
      <c r="B3">
        <f>'PK10'!J3</f>
        <v>0</v>
      </c>
      <c r="C3">
        <f>'PK10'!K3</f>
        <v>60419.519999999997</v>
      </c>
      <c r="E3">
        <v>60480</v>
      </c>
      <c r="F3">
        <v>362.87999999999977</v>
      </c>
      <c r="G3">
        <v>60056.639999999999</v>
      </c>
    </row>
    <row r="4" spans="1:7" x14ac:dyDescent="0.15">
      <c r="A4">
        <f>'PK10'!I4</f>
        <v>12</v>
      </c>
      <c r="B4">
        <f>'PK10'!J4</f>
        <v>0</v>
      </c>
      <c r="C4">
        <f>'PK10'!K4</f>
        <v>0</v>
      </c>
      <c r="D4" t="s">
        <v>165</v>
      </c>
      <c r="E4">
        <v>12</v>
      </c>
      <c r="F4">
        <v>7.1999999999999953E-2</v>
      </c>
      <c r="G4">
        <v>0</v>
      </c>
    </row>
    <row r="5" spans="1:7" x14ac:dyDescent="0.15">
      <c r="A5">
        <f>'PK10'!I5</f>
        <v>10080</v>
      </c>
      <c r="B5">
        <f>'PK10'!J5</f>
        <v>0</v>
      </c>
      <c r="C5">
        <f>'PK10'!K5</f>
        <v>10069.92</v>
      </c>
      <c r="D5" t="s">
        <v>189</v>
      </c>
      <c r="E5">
        <v>10080</v>
      </c>
      <c r="F5">
        <v>60.479999999999961</v>
      </c>
      <c r="G5">
        <v>10009.44</v>
      </c>
    </row>
    <row r="6" spans="1:7" x14ac:dyDescent="0.15">
      <c r="A6">
        <f>'PK10'!I6</f>
        <v>12</v>
      </c>
      <c r="B6">
        <f>'PK10'!J6</f>
        <v>0</v>
      </c>
      <c r="C6">
        <f>'PK10'!K6</f>
        <v>0</v>
      </c>
      <c r="D6" t="s">
        <v>182</v>
      </c>
      <c r="E6">
        <v>12</v>
      </c>
      <c r="F6">
        <v>7.1999999999999953E-2</v>
      </c>
      <c r="G6">
        <v>0</v>
      </c>
    </row>
    <row r="7" spans="1:7" x14ac:dyDescent="0.15">
      <c r="A7">
        <f>'PK10'!I7</f>
        <v>5760</v>
      </c>
      <c r="B7">
        <f>'PK10'!J7</f>
        <v>0</v>
      </c>
      <c r="C7">
        <f>'PK10'!K7</f>
        <v>5754.24</v>
      </c>
      <c r="D7" t="s">
        <v>184</v>
      </c>
      <c r="E7">
        <v>5760</v>
      </c>
      <c r="F7">
        <v>34.559999999999981</v>
      </c>
      <c r="G7">
        <v>5719.68</v>
      </c>
    </row>
    <row r="8" spans="1:7" x14ac:dyDescent="0.15">
      <c r="A8">
        <f>'PK10'!I8</f>
        <v>10</v>
      </c>
      <c r="B8">
        <f>'PK10'!J8</f>
        <v>0</v>
      </c>
      <c r="C8">
        <f>'PK10'!K8</f>
        <v>0</v>
      </c>
      <c r="D8" t="s">
        <v>177</v>
      </c>
      <c r="E8">
        <v>10</v>
      </c>
      <c r="F8">
        <v>5.9999999999999963E-2</v>
      </c>
      <c r="G8">
        <v>0</v>
      </c>
    </row>
    <row r="9" spans="1:7" x14ac:dyDescent="0.15">
      <c r="A9">
        <f>'PK10'!I9</f>
        <v>180</v>
      </c>
      <c r="B9">
        <f>'PK10'!J9</f>
        <v>0</v>
      </c>
      <c r="C9">
        <f>'PK10'!K9</f>
        <v>179.82</v>
      </c>
      <c r="D9" t="s">
        <v>191</v>
      </c>
      <c r="E9">
        <v>180</v>
      </c>
      <c r="F9">
        <v>1.0799999999999994</v>
      </c>
      <c r="G9">
        <v>178.74</v>
      </c>
    </row>
    <row r="10" spans="1:7" x14ac:dyDescent="0.15">
      <c r="A10">
        <f>'PK10'!I10</f>
        <v>16</v>
      </c>
      <c r="B10">
        <f>'PK10'!J10</f>
        <v>0</v>
      </c>
      <c r="C10">
        <f>'PK10'!K10</f>
        <v>0</v>
      </c>
      <c r="D10" t="s">
        <v>166</v>
      </c>
      <c r="E10">
        <v>16</v>
      </c>
      <c r="F10">
        <v>9.5999999999999946E-2</v>
      </c>
      <c r="G10">
        <v>0</v>
      </c>
    </row>
    <row r="11" spans="1:7" x14ac:dyDescent="0.15">
      <c r="A11">
        <f>'PK10'!I11</f>
        <v>60</v>
      </c>
      <c r="B11">
        <f>'PK10'!J11</f>
        <v>0</v>
      </c>
      <c r="C11">
        <f>'PK10'!K11</f>
        <v>59.94</v>
      </c>
      <c r="D11" t="s">
        <v>171</v>
      </c>
      <c r="E11">
        <v>60</v>
      </c>
      <c r="F11">
        <v>0.35999999999999976</v>
      </c>
      <c r="G11">
        <v>59.58</v>
      </c>
    </row>
    <row r="12" spans="1:7" x14ac:dyDescent="0.15">
      <c r="A12">
        <f>'PK10'!I12</f>
        <v>63</v>
      </c>
      <c r="B12">
        <f>'PK10'!J12</f>
        <v>0</v>
      </c>
      <c r="C12">
        <f>'PK10'!K12</f>
        <v>45.468000000000004</v>
      </c>
      <c r="D12" t="s">
        <v>190</v>
      </c>
      <c r="E12">
        <v>63</v>
      </c>
      <c r="F12">
        <v>0.37799999999999978</v>
      </c>
      <c r="G12">
        <v>145.827</v>
      </c>
    </row>
    <row r="13" spans="1:7" x14ac:dyDescent="0.15">
      <c r="A13">
        <f>'PK10'!I13</f>
        <v>200</v>
      </c>
      <c r="B13">
        <f>'PK10'!J13</f>
        <v>0</v>
      </c>
      <c r="C13">
        <f>'PK10'!K13</f>
        <v>199.80000000000004</v>
      </c>
      <c r="D13" t="s">
        <v>185</v>
      </c>
      <c r="E13">
        <v>200</v>
      </c>
      <c r="F13">
        <v>1.1999999999999993</v>
      </c>
      <c r="G13">
        <v>198.60000000000002</v>
      </c>
    </row>
    <row r="14" spans="1:7" x14ac:dyDescent="0.15">
      <c r="D14" t="s">
        <v>174</v>
      </c>
      <c r="E14">
        <v>400</v>
      </c>
      <c r="F14">
        <v>2.3999999999999986</v>
      </c>
      <c r="G14">
        <v>397.2</v>
      </c>
    </row>
    <row r="15" spans="1:7" x14ac:dyDescent="0.15">
      <c r="D15" t="s">
        <v>187</v>
      </c>
      <c r="E15">
        <v>60480</v>
      </c>
      <c r="F15">
        <v>362.87999999999977</v>
      </c>
      <c r="G15">
        <v>60056.639999999999</v>
      </c>
    </row>
    <row r="16" spans="1:7" x14ac:dyDescent="0.15">
      <c r="D16" t="s">
        <v>170</v>
      </c>
      <c r="E16">
        <v>12</v>
      </c>
      <c r="F16">
        <v>7.1999999999999953E-2</v>
      </c>
      <c r="G16">
        <v>0</v>
      </c>
    </row>
    <row r="17" spans="4:7" x14ac:dyDescent="0.15">
      <c r="D17" t="s">
        <v>164</v>
      </c>
      <c r="E17">
        <v>10080</v>
      </c>
      <c r="F17">
        <v>60.479999999999961</v>
      </c>
      <c r="G17">
        <v>10009.44</v>
      </c>
    </row>
    <row r="18" spans="4:7" x14ac:dyDescent="0.15">
      <c r="D18" t="s">
        <v>183</v>
      </c>
      <c r="E18">
        <v>12</v>
      </c>
      <c r="F18">
        <v>7.1999999999999953E-2</v>
      </c>
      <c r="G18">
        <v>0</v>
      </c>
    </row>
    <row r="19" spans="4:7" x14ac:dyDescent="0.15">
      <c r="D19" t="s">
        <v>188</v>
      </c>
      <c r="E19">
        <v>5760</v>
      </c>
      <c r="F19">
        <v>34.559999999999981</v>
      </c>
      <c r="G19">
        <v>5719.68</v>
      </c>
    </row>
    <row r="20" spans="4:7" x14ac:dyDescent="0.15">
      <c r="D20" t="s">
        <v>163</v>
      </c>
      <c r="E20">
        <v>10</v>
      </c>
      <c r="F20">
        <v>5.9999999999999963E-2</v>
      </c>
      <c r="G20">
        <v>0</v>
      </c>
    </row>
    <row r="21" spans="4:7" x14ac:dyDescent="0.15">
      <c r="D21" t="s">
        <v>180</v>
      </c>
      <c r="E21">
        <v>180</v>
      </c>
      <c r="F21">
        <v>1.0799999999999994</v>
      </c>
      <c r="G21">
        <v>178.74</v>
      </c>
    </row>
    <row r="22" spans="4:7" x14ac:dyDescent="0.15">
      <c r="D22" t="s">
        <v>179</v>
      </c>
      <c r="E22">
        <v>16</v>
      </c>
      <c r="F22">
        <v>9.5999999999999946E-2</v>
      </c>
      <c r="G22">
        <v>0</v>
      </c>
    </row>
    <row r="23" spans="4:7" x14ac:dyDescent="0.15">
      <c r="D23" t="s">
        <v>175</v>
      </c>
      <c r="E23">
        <v>60</v>
      </c>
      <c r="F23">
        <v>0.35999999999999976</v>
      </c>
      <c r="G23">
        <v>59.58</v>
      </c>
    </row>
    <row r="24" spans="4:7" x14ac:dyDescent="0.15">
      <c r="D24" t="s">
        <v>167</v>
      </c>
      <c r="E24">
        <v>63</v>
      </c>
      <c r="F24">
        <v>0.37799999999999978</v>
      </c>
      <c r="G24">
        <v>145.827</v>
      </c>
    </row>
    <row r="25" spans="4:7" x14ac:dyDescent="0.15">
      <c r="D25" t="s">
        <v>173</v>
      </c>
      <c r="E25">
        <v>200</v>
      </c>
      <c r="F25">
        <v>1.1999999999999993</v>
      </c>
      <c r="G25">
        <v>198.60000000000002</v>
      </c>
    </row>
    <row r="26" spans="4:7" x14ac:dyDescent="0.15">
      <c r="D26" t="s">
        <v>176</v>
      </c>
      <c r="E26">
        <v>400</v>
      </c>
      <c r="F26">
        <v>2.3999999999999986</v>
      </c>
      <c r="G26">
        <v>397.2</v>
      </c>
    </row>
    <row r="27" spans="4:7" x14ac:dyDescent="0.15">
      <c r="D27" t="s">
        <v>186</v>
      </c>
      <c r="E27">
        <v>60480</v>
      </c>
      <c r="F27">
        <v>362.87999999999977</v>
      </c>
      <c r="G27">
        <v>60056.639999999999</v>
      </c>
    </row>
    <row r="28" spans="4:7" x14ac:dyDescent="0.15">
      <c r="D28" t="s">
        <v>172</v>
      </c>
      <c r="E28">
        <v>12</v>
      </c>
      <c r="F28">
        <v>7.1999999999999953E-2</v>
      </c>
      <c r="G28">
        <v>0</v>
      </c>
    </row>
    <row r="29" spans="4:7" x14ac:dyDescent="0.15">
      <c r="D29" t="s">
        <v>169</v>
      </c>
      <c r="E29">
        <v>10080</v>
      </c>
      <c r="F29">
        <v>60.479999999999961</v>
      </c>
      <c r="G29">
        <v>10009.44</v>
      </c>
    </row>
    <row r="30" spans="4:7" x14ac:dyDescent="0.15">
      <c r="D30" t="s">
        <v>168</v>
      </c>
      <c r="E30">
        <v>12</v>
      </c>
      <c r="F30">
        <v>7.1999999999999953E-2</v>
      </c>
      <c r="G30">
        <v>0</v>
      </c>
    </row>
    <row r="31" spans="4:7" x14ac:dyDescent="0.15">
      <c r="D31" t="s">
        <v>178</v>
      </c>
      <c r="E31">
        <v>5760</v>
      </c>
      <c r="F31">
        <v>34.559999999999981</v>
      </c>
      <c r="G31">
        <v>5719.68</v>
      </c>
    </row>
    <row r="32" spans="4:7" x14ac:dyDescent="0.15">
      <c r="D32" t="s">
        <v>181</v>
      </c>
      <c r="E32">
        <v>10</v>
      </c>
      <c r="F32">
        <v>5.9999999999999963E-2</v>
      </c>
      <c r="G32">
        <v>0</v>
      </c>
    </row>
    <row r="33" spans="5:7" x14ac:dyDescent="0.15">
      <c r="E33">
        <v>180</v>
      </c>
      <c r="F33">
        <v>1.0799999999999994</v>
      </c>
      <c r="G33">
        <v>178.74</v>
      </c>
    </row>
    <row r="34" spans="5:7" x14ac:dyDescent="0.15">
      <c r="E34">
        <v>16</v>
      </c>
      <c r="F34">
        <v>9.5999999999999946E-2</v>
      </c>
      <c r="G34">
        <v>0</v>
      </c>
    </row>
    <row r="35" spans="5:7" x14ac:dyDescent="0.15">
      <c r="E35">
        <v>60</v>
      </c>
      <c r="F35">
        <v>0.35999999999999976</v>
      </c>
      <c r="G35">
        <v>59.58</v>
      </c>
    </row>
    <row r="36" spans="5:7" x14ac:dyDescent="0.15">
      <c r="E36">
        <v>63</v>
      </c>
      <c r="F36">
        <v>0.37799999999999978</v>
      </c>
      <c r="G36">
        <v>45.215999999999994</v>
      </c>
    </row>
    <row r="37" spans="5:7" x14ac:dyDescent="0.15">
      <c r="E37">
        <v>200</v>
      </c>
      <c r="F37">
        <v>1.1999999999999993</v>
      </c>
      <c r="G37">
        <v>198.60000000000002</v>
      </c>
    </row>
    <row r="38" spans="5:7" x14ac:dyDescent="0.15">
      <c r="E38">
        <v>400</v>
      </c>
      <c r="F38">
        <v>2.3999999999999986</v>
      </c>
      <c r="G38">
        <v>397.2</v>
      </c>
    </row>
    <row r="39" spans="5:7" x14ac:dyDescent="0.15">
      <c r="E39">
        <v>60480</v>
      </c>
      <c r="F39">
        <v>362.87999999999977</v>
      </c>
      <c r="G39">
        <v>60056.639999999999</v>
      </c>
    </row>
    <row r="40" spans="5:7" x14ac:dyDescent="0.15">
      <c r="E40">
        <v>12</v>
      </c>
      <c r="F40">
        <v>7.1999999999999953E-2</v>
      </c>
      <c r="G40">
        <v>0</v>
      </c>
    </row>
    <row r="41" spans="5:7" x14ac:dyDescent="0.15">
      <c r="E41">
        <v>10080</v>
      </c>
      <c r="F41">
        <v>60.479999999999961</v>
      </c>
      <c r="G41">
        <v>10009.44</v>
      </c>
    </row>
    <row r="42" spans="5:7" x14ac:dyDescent="0.15">
      <c r="E42">
        <v>12</v>
      </c>
      <c r="F42">
        <v>7.1999999999999953E-2</v>
      </c>
      <c r="G42">
        <v>0</v>
      </c>
    </row>
    <row r="43" spans="5:7" x14ac:dyDescent="0.15">
      <c r="E43">
        <v>5760</v>
      </c>
      <c r="F43">
        <v>34.559999999999981</v>
      </c>
      <c r="G43">
        <v>5719.68</v>
      </c>
    </row>
    <row r="44" spans="5:7" x14ac:dyDescent="0.15">
      <c r="E44">
        <v>10</v>
      </c>
      <c r="F44">
        <v>5.9999999999999963E-2</v>
      </c>
      <c r="G44">
        <v>0</v>
      </c>
    </row>
    <row r="45" spans="5:7" x14ac:dyDescent="0.15">
      <c r="E45">
        <v>180</v>
      </c>
      <c r="F45">
        <v>1.0799999999999994</v>
      </c>
      <c r="G45">
        <v>178.74</v>
      </c>
    </row>
    <row r="46" spans="5:7" x14ac:dyDescent="0.15">
      <c r="E46">
        <v>16</v>
      </c>
      <c r="F46">
        <v>9.5999999999999946E-2</v>
      </c>
      <c r="G46">
        <v>0</v>
      </c>
    </row>
    <row r="47" spans="5:7" x14ac:dyDescent="0.15">
      <c r="E47">
        <v>60</v>
      </c>
      <c r="F47">
        <v>0.35999999999999976</v>
      </c>
      <c r="G47">
        <v>59.58</v>
      </c>
    </row>
    <row r="48" spans="5:7" x14ac:dyDescent="0.15">
      <c r="E48">
        <v>63</v>
      </c>
      <c r="F48">
        <v>0.37799999999999978</v>
      </c>
      <c r="G48">
        <v>37.088999999999999</v>
      </c>
    </row>
    <row r="49" spans="5:7" x14ac:dyDescent="0.15">
      <c r="E49">
        <v>200</v>
      </c>
      <c r="F49">
        <v>1.1999999999999993</v>
      </c>
      <c r="G49">
        <v>198.60000000000002</v>
      </c>
    </row>
    <row r="50" spans="5:7" x14ac:dyDescent="0.15">
      <c r="E50">
        <v>400</v>
      </c>
      <c r="F50">
        <v>2.3999999999999986</v>
      </c>
      <c r="G50">
        <v>397.2</v>
      </c>
    </row>
    <row r="51" spans="5:7" x14ac:dyDescent="0.15">
      <c r="E51">
        <v>60480</v>
      </c>
      <c r="F51">
        <v>362.87999999999977</v>
      </c>
      <c r="G51">
        <v>60056.639999999999</v>
      </c>
    </row>
    <row r="52" spans="5:7" x14ac:dyDescent="0.15">
      <c r="E52">
        <v>12</v>
      </c>
      <c r="F52">
        <v>7.1999999999999953E-2</v>
      </c>
      <c r="G52">
        <v>0</v>
      </c>
    </row>
    <row r="53" spans="5:7" x14ac:dyDescent="0.15">
      <c r="E53">
        <v>10080</v>
      </c>
      <c r="F53">
        <v>60.479999999999961</v>
      </c>
      <c r="G53">
        <v>10009.44</v>
      </c>
    </row>
    <row r="54" spans="5:7" x14ac:dyDescent="0.15">
      <c r="E54">
        <v>12</v>
      </c>
      <c r="F54">
        <v>7.1999999999999953E-2</v>
      </c>
      <c r="G54">
        <v>0</v>
      </c>
    </row>
    <row r="55" spans="5:7" x14ac:dyDescent="0.15">
      <c r="E55">
        <v>5760</v>
      </c>
      <c r="F55">
        <v>34.559999999999981</v>
      </c>
      <c r="G55">
        <v>5719.68</v>
      </c>
    </row>
    <row r="56" spans="5:7" x14ac:dyDescent="0.15">
      <c r="E56">
        <v>10</v>
      </c>
      <c r="F56">
        <v>5.9999999999999963E-2</v>
      </c>
      <c r="G56">
        <v>0</v>
      </c>
    </row>
    <row r="57" spans="5:7" x14ac:dyDescent="0.15">
      <c r="E57">
        <v>180</v>
      </c>
      <c r="F57">
        <v>1.0799999999999994</v>
      </c>
      <c r="G57">
        <v>178.74</v>
      </c>
    </row>
    <row r="58" spans="5:7" x14ac:dyDescent="0.15">
      <c r="E58">
        <v>16</v>
      </c>
      <c r="F58">
        <v>9.5999999999999946E-2</v>
      </c>
      <c r="G58">
        <v>0</v>
      </c>
    </row>
    <row r="59" spans="5:7" x14ac:dyDescent="0.15">
      <c r="E59">
        <v>60</v>
      </c>
      <c r="F59">
        <v>0.35999999999999976</v>
      </c>
      <c r="G59">
        <v>59.58</v>
      </c>
    </row>
    <row r="60" spans="5:7" x14ac:dyDescent="0.15">
      <c r="E60">
        <v>63</v>
      </c>
      <c r="F60">
        <v>0.37799999999999978</v>
      </c>
      <c r="G60">
        <v>56.456999999999994</v>
      </c>
    </row>
    <row r="61" spans="5:7" x14ac:dyDescent="0.15">
      <c r="E61">
        <v>200</v>
      </c>
      <c r="F61">
        <v>1.1999999999999993</v>
      </c>
      <c r="G61">
        <v>198.60000000000002</v>
      </c>
    </row>
    <row r="62" spans="5:7" x14ac:dyDescent="0.15">
      <c r="E62">
        <v>400</v>
      </c>
      <c r="F62">
        <v>2.3999999999999986</v>
      </c>
      <c r="G62">
        <v>397.2</v>
      </c>
    </row>
    <row r="63" spans="5:7" x14ac:dyDescent="0.15">
      <c r="E63">
        <v>60480</v>
      </c>
      <c r="F63">
        <v>362.87999999999977</v>
      </c>
      <c r="G63">
        <v>60056.639999999999</v>
      </c>
    </row>
    <row r="64" spans="5:7" x14ac:dyDescent="0.15">
      <c r="E64">
        <v>12</v>
      </c>
      <c r="F64">
        <v>7.1999999999999953E-2</v>
      </c>
      <c r="G64">
        <v>0</v>
      </c>
    </row>
    <row r="65" spans="5:7" x14ac:dyDescent="0.15">
      <c r="E65">
        <v>10080</v>
      </c>
      <c r="F65">
        <v>60.479999999999961</v>
      </c>
      <c r="G65">
        <v>10009.44</v>
      </c>
    </row>
    <row r="66" spans="5:7" x14ac:dyDescent="0.15">
      <c r="E66">
        <v>12</v>
      </c>
      <c r="F66">
        <v>7.1999999999999953E-2</v>
      </c>
      <c r="G66">
        <v>0</v>
      </c>
    </row>
    <row r="67" spans="5:7" x14ac:dyDescent="0.15">
      <c r="E67">
        <v>5760</v>
      </c>
      <c r="F67">
        <v>34.559999999999981</v>
      </c>
      <c r="G67">
        <v>5719.68</v>
      </c>
    </row>
    <row r="68" spans="5:7" x14ac:dyDescent="0.15">
      <c r="E68">
        <v>10</v>
      </c>
      <c r="F68">
        <v>5.9999999999999963E-2</v>
      </c>
      <c r="G68">
        <v>0</v>
      </c>
    </row>
    <row r="69" spans="5:7" x14ac:dyDescent="0.15">
      <c r="E69">
        <v>180</v>
      </c>
      <c r="F69">
        <v>1.0799999999999994</v>
      </c>
      <c r="G69">
        <v>178.74</v>
      </c>
    </row>
    <row r="70" spans="5:7" x14ac:dyDescent="0.15">
      <c r="E70">
        <v>16</v>
      </c>
      <c r="F70">
        <v>9.5999999999999946E-2</v>
      </c>
      <c r="G70">
        <v>0</v>
      </c>
    </row>
    <row r="71" spans="5:7" x14ac:dyDescent="0.15">
      <c r="E71">
        <v>60</v>
      </c>
      <c r="F71">
        <v>0.35999999999999976</v>
      </c>
      <c r="G71">
        <v>59.58</v>
      </c>
    </row>
    <row r="72" spans="5:7" x14ac:dyDescent="0.15">
      <c r="E72">
        <v>63</v>
      </c>
      <c r="F72">
        <v>0.37799999999999978</v>
      </c>
      <c r="G72">
        <v>56.456999999999994</v>
      </c>
    </row>
    <row r="73" spans="5:7" x14ac:dyDescent="0.15">
      <c r="E73">
        <v>200</v>
      </c>
      <c r="F73">
        <v>1.1999999999999993</v>
      </c>
      <c r="G73">
        <v>198.60000000000002</v>
      </c>
    </row>
    <row r="74" spans="5:7" x14ac:dyDescent="0.15">
      <c r="E74">
        <v>400</v>
      </c>
      <c r="F74">
        <v>2.3999999999999986</v>
      </c>
      <c r="G74">
        <v>397.2</v>
      </c>
    </row>
    <row r="75" spans="5:7" x14ac:dyDescent="0.15">
      <c r="E75">
        <v>60480</v>
      </c>
      <c r="F75">
        <v>362.87999999999977</v>
      </c>
      <c r="G75">
        <v>60056.639999999999</v>
      </c>
    </row>
    <row r="76" spans="5:7" x14ac:dyDescent="0.15">
      <c r="E76">
        <v>12</v>
      </c>
      <c r="F76">
        <v>7.1999999999999953E-2</v>
      </c>
      <c r="G76">
        <v>0</v>
      </c>
    </row>
    <row r="77" spans="5:7" x14ac:dyDescent="0.15">
      <c r="E77">
        <v>10080</v>
      </c>
      <c r="F77">
        <v>60.479999999999961</v>
      </c>
      <c r="G77">
        <v>10009.44</v>
      </c>
    </row>
    <row r="78" spans="5:7" x14ac:dyDescent="0.15">
      <c r="E78">
        <v>12</v>
      </c>
      <c r="F78">
        <v>7.1999999999999953E-2</v>
      </c>
      <c r="G78">
        <v>0</v>
      </c>
    </row>
    <row r="79" spans="5:7" x14ac:dyDescent="0.15">
      <c r="E79">
        <v>5760</v>
      </c>
      <c r="F79">
        <v>34.559999999999981</v>
      </c>
      <c r="G79">
        <v>5719.68</v>
      </c>
    </row>
    <row r="80" spans="5:7" x14ac:dyDescent="0.15">
      <c r="E80">
        <v>10</v>
      </c>
      <c r="F80">
        <v>5.9999999999999963E-2</v>
      </c>
      <c r="G80">
        <v>0</v>
      </c>
    </row>
    <row r="81" spans="5:7" x14ac:dyDescent="0.15">
      <c r="E81">
        <v>180</v>
      </c>
      <c r="F81">
        <v>1.0799999999999994</v>
      </c>
      <c r="G81">
        <v>178.74</v>
      </c>
    </row>
    <row r="82" spans="5:7" x14ac:dyDescent="0.15">
      <c r="E82">
        <v>16</v>
      </c>
      <c r="F82">
        <v>9.5999999999999946E-2</v>
      </c>
      <c r="G82">
        <v>0</v>
      </c>
    </row>
    <row r="83" spans="5:7" x14ac:dyDescent="0.15">
      <c r="E83">
        <v>60</v>
      </c>
      <c r="F83">
        <v>0.35999999999999976</v>
      </c>
      <c r="G83">
        <v>59.58</v>
      </c>
    </row>
    <row r="84" spans="5:7" x14ac:dyDescent="0.15">
      <c r="E84">
        <v>63</v>
      </c>
      <c r="F84">
        <v>0.37799999999999978</v>
      </c>
      <c r="G84">
        <v>77.165999999999997</v>
      </c>
    </row>
    <row r="85" spans="5:7" x14ac:dyDescent="0.15">
      <c r="E85">
        <v>200</v>
      </c>
      <c r="F85">
        <v>1.1999999999999993</v>
      </c>
      <c r="G85">
        <v>198.60000000000002</v>
      </c>
    </row>
    <row r="86" spans="5:7" x14ac:dyDescent="0.15">
      <c r="E86">
        <v>400</v>
      </c>
      <c r="F86">
        <v>2.3999999999999986</v>
      </c>
      <c r="G86">
        <v>397.2</v>
      </c>
    </row>
    <row r="87" spans="5:7" x14ac:dyDescent="0.15">
      <c r="E87">
        <v>60480</v>
      </c>
      <c r="F87">
        <v>362.87999999999977</v>
      </c>
      <c r="G87">
        <v>60056.639999999999</v>
      </c>
    </row>
    <row r="88" spans="5:7" x14ac:dyDescent="0.15">
      <c r="E88">
        <v>12</v>
      </c>
      <c r="F88">
        <v>7.1999999999999953E-2</v>
      </c>
      <c r="G88">
        <v>0</v>
      </c>
    </row>
    <row r="89" spans="5:7" x14ac:dyDescent="0.15">
      <c r="E89">
        <v>10080</v>
      </c>
      <c r="F89">
        <v>60.479999999999961</v>
      </c>
      <c r="G89">
        <v>10009.44</v>
      </c>
    </row>
    <row r="90" spans="5:7" x14ac:dyDescent="0.15">
      <c r="E90">
        <v>12</v>
      </c>
      <c r="F90">
        <v>7.1999999999999953E-2</v>
      </c>
      <c r="G90">
        <v>0</v>
      </c>
    </row>
    <row r="91" spans="5:7" x14ac:dyDescent="0.15">
      <c r="E91">
        <v>5760</v>
      </c>
      <c r="F91">
        <v>34.559999999999981</v>
      </c>
      <c r="G91">
        <v>5719.68</v>
      </c>
    </row>
    <row r="92" spans="5:7" x14ac:dyDescent="0.15">
      <c r="E92">
        <v>10</v>
      </c>
      <c r="F92">
        <v>5.9999999999999963E-2</v>
      </c>
      <c r="G92">
        <v>0</v>
      </c>
    </row>
    <row r="93" spans="5:7" x14ac:dyDescent="0.15">
      <c r="E93">
        <v>180</v>
      </c>
      <c r="F93">
        <v>1.0799999999999994</v>
      </c>
      <c r="G93">
        <v>178.74</v>
      </c>
    </row>
    <row r="94" spans="5:7" x14ac:dyDescent="0.15">
      <c r="E94">
        <v>16</v>
      </c>
      <c r="F94">
        <v>9.5999999999999946E-2</v>
      </c>
      <c r="G94">
        <v>0</v>
      </c>
    </row>
    <row r="95" spans="5:7" x14ac:dyDescent="0.15">
      <c r="E95">
        <v>60</v>
      </c>
      <c r="F95">
        <v>0.35999999999999976</v>
      </c>
      <c r="G95">
        <v>59.58</v>
      </c>
    </row>
    <row r="96" spans="5:7" x14ac:dyDescent="0.15">
      <c r="E96">
        <v>63</v>
      </c>
      <c r="F96">
        <v>0.37799999999999978</v>
      </c>
      <c r="G96">
        <v>77.165999999999997</v>
      </c>
    </row>
    <row r="97" spans="5:7" x14ac:dyDescent="0.15">
      <c r="E97">
        <v>200</v>
      </c>
      <c r="F97">
        <v>1.1999999999999993</v>
      </c>
      <c r="G97">
        <v>198.60000000000002</v>
      </c>
    </row>
    <row r="98" spans="5:7" x14ac:dyDescent="0.15">
      <c r="E98">
        <v>400</v>
      </c>
      <c r="F98">
        <v>2.3999999999999986</v>
      </c>
      <c r="G98">
        <v>397.2</v>
      </c>
    </row>
    <row r="99" spans="5:7" x14ac:dyDescent="0.15">
      <c r="E99">
        <v>60480</v>
      </c>
      <c r="F99">
        <v>362.87999999999977</v>
      </c>
      <c r="G99">
        <v>60056.639999999999</v>
      </c>
    </row>
    <row r="100" spans="5:7" x14ac:dyDescent="0.15">
      <c r="E100">
        <v>12</v>
      </c>
      <c r="F100">
        <v>7.1999999999999953E-2</v>
      </c>
      <c r="G100">
        <v>0</v>
      </c>
    </row>
    <row r="101" spans="5:7" x14ac:dyDescent="0.15">
      <c r="E101">
        <v>10080</v>
      </c>
      <c r="F101">
        <v>60.479999999999961</v>
      </c>
      <c r="G101">
        <v>10009.44</v>
      </c>
    </row>
    <row r="102" spans="5:7" x14ac:dyDescent="0.15">
      <c r="E102">
        <v>12</v>
      </c>
      <c r="F102">
        <v>7.1999999999999953E-2</v>
      </c>
      <c r="G102">
        <v>0</v>
      </c>
    </row>
    <row r="103" spans="5:7" x14ac:dyDescent="0.15">
      <c r="E103">
        <v>5760</v>
      </c>
      <c r="F103">
        <v>34.559999999999981</v>
      </c>
      <c r="G103">
        <v>5719.68</v>
      </c>
    </row>
    <row r="104" spans="5:7" x14ac:dyDescent="0.15">
      <c r="E104">
        <v>10</v>
      </c>
      <c r="F104">
        <v>5.9999999999999963E-2</v>
      </c>
      <c r="G104">
        <v>0</v>
      </c>
    </row>
    <row r="105" spans="5:7" x14ac:dyDescent="0.15">
      <c r="E105">
        <v>180</v>
      </c>
      <c r="F105">
        <v>1.0799999999999994</v>
      </c>
      <c r="G105">
        <v>178.74</v>
      </c>
    </row>
    <row r="106" spans="5:7" x14ac:dyDescent="0.15">
      <c r="E106">
        <v>16</v>
      </c>
      <c r="F106">
        <v>9.5999999999999946E-2</v>
      </c>
      <c r="G106">
        <v>0</v>
      </c>
    </row>
    <row r="107" spans="5:7" x14ac:dyDescent="0.15">
      <c r="E107">
        <v>60</v>
      </c>
      <c r="F107">
        <v>0.35999999999999976</v>
      </c>
      <c r="G107">
        <v>59.58</v>
      </c>
    </row>
    <row r="108" spans="5:7" x14ac:dyDescent="0.15">
      <c r="E108">
        <v>63</v>
      </c>
      <c r="F108">
        <v>0.37799999999999978</v>
      </c>
      <c r="G108">
        <v>57.951000000000001</v>
      </c>
    </row>
    <row r="109" spans="5:7" x14ac:dyDescent="0.15">
      <c r="E109">
        <v>200</v>
      </c>
      <c r="F109">
        <v>1.1999999999999993</v>
      </c>
      <c r="G109">
        <v>198.60000000000002</v>
      </c>
    </row>
    <row r="110" spans="5:7" x14ac:dyDescent="0.15">
      <c r="E110">
        <v>400</v>
      </c>
      <c r="F110">
        <v>2.3999999999999986</v>
      </c>
      <c r="G110">
        <v>397.2</v>
      </c>
    </row>
    <row r="111" spans="5:7" x14ac:dyDescent="0.15">
      <c r="E111">
        <v>60480</v>
      </c>
      <c r="F111">
        <v>362.87999999999977</v>
      </c>
      <c r="G111">
        <v>60056.639999999999</v>
      </c>
    </row>
    <row r="112" spans="5:7" x14ac:dyDescent="0.15">
      <c r="E112">
        <v>12</v>
      </c>
      <c r="F112">
        <v>7.1999999999999953E-2</v>
      </c>
      <c r="G112">
        <v>0</v>
      </c>
    </row>
    <row r="113" spans="5:7" x14ac:dyDescent="0.15">
      <c r="E113">
        <v>10080</v>
      </c>
      <c r="F113">
        <v>60.479999999999961</v>
      </c>
      <c r="G113">
        <v>10009.44</v>
      </c>
    </row>
    <row r="114" spans="5:7" x14ac:dyDescent="0.15">
      <c r="E114">
        <v>12</v>
      </c>
      <c r="F114">
        <v>7.1999999999999953E-2</v>
      </c>
      <c r="G114">
        <v>0</v>
      </c>
    </row>
    <row r="115" spans="5:7" x14ac:dyDescent="0.15">
      <c r="E115">
        <v>5760</v>
      </c>
      <c r="F115">
        <v>34.559999999999981</v>
      </c>
      <c r="G115">
        <v>5719.68</v>
      </c>
    </row>
    <row r="116" spans="5:7" x14ac:dyDescent="0.15">
      <c r="E116">
        <v>10</v>
      </c>
      <c r="F116">
        <v>5.9999999999999963E-2</v>
      </c>
      <c r="G116">
        <v>0</v>
      </c>
    </row>
    <row r="117" spans="5:7" x14ac:dyDescent="0.15">
      <c r="E117">
        <v>180</v>
      </c>
      <c r="F117">
        <v>1.0799999999999994</v>
      </c>
      <c r="G117">
        <v>178.74</v>
      </c>
    </row>
    <row r="118" spans="5:7" x14ac:dyDescent="0.15">
      <c r="E118">
        <v>16</v>
      </c>
      <c r="F118">
        <v>9.5999999999999946E-2</v>
      </c>
      <c r="G118">
        <v>357.48</v>
      </c>
    </row>
    <row r="119" spans="5:7" x14ac:dyDescent="0.15">
      <c r="E119">
        <v>60</v>
      </c>
      <c r="F119">
        <v>0.35999999999999976</v>
      </c>
      <c r="G119">
        <v>59.58</v>
      </c>
    </row>
    <row r="120" spans="5:7" x14ac:dyDescent="0.15">
      <c r="E120">
        <v>63</v>
      </c>
      <c r="F120">
        <v>0.37799999999999978</v>
      </c>
      <c r="G120">
        <v>78.66</v>
      </c>
    </row>
    <row r="121" spans="5:7" x14ac:dyDescent="0.15">
      <c r="E121">
        <v>200</v>
      </c>
      <c r="F121">
        <v>1.1999999999999993</v>
      </c>
      <c r="G121">
        <v>198.60000000000002</v>
      </c>
    </row>
    <row r="122" spans="5:7" x14ac:dyDescent="0.15">
      <c r="E122">
        <v>400</v>
      </c>
      <c r="F122">
        <v>2.3999999999999986</v>
      </c>
      <c r="G122">
        <v>397.2</v>
      </c>
    </row>
    <row r="123" spans="5:7" x14ac:dyDescent="0.15">
      <c r="E123">
        <v>60480</v>
      </c>
      <c r="F123">
        <v>362.87999999999977</v>
      </c>
      <c r="G123">
        <v>60056.639999999999</v>
      </c>
    </row>
    <row r="124" spans="5:7" x14ac:dyDescent="0.15">
      <c r="E124">
        <v>12</v>
      </c>
      <c r="F124">
        <v>7.1999999999999953E-2</v>
      </c>
      <c r="G124">
        <v>0</v>
      </c>
    </row>
    <row r="125" spans="5:7" x14ac:dyDescent="0.15">
      <c r="E125">
        <v>10080</v>
      </c>
      <c r="F125">
        <v>60.479999999999961</v>
      </c>
      <c r="G125">
        <v>10009.44</v>
      </c>
    </row>
    <row r="126" spans="5:7" x14ac:dyDescent="0.15">
      <c r="E126">
        <v>12</v>
      </c>
      <c r="F126">
        <v>7.1999999999999953E-2</v>
      </c>
      <c r="G126">
        <v>0</v>
      </c>
    </row>
    <row r="127" spans="5:7" x14ac:dyDescent="0.15">
      <c r="E127">
        <v>5760</v>
      </c>
      <c r="F127">
        <v>34.559999999999981</v>
      </c>
      <c r="G127">
        <v>5719.68</v>
      </c>
    </row>
    <row r="128" spans="5:7" x14ac:dyDescent="0.15">
      <c r="E128">
        <v>10</v>
      </c>
      <c r="F128">
        <v>5.9999999999999963E-2</v>
      </c>
      <c r="G128">
        <v>0</v>
      </c>
    </row>
    <row r="129" spans="5:7" x14ac:dyDescent="0.15">
      <c r="E129">
        <v>180</v>
      </c>
      <c r="F129">
        <v>1.0799999999999994</v>
      </c>
      <c r="G129">
        <v>178.74</v>
      </c>
    </row>
    <row r="130" spans="5:7" x14ac:dyDescent="0.15">
      <c r="E130">
        <v>16</v>
      </c>
      <c r="F130">
        <v>9.5999999999999946E-2</v>
      </c>
      <c r="G130">
        <v>0</v>
      </c>
    </row>
    <row r="131" spans="5:7" x14ac:dyDescent="0.15">
      <c r="E131">
        <v>60</v>
      </c>
      <c r="F131">
        <v>0.35999999999999976</v>
      </c>
      <c r="G131">
        <v>59.58</v>
      </c>
    </row>
    <row r="132" spans="5:7" x14ac:dyDescent="0.15">
      <c r="E132">
        <v>63</v>
      </c>
      <c r="F132">
        <v>0.37799999999999978</v>
      </c>
      <c r="G132">
        <v>54.962999999999994</v>
      </c>
    </row>
    <row r="133" spans="5:7" x14ac:dyDescent="0.15">
      <c r="E133">
        <v>200</v>
      </c>
      <c r="F133">
        <v>1.1999999999999993</v>
      </c>
      <c r="G133">
        <v>198.60000000000002</v>
      </c>
    </row>
    <row r="134" spans="5:7" x14ac:dyDescent="0.15">
      <c r="E134">
        <v>400</v>
      </c>
      <c r="F134">
        <v>2.3999999999999986</v>
      </c>
      <c r="G134">
        <v>397.2</v>
      </c>
    </row>
    <row r="135" spans="5:7" x14ac:dyDescent="0.15">
      <c r="E135">
        <v>60480</v>
      </c>
      <c r="F135">
        <v>362.87999999999977</v>
      </c>
      <c r="G135">
        <v>60056.639999999999</v>
      </c>
    </row>
    <row r="136" spans="5:7" x14ac:dyDescent="0.15">
      <c r="E136">
        <v>12</v>
      </c>
      <c r="F136">
        <v>7.1999999999999953E-2</v>
      </c>
      <c r="G136">
        <v>0</v>
      </c>
    </row>
    <row r="137" spans="5:7" x14ac:dyDescent="0.15">
      <c r="E137">
        <v>10080</v>
      </c>
      <c r="F137">
        <v>60.479999999999961</v>
      </c>
      <c r="G137">
        <v>10009.44</v>
      </c>
    </row>
    <row r="138" spans="5:7" x14ac:dyDescent="0.15">
      <c r="E138">
        <v>12</v>
      </c>
      <c r="F138">
        <v>7.1999999999999953E-2</v>
      </c>
      <c r="G138">
        <v>0</v>
      </c>
    </row>
    <row r="139" spans="5:7" x14ac:dyDescent="0.15">
      <c r="E139">
        <v>5760</v>
      </c>
      <c r="F139">
        <v>34.559999999999981</v>
      </c>
      <c r="G139">
        <v>5719.68</v>
      </c>
    </row>
    <row r="140" spans="5:7" x14ac:dyDescent="0.15">
      <c r="E140">
        <v>10</v>
      </c>
      <c r="F140">
        <v>5.9999999999999963E-2</v>
      </c>
      <c r="G140">
        <v>0</v>
      </c>
    </row>
    <row r="141" spans="5:7" x14ac:dyDescent="0.15">
      <c r="E141">
        <v>180</v>
      </c>
      <c r="F141">
        <v>1.0799999999999994</v>
      </c>
      <c r="G141">
        <v>178.74</v>
      </c>
    </row>
    <row r="142" spans="5:7" x14ac:dyDescent="0.15">
      <c r="E142">
        <v>16</v>
      </c>
      <c r="F142">
        <v>9.5999999999999946E-2</v>
      </c>
      <c r="G142">
        <v>0</v>
      </c>
    </row>
    <row r="143" spans="5:7" x14ac:dyDescent="0.15">
      <c r="E143">
        <v>60</v>
      </c>
      <c r="F143">
        <v>0.35999999999999976</v>
      </c>
      <c r="G143">
        <v>59.58</v>
      </c>
    </row>
    <row r="144" spans="5:7" x14ac:dyDescent="0.15">
      <c r="E144">
        <v>63</v>
      </c>
      <c r="F144">
        <v>0.37799999999999978</v>
      </c>
      <c r="G144">
        <v>57.951000000000001</v>
      </c>
    </row>
    <row r="145" spans="5:7" x14ac:dyDescent="0.15">
      <c r="E145">
        <v>200</v>
      </c>
      <c r="F145">
        <v>1.1999999999999993</v>
      </c>
      <c r="G145">
        <v>198.60000000000002</v>
      </c>
    </row>
    <row r="146" spans="5:7" x14ac:dyDescent="0.15">
      <c r="E146">
        <v>400</v>
      </c>
      <c r="F146">
        <v>2.3999999999999986</v>
      </c>
      <c r="G146">
        <v>397.2</v>
      </c>
    </row>
    <row r="147" spans="5:7" x14ac:dyDescent="0.15">
      <c r="E147">
        <v>60480</v>
      </c>
      <c r="F147">
        <v>362.87999999999977</v>
      </c>
      <c r="G147">
        <v>60056.639999999999</v>
      </c>
    </row>
    <row r="148" spans="5:7" x14ac:dyDescent="0.15">
      <c r="E148">
        <v>12</v>
      </c>
      <c r="F148">
        <v>7.1999999999999953E-2</v>
      </c>
      <c r="G148">
        <v>0</v>
      </c>
    </row>
    <row r="149" spans="5:7" x14ac:dyDescent="0.15">
      <c r="E149">
        <v>10080</v>
      </c>
      <c r="F149">
        <v>60.479999999999961</v>
      </c>
      <c r="G149">
        <v>10009.44</v>
      </c>
    </row>
    <row r="150" spans="5:7" x14ac:dyDescent="0.15">
      <c r="E150">
        <v>12</v>
      </c>
      <c r="F150">
        <v>7.1999999999999953E-2</v>
      </c>
      <c r="G150">
        <v>0</v>
      </c>
    </row>
    <row r="151" spans="5:7" x14ac:dyDescent="0.15">
      <c r="E151">
        <v>5760</v>
      </c>
      <c r="F151">
        <v>34.559999999999981</v>
      </c>
      <c r="G151">
        <v>5719.68</v>
      </c>
    </row>
    <row r="152" spans="5:7" x14ac:dyDescent="0.15">
      <c r="E152">
        <v>10</v>
      </c>
      <c r="F152">
        <v>5.9999999999999963E-2</v>
      </c>
      <c r="G152">
        <v>0</v>
      </c>
    </row>
    <row r="153" spans="5:7" x14ac:dyDescent="0.15">
      <c r="E153">
        <v>180</v>
      </c>
      <c r="F153">
        <v>1.0799999999999994</v>
      </c>
      <c r="G153">
        <v>178.74</v>
      </c>
    </row>
    <row r="154" spans="5:7" x14ac:dyDescent="0.15">
      <c r="E154">
        <v>16</v>
      </c>
      <c r="F154">
        <v>9.5999999999999946E-2</v>
      </c>
      <c r="G154">
        <v>0</v>
      </c>
    </row>
    <row r="155" spans="5:7" x14ac:dyDescent="0.15">
      <c r="E155">
        <v>60</v>
      </c>
      <c r="F155">
        <v>0.35999999999999976</v>
      </c>
      <c r="G155">
        <v>59.58</v>
      </c>
    </row>
    <row r="156" spans="5:7" x14ac:dyDescent="0.15">
      <c r="E156">
        <v>63</v>
      </c>
      <c r="F156">
        <v>0.37799999999999978</v>
      </c>
      <c r="G156">
        <v>46.71</v>
      </c>
    </row>
    <row r="157" spans="5:7" x14ac:dyDescent="0.15">
      <c r="E157">
        <v>200</v>
      </c>
      <c r="F157">
        <v>1.1999999999999993</v>
      </c>
      <c r="G157">
        <v>198.60000000000002</v>
      </c>
    </row>
    <row r="158" spans="5:7" x14ac:dyDescent="0.15">
      <c r="E158">
        <v>400</v>
      </c>
      <c r="F158">
        <v>2.3999999999999986</v>
      </c>
      <c r="G158">
        <v>397.2</v>
      </c>
    </row>
    <row r="159" spans="5:7" x14ac:dyDescent="0.15">
      <c r="E159">
        <v>60480</v>
      </c>
      <c r="F159">
        <v>362.87999999999977</v>
      </c>
      <c r="G159">
        <v>60056.639999999999</v>
      </c>
    </row>
    <row r="160" spans="5:7" x14ac:dyDescent="0.15">
      <c r="E160">
        <v>12</v>
      </c>
      <c r="F160">
        <v>7.1999999999999953E-2</v>
      </c>
      <c r="G160">
        <v>0</v>
      </c>
    </row>
    <row r="161" spans="5:7" x14ac:dyDescent="0.15">
      <c r="E161">
        <v>10080</v>
      </c>
      <c r="F161">
        <v>60.479999999999961</v>
      </c>
      <c r="G161">
        <v>10009.44</v>
      </c>
    </row>
    <row r="162" spans="5:7" x14ac:dyDescent="0.15">
      <c r="E162">
        <v>12</v>
      </c>
      <c r="F162">
        <v>7.1999999999999953E-2</v>
      </c>
      <c r="G162">
        <v>0</v>
      </c>
    </row>
    <row r="163" spans="5:7" x14ac:dyDescent="0.15">
      <c r="E163">
        <v>5760</v>
      </c>
      <c r="F163">
        <v>34.559999999999981</v>
      </c>
      <c r="G163">
        <v>5719.68</v>
      </c>
    </row>
    <row r="164" spans="5:7" x14ac:dyDescent="0.15">
      <c r="E164">
        <v>10</v>
      </c>
      <c r="F164">
        <v>5.9999999999999963E-2</v>
      </c>
      <c r="G164">
        <v>0</v>
      </c>
    </row>
    <row r="165" spans="5:7" x14ac:dyDescent="0.15">
      <c r="E165">
        <v>180</v>
      </c>
      <c r="F165">
        <v>1.0799999999999994</v>
      </c>
      <c r="G165">
        <v>178.74</v>
      </c>
    </row>
    <row r="166" spans="5:7" x14ac:dyDescent="0.15">
      <c r="E166">
        <v>16</v>
      </c>
      <c r="F166">
        <v>9.5999999999999946E-2</v>
      </c>
      <c r="G166">
        <v>0</v>
      </c>
    </row>
    <row r="167" spans="5:7" x14ac:dyDescent="0.15">
      <c r="E167">
        <v>60</v>
      </c>
      <c r="F167">
        <v>0.35999999999999976</v>
      </c>
      <c r="G167">
        <v>59.58</v>
      </c>
    </row>
    <row r="168" spans="5:7" x14ac:dyDescent="0.15">
      <c r="E168">
        <v>63</v>
      </c>
      <c r="F168">
        <v>0.37799999999999978</v>
      </c>
      <c r="G168">
        <v>145.827</v>
      </c>
    </row>
    <row r="169" spans="5:7" x14ac:dyDescent="0.15">
      <c r="E169">
        <v>200</v>
      </c>
      <c r="F169">
        <v>1.1999999999999993</v>
      </c>
      <c r="G169">
        <v>198.60000000000002</v>
      </c>
    </row>
    <row r="170" spans="5:7" x14ac:dyDescent="0.15">
      <c r="E170">
        <v>400</v>
      </c>
      <c r="F170">
        <v>2.3999999999999986</v>
      </c>
      <c r="G170">
        <v>397.2</v>
      </c>
    </row>
    <row r="171" spans="5:7" x14ac:dyDescent="0.15">
      <c r="E171">
        <v>60480</v>
      </c>
      <c r="F171">
        <v>362.87999999999977</v>
      </c>
      <c r="G171">
        <v>60056.639999999999</v>
      </c>
    </row>
    <row r="172" spans="5:7" x14ac:dyDescent="0.15">
      <c r="E172">
        <v>12</v>
      </c>
      <c r="F172">
        <v>7.1999999999999953E-2</v>
      </c>
      <c r="G172">
        <v>0</v>
      </c>
    </row>
    <row r="173" spans="5:7" x14ac:dyDescent="0.15">
      <c r="E173">
        <v>10080</v>
      </c>
      <c r="F173">
        <v>60.479999999999961</v>
      </c>
      <c r="G173">
        <v>10009.44</v>
      </c>
    </row>
    <row r="174" spans="5:7" x14ac:dyDescent="0.15">
      <c r="E174">
        <v>12</v>
      </c>
      <c r="F174">
        <v>7.1999999999999953E-2</v>
      </c>
      <c r="G174">
        <v>0</v>
      </c>
    </row>
    <row r="175" spans="5:7" x14ac:dyDescent="0.15">
      <c r="E175">
        <v>5760</v>
      </c>
      <c r="F175">
        <v>34.559999999999981</v>
      </c>
      <c r="G175">
        <v>5719.68</v>
      </c>
    </row>
    <row r="176" spans="5:7" x14ac:dyDescent="0.15">
      <c r="E176">
        <v>10</v>
      </c>
      <c r="F176">
        <v>5.9999999999999963E-2</v>
      </c>
      <c r="G176">
        <v>0</v>
      </c>
    </row>
    <row r="177" spans="5:7" x14ac:dyDescent="0.15">
      <c r="E177">
        <v>180</v>
      </c>
      <c r="F177">
        <v>1.0799999999999994</v>
      </c>
      <c r="G177">
        <v>178.74</v>
      </c>
    </row>
    <row r="178" spans="5:7" x14ac:dyDescent="0.15">
      <c r="E178">
        <v>16</v>
      </c>
      <c r="F178">
        <v>9.5999999999999946E-2</v>
      </c>
      <c r="G178">
        <v>0</v>
      </c>
    </row>
    <row r="179" spans="5:7" x14ac:dyDescent="0.15">
      <c r="E179">
        <v>60</v>
      </c>
      <c r="F179">
        <v>0.35999999999999976</v>
      </c>
      <c r="G179">
        <v>59.58</v>
      </c>
    </row>
    <row r="180" spans="5:7" x14ac:dyDescent="0.15">
      <c r="E180">
        <v>63</v>
      </c>
      <c r="F180">
        <v>0.37799999999999978</v>
      </c>
      <c r="G180">
        <v>80.153999999999996</v>
      </c>
    </row>
    <row r="181" spans="5:7" x14ac:dyDescent="0.15">
      <c r="E181">
        <v>200</v>
      </c>
      <c r="F181">
        <v>1.1999999999999993</v>
      </c>
      <c r="G181">
        <v>198.60000000000002</v>
      </c>
    </row>
    <row r="182" spans="5:7" x14ac:dyDescent="0.15">
      <c r="E182">
        <v>400</v>
      </c>
      <c r="F182">
        <v>2.3999999999999986</v>
      </c>
      <c r="G182">
        <v>397.2</v>
      </c>
    </row>
    <row r="183" spans="5:7" x14ac:dyDescent="0.15">
      <c r="E183">
        <v>60480</v>
      </c>
      <c r="F183">
        <v>362.87999999999977</v>
      </c>
      <c r="G183">
        <v>60056.639999999999</v>
      </c>
    </row>
    <row r="184" spans="5:7" x14ac:dyDescent="0.15">
      <c r="E184">
        <v>12</v>
      </c>
      <c r="F184">
        <v>7.1999999999999953E-2</v>
      </c>
      <c r="G184">
        <v>0</v>
      </c>
    </row>
    <row r="185" spans="5:7" x14ac:dyDescent="0.15">
      <c r="E185">
        <v>10080</v>
      </c>
      <c r="F185">
        <v>60.479999999999961</v>
      </c>
      <c r="G185">
        <v>10009.44</v>
      </c>
    </row>
    <row r="186" spans="5:7" x14ac:dyDescent="0.15">
      <c r="E186">
        <v>12</v>
      </c>
      <c r="F186">
        <v>7.1999999999999953E-2</v>
      </c>
      <c r="G186">
        <v>0</v>
      </c>
    </row>
    <row r="187" spans="5:7" x14ac:dyDescent="0.15">
      <c r="E187">
        <v>5760</v>
      </c>
      <c r="F187">
        <v>34.559999999999981</v>
      </c>
      <c r="G187">
        <v>5719.68</v>
      </c>
    </row>
    <row r="188" spans="5:7" x14ac:dyDescent="0.15">
      <c r="E188">
        <v>10</v>
      </c>
      <c r="F188">
        <v>5.9999999999999963E-2</v>
      </c>
      <c r="G188">
        <v>0</v>
      </c>
    </row>
    <row r="189" spans="5:7" x14ac:dyDescent="0.15">
      <c r="E189">
        <v>180</v>
      </c>
      <c r="F189">
        <v>1.0799999999999994</v>
      </c>
      <c r="G189">
        <v>178.74</v>
      </c>
    </row>
    <row r="190" spans="5:7" x14ac:dyDescent="0.15">
      <c r="E190">
        <v>16</v>
      </c>
      <c r="F190">
        <v>9.5999999999999946E-2</v>
      </c>
      <c r="G190">
        <v>0</v>
      </c>
    </row>
    <row r="191" spans="5:7" x14ac:dyDescent="0.15">
      <c r="E191">
        <v>60</v>
      </c>
      <c r="F191">
        <v>0.35999999999999976</v>
      </c>
      <c r="G191">
        <v>59.58</v>
      </c>
    </row>
    <row r="192" spans="5:7" x14ac:dyDescent="0.15">
      <c r="E192">
        <v>63</v>
      </c>
      <c r="F192">
        <v>0.37799999999999978</v>
      </c>
      <c r="G192">
        <v>145.827</v>
      </c>
    </row>
    <row r="193" spans="5:7" x14ac:dyDescent="0.15">
      <c r="E193">
        <v>200</v>
      </c>
      <c r="F193">
        <v>1.1999999999999993</v>
      </c>
      <c r="G193">
        <v>198.60000000000002</v>
      </c>
    </row>
    <row r="194" spans="5:7" x14ac:dyDescent="0.15">
      <c r="E194">
        <v>400</v>
      </c>
      <c r="F194">
        <v>2.3999999999999986</v>
      </c>
      <c r="G194">
        <v>397.2</v>
      </c>
    </row>
    <row r="195" spans="5:7" x14ac:dyDescent="0.15">
      <c r="E195">
        <v>60480</v>
      </c>
      <c r="F195">
        <v>362.87999999999977</v>
      </c>
      <c r="G195">
        <v>60056.639999999999</v>
      </c>
    </row>
    <row r="196" spans="5:7" x14ac:dyDescent="0.15">
      <c r="E196">
        <v>12</v>
      </c>
      <c r="F196">
        <v>7.1999999999999953E-2</v>
      </c>
      <c r="G196">
        <v>0</v>
      </c>
    </row>
    <row r="197" spans="5:7" x14ac:dyDescent="0.15">
      <c r="E197">
        <v>10080</v>
      </c>
      <c r="F197">
        <v>60.479999999999961</v>
      </c>
      <c r="G197">
        <v>10009.44</v>
      </c>
    </row>
    <row r="198" spans="5:7" x14ac:dyDescent="0.15">
      <c r="E198">
        <v>12</v>
      </c>
      <c r="F198">
        <v>7.1999999999999953E-2</v>
      </c>
      <c r="G198">
        <v>0</v>
      </c>
    </row>
    <row r="199" spans="5:7" x14ac:dyDescent="0.15">
      <c r="E199">
        <v>5760</v>
      </c>
      <c r="F199">
        <v>34.559999999999981</v>
      </c>
      <c r="G199">
        <v>5719.68</v>
      </c>
    </row>
    <row r="200" spans="5:7" x14ac:dyDescent="0.15">
      <c r="E200">
        <v>10</v>
      </c>
      <c r="F200">
        <v>5.9999999999999963E-2</v>
      </c>
      <c r="G200">
        <v>0</v>
      </c>
    </row>
    <row r="201" spans="5:7" x14ac:dyDescent="0.15">
      <c r="E201">
        <v>180</v>
      </c>
      <c r="F201">
        <v>1.0799999999999994</v>
      </c>
      <c r="G201">
        <v>178.74</v>
      </c>
    </row>
    <row r="202" spans="5:7" x14ac:dyDescent="0.15">
      <c r="E202">
        <v>16</v>
      </c>
      <c r="F202">
        <v>9.5999999999999946E-2</v>
      </c>
      <c r="G202">
        <v>0</v>
      </c>
    </row>
    <row r="203" spans="5:7" x14ac:dyDescent="0.15">
      <c r="E203">
        <v>60</v>
      </c>
      <c r="F203">
        <v>0.35999999999999976</v>
      </c>
      <c r="G203">
        <v>59.58</v>
      </c>
    </row>
    <row r="204" spans="5:7" x14ac:dyDescent="0.15">
      <c r="E204">
        <v>63</v>
      </c>
      <c r="F204">
        <v>0.37799999999999978</v>
      </c>
      <c r="G204">
        <v>144.33300000000003</v>
      </c>
    </row>
    <row r="205" spans="5:7" x14ac:dyDescent="0.15">
      <c r="E205">
        <v>200</v>
      </c>
      <c r="F205">
        <v>1.1999999999999993</v>
      </c>
      <c r="G205">
        <v>198.60000000000002</v>
      </c>
    </row>
    <row r="206" spans="5:7" x14ac:dyDescent="0.15">
      <c r="E206">
        <v>400</v>
      </c>
      <c r="F206">
        <v>2.3999999999999986</v>
      </c>
      <c r="G206">
        <v>397.2</v>
      </c>
    </row>
    <row r="207" spans="5:7" x14ac:dyDescent="0.15">
      <c r="E207">
        <v>60480</v>
      </c>
      <c r="F207">
        <v>362.87999999999977</v>
      </c>
      <c r="G207">
        <v>60056.639999999999</v>
      </c>
    </row>
    <row r="208" spans="5:7" x14ac:dyDescent="0.15">
      <c r="E208">
        <v>12</v>
      </c>
      <c r="F208">
        <v>7.1999999999999953E-2</v>
      </c>
      <c r="G208">
        <v>0</v>
      </c>
    </row>
    <row r="209" spans="5:7" x14ac:dyDescent="0.15">
      <c r="E209">
        <v>10080</v>
      </c>
      <c r="F209">
        <v>60.479999999999961</v>
      </c>
      <c r="G209">
        <v>10009.44</v>
      </c>
    </row>
    <row r="210" spans="5:7" x14ac:dyDescent="0.15">
      <c r="E210">
        <v>12</v>
      </c>
      <c r="F210">
        <v>7.1999999999999953E-2</v>
      </c>
      <c r="G210">
        <v>0</v>
      </c>
    </row>
    <row r="211" spans="5:7" x14ac:dyDescent="0.15">
      <c r="E211">
        <v>5760</v>
      </c>
      <c r="F211">
        <v>34.559999999999981</v>
      </c>
      <c r="G211">
        <v>5719.68</v>
      </c>
    </row>
    <row r="212" spans="5:7" x14ac:dyDescent="0.15">
      <c r="E212">
        <v>10</v>
      </c>
      <c r="F212">
        <v>5.9999999999999963E-2</v>
      </c>
      <c r="G212">
        <v>0</v>
      </c>
    </row>
    <row r="213" spans="5:7" x14ac:dyDescent="0.15">
      <c r="E213">
        <v>180</v>
      </c>
      <c r="F213">
        <v>1.0799999999999994</v>
      </c>
      <c r="G213">
        <v>178.74</v>
      </c>
    </row>
    <row r="214" spans="5:7" x14ac:dyDescent="0.15">
      <c r="E214">
        <v>16</v>
      </c>
      <c r="F214">
        <v>9.5999999999999946E-2</v>
      </c>
      <c r="G214">
        <v>0</v>
      </c>
    </row>
    <row r="215" spans="5:7" x14ac:dyDescent="0.15">
      <c r="E215">
        <v>60</v>
      </c>
      <c r="F215">
        <v>0.35999999999999976</v>
      </c>
      <c r="G215">
        <v>59.58</v>
      </c>
    </row>
    <row r="216" spans="5:7" x14ac:dyDescent="0.15">
      <c r="E216">
        <v>63</v>
      </c>
      <c r="F216">
        <v>0.37799999999999978</v>
      </c>
      <c r="G216">
        <v>45.215999999999994</v>
      </c>
    </row>
    <row r="217" spans="5:7" x14ac:dyDescent="0.15">
      <c r="E217">
        <v>200</v>
      </c>
      <c r="F217">
        <v>1.1999999999999993</v>
      </c>
      <c r="G217">
        <v>198.60000000000002</v>
      </c>
    </row>
    <row r="218" spans="5:7" x14ac:dyDescent="0.15">
      <c r="E218">
        <v>400</v>
      </c>
      <c r="F218">
        <v>2.3999999999999986</v>
      </c>
      <c r="G218">
        <v>397.2</v>
      </c>
    </row>
    <row r="219" spans="5:7" x14ac:dyDescent="0.15">
      <c r="E219">
        <v>60480</v>
      </c>
      <c r="F219">
        <v>362.87999999999977</v>
      </c>
      <c r="G219">
        <v>60056.639999999999</v>
      </c>
    </row>
    <row r="220" spans="5:7" x14ac:dyDescent="0.15">
      <c r="E220">
        <v>12</v>
      </c>
      <c r="F220">
        <v>7.1999999999999953E-2</v>
      </c>
      <c r="G220">
        <v>0</v>
      </c>
    </row>
    <row r="221" spans="5:7" x14ac:dyDescent="0.15">
      <c r="E221">
        <v>10080</v>
      </c>
      <c r="F221">
        <v>60.479999999999961</v>
      </c>
      <c r="G221">
        <v>10009.44</v>
      </c>
    </row>
    <row r="222" spans="5:7" x14ac:dyDescent="0.15">
      <c r="E222">
        <v>12</v>
      </c>
      <c r="F222">
        <v>7.1999999999999953E-2</v>
      </c>
      <c r="G222">
        <v>0</v>
      </c>
    </row>
    <row r="223" spans="5:7" x14ac:dyDescent="0.15">
      <c r="E223">
        <v>5760</v>
      </c>
      <c r="F223">
        <v>34.559999999999981</v>
      </c>
      <c r="G223">
        <v>5719.68</v>
      </c>
    </row>
    <row r="224" spans="5:7" x14ac:dyDescent="0.15">
      <c r="E224">
        <v>10</v>
      </c>
      <c r="F224">
        <v>5.9999999999999963E-2</v>
      </c>
      <c r="G224">
        <v>0</v>
      </c>
    </row>
    <row r="225" spans="5:7" x14ac:dyDescent="0.15">
      <c r="E225">
        <v>180</v>
      </c>
      <c r="F225">
        <v>1.0799999999999994</v>
      </c>
      <c r="G225">
        <v>178.74</v>
      </c>
    </row>
    <row r="226" spans="5:7" x14ac:dyDescent="0.15">
      <c r="E226">
        <v>16</v>
      </c>
      <c r="F226">
        <v>9.5999999999999946E-2</v>
      </c>
      <c r="G226">
        <v>0</v>
      </c>
    </row>
    <row r="227" spans="5:7" x14ac:dyDescent="0.15">
      <c r="E227">
        <v>60</v>
      </c>
      <c r="F227">
        <v>0.35999999999999976</v>
      </c>
      <c r="G227">
        <v>59.58</v>
      </c>
    </row>
    <row r="228" spans="5:7" x14ac:dyDescent="0.15">
      <c r="E228">
        <v>63</v>
      </c>
      <c r="F228">
        <v>0.37799999999999978</v>
      </c>
      <c r="G228">
        <v>57.951000000000001</v>
      </c>
    </row>
    <row r="229" spans="5:7" x14ac:dyDescent="0.15">
      <c r="E229">
        <v>200</v>
      </c>
      <c r="F229">
        <v>1.1999999999999993</v>
      </c>
      <c r="G229">
        <v>198.60000000000002</v>
      </c>
    </row>
    <row r="230" spans="5:7" x14ac:dyDescent="0.15">
      <c r="E230">
        <v>400</v>
      </c>
      <c r="F230">
        <v>2.3999999999999986</v>
      </c>
      <c r="G230">
        <v>397.2</v>
      </c>
    </row>
    <row r="231" spans="5:7" x14ac:dyDescent="0.15">
      <c r="E231">
        <v>60480</v>
      </c>
      <c r="F231">
        <v>362.87999999999977</v>
      </c>
      <c r="G231">
        <v>60056.639999999999</v>
      </c>
    </row>
    <row r="232" spans="5:7" x14ac:dyDescent="0.15">
      <c r="E232">
        <v>12</v>
      </c>
      <c r="F232">
        <v>7.1999999999999953E-2</v>
      </c>
      <c r="G232">
        <v>0</v>
      </c>
    </row>
    <row r="233" spans="5:7" x14ac:dyDescent="0.15">
      <c r="E233">
        <v>10080</v>
      </c>
      <c r="F233">
        <v>60.479999999999961</v>
      </c>
      <c r="G233">
        <v>10009.44</v>
      </c>
    </row>
    <row r="234" spans="5:7" x14ac:dyDescent="0.15">
      <c r="E234">
        <v>12</v>
      </c>
      <c r="F234">
        <v>7.1999999999999953E-2</v>
      </c>
      <c r="G234">
        <v>0</v>
      </c>
    </row>
    <row r="235" spans="5:7" x14ac:dyDescent="0.15">
      <c r="E235">
        <v>5760</v>
      </c>
      <c r="F235">
        <v>34.559999999999981</v>
      </c>
      <c r="G235">
        <v>5719.68</v>
      </c>
    </row>
    <row r="236" spans="5:7" x14ac:dyDescent="0.15">
      <c r="E236">
        <v>10</v>
      </c>
      <c r="F236">
        <v>5.9999999999999963E-2</v>
      </c>
      <c r="G236">
        <v>0</v>
      </c>
    </row>
    <row r="237" spans="5:7" x14ac:dyDescent="0.15">
      <c r="E237">
        <v>180</v>
      </c>
      <c r="F237">
        <v>1.0799999999999994</v>
      </c>
      <c r="G237">
        <v>178.74</v>
      </c>
    </row>
    <row r="238" spans="5:7" x14ac:dyDescent="0.15">
      <c r="E238">
        <v>16</v>
      </c>
      <c r="F238">
        <v>9.5999999999999946E-2</v>
      </c>
      <c r="G238">
        <v>0</v>
      </c>
    </row>
    <row r="239" spans="5:7" x14ac:dyDescent="0.15">
      <c r="E239">
        <v>60</v>
      </c>
      <c r="F239">
        <v>0.35999999999999976</v>
      </c>
      <c r="G239">
        <v>59.58</v>
      </c>
    </row>
    <row r="240" spans="5:7" x14ac:dyDescent="0.15">
      <c r="E240">
        <v>63</v>
      </c>
      <c r="F240">
        <v>0.37799999999999978</v>
      </c>
      <c r="G240">
        <v>57.951000000000001</v>
      </c>
    </row>
    <row r="241" spans="5:7" x14ac:dyDescent="0.15">
      <c r="E241">
        <v>200</v>
      </c>
      <c r="F241">
        <v>1.1999999999999993</v>
      </c>
      <c r="G241">
        <v>198.60000000000002</v>
      </c>
    </row>
    <row r="242" spans="5:7" x14ac:dyDescent="0.15">
      <c r="E242">
        <v>400</v>
      </c>
      <c r="F242">
        <v>2.3999999999999986</v>
      </c>
      <c r="G242">
        <v>397.2</v>
      </c>
    </row>
    <row r="243" spans="5:7" x14ac:dyDescent="0.15">
      <c r="E243">
        <v>60480</v>
      </c>
      <c r="F243">
        <v>362.87999999999977</v>
      </c>
      <c r="G243">
        <v>60056.639999999999</v>
      </c>
    </row>
    <row r="244" spans="5:7" x14ac:dyDescent="0.15">
      <c r="E244">
        <v>12</v>
      </c>
      <c r="F244">
        <v>7.1999999999999953E-2</v>
      </c>
      <c r="G244">
        <v>0</v>
      </c>
    </row>
    <row r="245" spans="5:7" x14ac:dyDescent="0.15">
      <c r="E245">
        <v>10080</v>
      </c>
      <c r="F245">
        <v>60.479999999999961</v>
      </c>
      <c r="G245">
        <v>10009.44</v>
      </c>
    </row>
    <row r="246" spans="5:7" x14ac:dyDescent="0.15">
      <c r="E246">
        <v>12</v>
      </c>
      <c r="F246">
        <v>7.1999999999999953E-2</v>
      </c>
      <c r="G246">
        <v>0</v>
      </c>
    </row>
    <row r="247" spans="5:7" x14ac:dyDescent="0.15">
      <c r="E247">
        <v>5760</v>
      </c>
      <c r="F247">
        <v>34.559999999999981</v>
      </c>
      <c r="G247">
        <v>5719.68</v>
      </c>
    </row>
    <row r="248" spans="5:7" x14ac:dyDescent="0.15">
      <c r="E248">
        <v>10</v>
      </c>
      <c r="F248">
        <v>5.9999999999999963E-2</v>
      </c>
      <c r="G248">
        <v>0</v>
      </c>
    </row>
    <row r="249" spans="5:7" x14ac:dyDescent="0.15">
      <c r="E249">
        <v>180</v>
      </c>
      <c r="F249">
        <v>1.0799999999999994</v>
      </c>
      <c r="G249">
        <v>178.74</v>
      </c>
    </row>
    <row r="250" spans="5:7" x14ac:dyDescent="0.15">
      <c r="E250">
        <v>16</v>
      </c>
      <c r="F250">
        <v>9.5999999999999946E-2</v>
      </c>
      <c r="G250">
        <v>0</v>
      </c>
    </row>
    <row r="251" spans="5:7" x14ac:dyDescent="0.15">
      <c r="E251">
        <v>60</v>
      </c>
      <c r="F251">
        <v>0.35999999999999976</v>
      </c>
      <c r="G251">
        <v>59.58</v>
      </c>
    </row>
    <row r="252" spans="5:7" x14ac:dyDescent="0.15">
      <c r="E252">
        <v>63</v>
      </c>
      <c r="F252">
        <v>0.37799999999999978</v>
      </c>
      <c r="G252">
        <v>78.66</v>
      </c>
    </row>
    <row r="253" spans="5:7" x14ac:dyDescent="0.15">
      <c r="E253">
        <v>200</v>
      </c>
      <c r="F253">
        <v>1.1999999999999993</v>
      </c>
      <c r="G253">
        <v>198.60000000000002</v>
      </c>
    </row>
    <row r="254" spans="5:7" x14ac:dyDescent="0.15">
      <c r="E254">
        <v>400</v>
      </c>
      <c r="F254">
        <v>2.3999999999999986</v>
      </c>
      <c r="G254">
        <v>397.2</v>
      </c>
    </row>
    <row r="255" spans="5:7" x14ac:dyDescent="0.15">
      <c r="E255">
        <v>60480</v>
      </c>
      <c r="F255">
        <v>362.87999999999977</v>
      </c>
      <c r="G255">
        <v>60056.639999999999</v>
      </c>
    </row>
    <row r="256" spans="5:7" x14ac:dyDescent="0.15">
      <c r="E256">
        <v>12</v>
      </c>
      <c r="F256">
        <v>7.1999999999999953E-2</v>
      </c>
      <c r="G256">
        <v>0</v>
      </c>
    </row>
    <row r="257" spans="5:7" x14ac:dyDescent="0.15">
      <c r="E257">
        <v>10080</v>
      </c>
      <c r="F257">
        <v>60.479999999999961</v>
      </c>
      <c r="G257">
        <v>10009.44</v>
      </c>
    </row>
    <row r="258" spans="5:7" x14ac:dyDescent="0.15">
      <c r="E258">
        <v>12</v>
      </c>
      <c r="F258">
        <v>7.1999999999999953E-2</v>
      </c>
      <c r="G258">
        <v>0</v>
      </c>
    </row>
    <row r="259" spans="5:7" x14ac:dyDescent="0.15">
      <c r="E259">
        <v>5760</v>
      </c>
      <c r="F259">
        <v>34.559999999999981</v>
      </c>
      <c r="G259">
        <v>5719.68</v>
      </c>
    </row>
    <row r="260" spans="5:7" x14ac:dyDescent="0.15">
      <c r="E260">
        <v>10</v>
      </c>
      <c r="F260">
        <v>5.9999999999999963E-2</v>
      </c>
      <c r="G260">
        <v>0</v>
      </c>
    </row>
    <row r="261" spans="5:7" x14ac:dyDescent="0.15">
      <c r="E261">
        <v>180</v>
      </c>
      <c r="F261">
        <v>1.0799999999999994</v>
      </c>
      <c r="G261">
        <v>178.74</v>
      </c>
    </row>
    <row r="262" spans="5:7" x14ac:dyDescent="0.15">
      <c r="E262">
        <v>16</v>
      </c>
      <c r="F262">
        <v>9.5999999999999946E-2</v>
      </c>
      <c r="G262">
        <v>0</v>
      </c>
    </row>
    <row r="263" spans="5:7" x14ac:dyDescent="0.15">
      <c r="E263">
        <v>60</v>
      </c>
      <c r="F263">
        <v>0.35999999999999976</v>
      </c>
      <c r="G263">
        <v>59.58</v>
      </c>
    </row>
    <row r="264" spans="5:7" x14ac:dyDescent="0.15">
      <c r="E264">
        <v>63</v>
      </c>
      <c r="F264">
        <v>0.37799999999999978</v>
      </c>
      <c r="G264">
        <v>78.66</v>
      </c>
    </row>
    <row r="265" spans="5:7" x14ac:dyDescent="0.15">
      <c r="E265">
        <v>200</v>
      </c>
      <c r="F265">
        <v>1.1999999999999993</v>
      </c>
      <c r="G265">
        <v>198.60000000000002</v>
      </c>
    </row>
    <row r="266" spans="5:7" x14ac:dyDescent="0.15">
      <c r="E266">
        <v>400</v>
      </c>
      <c r="F266">
        <v>2.3999999999999986</v>
      </c>
      <c r="G266">
        <v>397.2</v>
      </c>
    </row>
    <row r="267" spans="5:7" x14ac:dyDescent="0.15">
      <c r="E267">
        <v>60480</v>
      </c>
      <c r="F267">
        <v>362.87999999999977</v>
      </c>
      <c r="G267">
        <v>60056.639999999999</v>
      </c>
    </row>
    <row r="268" spans="5:7" x14ac:dyDescent="0.15">
      <c r="E268">
        <v>12</v>
      </c>
      <c r="F268">
        <v>7.1999999999999953E-2</v>
      </c>
      <c r="G268">
        <v>0</v>
      </c>
    </row>
    <row r="269" spans="5:7" x14ac:dyDescent="0.15">
      <c r="E269">
        <v>10080</v>
      </c>
      <c r="F269">
        <v>60.479999999999961</v>
      </c>
      <c r="G269">
        <v>10009.44</v>
      </c>
    </row>
    <row r="270" spans="5:7" x14ac:dyDescent="0.15">
      <c r="E270">
        <v>12</v>
      </c>
      <c r="F270">
        <v>7.1999999999999953E-2</v>
      </c>
      <c r="G270">
        <v>0</v>
      </c>
    </row>
    <row r="271" spans="5:7" x14ac:dyDescent="0.15">
      <c r="E271">
        <v>5760</v>
      </c>
      <c r="F271">
        <v>34.559999999999981</v>
      </c>
      <c r="G271">
        <v>5719.68</v>
      </c>
    </row>
    <row r="272" spans="5:7" x14ac:dyDescent="0.15">
      <c r="E272">
        <v>10</v>
      </c>
      <c r="F272">
        <v>5.9999999999999963E-2</v>
      </c>
      <c r="G272">
        <v>0</v>
      </c>
    </row>
    <row r="273" spans="5:7" x14ac:dyDescent="0.15">
      <c r="E273">
        <v>180</v>
      </c>
      <c r="F273">
        <v>1.0799999999999994</v>
      </c>
      <c r="G273">
        <v>178.74</v>
      </c>
    </row>
    <row r="274" spans="5:7" x14ac:dyDescent="0.15">
      <c r="E274">
        <v>16</v>
      </c>
      <c r="F274">
        <v>9.5999999999999946E-2</v>
      </c>
      <c r="G274">
        <v>0</v>
      </c>
    </row>
    <row r="275" spans="5:7" x14ac:dyDescent="0.15">
      <c r="E275">
        <v>60</v>
      </c>
      <c r="F275">
        <v>0.35999999999999976</v>
      </c>
      <c r="G275">
        <v>59.58</v>
      </c>
    </row>
    <row r="276" spans="5:7" x14ac:dyDescent="0.15">
      <c r="E276">
        <v>63</v>
      </c>
      <c r="F276">
        <v>0.37799999999999978</v>
      </c>
      <c r="G276">
        <v>37.088999999999999</v>
      </c>
    </row>
    <row r="277" spans="5:7" x14ac:dyDescent="0.15">
      <c r="E277">
        <v>200</v>
      </c>
      <c r="F277">
        <v>1.1999999999999993</v>
      </c>
      <c r="G277">
        <v>198.60000000000002</v>
      </c>
    </row>
    <row r="278" spans="5:7" x14ac:dyDescent="0.15">
      <c r="E278">
        <v>400</v>
      </c>
      <c r="F278">
        <v>2.3999999999999986</v>
      </c>
      <c r="G278">
        <v>397.2</v>
      </c>
    </row>
    <row r="279" spans="5:7" x14ac:dyDescent="0.15">
      <c r="E279">
        <v>60480</v>
      </c>
      <c r="F279">
        <v>362.87999999999977</v>
      </c>
      <c r="G279">
        <v>60056.639999999999</v>
      </c>
    </row>
    <row r="280" spans="5:7" x14ac:dyDescent="0.15">
      <c r="E280">
        <v>12</v>
      </c>
      <c r="F280">
        <v>7.1999999999999953E-2</v>
      </c>
      <c r="G280">
        <v>0</v>
      </c>
    </row>
    <row r="281" spans="5:7" x14ac:dyDescent="0.15">
      <c r="E281">
        <v>10080</v>
      </c>
      <c r="F281">
        <v>60.479999999999961</v>
      </c>
      <c r="G281">
        <v>10009.44</v>
      </c>
    </row>
    <row r="282" spans="5:7" x14ac:dyDescent="0.15">
      <c r="E282">
        <v>12</v>
      </c>
      <c r="F282">
        <v>7.1999999999999953E-2</v>
      </c>
      <c r="G282">
        <v>0</v>
      </c>
    </row>
    <row r="283" spans="5:7" x14ac:dyDescent="0.15">
      <c r="E283">
        <v>5760</v>
      </c>
      <c r="F283">
        <v>34.559999999999981</v>
      </c>
      <c r="G283">
        <v>5719.68</v>
      </c>
    </row>
    <row r="284" spans="5:7" x14ac:dyDescent="0.15">
      <c r="E284">
        <v>10</v>
      </c>
      <c r="F284">
        <v>5.9999999999999963E-2</v>
      </c>
      <c r="G284">
        <v>0</v>
      </c>
    </row>
    <row r="285" spans="5:7" x14ac:dyDescent="0.15">
      <c r="E285">
        <v>180</v>
      </c>
      <c r="F285">
        <v>1.0799999999999994</v>
      </c>
      <c r="G285">
        <v>178.74</v>
      </c>
    </row>
    <row r="286" spans="5:7" x14ac:dyDescent="0.15">
      <c r="E286">
        <v>16</v>
      </c>
      <c r="F286">
        <v>9.5999999999999946E-2</v>
      </c>
      <c r="G286">
        <v>0</v>
      </c>
    </row>
    <row r="287" spans="5:7" x14ac:dyDescent="0.15">
      <c r="E287">
        <v>60</v>
      </c>
      <c r="F287">
        <v>0.35999999999999976</v>
      </c>
      <c r="G287">
        <v>59.58</v>
      </c>
    </row>
    <row r="288" spans="5:7" x14ac:dyDescent="0.15">
      <c r="E288">
        <v>63</v>
      </c>
      <c r="F288">
        <v>0.37799999999999978</v>
      </c>
      <c r="G288">
        <v>147.321</v>
      </c>
    </row>
    <row r="289" spans="5:7" x14ac:dyDescent="0.15">
      <c r="E289">
        <v>200</v>
      </c>
      <c r="F289">
        <v>1.1999999999999993</v>
      </c>
      <c r="G289">
        <v>198.60000000000002</v>
      </c>
    </row>
    <row r="290" spans="5:7" x14ac:dyDescent="0.15">
      <c r="E290">
        <v>400</v>
      </c>
      <c r="F290">
        <v>2.3999999999999986</v>
      </c>
      <c r="G290">
        <v>397.2</v>
      </c>
    </row>
    <row r="291" spans="5:7" x14ac:dyDescent="0.15">
      <c r="E291">
        <v>60480</v>
      </c>
      <c r="F291">
        <v>362.87999999999977</v>
      </c>
      <c r="G291">
        <v>60056.639999999999</v>
      </c>
    </row>
    <row r="292" spans="5:7" x14ac:dyDescent="0.15">
      <c r="E292">
        <v>12</v>
      </c>
      <c r="F292">
        <v>7.1999999999999953E-2</v>
      </c>
      <c r="G292">
        <v>0</v>
      </c>
    </row>
    <row r="293" spans="5:7" x14ac:dyDescent="0.15">
      <c r="E293">
        <v>10080</v>
      </c>
      <c r="F293">
        <v>60.479999999999961</v>
      </c>
      <c r="G293">
        <v>10009.44</v>
      </c>
    </row>
    <row r="294" spans="5:7" x14ac:dyDescent="0.15">
      <c r="E294">
        <v>12</v>
      </c>
      <c r="F294">
        <v>7.1999999999999953E-2</v>
      </c>
      <c r="G294">
        <v>0</v>
      </c>
    </row>
    <row r="295" spans="5:7" x14ac:dyDescent="0.15">
      <c r="E295">
        <v>5760</v>
      </c>
      <c r="F295">
        <v>34.559999999999981</v>
      </c>
      <c r="G295">
        <v>5719.68</v>
      </c>
    </row>
    <row r="296" spans="5:7" x14ac:dyDescent="0.15">
      <c r="E296">
        <v>10</v>
      </c>
      <c r="F296">
        <v>5.9999999999999963E-2</v>
      </c>
      <c r="G296">
        <v>0</v>
      </c>
    </row>
    <row r="297" spans="5:7" x14ac:dyDescent="0.15">
      <c r="E297">
        <v>180</v>
      </c>
      <c r="F297">
        <v>1.0799999999999994</v>
      </c>
      <c r="G297">
        <v>178.74</v>
      </c>
    </row>
    <row r="298" spans="5:7" x14ac:dyDescent="0.15">
      <c r="E298">
        <v>16</v>
      </c>
      <c r="F298">
        <v>9.5999999999999946E-2</v>
      </c>
      <c r="G298">
        <v>0</v>
      </c>
    </row>
    <row r="299" spans="5:7" x14ac:dyDescent="0.15">
      <c r="E299">
        <v>60</v>
      </c>
      <c r="F299">
        <v>0.35999999999999976</v>
      </c>
      <c r="G299">
        <v>59.58</v>
      </c>
    </row>
    <row r="300" spans="5:7" x14ac:dyDescent="0.15">
      <c r="E300">
        <v>63</v>
      </c>
      <c r="F300">
        <v>0.37799999999999978</v>
      </c>
      <c r="G300">
        <v>77.165999999999997</v>
      </c>
    </row>
    <row r="301" spans="5:7" x14ac:dyDescent="0.15">
      <c r="E301">
        <v>200</v>
      </c>
      <c r="F301">
        <v>1.1999999999999993</v>
      </c>
      <c r="G301">
        <v>198.60000000000002</v>
      </c>
    </row>
    <row r="302" spans="5:7" x14ac:dyDescent="0.15">
      <c r="E302">
        <v>400</v>
      </c>
      <c r="F302">
        <v>2.3999999999999986</v>
      </c>
      <c r="G302">
        <v>397.2</v>
      </c>
    </row>
    <row r="303" spans="5:7" x14ac:dyDescent="0.15">
      <c r="E303">
        <v>60480</v>
      </c>
      <c r="F303">
        <v>362.87999999999977</v>
      </c>
      <c r="G303">
        <v>60056.639999999999</v>
      </c>
    </row>
    <row r="304" spans="5:7" x14ac:dyDescent="0.15">
      <c r="E304">
        <v>12</v>
      </c>
      <c r="F304">
        <v>7.1999999999999953E-2</v>
      </c>
      <c r="G304">
        <v>0</v>
      </c>
    </row>
    <row r="305" spans="5:7" x14ac:dyDescent="0.15">
      <c r="E305">
        <v>10080</v>
      </c>
      <c r="F305">
        <v>60.479999999999961</v>
      </c>
      <c r="G305">
        <v>10009.44</v>
      </c>
    </row>
    <row r="306" spans="5:7" x14ac:dyDescent="0.15">
      <c r="E306">
        <v>12</v>
      </c>
      <c r="F306">
        <v>7.1999999999999953E-2</v>
      </c>
      <c r="G306">
        <v>0</v>
      </c>
    </row>
    <row r="307" spans="5:7" x14ac:dyDescent="0.15">
      <c r="E307">
        <v>5760</v>
      </c>
      <c r="F307">
        <v>34.559999999999981</v>
      </c>
      <c r="G307">
        <v>5719.68</v>
      </c>
    </row>
    <row r="308" spans="5:7" x14ac:dyDescent="0.15">
      <c r="E308">
        <v>10</v>
      </c>
      <c r="F308">
        <v>5.9999999999999963E-2</v>
      </c>
      <c r="G308">
        <v>0</v>
      </c>
    </row>
    <row r="309" spans="5:7" x14ac:dyDescent="0.15">
      <c r="E309">
        <v>180</v>
      </c>
      <c r="F309">
        <v>1.0799999999999994</v>
      </c>
      <c r="G309">
        <v>178.74</v>
      </c>
    </row>
    <row r="310" spans="5:7" x14ac:dyDescent="0.15">
      <c r="E310">
        <v>16</v>
      </c>
      <c r="F310">
        <v>9.5999999999999946E-2</v>
      </c>
      <c r="G310">
        <v>0</v>
      </c>
    </row>
    <row r="311" spans="5:7" x14ac:dyDescent="0.15">
      <c r="E311">
        <v>60</v>
      </c>
      <c r="F311">
        <v>0.35999999999999976</v>
      </c>
      <c r="G311">
        <v>59.58</v>
      </c>
    </row>
    <row r="312" spans="5:7" x14ac:dyDescent="0.15">
      <c r="E312">
        <v>63</v>
      </c>
      <c r="F312">
        <v>0.37799999999999978</v>
      </c>
      <c r="G312">
        <v>43.722000000000001</v>
      </c>
    </row>
    <row r="313" spans="5:7" x14ac:dyDescent="0.15">
      <c r="E313">
        <v>200</v>
      </c>
      <c r="F313">
        <v>1.1999999999999993</v>
      </c>
      <c r="G313">
        <v>198.60000000000002</v>
      </c>
    </row>
    <row r="314" spans="5:7" x14ac:dyDescent="0.15">
      <c r="E314">
        <v>400</v>
      </c>
      <c r="F314">
        <v>2.3999999999999986</v>
      </c>
      <c r="G314">
        <v>397.2</v>
      </c>
    </row>
    <row r="315" spans="5:7" x14ac:dyDescent="0.15">
      <c r="E315">
        <v>60480</v>
      </c>
      <c r="F315">
        <v>362.87999999999977</v>
      </c>
      <c r="G315">
        <v>60056.639999999999</v>
      </c>
    </row>
    <row r="316" spans="5:7" x14ac:dyDescent="0.15">
      <c r="E316">
        <v>12</v>
      </c>
      <c r="F316">
        <v>7.1999999999999953E-2</v>
      </c>
      <c r="G316">
        <v>0</v>
      </c>
    </row>
    <row r="317" spans="5:7" x14ac:dyDescent="0.15">
      <c r="E317">
        <v>10080</v>
      </c>
      <c r="F317">
        <v>60.479999999999961</v>
      </c>
      <c r="G317">
        <v>10009.44</v>
      </c>
    </row>
    <row r="318" spans="5:7" x14ac:dyDescent="0.15">
      <c r="E318">
        <v>12</v>
      </c>
      <c r="F318">
        <v>7.1999999999999953E-2</v>
      </c>
      <c r="G318">
        <v>0</v>
      </c>
    </row>
    <row r="319" spans="5:7" x14ac:dyDescent="0.15">
      <c r="E319">
        <v>5760</v>
      </c>
      <c r="F319">
        <v>34.559999999999981</v>
      </c>
      <c r="G319">
        <v>5719.68</v>
      </c>
    </row>
    <row r="320" spans="5:7" x14ac:dyDescent="0.15">
      <c r="E320">
        <v>10</v>
      </c>
      <c r="F320">
        <v>5.9999999999999963E-2</v>
      </c>
      <c r="G320">
        <v>0</v>
      </c>
    </row>
    <row r="321" spans="5:7" x14ac:dyDescent="0.15">
      <c r="E321">
        <v>180</v>
      </c>
      <c r="F321">
        <v>1.0799999999999994</v>
      </c>
      <c r="G321">
        <v>178.74</v>
      </c>
    </row>
    <row r="322" spans="5:7" x14ac:dyDescent="0.15">
      <c r="E322">
        <v>16</v>
      </c>
      <c r="F322">
        <v>9.5999999999999946E-2</v>
      </c>
      <c r="G322">
        <v>0</v>
      </c>
    </row>
    <row r="323" spans="5:7" x14ac:dyDescent="0.15">
      <c r="E323">
        <v>60</v>
      </c>
      <c r="F323">
        <v>0.35999999999999976</v>
      </c>
      <c r="G323">
        <v>59.58</v>
      </c>
    </row>
    <row r="324" spans="5:7" x14ac:dyDescent="0.15">
      <c r="E324">
        <v>63</v>
      </c>
      <c r="F324">
        <v>0.37799999999999978</v>
      </c>
      <c r="G324">
        <v>56.456999999999994</v>
      </c>
    </row>
    <row r="325" spans="5:7" x14ac:dyDescent="0.15">
      <c r="E325">
        <v>200</v>
      </c>
      <c r="F325">
        <v>1.1999999999999993</v>
      </c>
      <c r="G325">
        <v>198.60000000000002</v>
      </c>
    </row>
    <row r="326" spans="5:7" x14ac:dyDescent="0.15">
      <c r="E326">
        <v>400</v>
      </c>
      <c r="F326">
        <v>2.3999999999999986</v>
      </c>
      <c r="G326">
        <v>397.2</v>
      </c>
    </row>
    <row r="327" spans="5:7" x14ac:dyDescent="0.15">
      <c r="E327">
        <v>60480</v>
      </c>
      <c r="F327">
        <v>362.87999999999977</v>
      </c>
      <c r="G327">
        <v>60056.639999999999</v>
      </c>
    </row>
    <row r="328" spans="5:7" x14ac:dyDescent="0.15">
      <c r="E328">
        <v>12</v>
      </c>
      <c r="F328">
        <v>7.1999999999999953E-2</v>
      </c>
      <c r="G328">
        <v>0</v>
      </c>
    </row>
    <row r="329" spans="5:7" x14ac:dyDescent="0.15">
      <c r="E329">
        <v>10080</v>
      </c>
      <c r="F329">
        <v>60.479999999999961</v>
      </c>
      <c r="G329">
        <v>10009.44</v>
      </c>
    </row>
    <row r="330" spans="5:7" x14ac:dyDescent="0.15">
      <c r="E330">
        <v>12</v>
      </c>
      <c r="F330">
        <v>7.1999999999999953E-2</v>
      </c>
      <c r="G330">
        <v>0</v>
      </c>
    </row>
    <row r="331" spans="5:7" x14ac:dyDescent="0.15">
      <c r="E331">
        <v>5760</v>
      </c>
      <c r="F331">
        <v>34.559999999999981</v>
      </c>
      <c r="G331">
        <v>5719.68</v>
      </c>
    </row>
    <row r="332" spans="5:7" x14ac:dyDescent="0.15">
      <c r="E332">
        <v>10</v>
      </c>
      <c r="F332">
        <v>5.9999999999999963E-2</v>
      </c>
      <c r="G332">
        <v>0</v>
      </c>
    </row>
    <row r="333" spans="5:7" x14ac:dyDescent="0.15">
      <c r="E333">
        <v>180</v>
      </c>
      <c r="F333">
        <v>1.0799999999999994</v>
      </c>
      <c r="G333">
        <v>178.74</v>
      </c>
    </row>
    <row r="334" spans="5:7" x14ac:dyDescent="0.15">
      <c r="E334">
        <v>16</v>
      </c>
      <c r="F334">
        <v>9.5999999999999946E-2</v>
      </c>
      <c r="G334">
        <v>0</v>
      </c>
    </row>
    <row r="335" spans="5:7" x14ac:dyDescent="0.15">
      <c r="E335">
        <v>60</v>
      </c>
      <c r="F335">
        <v>0.35999999999999976</v>
      </c>
      <c r="G335">
        <v>59.58</v>
      </c>
    </row>
    <row r="336" spans="5:7" x14ac:dyDescent="0.15">
      <c r="E336">
        <v>63</v>
      </c>
      <c r="F336">
        <v>0.37799999999999978</v>
      </c>
      <c r="G336">
        <v>37.088999999999999</v>
      </c>
    </row>
    <row r="337" spans="5:7" x14ac:dyDescent="0.15">
      <c r="E337">
        <v>200</v>
      </c>
      <c r="F337">
        <v>1.1999999999999993</v>
      </c>
      <c r="G337">
        <v>198.60000000000002</v>
      </c>
    </row>
    <row r="338" spans="5:7" x14ac:dyDescent="0.15">
      <c r="E338">
        <v>400</v>
      </c>
      <c r="F338">
        <v>2.3999999999999986</v>
      </c>
      <c r="G338">
        <v>397.2</v>
      </c>
    </row>
    <row r="339" spans="5:7" x14ac:dyDescent="0.15">
      <c r="E339">
        <v>60480</v>
      </c>
      <c r="F339">
        <v>362.87999999999977</v>
      </c>
      <c r="G339">
        <v>60056.639999999999</v>
      </c>
    </row>
    <row r="340" spans="5:7" x14ac:dyDescent="0.15">
      <c r="E340">
        <v>12</v>
      </c>
      <c r="F340">
        <v>7.1999999999999953E-2</v>
      </c>
      <c r="G340">
        <v>0</v>
      </c>
    </row>
    <row r="341" spans="5:7" x14ac:dyDescent="0.15">
      <c r="E341">
        <v>10080</v>
      </c>
      <c r="F341">
        <v>60.479999999999961</v>
      </c>
      <c r="G341">
        <v>10009.44</v>
      </c>
    </row>
    <row r="342" spans="5:7" x14ac:dyDescent="0.15">
      <c r="E342">
        <v>12</v>
      </c>
      <c r="F342">
        <v>7.1999999999999953E-2</v>
      </c>
      <c r="G342">
        <v>0</v>
      </c>
    </row>
    <row r="343" spans="5:7" x14ac:dyDescent="0.15">
      <c r="E343">
        <v>5760</v>
      </c>
      <c r="F343">
        <v>34.559999999999981</v>
      </c>
      <c r="G343">
        <v>5719.68</v>
      </c>
    </row>
    <row r="344" spans="5:7" x14ac:dyDescent="0.15">
      <c r="E344">
        <v>10</v>
      </c>
      <c r="F344">
        <v>5.9999999999999963E-2</v>
      </c>
      <c r="G344">
        <v>0</v>
      </c>
    </row>
    <row r="345" spans="5:7" x14ac:dyDescent="0.15">
      <c r="E345">
        <v>180</v>
      </c>
      <c r="F345">
        <v>1.0799999999999994</v>
      </c>
      <c r="G345">
        <v>178.74</v>
      </c>
    </row>
    <row r="346" spans="5:7" x14ac:dyDescent="0.15">
      <c r="E346">
        <v>16</v>
      </c>
      <c r="F346">
        <v>9.5999999999999946E-2</v>
      </c>
      <c r="G346">
        <v>0</v>
      </c>
    </row>
    <row r="347" spans="5:7" x14ac:dyDescent="0.15">
      <c r="E347">
        <v>60</v>
      </c>
      <c r="F347">
        <v>0.35999999999999976</v>
      </c>
      <c r="G347">
        <v>59.58</v>
      </c>
    </row>
    <row r="348" spans="5:7" x14ac:dyDescent="0.15">
      <c r="E348">
        <v>63</v>
      </c>
      <c r="F348">
        <v>0.37799999999999978</v>
      </c>
      <c r="G348">
        <v>45.215999999999994</v>
      </c>
    </row>
    <row r="349" spans="5:7" x14ac:dyDescent="0.15">
      <c r="E349">
        <v>200</v>
      </c>
      <c r="F349">
        <v>1.1999999999999993</v>
      </c>
      <c r="G349">
        <v>198.60000000000002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PK10</vt:lpstr>
      <vt:lpstr>PK10Source</vt:lpstr>
      <vt:lpstr>ExportBetXML</vt:lpstr>
      <vt:lpstr>agent</vt:lpstr>
      <vt:lpstr>GetAwardResult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2018-08-30T07:55:00Z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