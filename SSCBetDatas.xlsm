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SSC!$B$1:$Y$88</definedName>
  </definedNames>
  <calcPr calcId="162913"/>
</workbook>
</file>

<file path=xl/calcChain.xml><?xml version="1.0" encoding="utf-8"?>
<calcChain xmlns="http://schemas.openxmlformats.org/spreadsheetml/2006/main">
  <c r="Q86" i="1" l="1"/>
  <c r="I86" i="1"/>
  <c r="M68" i="2"/>
  <c r="M53" i="2"/>
  <c r="M38" i="2"/>
  <c r="U68" i="2"/>
  <c r="V68" i="2" s="1"/>
  <c r="W68" i="2" s="1"/>
  <c r="U53" i="2"/>
  <c r="W38" i="2"/>
  <c r="V38" i="2"/>
  <c r="U38" i="2"/>
  <c r="U19" i="1"/>
  <c r="U5" i="1"/>
  <c r="O48" i="7"/>
  <c r="O45" i="7"/>
  <c r="O42" i="7"/>
  <c r="O39" i="7"/>
  <c r="O36" i="7"/>
  <c r="O33" i="7"/>
  <c r="T7" i="1" s="1"/>
  <c r="O30" i="7"/>
  <c r="S8" i="1" s="1"/>
  <c r="O27" i="7"/>
  <c r="R6" i="1" s="1"/>
  <c r="O24" i="7"/>
  <c r="Q4" i="1" s="1"/>
  <c r="O21" i="7"/>
  <c r="P6" i="1" s="1"/>
  <c r="O18" i="7"/>
  <c r="O15" i="7"/>
  <c r="N14" i="1" s="1"/>
  <c r="O12" i="7"/>
  <c r="M47" i="1" s="1"/>
  <c r="O9" i="7"/>
  <c r="L8" i="1" s="1"/>
  <c r="O6" i="7"/>
  <c r="K2" i="1" s="1"/>
  <c r="S2" i="1"/>
  <c r="O3" i="1"/>
  <c r="P3" i="1"/>
  <c r="R3" i="1"/>
  <c r="S3" i="1"/>
  <c r="T3" i="1"/>
  <c r="O4" i="1"/>
  <c r="R4" i="1"/>
  <c r="S4" i="1"/>
  <c r="T4" i="1"/>
  <c r="O5" i="1"/>
  <c r="Q5" i="1"/>
  <c r="R5" i="1"/>
  <c r="T5" i="1"/>
  <c r="N6" i="1"/>
  <c r="O6" i="1"/>
  <c r="L7" i="1"/>
  <c r="N7" i="1"/>
  <c r="O7" i="1"/>
  <c r="R7" i="1"/>
  <c r="S7" i="1"/>
  <c r="N8" i="1"/>
  <c r="O8" i="1"/>
  <c r="P8" i="1"/>
  <c r="Q8" i="1"/>
  <c r="R8" i="1"/>
  <c r="T8" i="1"/>
  <c r="N9" i="1"/>
  <c r="O9" i="1"/>
  <c r="P9" i="1"/>
  <c r="Q9" i="1"/>
  <c r="R9" i="1"/>
  <c r="T9" i="1"/>
  <c r="N10" i="1"/>
  <c r="O10" i="1"/>
  <c r="P10" i="1"/>
  <c r="R10" i="1"/>
  <c r="O11" i="1"/>
  <c r="Q11" i="1"/>
  <c r="R11" i="1"/>
  <c r="S11" i="1"/>
  <c r="T11" i="1"/>
  <c r="O12" i="1"/>
  <c r="P12" i="1"/>
  <c r="R12" i="1"/>
  <c r="T12" i="1"/>
  <c r="O13" i="1"/>
  <c r="P13" i="1"/>
  <c r="Q13" i="1"/>
  <c r="R13" i="1"/>
  <c r="T13" i="1"/>
  <c r="O14" i="1"/>
  <c r="P14" i="1"/>
  <c r="Q14" i="1"/>
  <c r="R14" i="1"/>
  <c r="T14" i="1"/>
  <c r="L15" i="1"/>
  <c r="O15" i="1"/>
  <c r="Q15" i="1"/>
  <c r="R15" i="1"/>
  <c r="S15" i="1"/>
  <c r="T15" i="1"/>
  <c r="N16" i="1"/>
  <c r="O16" i="1"/>
  <c r="R16" i="1"/>
  <c r="S16" i="1"/>
  <c r="T16" i="1"/>
  <c r="N17" i="1"/>
  <c r="O17" i="1"/>
  <c r="Q17" i="1"/>
  <c r="R17" i="1"/>
  <c r="T17" i="1"/>
  <c r="N18" i="1"/>
  <c r="O18" i="1"/>
  <c r="P18" i="1"/>
  <c r="R18" i="1"/>
  <c r="S18" i="1"/>
  <c r="T18" i="1"/>
  <c r="N19" i="1"/>
  <c r="O19" i="1"/>
  <c r="Q19" i="1"/>
  <c r="R19" i="1"/>
  <c r="T19" i="1"/>
  <c r="O20" i="1"/>
  <c r="P20" i="1"/>
  <c r="R20" i="1"/>
  <c r="T20" i="1"/>
  <c r="O21" i="1"/>
  <c r="Q21" i="1"/>
  <c r="R21" i="1"/>
  <c r="S21" i="1"/>
  <c r="T21" i="1"/>
  <c r="O22" i="1"/>
  <c r="Q22" i="1"/>
  <c r="R22" i="1"/>
  <c r="T22" i="1"/>
  <c r="L23" i="1"/>
  <c r="M23" i="1"/>
  <c r="O23" i="1"/>
  <c r="Q23" i="1"/>
  <c r="R23" i="1"/>
  <c r="S23" i="1"/>
  <c r="T23" i="1"/>
  <c r="M24" i="1"/>
  <c r="O24" i="1"/>
  <c r="P24" i="1"/>
  <c r="R24" i="1"/>
  <c r="T24" i="1"/>
  <c r="M25" i="1"/>
  <c r="O25" i="1"/>
  <c r="Q25" i="1"/>
  <c r="R25" i="1"/>
  <c r="S25" i="1"/>
  <c r="T25" i="1"/>
  <c r="M26" i="1"/>
  <c r="O26" i="1"/>
  <c r="P26" i="1"/>
  <c r="Q26" i="1"/>
  <c r="R26" i="1"/>
  <c r="S26" i="1"/>
  <c r="T26" i="1"/>
  <c r="M27" i="1"/>
  <c r="O27" i="1"/>
  <c r="P27" i="1"/>
  <c r="R27" i="1"/>
  <c r="T27" i="1"/>
  <c r="M28" i="1"/>
  <c r="O28" i="1"/>
  <c r="P28" i="1"/>
  <c r="Q28" i="1"/>
  <c r="R28" i="1"/>
  <c r="S28" i="1"/>
  <c r="T28" i="1"/>
  <c r="M29" i="1"/>
  <c r="O29" i="1"/>
  <c r="P29" i="1"/>
  <c r="Q29" i="1"/>
  <c r="R29" i="1"/>
  <c r="T29" i="1"/>
  <c r="L31" i="1"/>
  <c r="M31" i="1"/>
  <c r="O31" i="1"/>
  <c r="R31" i="1"/>
  <c r="T31" i="1"/>
  <c r="M32" i="1"/>
  <c r="O32" i="1"/>
  <c r="Q32" i="1"/>
  <c r="R32" i="1"/>
  <c r="S32" i="1"/>
  <c r="T32" i="1"/>
  <c r="M33" i="1"/>
  <c r="O33" i="1"/>
  <c r="P33" i="1"/>
  <c r="R33" i="1"/>
  <c r="T33" i="1"/>
  <c r="M34" i="1"/>
  <c r="O34" i="1"/>
  <c r="Q34" i="1"/>
  <c r="R34" i="1"/>
  <c r="S34" i="1"/>
  <c r="T34" i="1"/>
  <c r="M35" i="1"/>
  <c r="O35" i="1"/>
  <c r="P35" i="1"/>
  <c r="Q35" i="1"/>
  <c r="R35" i="1"/>
  <c r="S35" i="1"/>
  <c r="T35" i="1"/>
  <c r="M36" i="1"/>
  <c r="O36" i="1"/>
  <c r="P36" i="1"/>
  <c r="R36" i="1"/>
  <c r="T36" i="1"/>
  <c r="M37" i="1"/>
  <c r="O37" i="1"/>
  <c r="P37" i="1"/>
  <c r="R37" i="1"/>
  <c r="T37" i="1"/>
  <c r="M38" i="1"/>
  <c r="O38" i="1"/>
  <c r="P38" i="1"/>
  <c r="Q38" i="1"/>
  <c r="R38" i="1"/>
  <c r="T38" i="1"/>
  <c r="L39" i="1"/>
  <c r="M39" i="1"/>
  <c r="N39" i="1"/>
  <c r="O39" i="1"/>
  <c r="P39" i="1"/>
  <c r="R39" i="1"/>
  <c r="T39" i="1"/>
  <c r="M40" i="1"/>
  <c r="N40" i="1"/>
  <c r="O40" i="1"/>
  <c r="P40" i="1"/>
  <c r="R40" i="1"/>
  <c r="T40" i="1"/>
  <c r="M41" i="1"/>
  <c r="N41" i="1"/>
  <c r="O41" i="1"/>
  <c r="P41" i="1"/>
  <c r="R41" i="1"/>
  <c r="S41" i="1"/>
  <c r="T41" i="1"/>
  <c r="M42" i="1"/>
  <c r="N42" i="1"/>
  <c r="O42" i="1"/>
  <c r="P42" i="1"/>
  <c r="R42" i="1"/>
  <c r="S42" i="1"/>
  <c r="T42" i="1"/>
  <c r="M44" i="1"/>
  <c r="N44" i="1"/>
  <c r="O44" i="1"/>
  <c r="P44" i="1"/>
  <c r="R44" i="1"/>
  <c r="T44" i="1"/>
  <c r="M45" i="1"/>
  <c r="N45" i="1"/>
  <c r="O45" i="1"/>
  <c r="P45" i="1"/>
  <c r="R45" i="1"/>
  <c r="S45" i="1"/>
  <c r="T45" i="1"/>
  <c r="M46" i="1"/>
  <c r="N46" i="1"/>
  <c r="O46" i="1"/>
  <c r="P46" i="1"/>
  <c r="R46" i="1"/>
  <c r="T46" i="1"/>
  <c r="L47" i="1"/>
  <c r="N47" i="1"/>
  <c r="O47" i="1"/>
  <c r="P47" i="1"/>
  <c r="R47" i="1"/>
  <c r="T47" i="1"/>
  <c r="O48" i="1"/>
  <c r="R48" i="1"/>
  <c r="S48" i="1"/>
  <c r="T48" i="1"/>
  <c r="O49" i="1"/>
  <c r="P49" i="1"/>
  <c r="Q49" i="1"/>
  <c r="R49" i="1"/>
  <c r="S49" i="1"/>
  <c r="T49" i="1"/>
  <c r="O50" i="1"/>
  <c r="P50" i="1"/>
  <c r="R50" i="1"/>
  <c r="T50" i="1"/>
  <c r="O51" i="1"/>
  <c r="P51" i="1"/>
  <c r="Q51" i="1"/>
  <c r="R51" i="1"/>
  <c r="S51" i="1"/>
  <c r="T51" i="1"/>
  <c r="N52" i="1"/>
  <c r="O52" i="1"/>
  <c r="P52" i="1"/>
  <c r="Q52" i="1"/>
  <c r="R52" i="1"/>
  <c r="S52" i="1"/>
  <c r="T52" i="1"/>
  <c r="N53" i="1"/>
  <c r="O53" i="1"/>
  <c r="Q53" i="1"/>
  <c r="R53" i="1"/>
  <c r="S53" i="1"/>
  <c r="T53" i="1"/>
  <c r="N54" i="1"/>
  <c r="O54" i="1"/>
  <c r="Q54" i="1"/>
  <c r="R54" i="1"/>
  <c r="T54" i="1"/>
  <c r="L55" i="1"/>
  <c r="N55" i="1"/>
  <c r="O55" i="1"/>
  <c r="R55" i="1"/>
  <c r="S55" i="1"/>
  <c r="T55" i="1"/>
  <c r="O57" i="1"/>
  <c r="P57" i="1"/>
  <c r="Q57" i="1"/>
  <c r="R57" i="1"/>
  <c r="S57" i="1"/>
  <c r="T57" i="1"/>
  <c r="O58" i="1"/>
  <c r="P58" i="1"/>
  <c r="Q58" i="1"/>
  <c r="R58" i="1"/>
  <c r="T58" i="1"/>
  <c r="O59" i="1"/>
  <c r="R59" i="1"/>
  <c r="S59" i="1"/>
  <c r="T59" i="1"/>
  <c r="O60" i="1"/>
  <c r="P60" i="1"/>
  <c r="Q60" i="1"/>
  <c r="R60" i="1"/>
  <c r="S60" i="1"/>
  <c r="T60" i="1"/>
  <c r="N61" i="1"/>
  <c r="O61" i="1"/>
  <c r="R61" i="1"/>
  <c r="T61" i="1"/>
  <c r="N62" i="1"/>
  <c r="O62" i="1"/>
  <c r="P62" i="1"/>
  <c r="Q62" i="1"/>
  <c r="R62" i="1"/>
  <c r="S62" i="1"/>
  <c r="T62" i="1"/>
  <c r="L63" i="1"/>
  <c r="N63" i="1"/>
  <c r="O63" i="1"/>
  <c r="P63" i="1"/>
  <c r="Q63" i="1"/>
  <c r="R63" i="1"/>
  <c r="S63" i="1"/>
  <c r="T63" i="1"/>
  <c r="N64" i="1"/>
  <c r="O64" i="1"/>
  <c r="P64" i="1"/>
  <c r="Q64" i="1"/>
  <c r="R64" i="1"/>
  <c r="S64" i="1"/>
  <c r="T64" i="1"/>
  <c r="N65" i="1"/>
  <c r="O65" i="1"/>
  <c r="P65" i="1"/>
  <c r="Q65" i="1"/>
  <c r="R65" i="1"/>
  <c r="S65" i="1"/>
  <c r="T65" i="1"/>
  <c r="O66" i="1"/>
  <c r="Q66" i="1"/>
  <c r="R66" i="1"/>
  <c r="T66" i="1"/>
  <c r="O67" i="1"/>
  <c r="P67" i="1"/>
  <c r="R67" i="1"/>
  <c r="S67" i="1"/>
  <c r="T67" i="1"/>
  <c r="O68" i="1"/>
  <c r="P68" i="1"/>
  <c r="Q68" i="1"/>
  <c r="R68" i="1"/>
  <c r="S68" i="1"/>
  <c r="T68" i="1"/>
  <c r="O69" i="1"/>
  <c r="P69" i="1"/>
  <c r="R69" i="1"/>
  <c r="T69" i="1"/>
  <c r="N70" i="1"/>
  <c r="O70" i="1"/>
  <c r="P70" i="1"/>
  <c r="R70" i="1"/>
  <c r="T70" i="1"/>
  <c r="L71" i="1"/>
  <c r="M71" i="1"/>
  <c r="O71" i="1"/>
  <c r="P71" i="1"/>
  <c r="R71" i="1"/>
  <c r="S71" i="1"/>
  <c r="T71" i="1"/>
  <c r="M72" i="1"/>
  <c r="O72" i="1"/>
  <c r="Q72" i="1"/>
  <c r="R72" i="1"/>
  <c r="S72" i="1"/>
  <c r="T72" i="1"/>
  <c r="M73" i="1"/>
  <c r="O73" i="1"/>
  <c r="Q73" i="1"/>
  <c r="R73" i="1"/>
  <c r="S73" i="1"/>
  <c r="T73" i="1"/>
  <c r="M74" i="1"/>
  <c r="O74" i="1"/>
  <c r="P74" i="1"/>
  <c r="Q74" i="1"/>
  <c r="R74" i="1"/>
  <c r="T74" i="1"/>
  <c r="M75" i="1"/>
  <c r="O75" i="1"/>
  <c r="P75" i="1"/>
  <c r="Q75" i="1"/>
  <c r="R75" i="1"/>
  <c r="T75" i="1"/>
  <c r="M76" i="1"/>
  <c r="O76" i="1"/>
  <c r="P76" i="1"/>
  <c r="R76" i="1"/>
  <c r="S76" i="1"/>
  <c r="T76" i="1"/>
  <c r="M77" i="1"/>
  <c r="O77" i="1"/>
  <c r="P77" i="1"/>
  <c r="R77" i="1"/>
  <c r="S77" i="1"/>
  <c r="T77" i="1"/>
  <c r="M78" i="1"/>
  <c r="O78" i="1"/>
  <c r="P78" i="1"/>
  <c r="Q78" i="1"/>
  <c r="R78" i="1"/>
  <c r="T78" i="1"/>
  <c r="L79" i="1"/>
  <c r="O79" i="1"/>
  <c r="P79" i="1"/>
  <c r="Q79" i="1"/>
  <c r="R79" i="1"/>
  <c r="S79" i="1"/>
  <c r="T79" i="1"/>
  <c r="N80" i="1"/>
  <c r="O80" i="1"/>
  <c r="Q80" i="1"/>
  <c r="R80" i="1"/>
  <c r="T80" i="1"/>
  <c r="N81" i="1"/>
  <c r="O81" i="1"/>
  <c r="Q81" i="1"/>
  <c r="R81" i="1"/>
  <c r="S81" i="1"/>
  <c r="T81" i="1"/>
  <c r="N82" i="1"/>
  <c r="O82" i="1"/>
  <c r="P82" i="1"/>
  <c r="R82" i="1"/>
  <c r="S82" i="1"/>
  <c r="T82" i="1"/>
  <c r="N83" i="1"/>
  <c r="O83" i="1"/>
  <c r="P83" i="1"/>
  <c r="R83" i="1"/>
  <c r="S83" i="1"/>
  <c r="T83" i="1"/>
  <c r="O84" i="1"/>
  <c r="P84" i="1"/>
  <c r="Q84" i="1"/>
  <c r="R84" i="1"/>
  <c r="T84" i="1"/>
  <c r="R2" i="1"/>
  <c r="Q2" i="1"/>
  <c r="P2" i="1"/>
  <c r="O2" i="1"/>
  <c r="N2" i="1"/>
  <c r="M2" i="1"/>
  <c r="T86" i="1"/>
  <c r="S86" i="1"/>
  <c r="R86" i="1"/>
  <c r="P86" i="1"/>
  <c r="O86" i="1"/>
  <c r="N86" i="1"/>
  <c r="T85" i="1"/>
  <c r="M117" i="2"/>
  <c r="M123" i="2"/>
  <c r="M100" i="2"/>
  <c r="M103" i="2"/>
  <c r="V100" i="2"/>
  <c r="U100" i="2"/>
  <c r="U103" i="2"/>
  <c r="Z100" i="2"/>
  <c r="Y100" i="2"/>
  <c r="X100" i="2"/>
  <c r="W100" i="2"/>
  <c r="Z103" i="2"/>
  <c r="Y103" i="2"/>
  <c r="X103" i="2"/>
  <c r="W103" i="2"/>
  <c r="V103" i="2"/>
  <c r="O137" i="2"/>
  <c r="O139" i="2"/>
  <c r="O138" i="2"/>
  <c r="V53" i="2" l="1"/>
  <c r="W53" i="2" s="1"/>
  <c r="T6" i="1"/>
  <c r="T2" i="1"/>
  <c r="T10" i="1"/>
  <c r="S78" i="1"/>
  <c r="S44" i="1"/>
  <c r="S36" i="1"/>
  <c r="S27" i="1"/>
  <c r="S22" i="1"/>
  <c r="S12" i="1"/>
  <c r="S9" i="1"/>
  <c r="S5" i="1"/>
  <c r="S74" i="1"/>
  <c r="S46" i="1"/>
  <c r="S29" i="1"/>
  <c r="S13" i="1"/>
  <c r="S80" i="1"/>
  <c r="S75" i="1"/>
  <c r="S58" i="1"/>
  <c r="S54" i="1"/>
  <c r="S47" i="1"/>
  <c r="S39" i="1"/>
  <c r="S38" i="1"/>
  <c r="S33" i="1"/>
  <c r="S24" i="1"/>
  <c r="S17" i="1"/>
  <c r="S69" i="1"/>
  <c r="S66" i="1"/>
  <c r="S37" i="1"/>
  <c r="S20" i="1"/>
  <c r="S10" i="1"/>
  <c r="S84" i="1"/>
  <c r="S70" i="1"/>
  <c r="S61" i="1"/>
  <c r="S50" i="1"/>
  <c r="S40" i="1"/>
  <c r="S14" i="1"/>
  <c r="S6" i="1"/>
  <c r="S31" i="1"/>
  <c r="S19" i="1"/>
  <c r="Q67" i="1"/>
  <c r="Q61" i="1"/>
  <c r="Q48" i="1"/>
  <c r="Q33" i="1"/>
  <c r="Q27" i="1"/>
  <c r="Q18" i="1"/>
  <c r="Q10" i="1"/>
  <c r="Q82" i="1"/>
  <c r="Q76" i="1"/>
  <c r="Q69" i="1"/>
  <c r="Q59" i="1"/>
  <c r="Q55" i="1"/>
  <c r="Q50" i="1"/>
  <c r="Q36" i="1"/>
  <c r="Q24" i="1"/>
  <c r="Q20" i="1"/>
  <c r="Q6" i="1"/>
  <c r="Q3" i="1"/>
  <c r="Q83" i="1"/>
  <c r="Q77" i="1"/>
  <c r="Q71" i="1"/>
  <c r="Q70" i="1"/>
  <c r="Q47" i="1"/>
  <c r="Q46" i="1"/>
  <c r="Q45" i="1"/>
  <c r="Q44" i="1"/>
  <c r="Q42" i="1"/>
  <c r="Q41" i="1"/>
  <c r="Q40" i="1"/>
  <c r="Q39" i="1"/>
  <c r="Q37" i="1"/>
  <c r="Q31" i="1"/>
  <c r="Q16" i="1"/>
  <c r="Q12" i="1"/>
  <c r="Q7" i="1"/>
  <c r="P21" i="1"/>
  <c r="P15" i="1"/>
  <c r="P4" i="1"/>
  <c r="P80" i="1"/>
  <c r="P72" i="1"/>
  <c r="P66" i="1"/>
  <c r="P59" i="1"/>
  <c r="P53" i="1"/>
  <c r="P48" i="1"/>
  <c r="P31" i="1"/>
  <c r="P16" i="1"/>
  <c r="P11" i="1"/>
  <c r="P81" i="1"/>
  <c r="P73" i="1"/>
  <c r="P55" i="1"/>
  <c r="P54" i="1"/>
  <c r="P32" i="1"/>
  <c r="P23" i="1"/>
  <c r="P22" i="1"/>
  <c r="P17" i="1"/>
  <c r="P5" i="1"/>
  <c r="P61" i="1"/>
  <c r="P34" i="1"/>
  <c r="P25" i="1"/>
  <c r="P19" i="1"/>
  <c r="P7" i="1"/>
  <c r="N84" i="1"/>
  <c r="N66" i="1"/>
  <c r="N57" i="1"/>
  <c r="N48" i="1"/>
  <c r="N38" i="1"/>
  <c r="N37" i="1"/>
  <c r="N36" i="1"/>
  <c r="N35" i="1"/>
  <c r="N34" i="1"/>
  <c r="N33" i="1"/>
  <c r="N32" i="1"/>
  <c r="N31" i="1"/>
  <c r="N20" i="1"/>
  <c r="N11" i="1"/>
  <c r="N3" i="1"/>
  <c r="N67" i="1"/>
  <c r="N29" i="1"/>
  <c r="N27" i="1"/>
  <c r="N25" i="1"/>
  <c r="N23" i="1"/>
  <c r="N68" i="1"/>
  <c r="N59" i="1"/>
  <c r="N50" i="1"/>
  <c r="N22" i="1"/>
  <c r="N13" i="1"/>
  <c r="N5" i="1"/>
  <c r="N58" i="1"/>
  <c r="N49" i="1"/>
  <c r="N28" i="1"/>
  <c r="N26" i="1"/>
  <c r="N24" i="1"/>
  <c r="N21" i="1"/>
  <c r="N12" i="1"/>
  <c r="N4" i="1"/>
  <c r="N79" i="1"/>
  <c r="N78" i="1"/>
  <c r="N77" i="1"/>
  <c r="N76" i="1"/>
  <c r="N75" i="1"/>
  <c r="N74" i="1"/>
  <c r="N73" i="1"/>
  <c r="N72" i="1"/>
  <c r="N71" i="1"/>
  <c r="N69" i="1"/>
  <c r="N60" i="1"/>
  <c r="N51" i="1"/>
  <c r="N15" i="1"/>
  <c r="M84" i="1"/>
  <c r="M83" i="1"/>
  <c r="M82" i="1"/>
  <c r="M81" i="1"/>
  <c r="M80" i="1"/>
  <c r="M79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5" i="1"/>
  <c r="M4" i="1"/>
  <c r="M3" i="1"/>
  <c r="M86" i="1"/>
  <c r="M70" i="1"/>
  <c r="M69" i="1"/>
  <c r="M68" i="1"/>
  <c r="M67" i="1"/>
  <c r="M66" i="1"/>
  <c r="M65" i="1"/>
  <c r="M64" i="1"/>
  <c r="M63" i="1"/>
  <c r="M6" i="1"/>
  <c r="M62" i="1"/>
  <c r="M61" i="1"/>
  <c r="M60" i="1"/>
  <c r="M59" i="1"/>
  <c r="M58" i="1"/>
  <c r="M57" i="1"/>
  <c r="M55" i="1"/>
  <c r="M54" i="1"/>
  <c r="M53" i="1"/>
  <c r="M52" i="1"/>
  <c r="M51" i="1"/>
  <c r="M50" i="1"/>
  <c r="M49" i="1"/>
  <c r="M48" i="1"/>
  <c r="L54" i="1"/>
  <c r="L46" i="1"/>
  <c r="L38" i="1"/>
  <c r="L22" i="1"/>
  <c r="L14" i="1"/>
  <c r="L6" i="1"/>
  <c r="L5" i="1"/>
  <c r="L86" i="1"/>
  <c r="L77" i="1"/>
  <c r="L69" i="1"/>
  <c r="L61" i="1"/>
  <c r="L53" i="1"/>
  <c r="L45" i="1"/>
  <c r="L37" i="1"/>
  <c r="L29" i="1"/>
  <c r="L21" i="1"/>
  <c r="L13" i="1"/>
  <c r="L4" i="1"/>
  <c r="L84" i="1"/>
  <c r="L76" i="1"/>
  <c r="L68" i="1"/>
  <c r="L60" i="1"/>
  <c r="L52" i="1"/>
  <c r="L44" i="1"/>
  <c r="L36" i="1"/>
  <c r="L28" i="1"/>
  <c r="L20" i="1"/>
  <c r="L12" i="1"/>
  <c r="L3" i="1"/>
  <c r="L70" i="1"/>
  <c r="L2" i="1"/>
  <c r="L51" i="1"/>
  <c r="L19" i="1"/>
  <c r="L82" i="1"/>
  <c r="L74" i="1"/>
  <c r="L66" i="1"/>
  <c r="L58" i="1"/>
  <c r="L50" i="1"/>
  <c r="L42" i="1"/>
  <c r="L34" i="1"/>
  <c r="L26" i="1"/>
  <c r="L18" i="1"/>
  <c r="L10" i="1"/>
  <c r="L62" i="1"/>
  <c r="L67" i="1"/>
  <c r="L59" i="1"/>
  <c r="L27" i="1"/>
  <c r="L81" i="1"/>
  <c r="L73" i="1"/>
  <c r="L65" i="1"/>
  <c r="L57" i="1"/>
  <c r="L49" i="1"/>
  <c r="L41" i="1"/>
  <c r="L33" i="1"/>
  <c r="L25" i="1"/>
  <c r="L17" i="1"/>
  <c r="L9" i="1"/>
  <c r="L78" i="1"/>
  <c r="L83" i="1"/>
  <c r="L75" i="1"/>
  <c r="L35" i="1"/>
  <c r="L11" i="1"/>
  <c r="L80" i="1"/>
  <c r="L72" i="1"/>
  <c r="L64" i="1"/>
  <c r="L48" i="1"/>
  <c r="L40" i="1"/>
  <c r="L32" i="1"/>
  <c r="L24" i="1"/>
  <c r="L16" i="1"/>
  <c r="K5" i="1"/>
  <c r="K81" i="1"/>
  <c r="K77" i="1"/>
  <c r="K73" i="1"/>
  <c r="K69" i="1"/>
  <c r="K65" i="1"/>
  <c r="K61" i="1"/>
  <c r="K57" i="1"/>
  <c r="K53" i="1"/>
  <c r="K49" i="1"/>
  <c r="K45" i="1"/>
  <c r="K41" i="1"/>
  <c r="K37" i="1"/>
  <c r="K33" i="1"/>
  <c r="K29" i="1"/>
  <c r="K25" i="1"/>
  <c r="K21" i="1"/>
  <c r="K17" i="1"/>
  <c r="K13" i="1"/>
  <c r="K9" i="1"/>
  <c r="K84" i="1"/>
  <c r="K80" i="1"/>
  <c r="K76" i="1"/>
  <c r="K72" i="1"/>
  <c r="K68" i="1"/>
  <c r="K64" i="1"/>
  <c r="K60" i="1"/>
  <c r="K52" i="1"/>
  <c r="K48" i="1"/>
  <c r="K44" i="1"/>
  <c r="K40" i="1"/>
  <c r="K36" i="1"/>
  <c r="K32" i="1"/>
  <c r="K28" i="1"/>
  <c r="K24" i="1"/>
  <c r="K20" i="1"/>
  <c r="K16" i="1"/>
  <c r="K12" i="1"/>
  <c r="K8" i="1"/>
  <c r="K63" i="1"/>
  <c r="K55" i="1"/>
  <c r="K51" i="1"/>
  <c r="K39" i="1"/>
  <c r="K35" i="1"/>
  <c r="K31" i="1"/>
  <c r="K27" i="1"/>
  <c r="K23" i="1"/>
  <c r="K19" i="1"/>
  <c r="K15" i="1"/>
  <c r="K11" i="1"/>
  <c r="K7" i="1"/>
  <c r="K4" i="1"/>
  <c r="K3" i="1"/>
  <c r="K79" i="1"/>
  <c r="K75" i="1"/>
  <c r="K71" i="1"/>
  <c r="K59" i="1"/>
  <c r="K47" i="1"/>
  <c r="K83" i="1"/>
  <c r="K67" i="1"/>
  <c r="K86" i="1"/>
  <c r="K82" i="1"/>
  <c r="K78" i="1"/>
  <c r="K74" i="1"/>
  <c r="K70" i="1"/>
  <c r="K66" i="1"/>
  <c r="K62" i="1"/>
  <c r="K58" i="1"/>
  <c r="K54" i="1"/>
  <c r="K50" i="1"/>
  <c r="K46" i="1"/>
  <c r="K42" i="1"/>
  <c r="K38" i="1"/>
  <c r="K34" i="1"/>
  <c r="K26" i="1"/>
  <c r="K22" i="1"/>
  <c r="K18" i="1"/>
  <c r="K14" i="1"/>
  <c r="K10" i="1"/>
  <c r="K6" i="1"/>
  <c r="L20" i="2"/>
  <c r="L17" i="2"/>
  <c r="L16" i="2"/>
  <c r="L19" i="2"/>
  <c r="L18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U87" i="1"/>
  <c r="M9" i="7"/>
  <c r="M6" i="7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U12" i="1" l="1"/>
  <c r="U11" i="1"/>
  <c r="K88" i="2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M22" i="2"/>
  <c r="M23" i="2"/>
  <c r="M24" i="2"/>
  <c r="M21" i="2"/>
  <c r="L21" i="2"/>
  <c r="Y3" i="7"/>
  <c r="W3" i="7"/>
  <c r="S4" i="7" s="1"/>
  <c r="U4" i="7" s="1"/>
  <c r="K104" i="2" l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Y4" i="7"/>
  <c r="W4" i="7"/>
  <c r="S5" i="7" s="1"/>
  <c r="U5" i="7" s="1"/>
  <c r="Y5" i="7" l="1"/>
  <c r="W5" i="7"/>
  <c r="S6" i="7" s="1"/>
  <c r="U6" i="7" s="1"/>
  <c r="Y6" i="7" l="1"/>
  <c r="W6" i="7"/>
  <c r="S7" i="7" s="1"/>
  <c r="U7" i="7" s="1"/>
  <c r="Y7" i="7" l="1"/>
  <c r="W7" i="7"/>
  <c r="S8" i="7" s="1"/>
  <c r="U8" i="7" s="1"/>
  <c r="Y8" i="7" l="1"/>
  <c r="W8" i="7"/>
  <c r="S9" i="7" s="1"/>
  <c r="U9" i="7" s="1"/>
  <c r="Y9" i="7" l="1"/>
  <c r="W9" i="7"/>
  <c r="S10" i="7" s="1"/>
  <c r="U10" i="7" s="1"/>
  <c r="W10" i="7" l="1"/>
  <c r="S11" i="7" s="1"/>
  <c r="U11" i="7" s="1"/>
  <c r="Y10" i="7"/>
  <c r="Y11" i="7" l="1"/>
  <c r="W11" i="7"/>
  <c r="S12" i="7" s="1"/>
  <c r="U12" i="7" s="1"/>
  <c r="W12" i="7" l="1"/>
  <c r="Y12" i="7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8" i="1"/>
  <c r="A2" i="1"/>
  <c r="Z88" i="1" l="1"/>
  <c r="Z87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M33" i="2" l="1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3" i="1"/>
  <c r="Z53" i="1" s="1"/>
  <c r="W52" i="1"/>
  <c r="Z52" i="1" s="1"/>
  <c r="W51" i="1"/>
  <c r="Z51" i="1" s="1"/>
  <c r="W50" i="1"/>
  <c r="Z50" i="1" s="1"/>
  <c r="W49" i="1"/>
  <c r="Z49" i="1" s="1"/>
  <c r="W44" i="1"/>
  <c r="Z44" i="1" s="1"/>
  <c r="W43" i="1"/>
  <c r="Z43" i="1" s="1"/>
  <c r="W42" i="1"/>
  <c r="Z42" i="1" s="1"/>
  <c r="W41" i="1"/>
  <c r="Z41" i="1" s="1"/>
  <c r="W40" i="1"/>
  <c r="Z40" i="1" s="1"/>
  <c r="W39" i="1"/>
  <c r="Z39" i="1" s="1"/>
  <c r="W38" i="1"/>
  <c r="Z38" i="1" s="1"/>
  <c r="W37" i="1"/>
  <c r="Z37" i="1" s="1"/>
  <c r="W36" i="1"/>
  <c r="Z36" i="1" s="1"/>
  <c r="W31" i="1"/>
  <c r="Z31" i="1" s="1"/>
  <c r="W30" i="1"/>
  <c r="Z30" i="1" s="1"/>
  <c r="W29" i="1"/>
  <c r="Z29" i="1" s="1"/>
  <c r="W28" i="1"/>
  <c r="Z28" i="1" s="1"/>
  <c r="W27" i="1"/>
  <c r="Z27" i="1" s="1"/>
  <c r="W26" i="1"/>
  <c r="Z26" i="1" s="1"/>
  <c r="W25" i="1"/>
  <c r="Z25" i="1" s="1"/>
  <c r="W24" i="1"/>
  <c r="Z24" i="1" s="1"/>
  <c r="W23" i="1"/>
  <c r="Z23" i="1" s="1"/>
  <c r="L122" i="2" l="1"/>
  <c r="L118" i="2"/>
  <c r="L121" i="2"/>
  <c r="L119" i="2"/>
  <c r="L120" i="2"/>
  <c r="L117" i="2"/>
  <c r="O88" i="2" l="1"/>
  <c r="O74" i="2"/>
  <c r="O66" i="2"/>
  <c r="O67" i="2"/>
  <c r="O52" i="2"/>
  <c r="O51" i="2"/>
  <c r="O64" i="2"/>
  <c r="O49" i="2"/>
  <c r="O58" i="2"/>
  <c r="O43" i="2"/>
  <c r="W31" i="7"/>
  <c r="W30" i="7"/>
  <c r="O37" i="2" l="1"/>
  <c r="O36" i="2"/>
  <c r="O34" i="2"/>
  <c r="O28" i="2"/>
  <c r="O22" i="2"/>
  <c r="O18" i="2"/>
  <c r="O13" i="2"/>
  <c r="O9" i="2"/>
  <c r="L6" i="7"/>
  <c r="L9" i="7" s="1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N6" i="7" l="1"/>
  <c r="S31" i="7"/>
  <c r="U31" i="7" s="1"/>
  <c r="Y31" i="7" s="1"/>
  <c r="S32" i="7"/>
  <c r="U32" i="7" s="1"/>
  <c r="L12" i="7" l="1"/>
  <c r="M12" i="7" s="1"/>
  <c r="N9" i="7"/>
  <c r="Y32" i="7"/>
  <c r="W32" i="7"/>
  <c r="S33" i="7" s="1"/>
  <c r="U33" i="7" s="1"/>
  <c r="N12" i="7" l="1"/>
  <c r="W33" i="7"/>
  <c r="S34" i="7" s="1"/>
  <c r="U34" i="7" s="1"/>
  <c r="Y33" i="7"/>
  <c r="L15" i="7" l="1"/>
  <c r="M15" i="7" s="1"/>
  <c r="W34" i="7"/>
  <c r="S35" i="7" s="1"/>
  <c r="U35" i="7" s="1"/>
  <c r="Y34" i="7"/>
  <c r="N15" i="7" l="1"/>
  <c r="L18" i="7"/>
  <c r="M18" i="7" s="1"/>
  <c r="W35" i="7"/>
  <c r="S36" i="7" s="1"/>
  <c r="U36" i="7" s="1"/>
  <c r="Y35" i="7"/>
  <c r="N18" i="7" l="1"/>
  <c r="L21" i="7"/>
  <c r="M21" i="7" s="1"/>
  <c r="W36" i="7"/>
  <c r="S37" i="7" s="1"/>
  <c r="U37" i="7" s="1"/>
  <c r="Y36" i="7"/>
  <c r="L24" i="7" l="1"/>
  <c r="M24" i="7" s="1"/>
  <c r="N21" i="7"/>
  <c r="Y37" i="7"/>
  <c r="W37" i="7"/>
  <c r="S38" i="7" s="1"/>
  <c r="U38" i="7" s="1"/>
  <c r="N24" i="7" l="1"/>
  <c r="L27" i="7"/>
  <c r="M27" i="7" s="1"/>
  <c r="Y38" i="7"/>
  <c r="W38" i="7"/>
  <c r="N27" i="7" l="1"/>
  <c r="L30" i="7"/>
  <c r="M30" i="7" s="1"/>
  <c r="N30" i="7" l="1"/>
  <c r="L33" i="7"/>
  <c r="M33" i="7" s="1"/>
  <c r="N33" i="7" l="1"/>
  <c r="L36" i="7"/>
  <c r="M36" i="7" s="1"/>
  <c r="L39" i="7" l="1"/>
  <c r="M39" i="7" s="1"/>
  <c r="N36" i="7"/>
  <c r="N39" i="7" l="1"/>
  <c r="L42" i="7"/>
  <c r="M42" i="7" s="1"/>
  <c r="N42" i="7" l="1"/>
  <c r="L45" i="7"/>
  <c r="M45" i="7" s="1"/>
  <c r="N45" i="7" l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N48" i="7" l="1"/>
  <c r="Y71" i="1"/>
  <c r="Y46" i="1"/>
  <c r="Y27" i="1"/>
  <c r="Y7" i="1"/>
  <c r="Y69" i="1"/>
  <c r="Y35" i="1"/>
  <c r="Y6" i="1"/>
  <c r="Y80" i="1"/>
  <c r="Y44" i="1"/>
  <c r="Y16" i="1"/>
  <c r="Y78" i="1"/>
  <c r="Y2" i="1"/>
  <c r="Y66" i="1"/>
  <c r="Y24" i="1"/>
  <c r="Y68" i="1"/>
  <c r="Y88" i="1"/>
  <c r="Y65" i="1"/>
  <c r="Y32" i="1"/>
  <c r="Y56" i="1"/>
  <c r="Y87" i="1"/>
  <c r="Y74" i="1"/>
  <c r="Y63" i="1"/>
  <c r="Y49" i="1"/>
  <c r="Y40" i="1"/>
  <c r="Y31" i="1"/>
  <c r="Y21" i="1"/>
  <c r="Y11" i="1"/>
  <c r="Y39" i="1"/>
  <c r="Y57" i="1"/>
  <c r="Y55" i="1"/>
  <c r="Y26" i="1"/>
  <c r="Y54" i="1"/>
  <c r="Y25" i="1"/>
  <c r="Y79" i="1"/>
  <c r="Y53" i="1"/>
  <c r="Y33" i="1"/>
  <c r="Y15" i="1"/>
  <c r="Y76" i="1"/>
  <c r="Y42" i="1"/>
  <c r="Y14" i="1"/>
  <c r="Y86" i="1"/>
  <c r="AB86" i="1" s="1"/>
  <c r="Y73" i="1"/>
  <c r="Y62" i="1"/>
  <c r="Y48" i="1"/>
  <c r="Y38" i="1"/>
  <c r="Y30" i="1"/>
  <c r="Y20" i="1"/>
  <c r="Y9" i="1"/>
  <c r="Y84" i="1"/>
  <c r="Y58" i="1"/>
  <c r="Y36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52" i="1"/>
  <c r="Y75" i="1"/>
  <c r="Y23" i="1"/>
  <c r="Y50" i="1"/>
  <c r="Y64" i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N123" i="2" l="1"/>
  <c r="X86" i="1" s="1"/>
  <c r="N128" i="2"/>
  <c r="X87" i="1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U101" i="2"/>
  <c r="Q78" i="2"/>
  <c r="L77" i="2"/>
  <c r="L78" i="2" s="1"/>
  <c r="L76" i="2"/>
  <c r="T98" i="2" a="1"/>
  <c r="T98" i="2" s="1"/>
  <c r="Q98" i="2" s="1"/>
  <c r="T96" i="2" a="1"/>
  <c r="T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Q96" i="2" l="1"/>
  <c r="U99" i="2"/>
  <c r="M98" i="2"/>
  <c r="I73" i="1" s="1"/>
  <c r="E71" i="1"/>
  <c r="AB71" i="1" s="1"/>
  <c r="M105" i="2"/>
  <c r="I79" i="1" s="1"/>
  <c r="M106" i="2"/>
  <c r="I80" i="1" s="1"/>
  <c r="L91" i="2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V99" i="2" l="1"/>
  <c r="W99" i="2" s="1"/>
  <c r="X99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G12" i="7" l="1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I38" i="1" s="1"/>
  <c r="Q40" i="2"/>
  <c r="Q54" i="2"/>
  <c r="Q53" i="2"/>
  <c r="Q48" i="2"/>
  <c r="Q47" i="2"/>
  <c r="Q32" i="2"/>
  <c r="Q33" i="2"/>
  <c r="Q39" i="2"/>
  <c r="Q38" i="2"/>
  <c r="Q74" i="2"/>
  <c r="Q66" i="2"/>
  <c r="Q64" i="2"/>
  <c r="Q67" i="2"/>
  <c r="Q58" i="2"/>
  <c r="Q36" i="2"/>
  <c r="Q37" i="2"/>
  <c r="Q52" i="2"/>
  <c r="Q51" i="2"/>
  <c r="Q43" i="2"/>
  <c r="Q49" i="2"/>
  <c r="Q34" i="2"/>
  <c r="D5" i="2" l="1"/>
  <c r="D3" i="2"/>
  <c r="Q16" i="2"/>
  <c r="Q21" i="2"/>
  <c r="Q25" i="2"/>
  <c r="O15" i="2"/>
  <c r="L12" i="2"/>
  <c r="Q12" i="2"/>
  <c r="Q7" i="2"/>
  <c r="S133" i="2"/>
  <c r="S123" i="2"/>
  <c r="S117" i="2"/>
  <c r="S114" i="2"/>
  <c r="M114" i="2" s="1"/>
  <c r="S111" i="2"/>
  <c r="M111" i="2" s="1"/>
  <c r="S109" i="2"/>
  <c r="M109" i="2" s="1"/>
  <c r="S101" i="2"/>
  <c r="S102" i="2"/>
  <c r="S104" i="2"/>
  <c r="S105" i="2"/>
  <c r="S106" i="2"/>
  <c r="S107" i="2"/>
  <c r="M107" i="2" s="1"/>
  <c r="S100" i="2"/>
  <c r="S98" i="2"/>
  <c r="S96" i="2"/>
  <c r="S94" i="2"/>
  <c r="S92" i="2"/>
  <c r="S89" i="2"/>
  <c r="S90" i="2"/>
  <c r="S88" i="2"/>
  <c r="S82" i="2"/>
  <c r="M82" i="2" s="1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M69" i="2" s="1"/>
  <c r="I57" i="1" s="1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M54" i="2" s="1"/>
  <c r="I44" i="1" s="1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M39" i="2" s="1"/>
  <c r="I31" i="1" s="1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AB26" i="1" s="1"/>
  <c r="M35" i="2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AB36" i="1" s="1"/>
  <c r="E37" i="1"/>
  <c r="AB37" i="1" s="1"/>
  <c r="E39" i="1"/>
  <c r="AB39" i="1" s="1"/>
  <c r="E40" i="1"/>
  <c r="AB40" i="1" s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AB49" i="1" s="1"/>
  <c r="E51" i="1"/>
  <c r="AB51" i="1" s="1"/>
  <c r="E52" i="1"/>
  <c r="AB52" i="1" s="1"/>
  <c r="E53" i="1"/>
  <c r="AB53" i="1" s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M128" i="2"/>
  <c r="Q3" i="2"/>
  <c r="Q4" i="2"/>
  <c r="Q5" i="2"/>
  <c r="Q6" i="2"/>
  <c r="Q2" i="2"/>
  <c r="Q13" i="2"/>
  <c r="Q18" i="2"/>
  <c r="Q28" i="2"/>
  <c r="Q22" i="2"/>
  <c r="Q9" i="2"/>
  <c r="M102" i="2"/>
  <c r="M75" i="2" l="1"/>
  <c r="I60" i="1" s="1"/>
  <c r="M134" i="2"/>
  <c r="N98" i="2"/>
  <c r="X73" i="1" s="1"/>
  <c r="F86" i="1"/>
  <c r="N35" i="2"/>
  <c r="X27" i="1" s="1"/>
  <c r="I27" i="1"/>
  <c r="E88" i="1"/>
  <c r="AB88" i="1" s="1"/>
  <c r="E80" i="1"/>
  <c r="AB80" i="1" s="1"/>
  <c r="N106" i="2"/>
  <c r="X80" i="1" s="1"/>
  <c r="E79" i="1"/>
  <c r="AB79" i="1" s="1"/>
  <c r="N105" i="2"/>
  <c r="X79" i="1" s="1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N48" i="2"/>
  <c r="X38" i="1" s="1"/>
  <c r="E23" i="1"/>
  <c r="AB23" i="1" s="1"/>
  <c r="M31" i="2"/>
  <c r="E27" i="1"/>
  <c r="AB27" i="1" s="1"/>
  <c r="E29" i="1"/>
  <c r="AB29" i="1" s="1"/>
  <c r="E25" i="1"/>
  <c r="AB25" i="1" s="1"/>
  <c r="F85" i="1"/>
  <c r="P114" i="2"/>
  <c r="G84" i="1" s="1"/>
  <c r="E84" i="1"/>
  <c r="AB84" i="1" s="1"/>
  <c r="E82" i="1"/>
  <c r="AB82" i="1" s="1"/>
  <c r="P111" i="2"/>
  <c r="G83" i="1" s="1"/>
  <c r="E74" i="1"/>
  <c r="AB74" i="1" s="1"/>
  <c r="E73" i="1"/>
  <c r="AB73" i="1" s="1"/>
  <c r="E72" i="1"/>
  <c r="AB72" i="1" s="1"/>
  <c r="E70" i="1"/>
  <c r="AB70" i="1" s="1"/>
  <c r="P106" i="2"/>
  <c r="G80" i="1" s="1"/>
  <c r="P105" i="2"/>
  <c r="G79" i="1" s="1"/>
  <c r="E67" i="1"/>
  <c r="AB67" i="1" s="1"/>
  <c r="E64" i="1"/>
  <c r="AB64" i="1" s="1"/>
  <c r="M101" i="2"/>
  <c r="I75" i="1" s="1"/>
  <c r="I74" i="1"/>
  <c r="E59" i="1"/>
  <c r="AB59" i="1" s="1"/>
  <c r="P98" i="2"/>
  <c r="G73" i="1" s="1"/>
  <c r="E46" i="1"/>
  <c r="AB46" i="1" s="1"/>
  <c r="E33" i="1"/>
  <c r="AB33" i="1" s="1"/>
  <c r="E20" i="1"/>
  <c r="AB20" i="1" s="1"/>
  <c r="E12" i="1"/>
  <c r="AB12" i="1" s="1"/>
  <c r="E4" i="1"/>
  <c r="AB4" i="1" s="1"/>
  <c r="P90" i="2"/>
  <c r="G69" i="1" s="1"/>
  <c r="M89" i="2"/>
  <c r="I68" i="1" s="1"/>
  <c r="E3" i="1"/>
  <c r="AB3" i="1" s="1"/>
  <c r="P75" i="2"/>
  <c r="G60" i="1" s="1"/>
  <c r="M46" i="2"/>
  <c r="P74" i="2"/>
  <c r="G59" i="1" s="1"/>
  <c r="M34" i="2"/>
  <c r="P15" i="2"/>
  <c r="G10" i="1" s="1"/>
  <c r="M62" i="2"/>
  <c r="I50" i="1" s="1"/>
  <c r="M52" i="2"/>
  <c r="I42" i="1" s="1"/>
  <c r="P24" i="2"/>
  <c r="G18" i="1" s="1"/>
  <c r="M66" i="2"/>
  <c r="I54" i="1" s="1"/>
  <c r="P48" i="2"/>
  <c r="G38" i="1" s="1"/>
  <c r="M55" i="2"/>
  <c r="M47" i="2"/>
  <c r="M37" i="2"/>
  <c r="I29" i="1" s="1"/>
  <c r="M19" i="2"/>
  <c r="E2" i="1"/>
  <c r="AB2" i="1" s="1"/>
  <c r="P103" i="2"/>
  <c r="P102" i="2"/>
  <c r="I76" i="1"/>
  <c r="P101" i="2"/>
  <c r="G75" i="1" s="1"/>
  <c r="P12" i="2"/>
  <c r="G7" i="1" s="1"/>
  <c r="M12" i="2"/>
  <c r="P7" i="2"/>
  <c r="M59" i="2"/>
  <c r="M133" i="2"/>
  <c r="I88" i="1" s="1"/>
  <c r="P133" i="2"/>
  <c r="G88" i="1" s="1"/>
  <c r="P123" i="2"/>
  <c r="G86" i="1" s="1"/>
  <c r="P117" i="2"/>
  <c r="G85" i="1" s="1"/>
  <c r="P109" i="2"/>
  <c r="G82" i="1" s="1"/>
  <c r="P107" i="2"/>
  <c r="M61" i="2"/>
  <c r="M81" i="2"/>
  <c r="M29" i="2"/>
  <c r="M45" i="2"/>
  <c r="P2" i="2"/>
  <c r="M36" i="2"/>
  <c r="M14" i="2"/>
  <c r="M70" i="2"/>
  <c r="M60" i="2"/>
  <c r="P104" i="2"/>
  <c r="M104" i="2"/>
  <c r="P96" i="2"/>
  <c r="M96" i="2"/>
  <c r="I72" i="1" s="1"/>
  <c r="P94" i="2"/>
  <c r="M94" i="2"/>
  <c r="I71" i="1" s="1"/>
  <c r="M92" i="2"/>
  <c r="P92" i="2"/>
  <c r="M90" i="2"/>
  <c r="I69" i="1" s="1"/>
  <c r="P89" i="2"/>
  <c r="G68" i="1" s="1"/>
  <c r="M88" i="2"/>
  <c r="P88" i="2"/>
  <c r="M83" i="2"/>
  <c r="I66" i="1" s="1"/>
  <c r="P83" i="2"/>
  <c r="G66" i="1" s="1"/>
  <c r="P82" i="2"/>
  <c r="G65" i="1" s="1"/>
  <c r="I65" i="1"/>
  <c r="P81" i="2"/>
  <c r="P78" i="2"/>
  <c r="M78" i="2"/>
  <c r="I62" i="1" s="1"/>
  <c r="M79" i="2"/>
  <c r="I63" i="1" s="1"/>
  <c r="P79" i="2"/>
  <c r="G63" i="1" s="1"/>
  <c r="M76" i="2"/>
  <c r="P76" i="2"/>
  <c r="G61" i="1" s="1"/>
  <c r="M74" i="2"/>
  <c r="I59" i="1" s="1"/>
  <c r="M25" i="2"/>
  <c r="M16" i="2"/>
  <c r="M51" i="2"/>
  <c r="M40" i="2"/>
  <c r="M32" i="2"/>
  <c r="P69" i="2"/>
  <c r="P67" i="2"/>
  <c r="M67" i="2"/>
  <c r="P66" i="2"/>
  <c r="G54" i="1" s="1"/>
  <c r="P65" i="2"/>
  <c r="G53" i="1" s="1"/>
  <c r="M65" i="2"/>
  <c r="P64" i="2"/>
  <c r="G52" i="1" s="1"/>
  <c r="M64" i="2"/>
  <c r="P63" i="2"/>
  <c r="G51" i="1" s="1"/>
  <c r="M63" i="2"/>
  <c r="P58" i="2"/>
  <c r="M58" i="2"/>
  <c r="P62" i="2"/>
  <c r="G50" i="1" s="1"/>
  <c r="P68" i="2"/>
  <c r="P55" i="2"/>
  <c r="P52" i="2"/>
  <c r="G42" i="1" s="1"/>
  <c r="P51" i="2"/>
  <c r="G41" i="1" s="1"/>
  <c r="P50" i="2"/>
  <c r="G40" i="1" s="1"/>
  <c r="M50" i="2"/>
  <c r="P49" i="2"/>
  <c r="G39" i="1" s="1"/>
  <c r="M49" i="2"/>
  <c r="M44" i="2"/>
  <c r="P43" i="2"/>
  <c r="M43" i="2"/>
  <c r="P40" i="2"/>
  <c r="G32" i="1" s="1"/>
  <c r="P47" i="2"/>
  <c r="G37" i="1" s="1"/>
  <c r="P54" i="2"/>
  <c r="P53" i="2"/>
  <c r="G43" i="1" s="1"/>
  <c r="P39" i="2"/>
  <c r="G31" i="1" s="1"/>
  <c r="P38" i="2"/>
  <c r="G30" i="1" s="1"/>
  <c r="P35" i="2"/>
  <c r="G27" i="1" s="1"/>
  <c r="P33" i="2"/>
  <c r="G25" i="1" s="1"/>
  <c r="I25" i="1"/>
  <c r="P32" i="2"/>
  <c r="G24" i="1" s="1"/>
  <c r="P37" i="2"/>
  <c r="G29" i="1" s="1"/>
  <c r="P36" i="2"/>
  <c r="G28" i="1" s="1"/>
  <c r="P34" i="2"/>
  <c r="G26" i="1" s="1"/>
  <c r="M30" i="2"/>
  <c r="P28" i="2"/>
  <c r="M28" i="2"/>
  <c r="P25" i="2"/>
  <c r="G19" i="1" s="1"/>
  <c r="M18" i="2"/>
  <c r="P22" i="2"/>
  <c r="G16" i="1" s="1"/>
  <c r="P16" i="2"/>
  <c r="G11" i="1" s="1"/>
  <c r="P13" i="2"/>
  <c r="G8" i="1" s="1"/>
  <c r="P18" i="2"/>
  <c r="P9" i="2"/>
  <c r="P21" i="2"/>
  <c r="G15" i="1" s="1"/>
  <c r="M20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D2" i="1" s="1"/>
  <c r="N75" i="2" l="1"/>
  <c r="X60" i="1" s="1"/>
  <c r="N33" i="2"/>
  <c r="X25" i="1" s="1"/>
  <c r="N52" i="2"/>
  <c r="X42" i="1" s="1"/>
  <c r="N117" i="2"/>
  <c r="X85" i="1" s="1"/>
  <c r="I85" i="1"/>
  <c r="N114" i="2"/>
  <c r="X84" i="1" s="1"/>
  <c r="I84" i="1"/>
  <c r="N111" i="2"/>
  <c r="X83" i="1" s="1"/>
  <c r="I83" i="1"/>
  <c r="N109" i="2"/>
  <c r="X82" i="1" s="1"/>
  <c r="I82" i="1"/>
  <c r="N107" i="2"/>
  <c r="X81" i="1" s="1"/>
  <c r="I81" i="1"/>
  <c r="N104" i="2"/>
  <c r="X78" i="1" s="1"/>
  <c r="I78" i="1"/>
  <c r="N92" i="2"/>
  <c r="X70" i="1" s="1"/>
  <c r="I70" i="1"/>
  <c r="N88" i="2"/>
  <c r="X67" i="1" s="1"/>
  <c r="I67" i="1"/>
  <c r="N81" i="2"/>
  <c r="X64" i="1" s="1"/>
  <c r="I64" i="1"/>
  <c r="N76" i="2"/>
  <c r="X61" i="1" s="1"/>
  <c r="I61" i="1"/>
  <c r="N70" i="2"/>
  <c r="X58" i="1" s="1"/>
  <c r="I58" i="1"/>
  <c r="N69" i="2"/>
  <c r="X57" i="1" s="1"/>
  <c r="N68" i="2"/>
  <c r="X56" i="1" s="1"/>
  <c r="I56" i="1"/>
  <c r="N67" i="2"/>
  <c r="X55" i="1" s="1"/>
  <c r="I55" i="1"/>
  <c r="N65" i="2"/>
  <c r="X53" i="1" s="1"/>
  <c r="I53" i="1"/>
  <c r="N64" i="2"/>
  <c r="X52" i="1" s="1"/>
  <c r="I52" i="1"/>
  <c r="N63" i="2"/>
  <c r="X51" i="1" s="1"/>
  <c r="I51" i="1"/>
  <c r="N61" i="2"/>
  <c r="X49" i="1" s="1"/>
  <c r="I49" i="1"/>
  <c r="N60" i="2"/>
  <c r="X48" i="1" s="1"/>
  <c r="I48" i="1"/>
  <c r="N59" i="2"/>
  <c r="X47" i="1" s="1"/>
  <c r="I47" i="1"/>
  <c r="N58" i="2"/>
  <c r="X46" i="1" s="1"/>
  <c r="I46" i="1"/>
  <c r="N55" i="2"/>
  <c r="X45" i="1" s="1"/>
  <c r="I45" i="1"/>
  <c r="N54" i="2"/>
  <c r="X44" i="1" s="1"/>
  <c r="N53" i="2"/>
  <c r="X43" i="1" s="1"/>
  <c r="I43" i="1"/>
  <c r="N51" i="2"/>
  <c r="X41" i="1" s="1"/>
  <c r="I41" i="1"/>
  <c r="N50" i="2"/>
  <c r="X40" i="1" s="1"/>
  <c r="I40" i="1"/>
  <c r="N49" i="2"/>
  <c r="X39" i="1" s="1"/>
  <c r="I39" i="1"/>
  <c r="N47" i="2"/>
  <c r="X37" i="1" s="1"/>
  <c r="I37" i="1"/>
  <c r="N46" i="2"/>
  <c r="X36" i="1" s="1"/>
  <c r="I36" i="1"/>
  <c r="N45" i="2"/>
  <c r="X35" i="1" s="1"/>
  <c r="I35" i="1"/>
  <c r="N44" i="2"/>
  <c r="X34" i="1" s="1"/>
  <c r="I34" i="1"/>
  <c r="N43" i="2"/>
  <c r="X33" i="1" s="1"/>
  <c r="I33" i="1"/>
  <c r="N40" i="2"/>
  <c r="X32" i="1" s="1"/>
  <c r="I32" i="1"/>
  <c r="N39" i="2"/>
  <c r="X31" i="1" s="1"/>
  <c r="N38" i="2"/>
  <c r="X30" i="1" s="1"/>
  <c r="I30" i="1"/>
  <c r="N36" i="2"/>
  <c r="X28" i="1" s="1"/>
  <c r="I28" i="1"/>
  <c r="N34" i="2"/>
  <c r="X26" i="1" s="1"/>
  <c r="I26" i="1"/>
  <c r="N32" i="2"/>
  <c r="X24" i="1" s="1"/>
  <c r="I24" i="1"/>
  <c r="N31" i="2"/>
  <c r="X23" i="1" s="1"/>
  <c r="I23" i="1"/>
  <c r="N30" i="2"/>
  <c r="X22" i="1" s="1"/>
  <c r="I22" i="1"/>
  <c r="N29" i="2"/>
  <c r="X21" i="1" s="1"/>
  <c r="I21" i="1"/>
  <c r="N28" i="2"/>
  <c r="X20" i="1" s="1"/>
  <c r="I20" i="1"/>
  <c r="N25" i="2"/>
  <c r="X19" i="1" s="1"/>
  <c r="I19" i="1"/>
  <c r="N24" i="2"/>
  <c r="X18" i="1" s="1"/>
  <c r="I18" i="1"/>
  <c r="N23" i="2"/>
  <c r="X17" i="1" s="1"/>
  <c r="I17" i="1"/>
  <c r="N22" i="2"/>
  <c r="X16" i="1" s="1"/>
  <c r="I16" i="1"/>
  <c r="N21" i="2"/>
  <c r="X15" i="1" s="1"/>
  <c r="I15" i="1"/>
  <c r="N20" i="2"/>
  <c r="X14" i="1" s="1"/>
  <c r="I14" i="1"/>
  <c r="N19" i="2"/>
  <c r="X13" i="1" s="1"/>
  <c r="I13" i="1"/>
  <c r="N18" i="2"/>
  <c r="X12" i="1" s="1"/>
  <c r="I12" i="1"/>
  <c r="N16" i="2"/>
  <c r="X11" i="1" s="1"/>
  <c r="I11" i="1"/>
  <c r="N15" i="2"/>
  <c r="X10" i="1" s="1"/>
  <c r="I10" i="1"/>
  <c r="N14" i="2"/>
  <c r="X9" i="1" s="1"/>
  <c r="I9" i="1"/>
  <c r="N13" i="2"/>
  <c r="X8" i="1" s="1"/>
  <c r="I8" i="1"/>
  <c r="N12" i="2"/>
  <c r="X7" i="1" s="1"/>
  <c r="I7" i="1"/>
  <c r="N78" i="2"/>
  <c r="X62" i="1" s="1"/>
  <c r="N37" i="2"/>
  <c r="X29" i="1" s="1"/>
  <c r="N62" i="2"/>
  <c r="X50" i="1" s="1"/>
  <c r="N79" i="2"/>
  <c r="X63" i="1" s="1"/>
  <c r="N94" i="2"/>
  <c r="X71" i="1" s="1"/>
  <c r="N66" i="2"/>
  <c r="X54" i="1" s="1"/>
  <c r="N89" i="2"/>
  <c r="X68" i="1" s="1"/>
  <c r="N133" i="2"/>
  <c r="X88" i="1" s="1"/>
  <c r="N90" i="2"/>
  <c r="X69" i="1" s="1"/>
  <c r="N96" i="2"/>
  <c r="X72" i="1" s="1"/>
  <c r="N102" i="2"/>
  <c r="X76" i="1" s="1"/>
  <c r="N100" i="2"/>
  <c r="X74" i="1" s="1"/>
  <c r="N101" i="2"/>
  <c r="X75" i="1" s="1"/>
  <c r="N83" i="2"/>
  <c r="X66" i="1" s="1"/>
  <c r="N82" i="2"/>
  <c r="X65" i="1" s="1"/>
  <c r="N74" i="2"/>
  <c r="X59" i="1" s="1"/>
  <c r="G2" i="1"/>
  <c r="G81" i="1"/>
  <c r="G76" i="1"/>
  <c r="G77" i="1"/>
  <c r="G78" i="1"/>
  <c r="G72" i="1"/>
  <c r="G71" i="1"/>
  <c r="G70" i="1"/>
  <c r="G67" i="1"/>
  <c r="G64" i="1"/>
  <c r="G62" i="1"/>
  <c r="G55" i="1"/>
  <c r="G57" i="1"/>
  <c r="G56" i="1"/>
  <c r="G46" i="1"/>
  <c r="G44" i="1"/>
  <c r="G45" i="1"/>
  <c r="G33" i="1"/>
  <c r="G20" i="1"/>
  <c r="G12" i="1"/>
  <c r="G4" i="1"/>
  <c r="G3" i="1"/>
  <c r="P100" i="2"/>
  <c r="D88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T56" i="1" l="1"/>
  <c r="R56" i="1"/>
  <c r="N56" i="1"/>
  <c r="O56" i="1"/>
  <c r="P56" i="1"/>
  <c r="S56" i="1"/>
  <c r="K56" i="1"/>
  <c r="Q56" i="1"/>
  <c r="M56" i="1"/>
  <c r="L56" i="1"/>
  <c r="O43" i="1"/>
  <c r="N43" i="1"/>
  <c r="P43" i="1"/>
  <c r="R43" i="1"/>
  <c r="T43" i="1"/>
  <c r="M43" i="1"/>
  <c r="L43" i="1"/>
  <c r="Q43" i="1"/>
  <c r="K43" i="1"/>
  <c r="S43" i="1"/>
  <c r="T30" i="1"/>
  <c r="O30" i="1"/>
  <c r="M30" i="1"/>
  <c r="R30" i="1"/>
  <c r="S30" i="1"/>
  <c r="P30" i="1"/>
  <c r="K30" i="1"/>
  <c r="N30" i="1"/>
  <c r="Q30" i="1"/>
  <c r="L30" i="1"/>
  <c r="N85" i="1"/>
  <c r="M85" i="1"/>
  <c r="L85" i="1"/>
  <c r="S85" i="1"/>
  <c r="K85" i="1"/>
  <c r="R85" i="1"/>
  <c r="Q85" i="1"/>
  <c r="P85" i="1"/>
  <c r="O85" i="1"/>
  <c r="U73" i="1"/>
  <c r="U27" i="1"/>
  <c r="U79" i="1"/>
  <c r="U80" i="1"/>
  <c r="U38" i="1"/>
  <c r="G74" i="1"/>
  <c r="Q59" i="2"/>
  <c r="P59" i="2" s="1"/>
  <c r="G47" i="1" s="1"/>
  <c r="Q14" i="2"/>
  <c r="P14" i="2" s="1"/>
  <c r="G9" i="1" s="1"/>
  <c r="Q23" i="2"/>
  <c r="P23" i="2" s="1"/>
  <c r="G17" i="1" s="1"/>
  <c r="P70" i="2"/>
  <c r="Q61" i="2"/>
  <c r="P61" i="2" s="1"/>
  <c r="G49" i="1" s="1"/>
  <c r="Q60" i="2"/>
  <c r="P60" i="2" s="1"/>
  <c r="G48" i="1" s="1"/>
  <c r="Q46" i="2"/>
  <c r="P46" i="2" s="1"/>
  <c r="G36" i="1" s="1"/>
  <c r="Q44" i="2"/>
  <c r="P44" i="2" s="1"/>
  <c r="G34" i="1" s="1"/>
  <c r="Q45" i="2"/>
  <c r="P45" i="2" s="1"/>
  <c r="G35" i="1" s="1"/>
  <c r="Q31" i="2"/>
  <c r="P31" i="2" s="1"/>
  <c r="G23" i="1" s="1"/>
  <c r="Q30" i="2"/>
  <c r="P30" i="2" s="1"/>
  <c r="G22" i="1" s="1"/>
  <c r="Q29" i="2"/>
  <c r="P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U65" i="1" l="1"/>
  <c r="U18" i="1"/>
  <c r="U43" i="1"/>
  <c r="U72" i="1"/>
  <c r="U78" i="1"/>
  <c r="U41" i="1"/>
  <c r="U36" i="1"/>
  <c r="U24" i="1"/>
  <c r="U68" i="1"/>
  <c r="U54" i="1"/>
  <c r="U57" i="1"/>
  <c r="U53" i="1"/>
  <c r="U22" i="1"/>
  <c r="U60" i="1"/>
  <c r="U17" i="1"/>
  <c r="U67" i="1"/>
  <c r="U46" i="1"/>
  <c r="U55" i="1"/>
  <c r="U45" i="1"/>
  <c r="U37" i="1"/>
  <c r="U15" i="1"/>
  <c r="U76" i="1"/>
  <c r="U84" i="1"/>
  <c r="U69" i="1"/>
  <c r="U29" i="1"/>
  <c r="U52" i="1"/>
  <c r="U9" i="1"/>
  <c r="U59" i="1"/>
  <c r="U25" i="1"/>
  <c r="U42" i="1"/>
  <c r="U56" i="1"/>
  <c r="U40" i="1"/>
  <c r="U66" i="1"/>
  <c r="U34" i="1"/>
  <c r="U20" i="1"/>
  <c r="U23" i="1"/>
  <c r="U31" i="1"/>
  <c r="U48" i="1"/>
  <c r="U10" i="1"/>
  <c r="U62" i="1"/>
  <c r="U61" i="1"/>
  <c r="U64" i="1"/>
  <c r="U30" i="1"/>
  <c r="U83" i="1"/>
  <c r="U85" i="1"/>
  <c r="U28" i="1"/>
  <c r="U33" i="1"/>
  <c r="U26" i="1"/>
  <c r="U50" i="1"/>
  <c r="U32" i="1"/>
  <c r="U16" i="1"/>
  <c r="U35" i="1"/>
  <c r="U44" i="1"/>
  <c r="U82" i="1"/>
  <c r="U58" i="1"/>
  <c r="U47" i="1"/>
  <c r="U21" i="1"/>
  <c r="U63" i="1"/>
  <c r="U74" i="1"/>
  <c r="U75" i="1"/>
  <c r="U51" i="1"/>
  <c r="U71" i="1"/>
  <c r="U49" i="1"/>
  <c r="U39" i="1"/>
  <c r="U70" i="1"/>
  <c r="U8" i="1"/>
  <c r="U81" i="1"/>
  <c r="U13" i="1"/>
  <c r="U7" i="1"/>
  <c r="U14" i="1"/>
  <c r="AB81" i="1"/>
  <c r="AB76" i="1"/>
  <c r="AB65" i="1"/>
  <c r="AB57" i="1"/>
  <c r="AB44" i="1"/>
  <c r="AB31" i="1"/>
  <c r="AB14" i="1"/>
  <c r="G58" i="1"/>
  <c r="Q11" i="2"/>
  <c r="P11" i="2" s="1"/>
  <c r="G6" i="1" s="1"/>
  <c r="Q20" i="2"/>
  <c r="P20" i="2" s="1"/>
  <c r="G14" i="1" s="1"/>
  <c r="H3" i="1"/>
  <c r="H2" i="1"/>
  <c r="L11" i="2"/>
  <c r="M11" i="2" s="1"/>
  <c r="L10" i="2"/>
  <c r="M10" i="2" s="1"/>
  <c r="L9" i="2"/>
  <c r="M9" i="2" s="1"/>
  <c r="L8" i="2"/>
  <c r="L7" i="2"/>
  <c r="H77" i="1"/>
  <c r="H61" i="1"/>
  <c r="H45" i="1"/>
  <c r="H29" i="1"/>
  <c r="H13" i="1"/>
  <c r="H84" i="1"/>
  <c r="H68" i="1"/>
  <c r="H52" i="1"/>
  <c r="H36" i="1"/>
  <c r="H20" i="1"/>
  <c r="H4" i="1"/>
  <c r="H75" i="1"/>
  <c r="H59" i="1"/>
  <c r="H43" i="1"/>
  <c r="H27" i="1"/>
  <c r="H11" i="1"/>
  <c r="H82" i="1"/>
  <c r="H66" i="1"/>
  <c r="H42" i="1"/>
  <c r="H18" i="1"/>
  <c r="H81" i="1"/>
  <c r="H73" i="1"/>
  <c r="H65" i="1"/>
  <c r="H57" i="1"/>
  <c r="H49" i="1"/>
  <c r="H41" i="1"/>
  <c r="H33" i="1"/>
  <c r="H25" i="1"/>
  <c r="H17" i="1"/>
  <c r="H9" i="1"/>
  <c r="H85" i="1"/>
  <c r="H69" i="1"/>
  <c r="H53" i="1"/>
  <c r="H37" i="1"/>
  <c r="H21" i="1"/>
  <c r="H5" i="1"/>
  <c r="H76" i="1"/>
  <c r="H60" i="1"/>
  <c r="H44" i="1"/>
  <c r="H28" i="1"/>
  <c r="H12" i="1"/>
  <c r="H83" i="1"/>
  <c r="H67" i="1"/>
  <c r="H51" i="1"/>
  <c r="H35" i="1"/>
  <c r="H19" i="1"/>
  <c r="H74" i="1"/>
  <c r="H58" i="1"/>
  <c r="H50" i="1"/>
  <c r="H34" i="1"/>
  <c r="H26" i="1"/>
  <c r="H10" i="1"/>
  <c r="H80" i="1"/>
  <c r="H64" i="1"/>
  <c r="H48" i="1"/>
  <c r="H32" i="1"/>
  <c r="H16" i="1"/>
  <c r="H88" i="1"/>
  <c r="H79" i="1"/>
  <c r="H71" i="1"/>
  <c r="H63" i="1"/>
  <c r="H55" i="1"/>
  <c r="H47" i="1"/>
  <c r="H39" i="1"/>
  <c r="H31" i="1"/>
  <c r="H23" i="1"/>
  <c r="H15" i="1"/>
  <c r="H7" i="1"/>
  <c r="H72" i="1"/>
  <c r="H56" i="1"/>
  <c r="H40" i="1"/>
  <c r="H24" i="1"/>
  <c r="H8" i="1"/>
  <c r="H86" i="1"/>
  <c r="H78" i="1"/>
  <c r="H70" i="1"/>
  <c r="H62" i="1"/>
  <c r="H54" i="1"/>
  <c r="H46" i="1"/>
  <c r="H38" i="1"/>
  <c r="H30" i="1"/>
  <c r="H22" i="1"/>
  <c r="H14" i="1"/>
  <c r="H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M7" i="2" l="1"/>
  <c r="N7" i="2" s="1"/>
  <c r="X3" i="1" s="1"/>
  <c r="N11" i="2"/>
  <c r="X6" i="1" s="1"/>
  <c r="I6" i="1"/>
  <c r="N10" i="2"/>
  <c r="X5" i="1" s="1"/>
  <c r="I5" i="1"/>
  <c r="N9" i="2"/>
  <c r="X4" i="1" s="1"/>
  <c r="I4" i="1"/>
  <c r="Q19" i="2"/>
  <c r="P19" i="2" s="1"/>
  <c r="G13" i="1" s="1"/>
  <c r="Q10" i="2"/>
  <c r="P10" i="2" s="1"/>
  <c r="G5" i="1" s="1"/>
  <c r="D11" i="1"/>
  <c r="D3" i="1"/>
  <c r="D30" i="1"/>
  <c r="D75" i="1"/>
  <c r="D5" i="1"/>
  <c r="D6" i="1"/>
  <c r="D7" i="1"/>
  <c r="D8" i="1"/>
  <c r="D9" i="1"/>
  <c r="D10" i="1"/>
  <c r="D4" i="1"/>
  <c r="I3" i="1" l="1"/>
  <c r="S2" i="2"/>
  <c r="D33" i="1"/>
  <c r="L3" i="2"/>
  <c r="U4" i="1" l="1"/>
  <c r="U3" i="1"/>
  <c r="U6" i="1"/>
  <c r="L2" i="2"/>
  <c r="L6" i="2"/>
  <c r="L5" i="2"/>
  <c r="L4" i="2"/>
  <c r="M2" i="2" l="1"/>
  <c r="N2" i="2" s="1"/>
  <c r="X2" i="1" s="1"/>
  <c r="I2" i="1" l="1"/>
  <c r="J2" i="1" s="1"/>
  <c r="J3" i="1" s="1"/>
  <c r="J4" i="1" s="1"/>
  <c r="J5" i="1" s="1"/>
  <c r="U2" i="1" l="1"/>
  <c r="J6" i="1"/>
  <c r="J7" i="1" l="1"/>
  <c r="J8" i="1" l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Y77" i="1" l="1"/>
  <c r="S103" i="2" l="1"/>
  <c r="N103" i="2" s="1"/>
  <c r="X77" i="1" s="1"/>
  <c r="AB77" i="1"/>
  <c r="I77" i="1" l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8" i="1" s="1"/>
  <c r="K88" i="1"/>
  <c r="U77" i="1" l="1"/>
  <c r="L88" i="1"/>
  <c r="K89" i="1"/>
  <c r="L89" i="1" l="1"/>
  <c r="M88" i="1"/>
  <c r="M89" i="1" l="1"/>
  <c r="N88" i="1" l="1"/>
  <c r="N89" i="1" l="1"/>
  <c r="O88" i="1"/>
  <c r="P88" i="1" l="1"/>
  <c r="O89" i="1"/>
  <c r="P89" i="1" l="1"/>
  <c r="Q88" i="1"/>
  <c r="Q89" i="1" l="1"/>
  <c r="R88" i="1"/>
  <c r="R89" i="1" l="1"/>
  <c r="S88" i="1"/>
  <c r="T88" i="1"/>
  <c r="U88" i="1" l="1"/>
  <c r="U86" i="1"/>
  <c r="T89" i="1"/>
  <c r="S8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U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U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<sst xmlns="http://schemas.openxmlformats.org/spreadsheetml/2006/main" count="1527" uniqueCount="555">
  <si>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</si>
  <si>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</si>
  <si>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</si>
  <si>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</si>
  <si>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</si>
  <si>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</si>
  <si>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</si>
  <si>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</si>
  <si>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</si>
  <si>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</si>
  <si>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</si>
  <si>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</si>
  <si>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</si>
  <si>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</si>
  <si>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</si>
  <si>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</si>
  <si>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</si>
  <si>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</si>
  <si>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</si>
  <si>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</si>
  <si>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</si>
  <si>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</si>
  <si>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</si>
  <si>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</si>
  <si>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</si>
  <si>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</si>
  <si>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</si>
  <si>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</si>
  <si>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</si>
  <si>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</si>
  <si>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</si>
  <si>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</si>
  <si>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</si>
  <si>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</si>
  <si>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</si>
  <si>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</si>
  <si>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</si>
  <si>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</si>
  <si>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</si>
  <si>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</si>
  <si>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</si>
  <si>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</si>
  <si>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</si>
  <si>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</si>
  <si>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</si>
  <si>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</si>
  <si>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</si>
  <si>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</si>
  <si>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</si>
  <si>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</si>
  <si>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</si>
  <si>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</si>
  <si>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</si>
  <si>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</si>
  <si>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</si>
  <si>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</si>
  <si>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</si>
  <si>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</si>
  <si>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</si>
  <si>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</si>
  <si>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</si>
  <si>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</si>
  <si>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</si>
  <si>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</si>
  <si>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</si>
  <si>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</si>
  <si>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</si>
  <si>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</si>
  <si>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</si>
  <si>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</si>
  <si>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</si>
  <si>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</si>
  <si>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</si>
  <si>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</si>
  <si>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</si>
  <si>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</si>
  <si>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</si>
  <si>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</si>
  <si>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</si>
  <si>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</si>
  <si>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</si>
  <si>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</si>
  <si>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</si>
  <si>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</si>
  <si>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</si>
  <si>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</si>
  <si>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</si>
  <si>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</si>
  <si>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</si>
  <si>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</si>
  <si>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</si>
  <si>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</si>
  <si>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</si>
  <si>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</si>
  <si>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</si>
  <si>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</si>
  <si>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</si>
  <si>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</si>
  <si>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</si>
  <si>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</si>
  <si>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</si>
  <si>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</si>
  <si>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</si>
  <si>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</si>
  <si>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</si>
  <si>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</si>
  <si>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</si>
  <si>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</si>
  <si>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</si>
  <si>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</si>
  <si>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</si>
  <si>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</si>
  <si>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</si>
  <si>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</si>
  <si>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</si>
  <si>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</si>
  <si>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</si>
  <si>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</si>
  <si>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</si>
  <si>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</si>
  <si>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</si>
  <si>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</si>
  <si>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</si>
  <si>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</si>
  <si>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</si>
  <si>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</si>
  <si>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</si>
  <si>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</si>
  <si>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</si>
  <si>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</si>
  <si>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</si>
  <si>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</si>
  <si>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</si>
  <si>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</si>
  <si>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</si>
  <si>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</si>
  <si>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</si>
  <si>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</si>
  <si>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</si>
  <si>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</si>
  <si>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</si>
  <si>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</si>
  <si>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</si>
  <si>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</si>
  <si>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</si>
  <si>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</si>
  <si>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</si>
  <si>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</si>
  <si>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</si>
  <si>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</si>
  <si>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</si>
  <si>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</si>
  <si>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</si>
  <si>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</si>
  <si>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</si>
  <si>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</si>
  <si>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</si>
  <si>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</si>
  <si>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</si>
  <si>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</si>
  <si>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</si>
  <si>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</si>
  <si>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</si>
  <si>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</si>
  <si>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</si>
  <si>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</si>
  <si>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</si>
  <si>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</si>
  <si>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</si>
  <si>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</si>
  <si>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</si>
  <si>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</si>
  <si>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</si>
  <si>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</si>
  <si>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</si>
  <si>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</si>
  <si>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</si>
  <si>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</si>
  <si>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</si>
  <si>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</si>
  <si>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</si>
  <si>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</si>
  <si>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</si>
  <si>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</si>
  <si>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</si>
  <si>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</si>
  <si>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</si>
  <si>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</si>
  <si>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</si>
  <si>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</si>
  <si>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</si>
  <si>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</si>
  <si>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</si>
  <si>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</si>
  <si>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</si>
  <si>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</si>
  <si>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</si>
  <si>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</si>
  <si>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</si>
  <si>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</si>
  <si>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</si>
  <si>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</si>
  <si>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</si>
  <si>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</si>
  <si>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</si>
  <si>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</si>
  <si>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</si>
  <si>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</si>
  <si>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</si>
  <si>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</si>
  <si>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</si>
  <si>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</si>
  <si>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</si>
  <si>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</si>
  <si>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</si>
  <si>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</si>
  <si>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</si>
  <si>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</si>
  <si>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</si>
  <si>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</si>
  <si>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</si>
  <si>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</si>
  <si>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</si>
  <si>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</si>
  <si>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</si>
  <si>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</si>
  <si>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</si>
  <si>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</si>
  <si>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</si>
  <si>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</si>
  <si>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</si>
  <si>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</si>
  <si>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</si>
  <si>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</si>
  <si>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</si>
  <si>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</si>
  <si>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</si>
  <si>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</si>
  <si>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</si>
  <si>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</si>
  <si>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</si>
  <si>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</si>
  <si>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</si>
  <si>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</si>
  <si>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</si>
  <si>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</si>
  <si>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</si>
  <si>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</si>
  <si>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</si>
  <si>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</si>
  <si>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</si>
  <si>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</si>
  <si>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</si>
  <si>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</si>
  <si>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</si>
  <si>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</si>
  <si>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</si>
  <si>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</si>
  <si>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</si>
  <si>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</si>
  <si>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</si>
  <si>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</si>
  <si>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</si>
  <si>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</si>
  <si>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</si>
  <si>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</si>
  <si>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</si>
  <si>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</si>
  <si>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</si>
  <si>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</si>
  <si>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</si>
  <si>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</si>
  <si>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</si>
  <si>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</si>
  <si>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</si>
  <si>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</si>
  <si>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</si>
  <si>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</si>
  <si>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</si>
  <si>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</si>
  <si>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</si>
  <si>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</si>
  <si>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</si>
  <si>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</si>
  <si>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</si>
  <si>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</si>
  <si>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</si>
  <si>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</si>
  <si>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</si>
  <si>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</si>
  <si>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</si>
  <si>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</si>
  <si>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</si>
  <si>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</si>
  <si>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</si>
  <si>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</si>
  <si>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</si>
  <si>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</si>
  <si>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</si>
  <si>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</si>
  <si>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</si>
  <si>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</si>
  <si>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</si>
  <si>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</si>
  <si>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</si>
  <si>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</si>
  <si>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</si>
  <si>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</si>
  <si>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</si>
  <si>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</si>
  <si>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</si>
  <si>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</si>
  <si>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</si>
  <si>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</si>
  <si>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</si>
  <si>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</si>
  <si>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</si>
  <si>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</si>
  <si>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</si>
  <si>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</si>
  <si>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</si>
  <si>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</si>
  <si>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</si>
  <si>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</si>
  <si>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</si>
  <si>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</si>
  <si>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</si>
  <si>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</si>
  <si>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</si>
  <si>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</si>
  <si>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</si>
  <si>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</si>
  <si>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</si>
  <si>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</si>
  <si>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</si>
  <si>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</si>
  <si>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</si>
  <si>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</si>
  <si>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</si>
  <si>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</si>
  <si>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</si>
  <si>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</si>
  <si>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</si>
  <si>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</si>
  <si>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</si>
  <si>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</si>
  <si>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</si>
  <si>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</si>
  <si>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</si>
  <si>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</si>
  <si>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</si>
  <si>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</si>
  <si>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</si>
  <si>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</si>
  <si>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</si>
  <si>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</si>
  <si>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</si>
  <si>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</si>
  <si>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</si>
  <si>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</si>
  <si>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</si>
  <si>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</si>
  <si>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</si>
  <si>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</si>
  <si>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</si>
  <si>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</si>
  <si>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</si>
  <si>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</si>
  <si>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</si>
  <si>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</si>
  <si>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</si>
  <si>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</si>
  <si>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</si>
  <si>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</si>
  <si>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</si>
  <si>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</si>
  <si>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</si>
  <si>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</si>
  <si>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</si>
  <si>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</si>
  <si>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</si>
  <si>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</si>
  <si>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</si>
  <si>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</si>
  <si>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</si>
  <si>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</si>
  <si>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</si>
  <si>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</si>
  <si>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</si>
  <si>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</si>
  <si>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</si>
  <si>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</si>
  <si>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</si>
  <si>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</si>
  <si>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</si>
  <si>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</si>
  <si>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</si>
  <si>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</si>
  <si>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</si>
  <si>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</si>
  <si>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</si>
  <si>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</si>
  <si>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</si>
  <si>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</si>
  <si>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</si>
  <si>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</si>
  <si>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</si>
  <si>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</si>
  <si>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</si>
  <si>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</si>
  <si>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</si>
  <si>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</si>
  <si>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</si>
  <si>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</si>
  <si>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</si>
  <si>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</si>
  <si>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</si>
  <si>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</si>
  <si>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</si>
  <si>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</si>
  <si>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</si>
  <si>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</si>
  <si>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</si>
  <si>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</si>
  <si>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</si>
  <si>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</si>
  <si>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</si>
  <si>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</si>
  <si>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</si>
  <si>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</si>
  <si>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</si>
  <si>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</si>
  <si>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</si>
  <si>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</si>
  <si>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</si>
  <si>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</si>
  <si>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</si>
  <si>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</si>
  <si>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</si>
  <si>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</si>
  <si>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</si>
  <si>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</si>
  <si>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</si>
  <si>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</si>
  <si>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</si>
  <si>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</si>
  <si>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</si>
  <si>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</si>
  <si>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</si>
  <si>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</si>
  <si>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</si>
  <si>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</si>
  <si>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</si>
  <si>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</si>
  <si>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</si>
  <si>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</si>
  <si>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</si>
  <si>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</si>
  <si>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</si>
  <si>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</si>
  <si>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</si>
  <si>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</si>
  <si>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</si>
  <si>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</si>
  <si>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</si>
  <si>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</si>
  <si>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</si>
  <si>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</si>
  <si>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</si>
  <si>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</si>
  <si>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</si>
  <si>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</si>
  <si>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</si>
  <si>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</si>
  <si>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</si>
  <si>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</si>
  <si>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</si>
  <si>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</si>
  <si>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</si>
  <si>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</si>
  <si>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</si>
  <si>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</si>
  <si>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</si>
  <si>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</si>
  <si>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</si>
  <si>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</si>
  <si>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</si>
  <si>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</si>
  <si>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</si>
  <si>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</si>
  <si>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</si>
  <si>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</si>
  <si>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</si>
  <si>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</si>
  <si>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</si>
  <si>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</si>
  <si>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</si>
  <si>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</si>
  <si>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</si>
  <si>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</si>
  <si>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</si>
  <si>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</si>
  <si>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</si>
  <si>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</si>
  <si>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</si>
  <si>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</si>
  <si>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</si>
  <si>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</si>
  <si>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</si>
  <si>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</si>
  <si>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</si>
  <si>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</si>
  <si>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</si>
  <si>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</si>
  <si>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</si>
  <si>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</si>
  <si>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</si>
  <si>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</si>
  <si>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</si>
  <si>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</si>
  <si>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</si>
  <si>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</si>
  <si>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</si>
  <si>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</si>
  <si>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</si>
  <si>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</si>
  <si>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</si>
  <si>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</si>
  <si>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</si>
  <si>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</si>
  <si>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user_id</t>
    <phoneticPr fontId="1" type="noConversion"/>
  </si>
  <si>
    <t>1 5 8 9 14 15 18</t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</si>
  <si>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</si>
  <si>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</si>
  <si>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</si>
  <si>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</si>
  <si>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</si>
  <si>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</si>
  <si>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</si>
  <si>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balance</t>
    <phoneticPr fontId="1" type="noConversion"/>
  </si>
  <si>
    <t>drawnAmount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</si>
  <si>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</si>
  <si>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</si>
  <si>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</si>
  <si>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</si>
  <si>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</si>
  <si>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</si>
  <si>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</si>
  <si>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</si>
  <si>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</si>
  <si>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</si>
  <si>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</si>
  <si>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</si>
  <si>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返点总和</t>
    <phoneticPr fontId="1" type="noConversion"/>
  </si>
  <si>
    <t>辅助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</si>
</sst>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12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  <xsd:attribute name="user_id" form="unqualified" type="xsd:integer"/>
              </xsd:complexType>
            </xsd:element>
          </xsd:sequence>
        </xsd:complexType>
      </xsd:element>
    </xsd:schema>
  </Schema>
  <Map ID="14" Name="betorder" RootElement="betorder" SchemaID="Schema6" ShowImportExportValidationErrors="false" AutoFit="true" Append="false" PreserveSortAFLayout="true" PreserveFormat="true">
    <DataBinding FileBinding="true" ConnectionID="11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表3" displayName="表3" ref="A1:J87" tableType="xml" totalsRowShown="0" headerRowDxfId="11" dataDxfId="10" connectionId="11">
  <autoFilter ref="A1:J87"/>
  <tableColumns count="10">
    <tableColumn id="1" uniqueName="user_id" name="user_id" dataDxfId="9">
      <xmlColumnPr mapId="14" xpath="/betorder/order/@user_id" xmlDataType="integer"/>
    </tableColumn>
    <tableColumn id="2" uniqueName="betRange" name="betRange" dataDxfId="8">
      <xmlColumnPr mapId="14" xpath="/betorder/order/betRange" xmlDataType="string"/>
    </tableColumn>
    <tableColumn id="3" uniqueName="playType" name="playType" dataDxfId="7">
      <xmlColumnPr mapId="14" xpath="/betorder/order/playType" xmlDataType="string"/>
    </tableColumn>
    <tableColumn id="4" uniqueName="betContent" name="betContent" dataDxfId="6">
      <xmlColumnPr mapId="14" xpath="/betorder/order/betContent" xmlDataType="string"/>
    </tableColumn>
    <tableColumn id="5" uniqueName="mutiple" name="mutiple" dataDxfId="5">
      <xmlColumnPr mapId="14" xpath="/betorder/order/mutiple" xmlDataType="string"/>
    </tableColumn>
    <tableColumn id="6" uniqueName="amount" name="amount" dataDxfId="4">
      <xmlColumnPr mapId="14" xpath="/betorder/order/amount" xmlDataType="string"/>
    </tableColumn>
    <tableColumn id="7" uniqueName="spend" name="spend" dataDxfId="3">
      <xmlColumnPr mapId="14" xpath="/betorder/order/spend" xmlDataType="string"/>
    </tableColumn>
    <tableColumn id="8" uniqueName="resultNum" name="resultNum" dataDxfId="2">
      <xmlColumnPr mapId="14" xpath="/betorder/order/resultNum" xmlDataType="string"/>
    </tableColumn>
    <tableColumn id="9" uniqueName="drawnAmount" name="drawnAmount" dataDxfId="1">
      <xmlColumnPr mapId="14" xpath="/betorder/order/drawnAmount" xmlDataType="string"/>
    </tableColumn>
    <tableColumn id="10" uniqueName="balance" name="balance" dataDxfId="0">
      <xmlColumnPr mapId="14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tabSelected="1" zoomScaleNormal="100" workbookViewId="0">
      <pane xSplit="3" ySplit="1" topLeftCell="D62" activePane="bottomRight" state="frozen"/>
      <selection pane="topRight" activeCell="C1" sqref="C1"/>
      <selection pane="bottomLeft" activeCell="A2" sqref="A2"/>
      <selection pane="bottomRight" activeCell="K86" sqref="K86:K87"/>
    </sheetView>
  </sheetViews>
  <sheetFormatPr defaultColWidth="9" defaultRowHeight="13.5" x14ac:dyDescent="0.15"/>
  <cols>
    <col min="1" max="1" width="16.25" style="50" customWidth="1"/>
    <col min="2" max="2" width="10.125" style="21" customWidth="1"/>
    <col min="3" max="3" width="15.125" style="21" customWidth="1"/>
    <col min="4" max="4" width="30.125" style="21" customWidth="1"/>
    <col min="5" max="5" width="13.375" style="21" customWidth="1"/>
    <col min="6" max="6" width="12.75" style="21" customWidth="1"/>
    <col min="7" max="7" width="12.75" style="21" bestFit="1" customWidth="1"/>
    <col min="8" max="8" width="16.5" style="21" customWidth="1"/>
    <col min="9" max="9" width="16.75" style="21" bestFit="1" customWidth="1"/>
    <col min="10" max="10" width="16.25" style="21" customWidth="1"/>
    <col min="11" max="19" width="13.75" style="25" customWidth="1"/>
    <col min="20" max="20" width="10.5" style="25" customWidth="1"/>
    <col min="21" max="21" width="13.75" style="50" customWidth="1"/>
    <col min="22" max="22" width="10.25" style="21" customWidth="1"/>
    <col min="23" max="23" width="10.75" style="25" customWidth="1"/>
    <col min="24" max="24" width="8" style="25" customWidth="1"/>
    <col min="25" max="25" width="10.875" style="21" customWidth="1"/>
    <col min="26" max="26" width="9.875" style="21" customWidth="1"/>
    <col min="27" max="16384" width="9" style="21"/>
  </cols>
  <sheetData>
    <row r="1" spans="1:28" x14ac:dyDescent="0.15">
      <c r="A1" s="51" t="s">
        <v>530</v>
      </c>
      <c r="B1" s="21" t="s">
        <v>0</v>
      </c>
      <c r="C1" s="21" t="s">
        <v>1</v>
      </c>
      <c r="D1" s="21" t="s">
        <v>180</v>
      </c>
      <c r="E1" s="21" t="s">
        <v>9</v>
      </c>
      <c r="F1" s="21" t="s">
        <v>181</v>
      </c>
      <c r="G1" s="21" t="s">
        <v>182</v>
      </c>
      <c r="H1" s="21" t="s">
        <v>201</v>
      </c>
      <c r="I1" s="21" t="s">
        <v>175</v>
      </c>
      <c r="J1" s="21" t="s">
        <v>183</v>
      </c>
      <c r="K1" s="26" t="s">
        <v>453</v>
      </c>
      <c r="L1" s="26" t="s">
        <v>454</v>
      </c>
      <c r="M1" s="26" t="s">
        <v>455</v>
      </c>
      <c r="N1" s="26" t="s">
        <v>456</v>
      </c>
      <c r="O1" s="26" t="s">
        <v>457</v>
      </c>
      <c r="P1" s="26" t="s">
        <v>458</v>
      </c>
      <c r="Q1" s="26" t="s">
        <v>459</v>
      </c>
      <c r="R1" s="26" t="s">
        <v>460</v>
      </c>
      <c r="S1" s="26" t="s">
        <v>461</v>
      </c>
      <c r="T1" s="26" t="s">
        <v>462</v>
      </c>
      <c r="U1" s="51" t="s">
        <v>553</v>
      </c>
      <c r="V1" s="21" t="s">
        <v>179</v>
      </c>
      <c r="W1" s="26" t="s">
        <v>452</v>
      </c>
      <c r="X1" s="26" t="s">
        <v>465</v>
      </c>
      <c r="Y1" s="37" t="s">
        <v>475</v>
      </c>
      <c r="Z1" s="26" t="s">
        <v>463</v>
      </c>
    </row>
    <row r="2" spans="1:28" x14ac:dyDescent="0.15">
      <c r="A2" s="50">
        <f>agent!J$2</f>
        <v>151</v>
      </c>
      <c r="B2" s="46" t="s">
        <v>488</v>
      </c>
      <c r="C2" s="45" t="s">
        <v>5</v>
      </c>
      <c r="D2" s="45" t="str">
        <f>SSCSource!$O2</f>
        <v>0 1 4 5,0 1 2,1 9,2 5,3 6</v>
      </c>
      <c r="E2" s="45">
        <f>SSCSource!$R2</f>
        <v>2</v>
      </c>
      <c r="F2" s="45">
        <v>1</v>
      </c>
      <c r="G2" s="45">
        <f>SSCSource!$P2</f>
        <v>52</v>
      </c>
      <c r="H2" s="45">
        <f>SSCSource!K$2</f>
        <v>96681</v>
      </c>
      <c r="I2" s="45">
        <f>SSCSource!M$2</f>
        <v>0</v>
      </c>
      <c r="J2" s="45">
        <f>V2-G2+I2</f>
        <v>999948</v>
      </c>
      <c r="K2" s="25">
        <f>IF(ISNUMBER(agent!$O$6*$W2*$X2*E2),TRUNC(agent!$O$6*$W2*$X2*E2,5),"没有上级")</f>
        <v>0</v>
      </c>
      <c r="L2" s="36">
        <f>IF(ISNUMBER(agent!$O$9*$W2*E2*$X2),TRUNC(agent!$O$9*$W2*E2*$X2,5),"没有上级")</f>
        <v>0</v>
      </c>
      <c r="M2" s="36">
        <f>IF(ISNUMBER(agent!$O$12*$W2*E2*$X2),TRUNC(agent!$O$12*$W2*E2*$X2,5),"没有上级")</f>
        <v>0</v>
      </c>
      <c r="N2" s="36">
        <f>IF(ISNUMBER(agent!$O$15*$W2*E2*$X2),TRUNC(agent!$O$15*$W2*E2*$X2,5),"没有上级")</f>
        <v>0</v>
      </c>
      <c r="O2" s="36">
        <f>IF(ISNUMBER(agent!$O$18*$W2*E2*$X2),TRUNC(agent!$O$18*$W2*E2*$X2,5),"没有上级")</f>
        <v>0</v>
      </c>
      <c r="P2" s="36">
        <f>IF(ISNUMBER(agent!$O$21*$W2*E2*$X2),TRUNC(agent!$O$21*$W2*E2*$X2,5),"没有上级")</f>
        <v>0</v>
      </c>
      <c r="Q2" s="36">
        <f>IF(ISNUMBER(agent!$O$24*$W2*E2*$X2),TRUNC(agent!$O$24*$W2*E2*$X2,5),"没有上级")</f>
        <v>0</v>
      </c>
      <c r="R2" s="36">
        <f>IF(ISNUMBER(agent!$O$27*$W2*E2*$X2),TRUNC(agent!$O$27*$W2*E2*$X2,5),"没有上级")</f>
        <v>0</v>
      </c>
      <c r="S2" s="36">
        <f>IF(ISNUMBER(agent!$O$30*$W2*E2*$X2),TRUNC(agent!$O$30*$W2*E2*$X2,3),"没有上级")</f>
        <v>0</v>
      </c>
      <c r="T2" s="36">
        <f>IF(ISNUMBER(agent!$O$33*$W2*$X2*E2),TRUNC(agent!$O$33*$W2*$X2*E2,3),"没有上级")</f>
        <v>0</v>
      </c>
      <c r="U2" s="50">
        <f>SUM(K2:T2)</f>
        <v>0</v>
      </c>
      <c r="V2" s="21">
        <v>1000000</v>
      </c>
      <c r="W2" s="25">
        <v>0.02</v>
      </c>
      <c r="X2" s="25">
        <f>SSCSource!N$2</f>
        <v>0</v>
      </c>
      <c r="Y2" s="21">
        <f>TRUNC((Z2-(9.9-agent!$L$3)*W2*10),3)</f>
        <v>19.3</v>
      </c>
      <c r="Z2" s="21">
        <f>TRUNC(18+99*W2,3)</f>
        <v>19.98</v>
      </c>
      <c r="AB2" s="21">
        <f t="shared" ref="AB2:AB33" si="0">Y2+AA2/E2</f>
        <v>19.3</v>
      </c>
    </row>
    <row r="3" spans="1:28" x14ac:dyDescent="0.15">
      <c r="A3" s="50">
        <f>agent!J$2</f>
        <v>151</v>
      </c>
      <c r="B3" s="45" t="s">
        <v>12</v>
      </c>
      <c r="C3" s="45" t="s">
        <v>13</v>
      </c>
      <c r="D3" s="45" t="str">
        <f>SSCSource!$O7</f>
        <v>0 1 2 8,3 4 5 6 1</v>
      </c>
      <c r="E3" s="45">
        <f>SSCSource!$R7</f>
        <v>3</v>
      </c>
      <c r="F3" s="45">
        <v>1</v>
      </c>
      <c r="G3" s="45">
        <f>SSCSource!$P7</f>
        <v>120</v>
      </c>
      <c r="H3" s="45">
        <f>SSCSource!K$2</f>
        <v>96681</v>
      </c>
      <c r="I3" s="45">
        <f>SSCSource!M$7</f>
        <v>0</v>
      </c>
      <c r="J3" s="45">
        <f t="shared" ref="J3:J34" si="1">$J2-$G3+$I3</f>
        <v>999828</v>
      </c>
      <c r="K3" s="50">
        <f>IF(ISNUMBER(agent!$O$6*$W3*$X3*E3),TRUNC(agent!$O$6*$W3*$X3*E3,3),"没有上级")</f>
        <v>0</v>
      </c>
      <c r="L3" s="50">
        <f>IF(ISNUMBER(agent!$O$9*$W3*E3*$X3),TRUNC(agent!$O$9*$W3*E3*$X3,3),"没有上级")</f>
        <v>0</v>
      </c>
      <c r="M3" s="50">
        <f>IF(ISNUMBER(agent!$O$12*$W3*E3*$X3),TRUNC(agent!$O$12*$W3*E3*$X3,3),"没有上级")</f>
        <v>0</v>
      </c>
      <c r="N3" s="50">
        <f>IF(ISNUMBER(agent!$O$15*$W3*E3*$X3),TRUNC(agent!$O$15*$W3*E3*$X3,3),"没有上级")</f>
        <v>0</v>
      </c>
      <c r="O3" s="50">
        <f>IF(ISNUMBER(agent!$O$18*$W3*E3*$X3),TRUNC(agent!$O$18*$W3*E3*$X3,3),"没有上级")</f>
        <v>0</v>
      </c>
      <c r="P3" s="50">
        <f>IF(ISNUMBER(agent!$O$21*$W3*E3*$X3),TRUNC(agent!$O$21*$W3*E3*$X3,3),"没有上级")</f>
        <v>0</v>
      </c>
      <c r="Q3" s="50">
        <f>IF(ISNUMBER(agent!$O$24*$W3*E3*$X3),TRUNC(agent!$O$24*$W3*E3*$X3,3),"没有上级")</f>
        <v>0</v>
      </c>
      <c r="R3" s="50">
        <f>IF(ISNUMBER(agent!$O$27*$W3*E3*$X3),TRUNC(agent!$O$27*$W3*E3*$X3,3),"没有上级")</f>
        <v>0</v>
      </c>
      <c r="S3" s="50">
        <f>IF(ISNUMBER(agent!$O$30*$W3*E3*$X3),TRUNC(agent!$O$30*$W3*E3*$X3,3),"没有上级")</f>
        <v>0</v>
      </c>
      <c r="T3" s="50">
        <f>IF(ISNUMBER(agent!$O$33*$W3*$X3*E3),TRUNC(agent!$O$33*$W3*$X3*E3,3),"没有上级")</f>
        <v>0</v>
      </c>
      <c r="U3" s="50">
        <f t="shared" ref="U3:U66" si="2">SUM(K3:T3)</f>
        <v>0</v>
      </c>
      <c r="V3" s="50"/>
      <c r="W3" s="25">
        <v>0.2</v>
      </c>
      <c r="X3" s="25">
        <f>SSCSource!N$7</f>
        <v>0</v>
      </c>
      <c r="Y3" s="36">
        <f>TRUNC((Z3-(9.9-agent!$L$3)*W3*10),3)</f>
        <v>193</v>
      </c>
      <c r="Z3" s="49">
        <f>TRUNC(180+99*W3,3)</f>
        <v>199.8</v>
      </c>
      <c r="AA3" s="48"/>
      <c r="AB3" s="48">
        <f t="shared" si="0"/>
        <v>193</v>
      </c>
    </row>
    <row r="4" spans="1:28" x14ac:dyDescent="0.15">
      <c r="A4" s="50">
        <f>agent!J$2</f>
        <v>151</v>
      </c>
      <c r="B4" s="45" t="s">
        <v>12</v>
      </c>
      <c r="C4" s="45" t="s">
        <v>14</v>
      </c>
      <c r="D4" s="45" t="str">
        <f>SSCSource!$O9</f>
        <v>23,98,47,81</v>
      </c>
      <c r="E4" s="45">
        <f>SSCSource!$R9</f>
        <v>4</v>
      </c>
      <c r="F4" s="45">
        <v>1</v>
      </c>
      <c r="G4" s="45">
        <f>SSCSource!$P9</f>
        <v>32</v>
      </c>
      <c r="H4" s="45">
        <f>SSCSource!K$2</f>
        <v>96681</v>
      </c>
      <c r="I4" s="45">
        <f>SSCSource!M9</f>
        <v>0</v>
      </c>
      <c r="J4" s="45">
        <f t="shared" si="1"/>
        <v>999796</v>
      </c>
      <c r="K4" s="50">
        <f>IF(ISNUMBER(agent!$O$6*$W4*$X4*E4),TRUNC(agent!$O$6*$W4*$X4*E4,3),"没有上级")</f>
        <v>0</v>
      </c>
      <c r="L4" s="50">
        <f>IF(ISNUMBER(agent!$O$9*$W4*E4*$X4),TRUNC(agent!$O$9*$W4*E4*$X4,3),"没有上级")</f>
        <v>0</v>
      </c>
      <c r="M4" s="50">
        <f>IF(ISNUMBER(agent!$O$12*$W4*E4*$X4),TRUNC(agent!$O$12*$W4*E4*$X4,3),"没有上级")</f>
        <v>0</v>
      </c>
      <c r="N4" s="50">
        <f>IF(ISNUMBER(agent!$O$15*$W4*E4*$X4),TRUNC(agent!$O$15*$W4*E4*$X4,3),"没有上级")</f>
        <v>0</v>
      </c>
      <c r="O4" s="50">
        <f>IF(ISNUMBER(agent!$O$18*$W4*E4*$X4),TRUNC(agent!$O$18*$W4*E4*$X4,3),"没有上级")</f>
        <v>0</v>
      </c>
      <c r="P4" s="50">
        <f>IF(ISNUMBER(agent!$O$21*$W4*E4*$X4),TRUNC(agent!$O$21*$W4*E4*$X4,3),"没有上级")</f>
        <v>0</v>
      </c>
      <c r="Q4" s="50">
        <f>IF(ISNUMBER(agent!$O$24*$W4*E4*$X4),TRUNC(agent!$O$24*$W4*E4*$X4,3),"没有上级")</f>
        <v>0</v>
      </c>
      <c r="R4" s="50">
        <f>IF(ISNUMBER(agent!$O$27*$W4*E4*$X4),TRUNC(agent!$O$27*$W4*E4*$X4,3),"没有上级")</f>
        <v>0</v>
      </c>
      <c r="S4" s="50">
        <f>IF(ISNUMBER(agent!$O$30*$W4*E4*$X4),TRUNC(agent!$O$30*$W4*E4*$X4,3),"没有上级")</f>
        <v>0</v>
      </c>
      <c r="T4" s="50">
        <f>IF(ISNUMBER(agent!$O$33*$W4*$X4*E4),TRUNC(agent!$O$33*$W4*$X4*E4,3),"没有上级")</f>
        <v>0</v>
      </c>
      <c r="U4" s="50">
        <f t="shared" si="2"/>
        <v>0</v>
      </c>
      <c r="V4" s="50"/>
      <c r="W4" s="25">
        <v>0.2</v>
      </c>
      <c r="X4" s="25">
        <f>SSCSource!N9</f>
        <v>0</v>
      </c>
      <c r="Y4" s="36">
        <f>TRUNC((Z4-(9.9-agent!$L$3)*W4*10),3)</f>
        <v>193</v>
      </c>
      <c r="Z4" s="49">
        <f t="shared" ref="Z4:Z6" si="3">TRUNC(180+99*W4,3)</f>
        <v>199.8</v>
      </c>
      <c r="AA4" s="48"/>
      <c r="AB4" s="48">
        <f t="shared" si="0"/>
        <v>193</v>
      </c>
    </row>
    <row r="5" spans="1:28" x14ac:dyDescent="0.15">
      <c r="A5" s="50">
        <f>agent!J$2</f>
        <v>151</v>
      </c>
      <c r="B5" s="45" t="s">
        <v>12</v>
      </c>
      <c r="C5" s="45" t="s">
        <v>16</v>
      </c>
      <c r="D5" s="45" t="str">
        <f>SSCSource!$O10</f>
        <v>1 5 8 9 14 15 18</v>
      </c>
      <c r="E5" s="45">
        <f>SSCSource!$R10</f>
        <v>2</v>
      </c>
      <c r="F5" s="45">
        <v>1</v>
      </c>
      <c r="G5" s="45">
        <f>SSCSource!$P10</f>
        <v>148</v>
      </c>
      <c r="H5" s="45">
        <f>SSCSource!K$2</f>
        <v>96681</v>
      </c>
      <c r="I5" s="45">
        <f>SSCSource!M10</f>
        <v>386</v>
      </c>
      <c r="J5" s="45">
        <f t="shared" si="1"/>
        <v>1000034</v>
      </c>
      <c r="K5" s="50">
        <f>IF(ISNUMBER(agent!$O$6*$W5*$X5*E5),TRUNC(agent!$O$6*$W5*$X5*E5,3),"没有上级")</f>
        <v>0.4</v>
      </c>
      <c r="L5" s="50">
        <f>IF(ISNUMBER(agent!$O$9*$W5*E5*$X5),TRUNC(agent!$O$9*$W5*E5*$X5,3),"没有上级")</f>
        <v>2.4</v>
      </c>
      <c r="M5" s="50">
        <f>IF(ISNUMBER(agent!$O$12*$W5*E5*$X5),TRUNC(agent!$O$12*$W5*E5*$X5,3),"没有上级")</f>
        <v>0.8</v>
      </c>
      <c r="N5" s="50">
        <f>IF(ISNUMBER(agent!$O$15*$W5*E5*$X5),TRUNC(agent!$O$15*$W5*E5*$X5,3),"没有上级")</f>
        <v>1.6</v>
      </c>
      <c r="O5" s="50">
        <f>IF(ISNUMBER(agent!$O$18*$W5*E5*$X5),TRUNC(agent!$O$18*$W5*E5*$X5,3),"没有上级")</f>
        <v>1.2</v>
      </c>
      <c r="P5" s="50">
        <f>IF(ISNUMBER(agent!$O$21*$W5*E5*$X5),TRUNC(agent!$O$21*$W5*E5*$X5,5),"没有上级")</f>
        <v>0.4</v>
      </c>
      <c r="Q5" s="50">
        <f>IF(ISNUMBER(agent!$O$24*$W5*E5*$X5),TRUNC(agent!$O$24*$W5*E5*$X5,3),"没有上级")</f>
        <v>2.8</v>
      </c>
      <c r="R5" s="50">
        <f>IF(ISNUMBER(agent!$O$27*$W5*E5*$X5),TRUNC(agent!$O$27*$W5*E5*$X5,3),"没有上级")</f>
        <v>1.2</v>
      </c>
      <c r="S5" s="50">
        <f>IF(ISNUMBER(agent!$O$30*$W5*E5*$X5),TRUNC(agent!$O$30*$W5*E5*$X5,3),"没有上级")</f>
        <v>1.6</v>
      </c>
      <c r="T5" s="50">
        <f>IF(ISNUMBER(agent!$O$33*$W5*$X5*E5),TRUNC(agent!$O$33*$W5*$X5*E5,3),"没有上级")</f>
        <v>1.2</v>
      </c>
      <c r="U5" s="50">
        <f>SUM(K5:T5)</f>
        <v>13.599999999999998</v>
      </c>
      <c r="V5" s="50"/>
      <c r="W5" s="25">
        <v>0.2</v>
      </c>
      <c r="X5" s="25">
        <f>SSCSource!N10</f>
        <v>1</v>
      </c>
      <c r="Y5" s="36">
        <f>TRUNC((Z5-(9.9-agent!$L$3)*W5*10),3)</f>
        <v>193</v>
      </c>
      <c r="Z5" s="49">
        <f t="shared" si="3"/>
        <v>199.8</v>
      </c>
      <c r="AA5" s="48"/>
      <c r="AB5" s="48">
        <f t="shared" si="0"/>
        <v>193</v>
      </c>
    </row>
    <row r="6" spans="1:28" x14ac:dyDescent="0.15">
      <c r="A6" s="50">
        <f>agent!J$2</f>
        <v>151</v>
      </c>
      <c r="B6" s="45" t="s">
        <v>12</v>
      </c>
      <c r="C6" s="45" t="s">
        <v>18</v>
      </c>
      <c r="D6" s="45" t="str">
        <f>SSCSource!$O11</f>
        <v>0 1 2 7 8 9</v>
      </c>
      <c r="E6" s="45">
        <f>SSCSource!$R11</f>
        <v>1</v>
      </c>
      <c r="F6" s="45">
        <v>1</v>
      </c>
      <c r="G6" s="45">
        <f>SSCSource!$P11</f>
        <v>112</v>
      </c>
      <c r="H6" s="45">
        <f>SSCSource!K$2</f>
        <v>96681</v>
      </c>
      <c r="I6" s="45">
        <f>SSCSource!M11</f>
        <v>0</v>
      </c>
      <c r="J6" s="45">
        <f t="shared" si="1"/>
        <v>999922</v>
      </c>
      <c r="K6" s="50">
        <f>IF(ISNUMBER(agent!$O$6*$W6*$X6*E6),TRUNC(agent!$O$6*$W6*$X6*E6,3),"没有上级")</f>
        <v>0</v>
      </c>
      <c r="L6" s="50">
        <f>IF(ISNUMBER(agent!$O$9*$W6*E6*$X6),TRUNC(agent!$O$9*$W6*E6*$X6,3),"没有上级")</f>
        <v>0</v>
      </c>
      <c r="M6" s="50">
        <f>IF(ISNUMBER(agent!$O$12*$W6*E6*$X6),TRUNC(agent!$O$12*$W6*E6*$X6,3),"没有上级")</f>
        <v>0</v>
      </c>
      <c r="N6" s="50">
        <f>IF(ISNUMBER(agent!$O$15*$W6*E6*$X6),TRUNC(agent!$O$15*$W6*E6*$X6,3),"没有上级")</f>
        <v>0</v>
      </c>
      <c r="O6" s="50">
        <f>IF(ISNUMBER(agent!$O$18*$W6*E6*$X6),TRUNC(agent!$O$18*$W6*E6*$X6,3),"没有上级")</f>
        <v>0</v>
      </c>
      <c r="P6" s="50">
        <f>IF(ISNUMBER(agent!$O$21*$W6*E6*$X6),TRUNC(agent!$O$21*$W6*E6*$X6,3),"没有上级")</f>
        <v>0</v>
      </c>
      <c r="Q6" s="50">
        <f>IF(ISNUMBER(agent!$O$24*$W6*E6*$X6),TRUNC(agent!$O$24*$W6*E6*$X6,3),"没有上级")</f>
        <v>0</v>
      </c>
      <c r="R6" s="50">
        <f>IF(ISNUMBER(agent!$O$27*$W6*E6*$X6),TRUNC(agent!$O$27*$W6*E6*$X6,3),"没有上级")</f>
        <v>0</v>
      </c>
      <c r="S6" s="50">
        <f>IF(ISNUMBER(agent!$O$30*$W6*E6*$X6),TRUNC(agent!$O$30*$W6*E6*$X6,3),"没有上级")</f>
        <v>0</v>
      </c>
      <c r="T6" s="50">
        <f>IF(ISNUMBER(agent!$O$33*$W6*$X6*E6),TRUNC(agent!$O$33*$W6*$X6*E6,3),"没有上级")</f>
        <v>0</v>
      </c>
      <c r="U6" s="50">
        <f t="shared" si="2"/>
        <v>0</v>
      </c>
      <c r="V6" s="50"/>
      <c r="W6" s="25">
        <v>0.2</v>
      </c>
      <c r="X6" s="25">
        <f>SSCSource!N11</f>
        <v>0</v>
      </c>
      <c r="Y6" s="36">
        <f>TRUNC((Z6-(9.9-agent!$L$3)*W6*10),3)</f>
        <v>193</v>
      </c>
      <c r="Z6" s="49">
        <f t="shared" si="3"/>
        <v>199.8</v>
      </c>
      <c r="AA6" s="48"/>
      <c r="AB6" s="48">
        <f t="shared" si="0"/>
        <v>193</v>
      </c>
    </row>
    <row r="7" spans="1:28" x14ac:dyDescent="0.15">
      <c r="A7" s="50">
        <f>agent!J$2</f>
        <v>151</v>
      </c>
      <c r="B7" s="45" t="s">
        <v>12</v>
      </c>
      <c r="C7" s="45" t="s">
        <v>20</v>
      </c>
      <c r="D7" s="45" t="str">
        <f>SSCSource!$O12</f>
        <v>0 1 2 7 8 9</v>
      </c>
      <c r="E7" s="45">
        <f>SSCSource!$R12</f>
        <v>5</v>
      </c>
      <c r="F7" s="45">
        <v>1</v>
      </c>
      <c r="G7" s="45">
        <f>SSCSource!$P12</f>
        <v>150</v>
      </c>
      <c r="H7" s="45">
        <f>SSCSource!K$2</f>
        <v>96681</v>
      </c>
      <c r="I7" s="45">
        <f>SSCSource!M12</f>
        <v>0</v>
      </c>
      <c r="J7" s="45">
        <f t="shared" si="1"/>
        <v>999772</v>
      </c>
      <c r="K7" s="50">
        <f>IF(ISNUMBER(agent!$O$6*$W7*$X7*E7),TRUNC(agent!$O$6*$W7*$X7*E7,3),"没有上级")</f>
        <v>0</v>
      </c>
      <c r="L7" s="50">
        <f>IF(ISNUMBER(agent!$O$9*$W7*E7*$X7),TRUNC(agent!$O$9*$W7*E7*$X7,3),"没有上级")</f>
        <v>0</v>
      </c>
      <c r="M7" s="50">
        <f>IF(ISNUMBER(agent!$O$12*$W7*E7*$X7),TRUNC(agent!$O$12*$W7*E7*$X7,3),"没有上级")</f>
        <v>0</v>
      </c>
      <c r="N7" s="50">
        <f>IF(ISNUMBER(agent!$O$15*$W7*E7*$X7),TRUNC(agent!$O$15*$W7*E7*$X7,3),"没有上级")</f>
        <v>0</v>
      </c>
      <c r="O7" s="50">
        <f>IF(ISNUMBER(agent!$O$18*$W7*E7*$X7),TRUNC(agent!$O$18*$W7*E7*$X7,3),"没有上级")</f>
        <v>0</v>
      </c>
      <c r="P7" s="50">
        <f>IF(ISNUMBER(agent!$O$21*$W7*E7*$X7),TRUNC(agent!$O$21*$W7*E7*$X7,3),"没有上级")</f>
        <v>0</v>
      </c>
      <c r="Q7" s="50">
        <f>IF(ISNUMBER(agent!$O$24*$W7*E7*$X7),TRUNC(agent!$O$24*$W7*E7*$X7,3),"没有上级")</f>
        <v>0</v>
      </c>
      <c r="R7" s="50">
        <f>IF(ISNUMBER(agent!$O$27*$W7*E7*$X7),TRUNC(agent!$O$27*$W7*E7*$X7,3),"没有上级")</f>
        <v>0</v>
      </c>
      <c r="S7" s="50">
        <f>IF(ISNUMBER(agent!$O$30*$W7*E7*$X7),TRUNC(agent!$O$30*$W7*E7*$X7,3),"没有上级")</f>
        <v>0</v>
      </c>
      <c r="T7" s="50">
        <f>IF(ISNUMBER(agent!$O$33*$W7*$X7*E7),TRUNC(agent!$O$33*$W7*$X7*E7,3),"没有上级")</f>
        <v>0</v>
      </c>
      <c r="U7" s="50">
        <f t="shared" si="2"/>
        <v>0</v>
      </c>
      <c r="V7" s="50"/>
      <c r="W7" s="25">
        <v>0.1</v>
      </c>
      <c r="X7" s="25">
        <f>SSCSource!N12</f>
        <v>0</v>
      </c>
      <c r="Y7" s="36">
        <f>TRUNC((Z7-(9.9-agent!$L$3)*W7*10),3)</f>
        <v>96.5</v>
      </c>
      <c r="Z7" s="49">
        <f>TRUNC(90+99*W7,3)</f>
        <v>99.9</v>
      </c>
      <c r="AA7" s="48"/>
      <c r="AB7" s="48">
        <f t="shared" si="0"/>
        <v>96.5</v>
      </c>
    </row>
    <row r="8" spans="1:28" x14ac:dyDescent="0.15">
      <c r="A8" s="50">
        <f>agent!J$2</f>
        <v>151</v>
      </c>
      <c r="B8" s="45" t="s">
        <v>12</v>
      </c>
      <c r="C8" s="45" t="s">
        <v>21</v>
      </c>
      <c r="D8" s="45" t="str">
        <f>SSCSource!$O13</f>
        <v>01,02,03,18</v>
      </c>
      <c r="E8" s="45">
        <f>SSCSource!$R13</f>
        <v>2</v>
      </c>
      <c r="F8" s="45">
        <v>1</v>
      </c>
      <c r="G8" s="45">
        <f>SSCSource!$P13</f>
        <v>16</v>
      </c>
      <c r="H8" s="45">
        <f>SSCSource!K$2</f>
        <v>96681</v>
      </c>
      <c r="I8" s="45">
        <f>SSCSource!M13</f>
        <v>0</v>
      </c>
      <c r="J8" s="45">
        <f t="shared" si="1"/>
        <v>999756</v>
      </c>
      <c r="K8" s="50">
        <f>IF(ISNUMBER(agent!$O$6*$W8*$X8*E8),TRUNC(agent!$O$6*$W8*$X8*E8,3),"没有上级")</f>
        <v>0</v>
      </c>
      <c r="L8" s="50">
        <f>IF(ISNUMBER(agent!$O$9*$W8*E8*$X8),TRUNC(agent!$O$9*$W8*E8*$X8,3),"没有上级")</f>
        <v>0</v>
      </c>
      <c r="M8" s="50">
        <f>IF(ISNUMBER(agent!$O$12*$W8*E8*$X8),TRUNC(agent!$O$12*$W8*E8*$X8,3),"没有上级")</f>
        <v>0</v>
      </c>
      <c r="N8" s="50">
        <f>IF(ISNUMBER(agent!$O$15*$W8*E8*$X8),TRUNC(agent!$O$15*$W8*E8*$X8,3),"没有上级")</f>
        <v>0</v>
      </c>
      <c r="O8" s="50">
        <f>IF(ISNUMBER(agent!$O$18*$W8*E8*$X8),TRUNC(agent!$O$18*$W8*E8*$X8,3),"没有上级")</f>
        <v>0</v>
      </c>
      <c r="P8" s="50">
        <f>IF(ISNUMBER(agent!$O$21*$W8*E8*$X8),TRUNC(agent!$O$21*$W8*E8*$X8,3),"没有上级")</f>
        <v>0</v>
      </c>
      <c r="Q8" s="50">
        <f>IF(ISNUMBER(agent!$O$24*$W8*E8*$X8),TRUNC(agent!$O$24*$W8*E8*$X8,3),"没有上级")</f>
        <v>0</v>
      </c>
      <c r="R8" s="50">
        <f>IF(ISNUMBER(agent!$O$27*$W8*E8*$X8),TRUNC(agent!$O$27*$W8*E8*$X8,3),"没有上级")</f>
        <v>0</v>
      </c>
      <c r="S8" s="50">
        <f>IF(ISNUMBER(agent!$O$30*$W8*E8*$X8),TRUNC(agent!$O$30*$W8*E8*$X8,3),"没有上级")</f>
        <v>0</v>
      </c>
      <c r="T8" s="50">
        <f>IF(ISNUMBER(agent!$O$33*$W8*$X8*E8),TRUNC(agent!$O$33*$W8*$X8*E8,3),"没有上级")</f>
        <v>0</v>
      </c>
      <c r="U8" s="50">
        <f t="shared" si="2"/>
        <v>0</v>
      </c>
      <c r="V8" s="50"/>
      <c r="W8" s="25">
        <v>0.1</v>
      </c>
      <c r="X8" s="25">
        <f>SSCSource!N13</f>
        <v>0</v>
      </c>
      <c r="Y8" s="36">
        <f>TRUNC((Z8-(9.9-agent!$L$3)*W8*10),3)</f>
        <v>96.5</v>
      </c>
      <c r="Z8" s="49">
        <f t="shared" ref="Z8:Z10" si="4">TRUNC(90+99*W8,3)</f>
        <v>99.9</v>
      </c>
      <c r="AA8" s="48"/>
      <c r="AB8" s="48">
        <f t="shared" si="0"/>
        <v>96.5</v>
      </c>
    </row>
    <row r="9" spans="1:28" x14ac:dyDescent="0.15">
      <c r="A9" s="50">
        <f>agent!J$2</f>
        <v>151</v>
      </c>
      <c r="B9" s="45" t="s">
        <v>12</v>
      </c>
      <c r="C9" s="45" t="s">
        <v>22</v>
      </c>
      <c r="D9" s="45" t="str">
        <f>SSCSource!$O14</f>
        <v>1 2 3 8 14 15 9</v>
      </c>
      <c r="E9" s="45">
        <f>SSCSource!$R14</f>
        <v>3</v>
      </c>
      <c r="F9" s="45">
        <v>1</v>
      </c>
      <c r="G9" s="45">
        <f>SSCSource!$P14</f>
        <v>102</v>
      </c>
      <c r="H9" s="45">
        <f>SSCSource!K$2</f>
        <v>96681</v>
      </c>
      <c r="I9" s="45">
        <f>SSCSource!M14</f>
        <v>289.5</v>
      </c>
      <c r="J9" s="45">
        <f t="shared" si="1"/>
        <v>999943.5</v>
      </c>
      <c r="K9" s="50">
        <f>IF(ISNUMBER(agent!$O$6*$W9*$X9*E9),TRUNC(agent!$O$6*$W9*$X9*E9,3),"没有上级")</f>
        <v>0.3</v>
      </c>
      <c r="L9" s="50">
        <f>IF(ISNUMBER(agent!$O$9*$W9*E9*$X9),TRUNC(agent!$O$9*$W9*E9*$X9,3),"没有上级")</f>
        <v>1.8</v>
      </c>
      <c r="M9" s="50">
        <f>IF(ISNUMBER(agent!$O$12*$W9*E9*$X9),TRUNC(agent!$O$12*$W9*E9*$X9,3),"没有上级")</f>
        <v>0.6</v>
      </c>
      <c r="N9" s="50">
        <f>IF(ISNUMBER(agent!$O$15*$W9*E9*$X9),TRUNC(agent!$O$15*$W9*E9*$X9,3),"没有上级")</f>
        <v>1.2</v>
      </c>
      <c r="O9" s="50">
        <f>IF(ISNUMBER(agent!$O$18*$W9*E9*$X9),TRUNC(agent!$O$18*$W9*E9*$X9,3),"没有上级")</f>
        <v>0.9</v>
      </c>
      <c r="P9" s="50">
        <f>IF(ISNUMBER(agent!$O$21*$W9*E9*$X9),TRUNC(agent!$O$21*$W9*E9*$X9,3),"没有上级")</f>
        <v>0.3</v>
      </c>
      <c r="Q9" s="50">
        <f>IF(ISNUMBER(agent!$O$24*$W9*E9*$X9),TRUNC(agent!$O$24*$W9*E9*$X9,3),"没有上级")</f>
        <v>2.1</v>
      </c>
      <c r="R9" s="50">
        <f>IF(ISNUMBER(agent!$O$27*$W9*E9*$X9),TRUNC(agent!$O$27*$W9*E9*$X9,3),"没有上级")</f>
        <v>0.9</v>
      </c>
      <c r="S9" s="50">
        <f>IF(ISNUMBER(agent!$O$30*$W9*E9*$X9),TRUNC(agent!$O$30*$W9*E9*$X9,3),"没有上级")</f>
        <v>1.2</v>
      </c>
      <c r="T9" s="50">
        <f>IF(ISNUMBER(agent!$O$33*$W9*$X9*E9),TRUNC(agent!$O$33*$W9*$X9*E9,3),"没有上级")</f>
        <v>0.9</v>
      </c>
      <c r="U9" s="50">
        <f t="shared" si="2"/>
        <v>10.200000000000001</v>
      </c>
      <c r="V9" s="50"/>
      <c r="W9" s="25">
        <v>0.1</v>
      </c>
      <c r="X9" s="25">
        <f>SSCSource!N14</f>
        <v>1</v>
      </c>
      <c r="Y9" s="36">
        <f>TRUNC((Z9-(9.9-agent!$L$3)*W9*10),3)</f>
        <v>96.5</v>
      </c>
      <c r="Z9" s="49">
        <f t="shared" si="4"/>
        <v>99.9</v>
      </c>
      <c r="AA9" s="48"/>
      <c r="AB9" s="48">
        <f t="shared" si="0"/>
        <v>96.5</v>
      </c>
    </row>
    <row r="10" spans="1:28" x14ac:dyDescent="0.15">
      <c r="A10" s="50">
        <f>agent!J$2</f>
        <v>151</v>
      </c>
      <c r="B10" s="45" t="s">
        <v>12</v>
      </c>
      <c r="C10" s="45" t="s">
        <v>23</v>
      </c>
      <c r="D10" s="45" t="str">
        <f>SSCSource!$O15</f>
        <v>1</v>
      </c>
      <c r="E10" s="45">
        <f>SSCSource!$R15</f>
        <v>4</v>
      </c>
      <c r="F10" s="45">
        <v>1</v>
      </c>
      <c r="G10" s="45">
        <f>SSCSource!$P15</f>
        <v>72</v>
      </c>
      <c r="H10" s="45">
        <f>SSCSource!K$2</f>
        <v>96681</v>
      </c>
      <c r="I10" s="45">
        <f>SSCSource!M15</f>
        <v>0</v>
      </c>
      <c r="J10" s="45">
        <f t="shared" si="1"/>
        <v>999871.5</v>
      </c>
      <c r="K10" s="50">
        <f>IF(ISNUMBER(agent!$O$6*$W10*$X10*E10),TRUNC(agent!$O$6*$W10*$X10*E10,3),"没有上级")</f>
        <v>0</v>
      </c>
      <c r="L10" s="50">
        <f>IF(ISNUMBER(agent!$O$9*$W10*E10*$X10),TRUNC(agent!$O$9*$W10*E10*$X10,3),"没有上级")</f>
        <v>0</v>
      </c>
      <c r="M10" s="50">
        <f>IF(ISNUMBER(agent!$O$12*$W10*E10*$X10),TRUNC(agent!$O$12*$W10*E10*$X10,3),"没有上级")</f>
        <v>0</v>
      </c>
      <c r="N10" s="50">
        <f>IF(ISNUMBER(agent!$O$15*$W10*E10*$X10),TRUNC(agent!$O$15*$W10*E10*$X10,3),"没有上级")</f>
        <v>0</v>
      </c>
      <c r="O10" s="50">
        <f>IF(ISNUMBER(agent!$O$18*$W10*E10*$X10),TRUNC(agent!$O$18*$W10*E10*$X10,3),"没有上级")</f>
        <v>0</v>
      </c>
      <c r="P10" s="50">
        <f>IF(ISNUMBER(agent!$O$21*$W10*E10*$X10),TRUNC(agent!$O$21*$W10*E10*$X10,3),"没有上级")</f>
        <v>0</v>
      </c>
      <c r="Q10" s="50">
        <f>IF(ISNUMBER(agent!$O$24*$W10*E10*$X10),TRUNC(agent!$O$24*$W10*E10*$X10,3),"没有上级")</f>
        <v>0</v>
      </c>
      <c r="R10" s="50">
        <f>IF(ISNUMBER(agent!$O$27*$W10*E10*$X10),TRUNC(agent!$O$27*$W10*E10*$X10,3),"没有上级")</f>
        <v>0</v>
      </c>
      <c r="S10" s="50">
        <f>IF(ISNUMBER(agent!$O$30*$W10*E10*$X10),TRUNC(agent!$O$30*$W10*E10*$X10,3),"没有上级")</f>
        <v>0</v>
      </c>
      <c r="T10" s="50">
        <f>IF(ISNUMBER(agent!$O$33*$W10*$X10*E10),TRUNC(agent!$O$33*$W10*$X10*E10,3),"没有上级")</f>
        <v>0</v>
      </c>
      <c r="U10" s="50">
        <f t="shared" si="2"/>
        <v>0</v>
      </c>
      <c r="V10" s="50"/>
      <c r="W10" s="25">
        <v>0.1</v>
      </c>
      <c r="X10" s="25">
        <f>SSCSource!N15</f>
        <v>0</v>
      </c>
      <c r="Y10" s="36">
        <f>TRUNC((Z10-(9.9-agent!$L$3)*W10*10),3)</f>
        <v>96.5</v>
      </c>
      <c r="Z10" s="49">
        <f t="shared" si="4"/>
        <v>99.9</v>
      </c>
      <c r="AA10" s="48"/>
      <c r="AB10" s="48">
        <f t="shared" si="0"/>
        <v>96.5</v>
      </c>
    </row>
    <row r="11" spans="1:28" x14ac:dyDescent="0.15">
      <c r="A11" s="50">
        <f>agent!J$2</f>
        <v>151</v>
      </c>
      <c r="B11" s="45" t="s">
        <v>25</v>
      </c>
      <c r="C11" s="45" t="s">
        <v>13</v>
      </c>
      <c r="D11" s="45" t="str">
        <f>SSCSource!$O16</f>
        <v>1 2 8 9,2 3 4 1</v>
      </c>
      <c r="E11" s="45">
        <f>SSCSource!$R16</f>
        <v>5</v>
      </c>
      <c r="F11" s="45">
        <v>1</v>
      </c>
      <c r="G11" s="45">
        <f>SSCSource!$P16</f>
        <v>160</v>
      </c>
      <c r="H11" s="45">
        <f>SSCSource!K$2</f>
        <v>96681</v>
      </c>
      <c r="I11" s="45">
        <f>SSCSource!M16</f>
        <v>965</v>
      </c>
      <c r="J11" s="45">
        <f t="shared" si="1"/>
        <v>1000676.5</v>
      </c>
      <c r="K11" s="50">
        <f>IF(ISNUMBER(agent!$O$6*$W11*$X11*E11),TRUNC(agent!$O$6*$W11*$X11*E11,3),"没有上级")</f>
        <v>1</v>
      </c>
      <c r="L11" s="50">
        <f>IF(ISNUMBER(agent!$O$9*$W11*E11*$X11),TRUNC(agent!$O$9*$W11*E11*$X11,3),"没有上级")</f>
        <v>6</v>
      </c>
      <c r="M11" s="50">
        <f>IF(ISNUMBER(agent!$O$12*$W11*E11*$X11),TRUNC(agent!$O$12*$W11*E11*$X11,3),"没有上级")</f>
        <v>2</v>
      </c>
      <c r="N11" s="50">
        <f>IF(ISNUMBER(agent!$O$15*$W11*E11*$X11),TRUNC(agent!$O$15*$W11*E11*$X11,3),"没有上级")</f>
        <v>4</v>
      </c>
      <c r="O11" s="50">
        <f>IF(ISNUMBER(agent!$O$18*$W11*E11*$X11),TRUNC(agent!$O$18*$W11*E11*$X11,3),"没有上级")</f>
        <v>3</v>
      </c>
      <c r="P11" s="50">
        <f>IF(ISNUMBER(agent!$O$21*$W11*E11*$X11),TRUNC(agent!$O$21*$W11*E11*$X11,3),"没有上级")</f>
        <v>1</v>
      </c>
      <c r="Q11" s="50">
        <f>IF(ISNUMBER(agent!$O$24*$W11*E11*$X11),TRUNC(agent!$O$24*$W11*E11*$X11,3),"没有上级")</f>
        <v>7</v>
      </c>
      <c r="R11" s="50">
        <f>IF(ISNUMBER(agent!$O$27*$W11*E11*$X11),TRUNC(agent!$O$27*$W11*E11*$X11,3),"没有上级")</f>
        <v>3</v>
      </c>
      <c r="S11" s="50">
        <f>IF(ISNUMBER(agent!$O$30*$W11*E11*$X11),TRUNC(agent!$O$30*$W11*E11*$X11,3),"没有上级")</f>
        <v>4</v>
      </c>
      <c r="T11" s="50">
        <f>IF(ISNUMBER(agent!$O$33*$W11*$X11*E11),TRUNC(agent!$O$33*$W11*$X11*E11,3),"没有上级")</f>
        <v>3</v>
      </c>
      <c r="U11" s="50">
        <f t="shared" si="2"/>
        <v>34</v>
      </c>
      <c r="V11" s="50"/>
      <c r="W11" s="25">
        <v>0.2</v>
      </c>
      <c r="X11" s="25">
        <f>SSCSource!N16</f>
        <v>1</v>
      </c>
      <c r="Y11" s="36">
        <f>TRUNC((Z11-(9.9-agent!$L$3)*W11*10),3)</f>
        <v>193</v>
      </c>
      <c r="Z11" s="49">
        <f>TRUNC(180+99*W11,3)</f>
        <v>199.8</v>
      </c>
      <c r="AA11" s="48"/>
      <c r="AB11" s="48">
        <f t="shared" si="0"/>
        <v>193</v>
      </c>
    </row>
    <row r="12" spans="1:28" x14ac:dyDescent="0.15">
      <c r="A12" s="50">
        <f>agent!J$2</f>
        <v>151</v>
      </c>
      <c r="B12" s="45" t="s">
        <v>25</v>
      </c>
      <c r="C12" s="45" t="s">
        <v>14</v>
      </c>
      <c r="D12" s="45" t="str">
        <f>SSCSource!$O18</f>
        <v>12,12,13,21,81</v>
      </c>
      <c r="E12" s="45">
        <f>SSCSource!$R18</f>
        <v>2</v>
      </c>
      <c r="F12" s="45">
        <v>1</v>
      </c>
      <c r="G12" s="45">
        <f>SSCSource!$P18</f>
        <v>16</v>
      </c>
      <c r="H12" s="45">
        <f>SSCSource!K$2</f>
        <v>96681</v>
      </c>
      <c r="I12" s="45">
        <f>SSCSource!M18</f>
        <v>386</v>
      </c>
      <c r="J12" s="45">
        <f t="shared" si="1"/>
        <v>1001046.5</v>
      </c>
      <c r="K12" s="50">
        <f>IF(ISNUMBER(agent!$O$6*$W12*$X12*E12),TRUNC(agent!$O$6*$W12*$X12*E12,3),"没有上级")</f>
        <v>0.4</v>
      </c>
      <c r="L12" s="50">
        <f>IF(ISNUMBER(agent!$O$9*$W12*E12*$X12),TRUNC(agent!$O$9*$W12*E12*$X12,3),"没有上级")</f>
        <v>2.4</v>
      </c>
      <c r="M12" s="50">
        <f>IF(ISNUMBER(agent!$O$12*$W12*E12*$X12),TRUNC(agent!$O$12*$W12*E12*$X12,3),"没有上级")</f>
        <v>0.8</v>
      </c>
      <c r="N12" s="50">
        <f>IF(ISNUMBER(agent!$O$15*$W12*E12*$X12),TRUNC(agent!$O$15*$W12*E12*$X12,3),"没有上级")</f>
        <v>1.6</v>
      </c>
      <c r="O12" s="50">
        <f>IF(ISNUMBER(agent!$O$18*$W12*E12*$X12),TRUNC(agent!$O$18*$W12*E12*$X12,3),"没有上级")</f>
        <v>1.2</v>
      </c>
      <c r="P12" s="50">
        <f>IF(ISNUMBER(agent!$O$21*$W12*E12*$X12),TRUNC(agent!$O$21*$W12*E12*$X12,3),"没有上级")</f>
        <v>0.4</v>
      </c>
      <c r="Q12" s="50">
        <f>IF(ISNUMBER(agent!$O$24*$W12*E12*$X12),TRUNC(agent!$O$24*$W12*E12*$X12,3),"没有上级")</f>
        <v>2.8</v>
      </c>
      <c r="R12" s="50">
        <f>IF(ISNUMBER(agent!$O$27*$W12*E12*$X12),TRUNC(agent!$O$27*$W12*E12*$X12,3),"没有上级")</f>
        <v>1.2</v>
      </c>
      <c r="S12" s="50">
        <f>IF(ISNUMBER(agent!$O$30*$W12*E12*$X12),TRUNC(agent!$O$30*$W12*E12*$X12,3),"没有上级")</f>
        <v>1.6</v>
      </c>
      <c r="T12" s="50">
        <f>IF(ISNUMBER(agent!$O$33*$W12*$X12*E12),TRUNC(agent!$O$33*$W12*$X12*E12,3),"没有上级")</f>
        <v>1.2</v>
      </c>
      <c r="U12" s="50">
        <f t="shared" si="2"/>
        <v>13.599999999999998</v>
      </c>
      <c r="V12" s="50"/>
      <c r="W12" s="25">
        <v>0.2</v>
      </c>
      <c r="X12" s="25">
        <f>SSCSource!N18</f>
        <v>1</v>
      </c>
      <c r="Y12" s="36">
        <f>TRUNC((Z12-(9.9-agent!$L$3)*W12*10),3)</f>
        <v>193</v>
      </c>
      <c r="Z12" s="49">
        <f t="shared" ref="Z12:Z14" si="5">TRUNC(180+99*W12,3)</f>
        <v>199.8</v>
      </c>
      <c r="AA12" s="48"/>
      <c r="AB12" s="48">
        <f t="shared" si="0"/>
        <v>193</v>
      </c>
    </row>
    <row r="13" spans="1:28" x14ac:dyDescent="0.15">
      <c r="A13" s="50">
        <f>agent!J$2</f>
        <v>151</v>
      </c>
      <c r="B13" s="45" t="s">
        <v>25</v>
      </c>
      <c r="C13" s="45" t="s">
        <v>16</v>
      </c>
      <c r="D13" s="45" t="str">
        <f>SSCSource!$O19</f>
        <v>0 1 6 7 10 11 17 9</v>
      </c>
      <c r="E13" s="45">
        <f>SSCSource!$R19</f>
        <v>1</v>
      </c>
      <c r="F13" s="45">
        <v>1</v>
      </c>
      <c r="G13" s="45">
        <f>SSCSource!$P19</f>
        <v>94</v>
      </c>
      <c r="H13" s="45">
        <f>SSCSource!K$2</f>
        <v>96681</v>
      </c>
      <c r="I13" s="45">
        <f>SSCSource!M19</f>
        <v>193</v>
      </c>
      <c r="J13" s="45">
        <f t="shared" si="1"/>
        <v>1001145.5</v>
      </c>
      <c r="K13" s="50">
        <f>IF(ISNUMBER(agent!$O$6*$W13*$X13*E13),TRUNC(agent!$O$6*$W13*$X13*E13,3),"没有上级")</f>
        <v>0.2</v>
      </c>
      <c r="L13" s="50">
        <f>IF(ISNUMBER(agent!$O$9*$W13*E13*$X13),TRUNC(agent!$O$9*$W13*E13*$X13,3),"没有上级")</f>
        <v>1.2</v>
      </c>
      <c r="M13" s="50">
        <f>IF(ISNUMBER(agent!$O$12*$W13*E13*$X13),TRUNC(agent!$O$12*$W13*E13*$X13,3),"没有上级")</f>
        <v>0.4</v>
      </c>
      <c r="N13" s="50">
        <f>IF(ISNUMBER(agent!$O$15*$W13*E13*$X13),TRUNC(agent!$O$15*$W13*E13*$X13,3),"没有上级")</f>
        <v>0.8</v>
      </c>
      <c r="O13" s="50">
        <f>IF(ISNUMBER(agent!$O$18*$W13*E13*$X13),TRUNC(agent!$O$18*$W13*E13*$X13,3),"没有上级")</f>
        <v>0.6</v>
      </c>
      <c r="P13" s="50">
        <f>IF(ISNUMBER(agent!$O$21*$W13*E13*$X13),TRUNC(agent!$O$21*$W13*E13*$X13,3),"没有上级")</f>
        <v>0.2</v>
      </c>
      <c r="Q13" s="50">
        <f>IF(ISNUMBER(agent!$O$24*$W13*E13*$X13),TRUNC(agent!$O$24*$W13*E13*$X13,3),"没有上级")</f>
        <v>1.4</v>
      </c>
      <c r="R13" s="50">
        <f>IF(ISNUMBER(agent!$O$27*$W13*E13*$X13),TRUNC(agent!$O$27*$W13*E13*$X13,3),"没有上级")</f>
        <v>0.6</v>
      </c>
      <c r="S13" s="50">
        <f>IF(ISNUMBER(agent!$O$30*$W13*E13*$X13),TRUNC(agent!$O$30*$W13*E13*$X13,3),"没有上级")</f>
        <v>0.8</v>
      </c>
      <c r="T13" s="50">
        <f>IF(ISNUMBER(agent!$O$33*$W13*$X13*E13),TRUNC(agent!$O$33*$W13*$X13*E13,3),"没有上级")</f>
        <v>0.6</v>
      </c>
      <c r="U13" s="50">
        <f t="shared" si="2"/>
        <v>6.7999999999999989</v>
      </c>
      <c r="V13" s="50"/>
      <c r="W13" s="25">
        <v>0.2</v>
      </c>
      <c r="X13" s="25">
        <f>SSCSource!N19</f>
        <v>1</v>
      </c>
      <c r="Y13" s="36">
        <f>TRUNC((Z13-(9.9-agent!$L$3)*W13*10),3)</f>
        <v>193</v>
      </c>
      <c r="Z13" s="49">
        <f t="shared" si="5"/>
        <v>199.8</v>
      </c>
      <c r="AA13" s="48"/>
      <c r="AB13" s="48">
        <f t="shared" si="0"/>
        <v>193</v>
      </c>
    </row>
    <row r="14" spans="1:28" x14ac:dyDescent="0.15">
      <c r="A14" s="50">
        <f>agent!J$2</f>
        <v>151</v>
      </c>
      <c r="B14" s="45" t="s">
        <v>25</v>
      </c>
      <c r="C14" s="45" t="s">
        <v>18</v>
      </c>
      <c r="D14" s="45" t="str">
        <f>SSCSource!$O20</f>
        <v>0 2 3 5 6 7 9</v>
      </c>
      <c r="E14" s="45">
        <f>SSCSource!$R20</f>
        <v>3</v>
      </c>
      <c r="F14" s="45">
        <v>1</v>
      </c>
      <c r="G14" s="45">
        <f>SSCSource!$P20</f>
        <v>396</v>
      </c>
      <c r="H14" s="45">
        <f>SSCSource!K$2</f>
        <v>96681</v>
      </c>
      <c r="I14" s="45">
        <f>SSCSource!M20</f>
        <v>579</v>
      </c>
      <c r="J14" s="45">
        <f t="shared" si="1"/>
        <v>1001328.5</v>
      </c>
      <c r="K14" s="50">
        <f>IF(ISNUMBER(agent!$O$6*$W14*$X14*E14),TRUNC(agent!$O$6*$W14*$X14*E14,3),"没有上级")</f>
        <v>0.6</v>
      </c>
      <c r="L14" s="50">
        <f>IF(ISNUMBER(agent!$O$9*$W14*E14*$X14),TRUNC(agent!$O$9*$W14*E14*$X14,3),"没有上级")</f>
        <v>3.6</v>
      </c>
      <c r="M14" s="50">
        <f>IF(ISNUMBER(agent!$O$12*$W14*E14*$X14),TRUNC(agent!$O$12*$W14*E14*$X14,3),"没有上级")</f>
        <v>1.2</v>
      </c>
      <c r="N14" s="50">
        <f>IF(ISNUMBER(agent!$O$15*$W14*E14*$X14),TRUNC(agent!$O$15*$W14*E14*$X14,3),"没有上级")</f>
        <v>2.4</v>
      </c>
      <c r="O14" s="50">
        <f>IF(ISNUMBER(agent!$O$18*$W14*E14*$X14),TRUNC(agent!$O$18*$W14*E14*$X14,3),"没有上级")</f>
        <v>1.8</v>
      </c>
      <c r="P14" s="50">
        <f>IF(ISNUMBER(agent!$O$21*$W14*E14*$X14),TRUNC(agent!$O$21*$W14*E14*$X14,3),"没有上级")</f>
        <v>0.6</v>
      </c>
      <c r="Q14" s="50">
        <f>IF(ISNUMBER(agent!$O$24*$W14*E14*$X14),TRUNC(agent!$O$24*$W14*E14*$X14,3),"没有上级")</f>
        <v>4.2</v>
      </c>
      <c r="R14" s="50">
        <f>IF(ISNUMBER(agent!$O$27*$W14*E14*$X14),TRUNC(agent!$O$27*$W14*E14*$X14,3),"没有上级")</f>
        <v>1.8</v>
      </c>
      <c r="S14" s="50">
        <f>IF(ISNUMBER(agent!$O$30*$W14*E14*$X14),TRUNC(agent!$O$30*$W14*E14*$X14,3),"没有上级")</f>
        <v>2.4</v>
      </c>
      <c r="T14" s="50">
        <f>IF(ISNUMBER(agent!$O$33*$W14*$X14*E14),TRUNC(agent!$O$33*$W14*$X14*E14,3),"没有上级")</f>
        <v>1.8</v>
      </c>
      <c r="U14" s="50">
        <f t="shared" si="2"/>
        <v>20.400000000000002</v>
      </c>
      <c r="V14" s="50"/>
      <c r="W14" s="25">
        <v>0.2</v>
      </c>
      <c r="X14" s="25">
        <f>SSCSource!N20</f>
        <v>1</v>
      </c>
      <c r="Y14" s="36">
        <f>TRUNC((Z14-(9.9-agent!$L$3)*W14*10),3)</f>
        <v>193</v>
      </c>
      <c r="Z14" s="49">
        <f t="shared" si="5"/>
        <v>199.8</v>
      </c>
      <c r="AA14" s="48"/>
      <c r="AB14" s="48">
        <f t="shared" si="0"/>
        <v>193</v>
      </c>
    </row>
    <row r="15" spans="1:28" x14ac:dyDescent="0.15">
      <c r="A15" s="50">
        <f>agent!J$2</f>
        <v>151</v>
      </c>
      <c r="B15" s="45" t="s">
        <v>25</v>
      </c>
      <c r="C15" s="45" t="s">
        <v>20</v>
      </c>
      <c r="D15" s="45" t="str">
        <f>SSCSource!$O21</f>
        <v>0 1 2 7 8 9</v>
      </c>
      <c r="E15" s="45">
        <f>SSCSource!$R21</f>
        <v>2</v>
      </c>
      <c r="F15" s="45">
        <v>1</v>
      </c>
      <c r="G15" s="45">
        <f>SSCSource!$P21</f>
        <v>60</v>
      </c>
      <c r="H15" s="45">
        <f>SSCSource!K$2</f>
        <v>96681</v>
      </c>
      <c r="I15" s="45">
        <f>SSCSource!M21</f>
        <v>193</v>
      </c>
      <c r="J15" s="45">
        <f t="shared" si="1"/>
        <v>1001461.5</v>
      </c>
      <c r="K15" s="50">
        <f>IF(ISNUMBER(agent!$O$6*$W15*$X15*E15),TRUNC(agent!$O$6*$W15*$X15*E15,3),"没有上级")</f>
        <v>0.2</v>
      </c>
      <c r="L15" s="50">
        <f>IF(ISNUMBER(agent!$O$9*$W15*E15*$X15),TRUNC(agent!$O$9*$W15*E15*$X15,3),"没有上级")</f>
        <v>1.2</v>
      </c>
      <c r="M15" s="50">
        <f>IF(ISNUMBER(agent!$O$12*$W15*E15*$X15),TRUNC(agent!$O$12*$W15*E15*$X15,3),"没有上级")</f>
        <v>0.4</v>
      </c>
      <c r="N15" s="50">
        <f>IF(ISNUMBER(agent!$O$15*$W15*E15*$X15),TRUNC(agent!$O$15*$W15*E15*$X15,3),"没有上级")</f>
        <v>0.8</v>
      </c>
      <c r="O15" s="50">
        <f>IF(ISNUMBER(agent!$O$18*$W15*E15*$X15),TRUNC(agent!$O$18*$W15*E15*$X15,3),"没有上级")</f>
        <v>0.6</v>
      </c>
      <c r="P15" s="50">
        <f>IF(ISNUMBER(agent!$O$21*$W15*E15*$X15),TRUNC(agent!$O$21*$W15*E15*$X15,3),"没有上级")</f>
        <v>0.2</v>
      </c>
      <c r="Q15" s="50">
        <f>IF(ISNUMBER(agent!$O$24*$W15*E15*$X15),TRUNC(agent!$O$24*$W15*E15*$X15,3),"没有上级")</f>
        <v>1.4</v>
      </c>
      <c r="R15" s="50">
        <f>IF(ISNUMBER(agent!$O$27*$W15*E15*$X15),TRUNC(agent!$O$27*$W15*E15*$X15,3),"没有上级")</f>
        <v>0.6</v>
      </c>
      <c r="S15" s="50">
        <f>IF(ISNUMBER(agent!$O$30*$W15*E15*$X15),TRUNC(agent!$O$30*$W15*E15*$X15,3),"没有上级")</f>
        <v>0.8</v>
      </c>
      <c r="T15" s="50">
        <f>IF(ISNUMBER(agent!$O$33*$W15*$X15*E15),TRUNC(agent!$O$33*$W15*$X15*E15,3),"没有上级")</f>
        <v>0.6</v>
      </c>
      <c r="U15" s="50">
        <f t="shared" si="2"/>
        <v>6.7999999999999989</v>
      </c>
      <c r="V15" s="50"/>
      <c r="W15" s="25">
        <v>0.1</v>
      </c>
      <c r="X15" s="25">
        <f>SSCSource!N21</f>
        <v>1</v>
      </c>
      <c r="Y15" s="36">
        <f>TRUNC((Z15-(9.9-agent!$L$3)*W15*10),3)</f>
        <v>96.5</v>
      </c>
      <c r="Z15" s="49">
        <f>TRUNC(90+99*W15,3)</f>
        <v>99.9</v>
      </c>
      <c r="AA15" s="48"/>
      <c r="AB15" s="48">
        <f t="shared" si="0"/>
        <v>96.5</v>
      </c>
    </row>
    <row r="16" spans="1:28" x14ac:dyDescent="0.15">
      <c r="A16" s="50">
        <f>agent!J$2</f>
        <v>151</v>
      </c>
      <c r="B16" s="45" t="s">
        <v>25</v>
      </c>
      <c r="C16" s="45" t="s">
        <v>21</v>
      </c>
      <c r="D16" s="45" t="str">
        <f>SSCSource!$O22</f>
        <v>15,58,68,96,18</v>
      </c>
      <c r="E16" s="45">
        <f>SSCSource!$R22</f>
        <v>4</v>
      </c>
      <c r="F16" s="45">
        <v>1</v>
      </c>
      <c r="G16" s="45">
        <f>SSCSource!$P22</f>
        <v>40</v>
      </c>
      <c r="H16" s="45">
        <f>SSCSource!K$2</f>
        <v>96681</v>
      </c>
      <c r="I16" s="45">
        <f>SSCSource!M22</f>
        <v>386</v>
      </c>
      <c r="J16" s="45">
        <f t="shared" si="1"/>
        <v>1001807.5</v>
      </c>
      <c r="K16" s="50">
        <f>IF(ISNUMBER(agent!$O$6*$W16*$X16*E16),TRUNC(agent!$O$6*$W16*$X16*E16,3),"没有上级")</f>
        <v>0.4</v>
      </c>
      <c r="L16" s="50">
        <f>IF(ISNUMBER(agent!$O$9*$W16*E16*$X16),TRUNC(agent!$O$9*$W16*E16*$X16,3),"没有上级")</f>
        <v>2.4</v>
      </c>
      <c r="M16" s="50">
        <f>IF(ISNUMBER(agent!$O$12*$W16*E16*$X16),TRUNC(agent!$O$12*$W16*E16*$X16,3),"没有上级")</f>
        <v>0.8</v>
      </c>
      <c r="N16" s="50">
        <f>IF(ISNUMBER(agent!$O$15*$W16*E16*$X16),TRUNC(agent!$O$15*$W16*E16*$X16,3),"没有上级")</f>
        <v>1.6</v>
      </c>
      <c r="O16" s="50">
        <f>IF(ISNUMBER(agent!$O$18*$W16*E16*$X16),TRUNC(agent!$O$18*$W16*E16*$X16,3),"没有上级")</f>
        <v>1.2</v>
      </c>
      <c r="P16" s="50">
        <f>IF(ISNUMBER(agent!$O$21*$W16*E16*$X16),TRUNC(agent!$O$21*$W16*E16*$X16,3),"没有上级")</f>
        <v>0.4</v>
      </c>
      <c r="Q16" s="50">
        <f>IF(ISNUMBER(agent!$O$24*$W16*E16*$X16),TRUNC(agent!$O$24*$W16*E16*$X16,3),"没有上级")</f>
        <v>2.8</v>
      </c>
      <c r="R16" s="50">
        <f>IF(ISNUMBER(agent!$O$27*$W16*E16*$X16),TRUNC(agent!$O$27*$W16*E16*$X16,3),"没有上级")</f>
        <v>1.2</v>
      </c>
      <c r="S16" s="50">
        <f>IF(ISNUMBER(agent!$O$30*$W16*E16*$X16),TRUNC(agent!$O$30*$W16*E16*$X16,3),"没有上级")</f>
        <v>1.6</v>
      </c>
      <c r="T16" s="50">
        <f>IF(ISNUMBER(agent!$O$33*$W16*$X16*E16),TRUNC(agent!$O$33*$W16*$X16*E16,3),"没有上级")</f>
        <v>1.2</v>
      </c>
      <c r="U16" s="50">
        <f t="shared" si="2"/>
        <v>13.599999999999998</v>
      </c>
      <c r="V16" s="50"/>
      <c r="W16" s="25">
        <v>0.1</v>
      </c>
      <c r="X16" s="25">
        <f>SSCSource!N22</f>
        <v>1</v>
      </c>
      <c r="Y16" s="36">
        <f>TRUNC((Z16-(9.9-agent!$L$3)*W16*10),3)</f>
        <v>96.5</v>
      </c>
      <c r="Z16" s="49">
        <f t="shared" ref="Z16:Z18" si="6">TRUNC(90+99*W16,3)</f>
        <v>99.9</v>
      </c>
      <c r="AA16" s="48"/>
      <c r="AB16" s="48">
        <f t="shared" si="0"/>
        <v>96.5</v>
      </c>
    </row>
    <row r="17" spans="1:28" x14ac:dyDescent="0.15">
      <c r="A17" s="50">
        <f>agent!J$2</f>
        <v>151</v>
      </c>
      <c r="B17" s="45" t="s">
        <v>25</v>
      </c>
      <c r="C17" s="45" t="s">
        <v>22</v>
      </c>
      <c r="D17" s="45" t="str">
        <f>SSCSource!$O23</f>
        <v>1 2 3 7 8 9 17</v>
      </c>
      <c r="E17" s="45">
        <f>SSCSource!$R23</f>
        <v>5</v>
      </c>
      <c r="F17" s="45">
        <v>1</v>
      </c>
      <c r="G17" s="45">
        <f>SSCSource!$P23</f>
        <v>180</v>
      </c>
      <c r="H17" s="45">
        <f>SSCSource!K$2</f>
        <v>96681</v>
      </c>
      <c r="I17" s="45">
        <f>SSCSource!M23</f>
        <v>482.5</v>
      </c>
      <c r="J17" s="45">
        <f t="shared" si="1"/>
        <v>1002110</v>
      </c>
      <c r="K17" s="50">
        <f>IF(ISNUMBER(agent!$O$6*$W17*$X17*E17),TRUNC(agent!$O$6*$W17*$X17*E17,3),"没有上级")</f>
        <v>0.5</v>
      </c>
      <c r="L17" s="50">
        <f>IF(ISNUMBER(agent!$O$9*$W17*E17*$X17),TRUNC(agent!$O$9*$W17*E17*$X17,3),"没有上级")</f>
        <v>3</v>
      </c>
      <c r="M17" s="50">
        <f>IF(ISNUMBER(agent!$O$12*$W17*E17*$X17),TRUNC(agent!$O$12*$W17*E17*$X17,3),"没有上级")</f>
        <v>1</v>
      </c>
      <c r="N17" s="50">
        <f>IF(ISNUMBER(agent!$O$15*$W17*E17*$X17),TRUNC(agent!$O$15*$W17*E17*$X17,3),"没有上级")</f>
        <v>2</v>
      </c>
      <c r="O17" s="50">
        <f>IF(ISNUMBER(agent!$O$18*$W17*E17*$X17),TRUNC(agent!$O$18*$W17*E17*$X17,3),"没有上级")</f>
        <v>1.5</v>
      </c>
      <c r="P17" s="50">
        <f>IF(ISNUMBER(agent!$O$21*$W17*E17*$X17),TRUNC(agent!$O$21*$W17*E17*$X17,3),"没有上级")</f>
        <v>0.5</v>
      </c>
      <c r="Q17" s="50">
        <f>IF(ISNUMBER(agent!$O$24*$W17*E17*$X17),TRUNC(agent!$O$24*$W17*E17*$X17,3),"没有上级")</f>
        <v>3.5</v>
      </c>
      <c r="R17" s="50">
        <f>IF(ISNUMBER(agent!$O$27*$W17*E17*$X17),TRUNC(agent!$O$27*$W17*E17*$X17,3),"没有上级")</f>
        <v>1.5</v>
      </c>
      <c r="S17" s="50">
        <f>IF(ISNUMBER(agent!$O$30*$W17*E17*$X17),TRUNC(agent!$O$30*$W17*E17*$X17,3),"没有上级")</f>
        <v>2</v>
      </c>
      <c r="T17" s="50">
        <f>IF(ISNUMBER(agent!$O$33*$W17*$X17*E17),TRUNC(agent!$O$33*$W17*$X17*E17,3),"没有上级")</f>
        <v>1.5</v>
      </c>
      <c r="U17" s="50">
        <f t="shared" si="2"/>
        <v>17</v>
      </c>
      <c r="V17" s="50"/>
      <c r="W17" s="25">
        <v>0.1</v>
      </c>
      <c r="X17" s="25">
        <f>SSCSource!N23</f>
        <v>1</v>
      </c>
      <c r="Y17" s="36">
        <f>TRUNC((Z17-(9.9-agent!$L$3)*W17*10),3)</f>
        <v>96.5</v>
      </c>
      <c r="Z17" s="49">
        <f t="shared" si="6"/>
        <v>99.9</v>
      </c>
      <c r="AA17" s="48"/>
      <c r="AB17" s="48">
        <f t="shared" si="0"/>
        <v>96.5</v>
      </c>
    </row>
    <row r="18" spans="1:28" x14ac:dyDescent="0.15">
      <c r="A18" s="50">
        <f>agent!J$2</f>
        <v>151</v>
      </c>
      <c r="B18" s="45" t="s">
        <v>25</v>
      </c>
      <c r="C18" s="45" t="s">
        <v>23</v>
      </c>
      <c r="D18" s="45" t="str">
        <f>SSCSource!$O24</f>
        <v>8</v>
      </c>
      <c r="E18" s="45">
        <f>SSCSource!$R24</f>
        <v>3</v>
      </c>
      <c r="F18" s="45">
        <v>1</v>
      </c>
      <c r="G18" s="45">
        <f>SSCSource!$P24</f>
        <v>54</v>
      </c>
      <c r="H18" s="45">
        <f>SSCSource!K$2</f>
        <v>96681</v>
      </c>
      <c r="I18" s="45">
        <f>SSCSource!M24</f>
        <v>289.5</v>
      </c>
      <c r="J18" s="45">
        <f t="shared" si="1"/>
        <v>1002345.5</v>
      </c>
      <c r="K18" s="50">
        <f>IF(ISNUMBER(agent!$O$6*$W18*$X18*E18),TRUNC(agent!$O$6*$W18*$X18*E18,3),"没有上级")</f>
        <v>0.3</v>
      </c>
      <c r="L18" s="50">
        <f>IF(ISNUMBER(agent!$O$9*$W18*E18*$X18),TRUNC(agent!$O$9*$W18*E18*$X18,3),"没有上级")</f>
        <v>1.8</v>
      </c>
      <c r="M18" s="50">
        <f>IF(ISNUMBER(agent!$O$12*$W18*E18*$X18),TRUNC(agent!$O$12*$W18*E18*$X18,3),"没有上级")</f>
        <v>0.6</v>
      </c>
      <c r="N18" s="50">
        <f>IF(ISNUMBER(agent!$O$15*$W18*E18*$X18),TRUNC(agent!$O$15*$W18*E18*$X18,3),"没有上级")</f>
        <v>1.2</v>
      </c>
      <c r="O18" s="50">
        <f>IF(ISNUMBER(agent!$O$18*$W18*E18*$X18),TRUNC(agent!$O$18*$W18*E18*$X18,3),"没有上级")</f>
        <v>0.9</v>
      </c>
      <c r="P18" s="50">
        <f>IF(ISNUMBER(agent!$O$21*$W18*E18*$X18),TRUNC(agent!$O$21*$W18*E18*$X18,3),"没有上级")</f>
        <v>0.3</v>
      </c>
      <c r="Q18" s="50">
        <f>IF(ISNUMBER(agent!$O$24*$W18*E18*$X18),TRUNC(agent!$O$24*$W18*E18*$X18,3),"没有上级")</f>
        <v>2.1</v>
      </c>
      <c r="R18" s="50">
        <f>IF(ISNUMBER(agent!$O$27*$W18*E18*$X18),TRUNC(agent!$O$27*$W18*E18*$X18,3),"没有上级")</f>
        <v>0.9</v>
      </c>
      <c r="S18" s="50">
        <f>IF(ISNUMBER(agent!$O$30*$W18*E18*$X18),TRUNC(agent!$O$30*$W18*E18*$X18,3),"没有上级")</f>
        <v>1.2</v>
      </c>
      <c r="T18" s="50">
        <f>IF(ISNUMBER(agent!$O$33*$W18*$X18*E18),TRUNC(agent!$O$33*$W18*$X18*E18,3),"没有上级")</f>
        <v>0.9</v>
      </c>
      <c r="U18" s="50">
        <f t="shared" si="2"/>
        <v>10.200000000000001</v>
      </c>
      <c r="V18" s="50"/>
      <c r="W18" s="25">
        <v>0.1</v>
      </c>
      <c r="X18" s="25">
        <f>SSCSource!N24</f>
        <v>1</v>
      </c>
      <c r="Y18" s="36">
        <f>TRUNC((Z18-(9.9-agent!$L$3)*W18*10),3)</f>
        <v>96.5</v>
      </c>
      <c r="Z18" s="49">
        <f t="shared" si="6"/>
        <v>99.9</v>
      </c>
      <c r="AA18" s="48"/>
      <c r="AB18" s="48">
        <f t="shared" si="0"/>
        <v>96.5</v>
      </c>
    </row>
    <row r="19" spans="1:28" x14ac:dyDescent="0.15">
      <c r="A19" s="50">
        <f>agent!J$2</f>
        <v>151</v>
      </c>
      <c r="B19" s="45" t="s">
        <v>26</v>
      </c>
      <c r="C19" s="45" t="s">
        <v>5</v>
      </c>
      <c r="D19" s="45" t="str">
        <f>SSCSource!$O25</f>
        <v>0 3 4 7 8 9,5 6 7 8 9 1,1 2 3 4 7</v>
      </c>
      <c r="E19" s="45">
        <f>SSCSource!$R25</f>
        <v>3</v>
      </c>
      <c r="F19" s="45">
        <v>1</v>
      </c>
      <c r="G19" s="45">
        <f>SSCSource!$P25</f>
        <v>1080</v>
      </c>
      <c r="H19" s="45">
        <f>SSCSource!K$2</f>
        <v>96681</v>
      </c>
      <c r="I19" s="45">
        <f>SSCSource!M25</f>
        <v>0</v>
      </c>
      <c r="J19" s="45">
        <f t="shared" si="1"/>
        <v>1001265.5</v>
      </c>
      <c r="K19" s="50">
        <f>IF(ISNUMBER(agent!$O$6*$W19*$X19*E19),TRUNC(agent!$O$6*$W19*$X19*E19,3),"没有上级")</f>
        <v>0</v>
      </c>
      <c r="L19" s="50">
        <f>IF(ISNUMBER(agent!$O$9*$W19*E19*$X19),TRUNC(agent!$O$9*$W19*E19*$X19,3),"没有上级")</f>
        <v>0</v>
      </c>
      <c r="M19" s="50">
        <f>IF(ISNUMBER(agent!$O$12*$W19*E19*$X19),TRUNC(agent!$O$12*$W19*E19*$X19,3),"没有上级")</f>
        <v>0</v>
      </c>
      <c r="N19" s="50">
        <f>IF(ISNUMBER(agent!$O$15*$W19*E19*$X19),TRUNC(agent!$O$15*$W19*E19*$X19,3),"没有上级")</f>
        <v>0</v>
      </c>
      <c r="O19" s="50">
        <f>IF(ISNUMBER(agent!$O$18*$W19*E19*$X19),TRUNC(agent!$O$18*$W19*E19*$X19,3),"没有上级")</f>
        <v>0</v>
      </c>
      <c r="P19" s="50">
        <f>IF(ISNUMBER(agent!$O$21*$W19*E19*$X19),TRUNC(agent!$O$21*$W19*E19*$X19,3),"没有上级")</f>
        <v>0</v>
      </c>
      <c r="Q19" s="50">
        <f>IF(ISNUMBER(agent!$O$24*$W19*E19*$X19),TRUNC(agent!$O$24*$W19*E19*$X19,3),"没有上级")</f>
        <v>0</v>
      </c>
      <c r="R19" s="50">
        <f>IF(ISNUMBER(agent!$O$27*$W19*E19*$X19),TRUNC(agent!$O$27*$W19*E19*$X19,3),"没有上级")</f>
        <v>0</v>
      </c>
      <c r="S19" s="50">
        <f>IF(ISNUMBER(agent!$O$30*$W19*E19*$X19),TRUNC(agent!$O$30*$W19*E19*$X19,3),"没有上级")</f>
        <v>0</v>
      </c>
      <c r="T19" s="50">
        <f>IF(ISNUMBER(agent!$O$33*$W19*$X19*E19),TRUNC(agent!$O$33*$W19*$X19*E19,3),"没有上级")</f>
        <v>0</v>
      </c>
      <c r="U19" s="50">
        <f>SUM(K19:T19)</f>
        <v>0</v>
      </c>
      <c r="V19" s="50"/>
      <c r="W19" s="25">
        <v>2</v>
      </c>
      <c r="X19" s="25">
        <f>SSCSource!N25</f>
        <v>0</v>
      </c>
      <c r="Y19" s="36">
        <f>TRUNC((Z19-(9.9-agent!$L$3)*W19*10),3)</f>
        <v>1930</v>
      </c>
      <c r="Z19" s="49">
        <f>TRUNC(1800+99*W19,3)</f>
        <v>1998</v>
      </c>
      <c r="AA19" s="48"/>
      <c r="AB19" s="48">
        <f t="shared" si="0"/>
        <v>1930</v>
      </c>
    </row>
    <row r="20" spans="1:28" x14ac:dyDescent="0.15">
      <c r="A20" s="50">
        <f>agent!J$2</f>
        <v>151</v>
      </c>
      <c r="B20" s="45" t="s">
        <v>26</v>
      </c>
      <c r="C20" s="45" t="s">
        <v>27</v>
      </c>
      <c r="D20" s="45" t="str">
        <f>SSCSource!$O28</f>
        <v>123,123,321,801,118,811</v>
      </c>
      <c r="E20" s="45">
        <f>SSCSource!$R28</f>
        <v>1</v>
      </c>
      <c r="F20" s="45">
        <v>1</v>
      </c>
      <c r="G20" s="45">
        <f>SSCSource!$P28</f>
        <v>10</v>
      </c>
      <c r="H20" s="45">
        <f>SSCSource!K$2</f>
        <v>96681</v>
      </c>
      <c r="I20" s="45">
        <f>SSCSource!M28</f>
        <v>0</v>
      </c>
      <c r="J20" s="45">
        <f t="shared" si="1"/>
        <v>1001255.5</v>
      </c>
      <c r="K20" s="50">
        <f>IF(ISNUMBER(agent!$O$6*$W20*$X20*E20),TRUNC(agent!$O$6*$W20*$X20*E20,3),"没有上级")</f>
        <v>0</v>
      </c>
      <c r="L20" s="50">
        <f>IF(ISNUMBER(agent!$O$9*$W20*E20*$X20),TRUNC(agent!$O$9*$W20*E20*$X20,3),"没有上级")</f>
        <v>0</v>
      </c>
      <c r="M20" s="50">
        <f>IF(ISNUMBER(agent!$O$12*$W20*E20*$X20),TRUNC(agent!$O$12*$W20*E20*$X20,3),"没有上级")</f>
        <v>0</v>
      </c>
      <c r="N20" s="50">
        <f>IF(ISNUMBER(agent!$O$15*$W20*E20*$X20),TRUNC(agent!$O$15*$W20*E20*$X20,3),"没有上级")</f>
        <v>0</v>
      </c>
      <c r="O20" s="50">
        <f>IF(ISNUMBER(agent!$O$18*$W20*E20*$X20),TRUNC(agent!$O$18*$W20*E20*$X20,3),"没有上级")</f>
        <v>0</v>
      </c>
      <c r="P20" s="50">
        <f>IF(ISNUMBER(agent!$O$21*$W20*E20*$X20),TRUNC(agent!$O$21*$W20*E20*$X20,3),"没有上级")</f>
        <v>0</v>
      </c>
      <c r="Q20" s="50">
        <f>IF(ISNUMBER(agent!$O$24*$W20*E20*$X20),TRUNC(agent!$O$24*$W20*E20*$X20,3),"没有上级")</f>
        <v>0</v>
      </c>
      <c r="R20" s="50">
        <f>IF(ISNUMBER(agent!$O$27*$W20*E20*$X20),TRUNC(agent!$O$27*$W20*E20*$X20,3),"没有上级")</f>
        <v>0</v>
      </c>
      <c r="S20" s="50">
        <f>IF(ISNUMBER(agent!$O$30*$W20*E20*$X20),TRUNC(agent!$O$30*$W20*E20*$X20,3),"没有上级")</f>
        <v>0</v>
      </c>
      <c r="T20" s="50">
        <f>IF(ISNUMBER(agent!$O$33*$W20*$X20*E20),TRUNC(agent!$O$33*$W20*$X20*E20,3),"没有上级")</f>
        <v>0</v>
      </c>
      <c r="U20" s="50">
        <f t="shared" si="2"/>
        <v>0</v>
      </c>
      <c r="V20" s="50"/>
      <c r="W20" s="25">
        <v>2</v>
      </c>
      <c r="X20" s="25">
        <f>SSCSource!N28</f>
        <v>0</v>
      </c>
      <c r="Y20" s="36">
        <f>TRUNC((Z20-(9.9-agent!$L$3)*W20*10),3)</f>
        <v>1930</v>
      </c>
      <c r="Z20" s="49">
        <f t="shared" ref="Z20:Z22" si="7">TRUNC(1800+99*W20,3)</f>
        <v>1998</v>
      </c>
      <c r="AA20" s="48"/>
      <c r="AB20" s="48">
        <f t="shared" si="0"/>
        <v>1930</v>
      </c>
    </row>
    <row r="21" spans="1:28" x14ac:dyDescent="0.15">
      <c r="A21" s="50">
        <f>agent!J$2</f>
        <v>151</v>
      </c>
      <c r="B21" s="45" t="s">
        <v>26</v>
      </c>
      <c r="C21" s="45" t="s">
        <v>16</v>
      </c>
      <c r="D21" s="45" t="str">
        <f>SSCSource!$O29</f>
        <v>1 2 3 4 6 10 11 16 17 18</v>
      </c>
      <c r="E21" s="45">
        <f>SSCSource!$R29</f>
        <v>1</v>
      </c>
      <c r="F21" s="45">
        <v>1</v>
      </c>
      <c r="G21" s="45">
        <f>SSCSource!$P29</f>
        <v>762</v>
      </c>
      <c r="H21" s="45">
        <f>SSCSource!K$2</f>
        <v>96681</v>
      </c>
      <c r="I21" s="45">
        <f>SSCSource!M29</f>
        <v>0</v>
      </c>
      <c r="J21" s="45">
        <f t="shared" si="1"/>
        <v>1000493.5</v>
      </c>
      <c r="K21" s="50">
        <f>IF(ISNUMBER(agent!$O$6*$W21*$X21*E21),TRUNC(agent!$O$6*$W21*$X21*E21,3),"没有上级")</f>
        <v>0</v>
      </c>
      <c r="L21" s="50">
        <f>IF(ISNUMBER(agent!$O$9*$W21*E21*$X21),TRUNC(agent!$O$9*$W21*E21*$X21,3),"没有上级")</f>
        <v>0</v>
      </c>
      <c r="M21" s="50">
        <f>IF(ISNUMBER(agent!$O$12*$W21*E21*$X21),TRUNC(agent!$O$12*$W21*E21*$X21,3),"没有上级")</f>
        <v>0</v>
      </c>
      <c r="N21" s="50">
        <f>IF(ISNUMBER(agent!$O$15*$W21*E21*$X21),TRUNC(agent!$O$15*$W21*E21*$X21,3),"没有上级")</f>
        <v>0</v>
      </c>
      <c r="O21" s="50">
        <f>IF(ISNUMBER(agent!$O$18*$W21*E21*$X21),TRUNC(agent!$O$18*$W21*E21*$X21,3),"没有上级")</f>
        <v>0</v>
      </c>
      <c r="P21" s="50">
        <f>IF(ISNUMBER(agent!$O$21*$W21*E21*$X21),TRUNC(agent!$O$21*$W21*E21*$X21,3),"没有上级")</f>
        <v>0</v>
      </c>
      <c r="Q21" s="50">
        <f>IF(ISNUMBER(agent!$O$24*$W21*E21*$X21),TRUNC(agent!$O$24*$W21*E21*$X21,3),"没有上级")</f>
        <v>0</v>
      </c>
      <c r="R21" s="50">
        <f>IF(ISNUMBER(agent!$O$27*$W21*E21*$X21),TRUNC(agent!$O$27*$W21*E21*$X21,3),"没有上级")</f>
        <v>0</v>
      </c>
      <c r="S21" s="50">
        <f>IF(ISNUMBER(agent!$O$30*$W21*E21*$X21),TRUNC(agent!$O$30*$W21*E21*$X21,3),"没有上级")</f>
        <v>0</v>
      </c>
      <c r="T21" s="50">
        <f>IF(ISNUMBER(agent!$O$33*$W21*$X21*E21),TRUNC(agent!$O$33*$W21*$X21*E21,3),"没有上级")</f>
        <v>0</v>
      </c>
      <c r="U21" s="50">
        <f t="shared" si="2"/>
        <v>0</v>
      </c>
      <c r="V21" s="50"/>
      <c r="W21" s="25">
        <v>2</v>
      </c>
      <c r="X21" s="25">
        <f>SSCSource!N29</f>
        <v>0</v>
      </c>
      <c r="Y21" s="36">
        <f>TRUNC((Z21-(9.9-agent!$L$3)*W21*10),3)</f>
        <v>1930</v>
      </c>
      <c r="Z21" s="49">
        <f t="shared" si="7"/>
        <v>1998</v>
      </c>
      <c r="AA21" s="48"/>
      <c r="AB21" s="48">
        <f t="shared" si="0"/>
        <v>1930</v>
      </c>
    </row>
    <row r="22" spans="1:28" x14ac:dyDescent="0.15">
      <c r="A22" s="50">
        <f>agent!J$2</f>
        <v>151</v>
      </c>
      <c r="B22" s="45" t="s">
        <v>26</v>
      </c>
      <c r="C22" s="45" t="s">
        <v>18</v>
      </c>
      <c r="D22" s="45" t="str">
        <f>SSCSource!$O30</f>
        <v>0 3 4 5 6 7 9</v>
      </c>
      <c r="E22" s="45">
        <f>SSCSource!$R30</f>
        <v>1</v>
      </c>
      <c r="F22" s="45">
        <v>1</v>
      </c>
      <c r="G22" s="45">
        <f>SSCSource!$P30</f>
        <v>1508</v>
      </c>
      <c r="H22" s="45">
        <f>SSCSource!K$2</f>
        <v>96681</v>
      </c>
      <c r="I22" s="45">
        <f>SSCSource!M30</f>
        <v>1930</v>
      </c>
      <c r="J22" s="45">
        <f t="shared" si="1"/>
        <v>1000915.5</v>
      </c>
      <c r="K22" s="50">
        <f>IF(ISNUMBER(agent!$O$6*$W22*$X22*E22),TRUNC(agent!$O$6*$W22*$X22*E22,3),"没有上级")</f>
        <v>2</v>
      </c>
      <c r="L22" s="50">
        <f>IF(ISNUMBER(agent!$O$9*$W22*E22*$X22),TRUNC(agent!$O$9*$W22*E22*$X22,3),"没有上级")</f>
        <v>12</v>
      </c>
      <c r="M22" s="50">
        <f>IF(ISNUMBER(agent!$O$12*$W22*E22*$X22),TRUNC(agent!$O$12*$W22*E22*$X22,3),"没有上级")</f>
        <v>4</v>
      </c>
      <c r="N22" s="50">
        <f>IF(ISNUMBER(agent!$O$15*$W22*E22*$X22),TRUNC(agent!$O$15*$W22*E22*$X22,3),"没有上级")</f>
        <v>8</v>
      </c>
      <c r="O22" s="50">
        <f>IF(ISNUMBER(agent!$O$18*$W22*E22*$X22),TRUNC(agent!$O$18*$W22*E22*$X22,3),"没有上级")</f>
        <v>6</v>
      </c>
      <c r="P22" s="50">
        <f>IF(ISNUMBER(agent!$O$21*$W22*E22*$X22),TRUNC(agent!$O$21*$W22*E22*$X22,3),"没有上级")</f>
        <v>2</v>
      </c>
      <c r="Q22" s="50">
        <f>IF(ISNUMBER(agent!$O$24*$W22*E22*$X22),TRUNC(agent!$O$24*$W22*E22*$X22,3),"没有上级")</f>
        <v>14</v>
      </c>
      <c r="R22" s="50">
        <f>IF(ISNUMBER(agent!$O$27*$W22*E22*$X22),TRUNC(agent!$O$27*$W22*E22*$X22,3),"没有上级")</f>
        <v>6</v>
      </c>
      <c r="S22" s="50">
        <f>IF(ISNUMBER(agent!$O$30*$W22*E22*$X22),TRUNC(agent!$O$30*$W22*E22*$X22,3),"没有上级")</f>
        <v>8</v>
      </c>
      <c r="T22" s="50">
        <f>IF(ISNUMBER(agent!$O$33*$W22*$X22*E22),TRUNC(agent!$O$33*$W22*$X22*E22,3),"没有上级")</f>
        <v>6</v>
      </c>
      <c r="U22" s="50">
        <f t="shared" si="2"/>
        <v>68</v>
      </c>
      <c r="V22" s="50"/>
      <c r="W22" s="25">
        <v>2</v>
      </c>
      <c r="X22" s="25">
        <f>SSCSource!N30</f>
        <v>1</v>
      </c>
      <c r="Y22" s="36">
        <f>TRUNC((Z22-(9.9-agent!$L$3)*W22*10),3)</f>
        <v>1930</v>
      </c>
      <c r="Z22" s="49">
        <f t="shared" si="7"/>
        <v>1998</v>
      </c>
      <c r="AA22" s="48"/>
      <c r="AB22" s="48">
        <f t="shared" si="0"/>
        <v>1930</v>
      </c>
    </row>
    <row r="23" spans="1:28" x14ac:dyDescent="0.15">
      <c r="A23" s="50">
        <f>agent!J$2</f>
        <v>151</v>
      </c>
      <c r="B23" s="45" t="s">
        <v>26</v>
      </c>
      <c r="C23" s="45" t="s">
        <v>22</v>
      </c>
      <c r="D23" s="45" t="str">
        <f>SSCSource!$O31</f>
        <v>1 3 4 6 10 15 16 24 25 26</v>
      </c>
      <c r="E23" s="45">
        <f>SSCSource!$R31</f>
        <v>5</v>
      </c>
      <c r="F23" s="45">
        <v>1</v>
      </c>
      <c r="G23" s="45">
        <f>SSCSource!$P31</f>
        <v>590</v>
      </c>
      <c r="H23" s="45">
        <f>SSCSource!K$2</f>
        <v>96681</v>
      </c>
      <c r="I23" s="45">
        <f>SSCSource!M31</f>
        <v>0</v>
      </c>
      <c r="J23" s="45">
        <f t="shared" si="1"/>
        <v>1000325.5</v>
      </c>
      <c r="K23" s="50">
        <f>IF(ISNUMBER(agent!$O$6*$W23*$X23*E23),TRUNC(agent!$O$6*$W23*$X23*E23,3),"没有上级")</f>
        <v>0</v>
      </c>
      <c r="L23" s="50">
        <f>IF(ISNUMBER(agent!$O$9*$W23*E23*$X23),TRUNC(agent!$O$9*$W23*E23*$X23,3),"没有上级")</f>
        <v>0</v>
      </c>
      <c r="M23" s="50">
        <f>IF(ISNUMBER(agent!$O$12*$W23*E23*$X23),TRUNC(agent!$O$12*$W23*E23*$X23,3),"没有上级")</f>
        <v>0</v>
      </c>
      <c r="N23" s="50">
        <f>IF(ISNUMBER(agent!$O$15*$W23*E23*$X23),TRUNC(agent!$O$15*$W23*E23*$X23,3),"没有上级")</f>
        <v>0</v>
      </c>
      <c r="O23" s="50">
        <f>IF(ISNUMBER(agent!$O$18*$W23*E23*$X23),TRUNC(agent!$O$18*$W23*E23*$X23,3),"没有上级")</f>
        <v>0</v>
      </c>
      <c r="P23" s="50">
        <f>IF(ISNUMBER(agent!$O$21*$W23*E23*$X23),TRUNC(agent!$O$21*$W23*E23*$X23,3),"没有上级")</f>
        <v>0</v>
      </c>
      <c r="Q23" s="50">
        <f>IF(ISNUMBER(agent!$O$24*$W23*E23*$X23),TRUNC(agent!$O$24*$W23*E23*$X23,3),"没有上级")</f>
        <v>0</v>
      </c>
      <c r="R23" s="50">
        <f>IF(ISNUMBER(agent!$O$27*$W23*E23*$X23),TRUNC(agent!$O$27*$W23*E23*$X23,3),"没有上级")</f>
        <v>0</v>
      </c>
      <c r="S23" s="50">
        <f>IF(ISNUMBER(agent!$O$30*$W23*E23*$X23),TRUNC(agent!$O$30*$W23*E23*$X23,3),"没有上级")</f>
        <v>0</v>
      </c>
      <c r="T23" s="50">
        <f>IF(ISNUMBER(agent!$O$33*$W23*$X23*E23),TRUNC(agent!$O$33*$W23*$X23*E23,3),"没有上级")</f>
        <v>0</v>
      </c>
      <c r="U23" s="50">
        <f t="shared" si="2"/>
        <v>0</v>
      </c>
      <c r="V23" s="50"/>
      <c r="W23" s="25">
        <f>TRUNC(0.33325,3)</f>
        <v>0.33300000000000002</v>
      </c>
      <c r="X23" s="25">
        <f>SSCSource!N31</f>
        <v>0</v>
      </c>
      <c r="Y23" s="36">
        <f>TRUNC((Z23-(9.9-agent!$L$3)*W23*10),3)</f>
        <v>321.64499999999998</v>
      </c>
      <c r="Z23" s="49">
        <f>TRUNC(300+99*W23,3)</f>
        <v>332.96699999999998</v>
      </c>
      <c r="AA23" s="48"/>
      <c r="AB23" s="48">
        <f t="shared" si="0"/>
        <v>321.64499999999998</v>
      </c>
    </row>
    <row r="24" spans="1:28" x14ac:dyDescent="0.15">
      <c r="A24" s="50">
        <f>agent!J$2</f>
        <v>151</v>
      </c>
      <c r="B24" s="45" t="s">
        <v>26</v>
      </c>
      <c r="C24" s="45" t="s">
        <v>28</v>
      </c>
      <c r="D24" s="45" t="str">
        <f>SSCSource!$O32</f>
        <v>0 1 2 3 6 7 8 9</v>
      </c>
      <c r="E24" s="45">
        <f>SSCSource!$R32</f>
        <v>4</v>
      </c>
      <c r="F24" s="45">
        <v>1</v>
      </c>
      <c r="G24" s="45">
        <f>SSCSource!$P32</f>
        <v>448</v>
      </c>
      <c r="H24" s="45">
        <f>SSCSource!K$2</f>
        <v>96681</v>
      </c>
      <c r="I24" s="45">
        <f>SSCSource!M32</f>
        <v>2573.16</v>
      </c>
      <c r="J24" s="45">
        <f t="shared" si="1"/>
        <v>1002450.66</v>
      </c>
      <c r="K24" s="50">
        <f>IF(ISNUMBER(agent!$O$6*$W24*$X24*E24),TRUNC(agent!$O$6*$W24*$X24*E24,3),"没有上级")</f>
        <v>2.6640000000000001</v>
      </c>
      <c r="L24" s="50">
        <f>IF(ISNUMBER(agent!$O$9*$W24*E24*$X24),TRUNC(agent!$O$9*$W24*E24*$X24,3),"没有上级")</f>
        <v>15.984</v>
      </c>
      <c r="M24" s="50">
        <f>IF(ISNUMBER(agent!$O$12*$W24*E24*$X24),TRUNC(agent!$O$12*$W24*E24*$X24,3),"没有上级")</f>
        <v>5.3280000000000003</v>
      </c>
      <c r="N24" s="50">
        <f>IF(ISNUMBER(agent!$O$15*$W24*E24*$X24),TRUNC(agent!$O$15*$W24*E24*$X24,3),"没有上级")</f>
        <v>10.656000000000001</v>
      </c>
      <c r="O24" s="50">
        <f>IF(ISNUMBER(agent!$O$18*$W24*E24*$X24),TRUNC(agent!$O$18*$W24*E24*$X24,3),"没有上级")</f>
        <v>7.992</v>
      </c>
      <c r="P24" s="50">
        <f>IF(ISNUMBER(agent!$O$21*$W24*E24*$X24),TRUNC(agent!$O$21*$W24*E24*$X24,3),"没有上级")</f>
        <v>2.6640000000000001</v>
      </c>
      <c r="Q24" s="50">
        <f>IF(ISNUMBER(agent!$O$24*$W24*E24*$X24),TRUNC(agent!$O$24*$W24*E24*$X24,3),"没有上级")</f>
        <v>18.648</v>
      </c>
      <c r="R24" s="50">
        <f>IF(ISNUMBER(agent!$O$27*$W24*E24*$X24),TRUNC(agent!$O$27*$W24*E24*$X24,3),"没有上级")</f>
        <v>7.992</v>
      </c>
      <c r="S24" s="50">
        <f>IF(ISNUMBER(agent!$O$30*$W24*E24*$X24),TRUNC(agent!$O$30*$W24*E24*$X24,3),"没有上级")</f>
        <v>10.656000000000001</v>
      </c>
      <c r="T24" s="50">
        <f>IF(ISNUMBER(agent!$O$33*$W24*$X24*E24),TRUNC(agent!$O$33*$W24*$X24*E24,3),"没有上级")</f>
        <v>7.992</v>
      </c>
      <c r="U24" s="50">
        <f t="shared" si="2"/>
        <v>90.576000000000008</v>
      </c>
      <c r="V24" s="50"/>
      <c r="W24" s="25">
        <f>TRUNC(0.666625,3)</f>
        <v>0.66600000000000004</v>
      </c>
      <c r="X24" s="25">
        <f>SSCSource!N32</f>
        <v>1</v>
      </c>
      <c r="Y24" s="36">
        <f>TRUNC((Z24-(9.9-agent!$L$3)*W24*10),3)</f>
        <v>643.29</v>
      </c>
      <c r="Z24" s="49">
        <f>TRUNC(600+99*W24,3)</f>
        <v>665.93399999999997</v>
      </c>
      <c r="AA24" s="48"/>
      <c r="AB24" s="48">
        <f t="shared" si="0"/>
        <v>643.29</v>
      </c>
    </row>
    <row r="25" spans="1:28" x14ac:dyDescent="0.15">
      <c r="A25" s="50">
        <f>agent!J$2</f>
        <v>151</v>
      </c>
      <c r="B25" s="45" t="s">
        <v>26</v>
      </c>
      <c r="C25" s="45" t="s">
        <v>29</v>
      </c>
      <c r="D25" s="45" t="str">
        <f>SSCSource!$O33</f>
        <v>0 1 2 7 8 9</v>
      </c>
      <c r="E25" s="45">
        <f>SSCSource!$R33</f>
        <v>2</v>
      </c>
      <c r="F25" s="45">
        <v>1</v>
      </c>
      <c r="G25" s="45">
        <f>SSCSource!$P33</f>
        <v>80</v>
      </c>
      <c r="H25" s="45">
        <f>SSCSource!K$2</f>
        <v>96681</v>
      </c>
      <c r="I25" s="45">
        <f>SSCSource!M33</f>
        <v>0</v>
      </c>
      <c r="J25" s="45">
        <f t="shared" si="1"/>
        <v>1002370.66</v>
      </c>
      <c r="K25" s="50">
        <f>IF(ISNUMBER(agent!$O$6*$W25*$X25*E25),TRUNC(agent!$O$6*$W25*$X25*E25,3),"没有上级")</f>
        <v>0</v>
      </c>
      <c r="L25" s="50">
        <f>IF(ISNUMBER(agent!$O$9*$W25*E25*$X25),TRUNC(agent!$O$9*$W25*E25*$X25,3),"没有上级")</f>
        <v>0</v>
      </c>
      <c r="M25" s="50">
        <f>IF(ISNUMBER(agent!$O$12*$W25*E25*$X25),TRUNC(agent!$O$12*$W25*E25*$X25,3),"没有上级")</f>
        <v>0</v>
      </c>
      <c r="N25" s="50">
        <f>IF(ISNUMBER(agent!$O$15*$W25*E25*$X25),TRUNC(agent!$O$15*$W25*E25*$X25,3),"没有上级")</f>
        <v>0</v>
      </c>
      <c r="O25" s="50">
        <f>IF(ISNUMBER(agent!$O$18*$W25*E25*$X25),TRUNC(agent!$O$18*$W25*E25*$X25,3),"没有上级")</f>
        <v>0</v>
      </c>
      <c r="P25" s="50">
        <f>IF(ISNUMBER(agent!$O$21*$W25*E25*$X25),TRUNC(agent!$O$21*$W25*E25*$X25,3),"没有上级")</f>
        <v>0</v>
      </c>
      <c r="Q25" s="50">
        <f>IF(ISNUMBER(agent!$O$24*$W25*E25*$X25),TRUNC(agent!$O$24*$W25*E25*$X25,3),"没有上级")</f>
        <v>0</v>
      </c>
      <c r="R25" s="50">
        <f>IF(ISNUMBER(agent!$O$27*$W25*E25*$X25),TRUNC(agent!$O$27*$W25*E25*$X25,3),"没有上级")</f>
        <v>0</v>
      </c>
      <c r="S25" s="50">
        <f>IF(ISNUMBER(agent!$O$30*$W25*E25*$X25),TRUNC(agent!$O$30*$W25*E25*$X25,3),"没有上级")</f>
        <v>0</v>
      </c>
      <c r="T25" s="50">
        <f>IF(ISNUMBER(agent!$O$33*$W25*$X25*E25),TRUNC(agent!$O$33*$W25*$X25*E25,3),"没有上级")</f>
        <v>0</v>
      </c>
      <c r="U25" s="50">
        <f t="shared" si="2"/>
        <v>0</v>
      </c>
      <c r="V25" s="50"/>
      <c r="W25" s="36">
        <f>TRUNC(0.33325,3)</f>
        <v>0.33300000000000002</v>
      </c>
      <c r="X25" s="25">
        <f>SSCSource!N33</f>
        <v>0</v>
      </c>
      <c r="Y25" s="36">
        <f>TRUNC((Z25-(9.9-agent!$L$3)*W25*10),3)</f>
        <v>321.64499999999998</v>
      </c>
      <c r="Z25" s="49">
        <f t="shared" ref="Z25:Z27" si="8">TRUNC(300+99*W25,3)</f>
        <v>332.96699999999998</v>
      </c>
      <c r="AA25" s="48"/>
      <c r="AB25" s="48">
        <f t="shared" si="0"/>
        <v>321.64499999999998</v>
      </c>
    </row>
    <row r="26" spans="1:28" x14ac:dyDescent="0.15">
      <c r="A26" s="50">
        <f>agent!J$2</f>
        <v>151</v>
      </c>
      <c r="B26" s="45" t="s">
        <v>26</v>
      </c>
      <c r="C26" s="45" t="s">
        <v>30</v>
      </c>
      <c r="D26" s="45" t="str">
        <f>SSCSource!$O34</f>
        <v>218,181,312,132,231</v>
      </c>
      <c r="E26" s="45">
        <f>SSCSource!$R34</f>
        <v>3</v>
      </c>
      <c r="F26" s="45">
        <v>1</v>
      </c>
      <c r="G26" s="45">
        <f>SSCSource!$P34</f>
        <v>30</v>
      </c>
      <c r="H26" s="45">
        <f>SSCSource!K$2</f>
        <v>96681</v>
      </c>
      <c r="I26" s="45">
        <f>SSCSource!M34</f>
        <v>0</v>
      </c>
      <c r="J26" s="45">
        <f t="shared" si="1"/>
        <v>1002340.66</v>
      </c>
      <c r="K26" s="50">
        <f>IF(ISNUMBER(agent!$O$6*$W26*$X26*E26),TRUNC(agent!$O$6*$W26*$X26*E26,3),"没有上级")</f>
        <v>0</v>
      </c>
      <c r="L26" s="50">
        <f>IF(ISNUMBER(agent!$O$9*$W26*E26*$X26),TRUNC(agent!$O$9*$W26*E26*$X26,3),"没有上级")</f>
        <v>0</v>
      </c>
      <c r="M26" s="50">
        <f>IF(ISNUMBER(agent!$O$12*$W26*E26*$X26),TRUNC(agent!$O$12*$W26*E26*$X26,3),"没有上级")</f>
        <v>0</v>
      </c>
      <c r="N26" s="50">
        <f>IF(ISNUMBER(agent!$O$15*$W26*E26*$X26),TRUNC(agent!$O$15*$W26*E26*$X26,3),"没有上级")</f>
        <v>0</v>
      </c>
      <c r="O26" s="50">
        <f>IF(ISNUMBER(agent!$O$18*$W26*E26*$X26),TRUNC(agent!$O$18*$W26*E26*$X26,3),"没有上级")</f>
        <v>0</v>
      </c>
      <c r="P26" s="50">
        <f>IF(ISNUMBER(agent!$O$21*$W26*E26*$X26),TRUNC(agent!$O$21*$W26*E26*$X26,3),"没有上级")</f>
        <v>0</v>
      </c>
      <c r="Q26" s="50">
        <f>IF(ISNUMBER(agent!$O$24*$W26*E26*$X26),TRUNC(agent!$O$24*$W26*E26*$X26,3),"没有上级")</f>
        <v>0</v>
      </c>
      <c r="R26" s="50">
        <f>IF(ISNUMBER(agent!$O$27*$W26*E26*$X26),TRUNC(agent!$O$27*$W26*E26*$X26,3),"没有上级")</f>
        <v>0</v>
      </c>
      <c r="S26" s="50">
        <f>IF(ISNUMBER(agent!$O$30*$W26*E26*$X26),TRUNC(agent!$O$30*$W26*E26*$X26,3),"没有上级")</f>
        <v>0</v>
      </c>
      <c r="T26" s="50">
        <f>IF(ISNUMBER(agent!$O$33*$W26*$X26*E26),TRUNC(agent!$O$33*$W26*$X26*E26,3),"没有上级")</f>
        <v>0</v>
      </c>
      <c r="U26" s="50">
        <f t="shared" si="2"/>
        <v>0</v>
      </c>
      <c r="V26" s="50"/>
      <c r="W26" s="36">
        <f>TRUNC(0.33325,3)</f>
        <v>0.33300000000000002</v>
      </c>
      <c r="X26" s="25">
        <f>SSCSource!N34</f>
        <v>0</v>
      </c>
      <c r="Y26" s="36">
        <f>TRUNC((Z26-(9.9-agent!$L$3)*W26*10),3)</f>
        <v>321.64499999999998</v>
      </c>
      <c r="Z26" s="49">
        <f t="shared" si="8"/>
        <v>332.96699999999998</v>
      </c>
      <c r="AA26" s="48"/>
      <c r="AB26" s="48">
        <f t="shared" si="0"/>
        <v>321.64499999999998</v>
      </c>
    </row>
    <row r="27" spans="1:28" x14ac:dyDescent="0.15">
      <c r="A27" s="50">
        <f>agent!J$2</f>
        <v>151</v>
      </c>
      <c r="B27" s="45" t="s">
        <v>26</v>
      </c>
      <c r="C27" s="45" t="s">
        <v>23</v>
      </c>
      <c r="D27" s="45" t="str">
        <f>SSCSource!$O35</f>
        <v>8</v>
      </c>
      <c r="E27" s="45">
        <f>SSCSource!$R35</f>
        <v>4</v>
      </c>
      <c r="F27" s="45">
        <v>1</v>
      </c>
      <c r="G27" s="45">
        <f>SSCSource!$P35</f>
        <v>432</v>
      </c>
      <c r="H27" s="45">
        <f>SSCSource!K$2</f>
        <v>96681</v>
      </c>
      <c r="I27" s="45">
        <f>SSCSource!M35</f>
        <v>0</v>
      </c>
      <c r="J27" s="45">
        <f t="shared" si="1"/>
        <v>1001908.66</v>
      </c>
      <c r="K27" s="50">
        <f>IF(ISNUMBER(agent!$O$6*$W27*$X27*E27),TRUNC(agent!$O$6*$W27*$X27*E27,3),"没有上级")</f>
        <v>0</v>
      </c>
      <c r="L27" s="50">
        <f>IF(ISNUMBER(agent!$O$9*$W27*E27*$X27),TRUNC(agent!$O$9*$W27*E27*$X27,3),"没有上级")</f>
        <v>0</v>
      </c>
      <c r="M27" s="50">
        <f>IF(ISNUMBER(agent!$O$12*$W27*E27*$X27),TRUNC(agent!$O$12*$W27*E27*$X27,3),"没有上级")</f>
        <v>0</v>
      </c>
      <c r="N27" s="50">
        <f>IF(ISNUMBER(agent!$O$15*$W27*E27*$X27),TRUNC(agent!$O$15*$W27*E27*$X27,3),"没有上级")</f>
        <v>0</v>
      </c>
      <c r="O27" s="50">
        <f>IF(ISNUMBER(agent!$O$18*$W27*E27*$X27),TRUNC(agent!$O$18*$W27*E27*$X27,3),"没有上级")</f>
        <v>0</v>
      </c>
      <c r="P27" s="50">
        <f>IF(ISNUMBER(agent!$O$21*$W27*E27*$X27),TRUNC(agent!$O$21*$W27*E27*$X27,3),"没有上级")</f>
        <v>0</v>
      </c>
      <c r="Q27" s="50">
        <f>IF(ISNUMBER(agent!$O$24*$W27*E27*$X27),TRUNC(agent!$O$24*$W27*E27*$X27,3),"没有上级")</f>
        <v>0</v>
      </c>
      <c r="R27" s="50">
        <f>IF(ISNUMBER(agent!$O$27*$W27*E27*$X27),TRUNC(agent!$O$27*$W27*E27*$X27,3),"没有上级")</f>
        <v>0</v>
      </c>
      <c r="S27" s="50">
        <f>IF(ISNUMBER(agent!$O$30*$W27*E27*$X27),TRUNC(agent!$O$30*$W27*E27*$X27,3),"没有上级")</f>
        <v>0</v>
      </c>
      <c r="T27" s="50">
        <f>IF(ISNUMBER(agent!$O$33*$W27*$X27*E27),TRUNC(agent!$O$33*$W27*$X27*E27,3),"没有上级")</f>
        <v>0</v>
      </c>
      <c r="U27" s="50">
        <f t="shared" si="2"/>
        <v>0</v>
      </c>
      <c r="V27" s="50"/>
      <c r="W27" s="36">
        <f>TRUNC(0.33325,3)</f>
        <v>0.33300000000000002</v>
      </c>
      <c r="X27" s="25">
        <f>SSCSource!N35</f>
        <v>0</v>
      </c>
      <c r="Y27" s="36">
        <f>TRUNC((Z27-(9.9-agent!$L$3)*W27*10),3)</f>
        <v>321.64499999999998</v>
      </c>
      <c r="Z27" s="49">
        <f t="shared" si="8"/>
        <v>332.96699999999998</v>
      </c>
      <c r="AA27" s="48"/>
      <c r="AB27" s="48">
        <f t="shared" si="0"/>
        <v>321.64499999999998</v>
      </c>
    </row>
    <row r="28" spans="1:28" x14ac:dyDescent="0.15">
      <c r="A28" s="50">
        <f>agent!J$2</f>
        <v>151</v>
      </c>
      <c r="B28" s="45" t="s">
        <v>26</v>
      </c>
      <c r="C28" s="45" t="s">
        <v>31</v>
      </c>
      <c r="D28" s="45" t="str">
        <f>SSCSource!$O36</f>
        <v>118</v>
      </c>
      <c r="E28" s="45">
        <f>SSCSource!$R36</f>
        <v>3</v>
      </c>
      <c r="F28" s="45">
        <v>1</v>
      </c>
      <c r="G28" s="45">
        <f>SSCSource!$P36</f>
        <v>6</v>
      </c>
      <c r="H28" s="45">
        <f>SSCSource!K$2</f>
        <v>96681</v>
      </c>
      <c r="I28" s="45">
        <f>SSCSource!M36</f>
        <v>0</v>
      </c>
      <c r="J28" s="45">
        <f t="shared" si="1"/>
        <v>1001902.66</v>
      </c>
      <c r="K28" s="50">
        <f>IF(ISNUMBER(agent!$O$6*$W28*$X28*E28),TRUNC(agent!$O$6*$W28*$X28*E28,3),"没有上级")</f>
        <v>0</v>
      </c>
      <c r="L28" s="50">
        <f>IF(ISNUMBER(agent!$O$9*$W28*E28*$X28),TRUNC(agent!$O$9*$W28*E28*$X28,3),"没有上级")</f>
        <v>0</v>
      </c>
      <c r="M28" s="50">
        <f>IF(ISNUMBER(agent!$O$12*$W28*E28*$X28),TRUNC(agent!$O$12*$W28*E28*$X28,3),"没有上级")</f>
        <v>0</v>
      </c>
      <c r="N28" s="50">
        <f>IF(ISNUMBER(agent!$O$15*$W28*E28*$X28),TRUNC(agent!$O$15*$W28*E28*$X28,3),"没有上级")</f>
        <v>0</v>
      </c>
      <c r="O28" s="50">
        <f>IF(ISNUMBER(agent!$O$18*$W28*E28*$X28),TRUNC(agent!$O$18*$W28*E28*$X28,3),"没有上级")</f>
        <v>0</v>
      </c>
      <c r="P28" s="50">
        <f>IF(ISNUMBER(agent!$O$21*$W28*E28*$X28),TRUNC(agent!$O$21*$W28*E28*$X28,3),"没有上级")</f>
        <v>0</v>
      </c>
      <c r="Q28" s="50">
        <f>IF(ISNUMBER(agent!$O$24*$W28*E28*$X28),TRUNC(agent!$O$24*$W28*E28*$X28,3),"没有上级")</f>
        <v>0</v>
      </c>
      <c r="R28" s="50">
        <f>IF(ISNUMBER(agent!$O$27*$W28*E28*$X28),TRUNC(agent!$O$27*$W28*E28*$X28,3),"没有上级")</f>
        <v>0</v>
      </c>
      <c r="S28" s="50">
        <f>IF(ISNUMBER(agent!$O$30*$W28*E28*$X28),TRUNC(agent!$O$30*$W28*E28*$X28,3),"没有上级")</f>
        <v>0</v>
      </c>
      <c r="T28" s="50">
        <f>IF(ISNUMBER(agent!$O$33*$W28*$X28*E28),TRUNC(agent!$O$33*$W28*$X28*E28,3),"没有上级")</f>
        <v>0</v>
      </c>
      <c r="U28" s="50">
        <f t="shared" si="2"/>
        <v>0</v>
      </c>
      <c r="V28" s="50"/>
      <c r="W28" s="36">
        <f>TRUNC(0.666625,3)</f>
        <v>0.66600000000000004</v>
      </c>
      <c r="X28" s="25">
        <f>SSCSource!N36</f>
        <v>0</v>
      </c>
      <c r="Y28" s="36">
        <f>TRUNC((Z28-(9.9-agent!$L$3)*W28*10),3)</f>
        <v>643.29</v>
      </c>
      <c r="Z28" s="49">
        <f>TRUNC(600+99*W28,3)</f>
        <v>665.93399999999997</v>
      </c>
      <c r="AA28" s="48"/>
      <c r="AB28" s="48">
        <f t="shared" si="0"/>
        <v>643.29</v>
      </c>
    </row>
    <row r="29" spans="1:28" x14ac:dyDescent="0.15">
      <c r="A29" s="50">
        <f>agent!J$2</f>
        <v>151</v>
      </c>
      <c r="B29" s="45" t="s">
        <v>26</v>
      </c>
      <c r="C29" s="45" t="s">
        <v>32</v>
      </c>
      <c r="D29" s="45" t="str">
        <f>SSCSource!$O37</f>
        <v>811</v>
      </c>
      <c r="E29" s="45">
        <f>SSCSource!$R37</f>
        <v>2</v>
      </c>
      <c r="F29" s="45">
        <v>1</v>
      </c>
      <c r="G29" s="45">
        <f>SSCSource!$P37</f>
        <v>4</v>
      </c>
      <c r="H29" s="45">
        <f>SSCSource!K$2</f>
        <v>96681</v>
      </c>
      <c r="I29" s="45">
        <f>SSCSource!M37</f>
        <v>0</v>
      </c>
      <c r="J29" s="45">
        <f t="shared" si="1"/>
        <v>1001898.66</v>
      </c>
      <c r="K29" s="50">
        <f>IF(ISNUMBER(agent!$O$6*$W29*$X29*E29),TRUNC(agent!$O$6*$W29*$X29*E29,3),"没有上级")</f>
        <v>0</v>
      </c>
      <c r="L29" s="50">
        <f>IF(ISNUMBER(agent!$O$9*$W29*E29*$X29),TRUNC(agent!$O$9*$W29*E29*$X29,3),"没有上级")</f>
        <v>0</v>
      </c>
      <c r="M29" s="50">
        <f>IF(ISNUMBER(agent!$O$12*$W29*E29*$X29),TRUNC(agent!$O$12*$W29*E29*$X29,3),"没有上级")</f>
        <v>0</v>
      </c>
      <c r="N29" s="50">
        <f>IF(ISNUMBER(agent!$O$15*$W29*E29*$X29),TRUNC(agent!$O$15*$W29*E29*$X29,3),"没有上级")</f>
        <v>0</v>
      </c>
      <c r="O29" s="50">
        <f>IF(ISNUMBER(agent!$O$18*$W29*E29*$X29),TRUNC(agent!$O$18*$W29*E29*$X29,3),"没有上级")</f>
        <v>0</v>
      </c>
      <c r="P29" s="50">
        <f>IF(ISNUMBER(agent!$O$21*$W29*E29*$X29),TRUNC(agent!$O$21*$W29*E29*$X29,3),"没有上级")</f>
        <v>0</v>
      </c>
      <c r="Q29" s="50">
        <f>IF(ISNUMBER(agent!$O$24*$W29*E29*$X29),TRUNC(agent!$O$24*$W29*E29*$X29,3),"没有上级")</f>
        <v>0</v>
      </c>
      <c r="R29" s="50">
        <f>IF(ISNUMBER(agent!$O$27*$W29*E29*$X29),TRUNC(agent!$O$27*$W29*E29*$X29,3),"没有上级")</f>
        <v>0</v>
      </c>
      <c r="S29" s="50">
        <f>IF(ISNUMBER(agent!$O$30*$W29*E29*$X29),TRUNC(agent!$O$30*$W29*E29*$X29,3),"没有上级")</f>
        <v>0</v>
      </c>
      <c r="T29" s="50">
        <f>IF(ISNUMBER(agent!$O$33*$W29*$X29*E29),TRUNC(agent!$O$33*$W29*$X29*E29,3),"没有上级")</f>
        <v>0</v>
      </c>
      <c r="U29" s="50">
        <f t="shared" si="2"/>
        <v>0</v>
      </c>
      <c r="V29" s="50"/>
      <c r="W29" s="36">
        <f>TRUNC(0.33325,3)</f>
        <v>0.33300000000000002</v>
      </c>
      <c r="X29" s="25">
        <f>SSCSource!N37</f>
        <v>0</v>
      </c>
      <c r="Y29" s="36">
        <f>TRUNC((Z29-(9.9-agent!$L$3)*W29*10),3)</f>
        <v>321.64499999999998</v>
      </c>
      <c r="Z29" s="49">
        <f>TRUNC(300+99*W29,3)</f>
        <v>332.96699999999998</v>
      </c>
      <c r="AA29" s="48"/>
      <c r="AB29" s="48">
        <f t="shared" si="0"/>
        <v>321.64499999999998</v>
      </c>
    </row>
    <row r="30" spans="1:28" s="29" customFormat="1" x14ac:dyDescent="0.15">
      <c r="A30" s="50">
        <f>agent!J$2</f>
        <v>151</v>
      </c>
      <c r="B30" s="29" t="s">
        <v>26</v>
      </c>
      <c r="C30" s="29" t="s">
        <v>34</v>
      </c>
      <c r="D30" s="29" t="str">
        <f>SSCSource!$O38</f>
        <v>0 1 3 4 7 8 9</v>
      </c>
      <c r="E30" s="29">
        <f>SSCSource!$R38</f>
        <v>1</v>
      </c>
      <c r="F30" s="29">
        <v>1</v>
      </c>
      <c r="G30" s="29">
        <f>SSCSource!$P38</f>
        <v>14</v>
      </c>
      <c r="H30" s="29">
        <f>SSCSource!K$2</f>
        <v>96681</v>
      </c>
      <c r="I30" s="29">
        <f>SSCSource!M38</f>
        <v>7.0949999999999998</v>
      </c>
      <c r="J30" s="29">
        <f t="shared" si="1"/>
        <v>1001891.755</v>
      </c>
      <c r="K30" s="50">
        <f>IF(ISNUMBER(agent!$O$6*$W30*$X30*E30),TRUNC(agent!$O$6*$W30*$X30*E30,3),"没有上级")</f>
        <v>7.0000000000000001E-3</v>
      </c>
      <c r="L30" s="50">
        <f>IF(ISNUMBER(agent!$O$9*$W30*E30*$X30),TRUNC(agent!$O$9*$W30*E30*$X30,3),"没有上级")</f>
        <v>4.2000000000000003E-2</v>
      </c>
      <c r="M30" s="50">
        <f>IF(ISNUMBER(agent!$O$12*$W30*E30*$X30),TRUNC(agent!$O$12*$W30*E30*$X30,3),"没有上级")</f>
        <v>1.4E-2</v>
      </c>
      <c r="N30" s="50">
        <f>IF(ISNUMBER(agent!$O$15*$W30*E30*$X30),TRUNC(agent!$O$15*$W30*E30*$X30,3),"没有上级")</f>
        <v>2.8000000000000001E-2</v>
      </c>
      <c r="O30" s="50">
        <f>IF(ISNUMBER(agent!$O$18*$W30*E30*$X30),TRUNC(agent!$O$18*$W30*E30*$X30,3),"没有上级")</f>
        <v>2.1000000000000001E-2</v>
      </c>
      <c r="P30" s="50">
        <f>IF(ISNUMBER(agent!$O$21*$W30*E30*$X30),TRUNC(agent!$O$21*$W30*E30*$X30,3),"没有上级")</f>
        <v>7.0000000000000001E-3</v>
      </c>
      <c r="Q30" s="50">
        <f>IF(ISNUMBER(agent!$O$24*$W30*E30*$X30),TRUNC(agent!$O$24*$W30*E30*$X30,3),"没有上级")</f>
        <v>4.9000000000000002E-2</v>
      </c>
      <c r="R30" s="50">
        <f>IF(ISNUMBER(agent!$O$27*$W30*E30*$X30),TRUNC(agent!$O$27*$W30*E30*$X30,3),"没有上级")</f>
        <v>2.1000000000000001E-2</v>
      </c>
      <c r="S30" s="50">
        <f>IF(ISNUMBER(agent!$O$30*$W30*E30*$X30),TRUNC(agent!$O$30*$W30*E30*$X30,3),"没有上级")</f>
        <v>2.8000000000000001E-2</v>
      </c>
      <c r="T30" s="50">
        <f>IF(ISNUMBER(agent!$O$33*$W30*$X30*E30),TRUNC(agent!$O$33*$W30*$X30*E30,3),"没有上级")</f>
        <v>2.1000000000000001E-2</v>
      </c>
      <c r="U30" s="50">
        <f t="shared" si="2"/>
        <v>0.23799999999999999</v>
      </c>
      <c r="V30" s="50"/>
      <c r="W30" s="29">
        <f>TRUNC(0.007375,3)</f>
        <v>7.0000000000000001E-3</v>
      </c>
      <c r="X30" s="29">
        <f>SSCSource!N38</f>
        <v>1</v>
      </c>
      <c r="Y30" s="29">
        <f>TRUNC((Z30-(9.9-agent!$L$3)*W30*10),3)</f>
        <v>7.0949999999999998</v>
      </c>
      <c r="Z30" s="49">
        <f>TRUNC(6.64+99*W30,3)</f>
        <v>7.3330000000000002</v>
      </c>
      <c r="AA30" s="48"/>
      <c r="AB30" s="29">
        <f t="shared" si="0"/>
        <v>7.0949999999999998</v>
      </c>
    </row>
    <row r="31" spans="1:28" ht="12.75" customHeight="1" x14ac:dyDescent="0.15">
      <c r="A31" s="50">
        <f>agent!J$2</f>
        <v>151</v>
      </c>
      <c r="B31" s="45" t="s">
        <v>26</v>
      </c>
      <c r="C31" s="45" t="s">
        <v>35</v>
      </c>
      <c r="D31" s="45" t="str">
        <f>SSCSource!$O39</f>
        <v>2 3 4 5 6 7 8</v>
      </c>
      <c r="E31" s="45">
        <f>SSCSource!$R39</f>
        <v>4</v>
      </c>
      <c r="F31" s="45">
        <v>1</v>
      </c>
      <c r="G31" s="45">
        <f>SSCSource!$P39</f>
        <v>168</v>
      </c>
      <c r="H31" s="45">
        <f>SSCSource!K$2</f>
        <v>96681</v>
      </c>
      <c r="I31" s="45">
        <f>IF(ISNUMBER(SSCSource!M39),SSCSource!M39,0)</f>
        <v>0</v>
      </c>
      <c r="J31" s="45">
        <f t="shared" si="1"/>
        <v>1001723.755</v>
      </c>
      <c r="K31" s="50" t="str">
        <f>IF(ISNUMBER(agent!$O$6*$W31*$X31*E31),TRUNC(agent!$O$6*$W31*$X31*E31,3),"没有上级")</f>
        <v>没有上级</v>
      </c>
      <c r="L31" s="50" t="str">
        <f>IF(ISNUMBER(agent!$O$9*$W31*E31*$X31),TRUNC(agent!$O$9*$W31*E31*$X31,3),"没有上级")</f>
        <v>没有上级</v>
      </c>
      <c r="M31" s="50" t="str">
        <f>IF(ISNUMBER(agent!$O$12*$W31*E31*$X31),TRUNC(agent!$O$12*$W31*E31*$X31,3),"没有上级")</f>
        <v>没有上级</v>
      </c>
      <c r="N31" s="50" t="str">
        <f>IF(ISNUMBER(agent!$O$15*$W31*E31*$X31),TRUNC(agent!$O$15*$W31*E31*$X31,3),"没有上级")</f>
        <v>没有上级</v>
      </c>
      <c r="O31" s="50" t="str">
        <f>IF(ISNUMBER(agent!$O$18*$W31*E31*$X31),TRUNC(agent!$O$18*$W31*E31*$X31,3),"没有上级")</f>
        <v>没有上级</v>
      </c>
      <c r="P31" s="50" t="str">
        <f>IF(ISNUMBER(agent!$O$21*$W31*E31*$X31),TRUNC(agent!$O$21*$W31*E31*$X31,3),"没有上级")</f>
        <v>没有上级</v>
      </c>
      <c r="Q31" s="50" t="str">
        <f>IF(ISNUMBER(agent!$O$24*$W31*E31*$X31),TRUNC(agent!$O$24*$W31*E31*$X31,3),"没有上级")</f>
        <v>没有上级</v>
      </c>
      <c r="R31" s="50" t="str">
        <f>IF(ISNUMBER(agent!$O$27*$W31*E31*$X31),TRUNC(agent!$O$27*$W31*E31*$X31,3),"没有上级")</f>
        <v>没有上级</v>
      </c>
      <c r="S31" s="50" t="str">
        <f>IF(ISNUMBER(agent!$O$30*$W31*E31*$X31),TRUNC(agent!$O$30*$W31*E31*$X31,3),"没有上级")</f>
        <v>没有上级</v>
      </c>
      <c r="T31" s="50" t="str">
        <f>IF(ISNUMBER(agent!$O$33*$W31*$X31*E31),TRUNC(agent!$O$33*$W31*$X31*E31,3),"没有上级")</f>
        <v>没有上级</v>
      </c>
      <c r="U31" s="50">
        <f t="shared" si="2"/>
        <v>0</v>
      </c>
      <c r="V31" s="50"/>
      <c r="W31" s="25">
        <f>TRUNC(0.037,3)</f>
        <v>3.6999999999999998E-2</v>
      </c>
      <c r="X31" s="25" t="e">
        <f>SSCSource!N39</f>
        <v>#NUM!</v>
      </c>
      <c r="Y31" s="36">
        <f>TRUNC((Z31-(9.9-agent!$L$3)*W31*10),3)</f>
        <v>35.734999999999999</v>
      </c>
      <c r="Z31" s="49">
        <f>TRUNC(33.33+99*W31,3)</f>
        <v>36.993000000000002</v>
      </c>
      <c r="AA31" s="48"/>
      <c r="AB31" s="48">
        <f t="shared" si="0"/>
        <v>35.734999999999999</v>
      </c>
    </row>
    <row r="32" spans="1:28" x14ac:dyDescent="0.15">
      <c r="A32" s="50">
        <f>agent!J$2</f>
        <v>151</v>
      </c>
      <c r="B32" s="45" t="s">
        <v>36</v>
      </c>
      <c r="C32" s="45" t="s">
        <v>5</v>
      </c>
      <c r="D32" s="45" t="str">
        <f>SSCSource!$O40</f>
        <v>0 1 3 4 8 9,0 1 2 5 6 7,2 3 5 7 8 9</v>
      </c>
      <c r="E32" s="45">
        <f>SSCSource!$R40</f>
        <v>5</v>
      </c>
      <c r="F32" s="45">
        <v>1</v>
      </c>
      <c r="G32" s="45">
        <f>SSCSource!$P40</f>
        <v>2160</v>
      </c>
      <c r="H32" s="45">
        <f>SSCSource!K$2</f>
        <v>96681</v>
      </c>
      <c r="I32" s="45">
        <f>SSCSource!M40</f>
        <v>0</v>
      </c>
      <c r="J32" s="45">
        <f t="shared" si="1"/>
        <v>999563.755</v>
      </c>
      <c r="K32" s="50">
        <f>IF(ISNUMBER(agent!$O$6*$W32*$X32*E32),TRUNC(agent!$O$6*$W32*$X32*E32,3),"没有上级")</f>
        <v>0</v>
      </c>
      <c r="L32" s="50">
        <f>IF(ISNUMBER(agent!$O$9*$W32*E32*$X32),TRUNC(agent!$O$9*$W32*E32*$X32,3),"没有上级")</f>
        <v>0</v>
      </c>
      <c r="M32" s="50">
        <f>IF(ISNUMBER(agent!$O$12*$W32*E32*$X32),TRUNC(agent!$O$12*$W32*E32*$X32,3),"没有上级")</f>
        <v>0</v>
      </c>
      <c r="N32" s="50">
        <f>IF(ISNUMBER(agent!$O$15*$W32*E32*$X32),TRUNC(agent!$O$15*$W32*E32*$X32,3),"没有上级")</f>
        <v>0</v>
      </c>
      <c r="O32" s="50">
        <f>IF(ISNUMBER(agent!$O$18*$W32*E32*$X32),TRUNC(agent!$O$18*$W32*E32*$X32,3),"没有上级")</f>
        <v>0</v>
      </c>
      <c r="P32" s="50">
        <f>IF(ISNUMBER(agent!$O$21*$W32*E32*$X32),TRUNC(agent!$O$21*$W32*E32*$X32,3),"没有上级")</f>
        <v>0</v>
      </c>
      <c r="Q32" s="50">
        <f>IF(ISNUMBER(agent!$O$24*$W32*E32*$X32),TRUNC(agent!$O$24*$W32*E32*$X32,3),"没有上级")</f>
        <v>0</v>
      </c>
      <c r="R32" s="50">
        <f>IF(ISNUMBER(agent!$O$27*$W32*E32*$X32),TRUNC(agent!$O$27*$W32*E32*$X32,3),"没有上级")</f>
        <v>0</v>
      </c>
      <c r="S32" s="50">
        <f>IF(ISNUMBER(agent!$O$30*$W32*E32*$X32),TRUNC(agent!$O$30*$W32*E32*$X32,3),"没有上级")</f>
        <v>0</v>
      </c>
      <c r="T32" s="50">
        <f>IF(ISNUMBER(agent!$O$33*$W32*$X32*E32),TRUNC(agent!$O$33*$W32*$X32*E32,3),"没有上级")</f>
        <v>0</v>
      </c>
      <c r="U32" s="50">
        <f t="shared" si="2"/>
        <v>0</v>
      </c>
      <c r="V32" s="50"/>
      <c r="W32" s="25">
        <v>2</v>
      </c>
      <c r="X32" s="25">
        <f>SSCSource!N40</f>
        <v>0</v>
      </c>
      <c r="Y32" s="36">
        <f>TRUNC((Z32-(9.9-agent!$L$3)*W32*10),3)</f>
        <v>1930</v>
      </c>
      <c r="Z32" s="49">
        <f>TRUNC(1800+99*W32,3)</f>
        <v>1998</v>
      </c>
      <c r="AA32" s="48"/>
      <c r="AB32" s="48">
        <f t="shared" si="0"/>
        <v>1930</v>
      </c>
    </row>
    <row r="33" spans="1:28" x14ac:dyDescent="0.15">
      <c r="A33" s="50">
        <f>agent!J$2</f>
        <v>151</v>
      </c>
      <c r="B33" s="45" t="s">
        <v>36</v>
      </c>
      <c r="C33" s="45" t="s">
        <v>27</v>
      </c>
      <c r="D33" s="45" t="str">
        <f>SSCSource!$O43</f>
        <v>456,115</v>
      </c>
      <c r="E33" s="45">
        <f>SSCSource!$R43</f>
        <v>2</v>
      </c>
      <c r="F33" s="45">
        <v>1</v>
      </c>
      <c r="G33" s="45">
        <f>SSCSource!$P43</f>
        <v>8</v>
      </c>
      <c r="H33" s="45">
        <f>SSCSource!K$2</f>
        <v>96681</v>
      </c>
      <c r="I33" s="45">
        <f>SSCSource!M43</f>
        <v>0</v>
      </c>
      <c r="J33" s="45">
        <f t="shared" si="1"/>
        <v>999555.755</v>
      </c>
      <c r="K33" s="50">
        <f>IF(ISNUMBER(agent!$O$6*$W33*$X33*E33),TRUNC(agent!$O$6*$W33*$X33*E33,3),"没有上级")</f>
        <v>0</v>
      </c>
      <c r="L33" s="50">
        <f>IF(ISNUMBER(agent!$O$9*$W33*E33*$X33),TRUNC(agent!$O$9*$W33*E33*$X33,3),"没有上级")</f>
        <v>0</v>
      </c>
      <c r="M33" s="50">
        <f>IF(ISNUMBER(agent!$O$12*$W33*E33*$X33),TRUNC(agent!$O$12*$W33*E33*$X33,3),"没有上级")</f>
        <v>0</v>
      </c>
      <c r="N33" s="50">
        <f>IF(ISNUMBER(agent!$O$15*$W33*E33*$X33),TRUNC(agent!$O$15*$W33*E33*$X33,3),"没有上级")</f>
        <v>0</v>
      </c>
      <c r="O33" s="50">
        <f>IF(ISNUMBER(agent!$O$18*$W33*E33*$X33),TRUNC(agent!$O$18*$W33*E33*$X33,3),"没有上级")</f>
        <v>0</v>
      </c>
      <c r="P33" s="50">
        <f>IF(ISNUMBER(agent!$O$21*$W33*E33*$X33),TRUNC(agent!$O$21*$W33*E33*$X33,3),"没有上级")</f>
        <v>0</v>
      </c>
      <c r="Q33" s="50">
        <f>IF(ISNUMBER(agent!$O$24*$W33*E33*$X33),TRUNC(agent!$O$24*$W33*E33*$X33,3),"没有上级")</f>
        <v>0</v>
      </c>
      <c r="R33" s="50">
        <f>IF(ISNUMBER(agent!$O$27*$W33*E33*$X33),TRUNC(agent!$O$27*$W33*E33*$X33,3),"没有上级")</f>
        <v>0</v>
      </c>
      <c r="S33" s="50">
        <f>IF(ISNUMBER(agent!$O$30*$W33*E33*$X33),TRUNC(agent!$O$30*$W33*E33*$X33,3),"没有上级")</f>
        <v>0</v>
      </c>
      <c r="T33" s="50">
        <f>IF(ISNUMBER(agent!$O$33*$W33*$X33*E33),TRUNC(agent!$O$33*$W33*$X33*E33,3),"没有上级")</f>
        <v>0</v>
      </c>
      <c r="U33" s="50">
        <f t="shared" si="2"/>
        <v>0</v>
      </c>
      <c r="V33" s="50"/>
      <c r="W33" s="25">
        <v>2</v>
      </c>
      <c r="X33" s="25">
        <f>SSCSource!N43</f>
        <v>0</v>
      </c>
      <c r="Y33" s="36">
        <f>TRUNC((Z33-(9.9-agent!$L$3)*W33*10),3)</f>
        <v>1930</v>
      </c>
      <c r="Z33" s="49">
        <f t="shared" ref="Z33:Z35" si="9">TRUNC(1800+99*W33,3)</f>
        <v>1998</v>
      </c>
      <c r="AA33" s="48"/>
      <c r="AB33" s="48">
        <f t="shared" si="0"/>
        <v>1930</v>
      </c>
    </row>
    <row r="34" spans="1:28" ht="20.25" customHeight="1" x14ac:dyDescent="0.15">
      <c r="A34" s="50">
        <f>agent!J$2</f>
        <v>151</v>
      </c>
      <c r="B34" s="45" t="s">
        <v>36</v>
      </c>
      <c r="C34" s="45" t="s">
        <v>16</v>
      </c>
      <c r="D34" s="45" t="str">
        <f>SSCSource!$O44</f>
        <v>0 1 4 6 7 11 12 17 18</v>
      </c>
      <c r="E34" s="45">
        <f>SSCSource!$R44</f>
        <v>3</v>
      </c>
      <c r="F34" s="45">
        <v>1</v>
      </c>
      <c r="G34" s="45">
        <f>SSCSource!$P44</f>
        <v>2058</v>
      </c>
      <c r="H34" s="45">
        <f>SSCSource!K$2</f>
        <v>96681</v>
      </c>
      <c r="I34" s="45">
        <f>SSCSource!M44</f>
        <v>0</v>
      </c>
      <c r="J34" s="45">
        <f t="shared" si="1"/>
        <v>997497.755</v>
      </c>
      <c r="K34" s="50">
        <f>IF(ISNUMBER(agent!$O$6*$W34*$X34*E34),TRUNC(agent!$O$6*$W34*$X34*E34,3),"没有上级")</f>
        <v>0</v>
      </c>
      <c r="L34" s="50">
        <f>IF(ISNUMBER(agent!$O$9*$W34*E34*$X34),TRUNC(agent!$O$9*$W34*E34*$X34,3),"没有上级")</f>
        <v>0</v>
      </c>
      <c r="M34" s="50">
        <f>IF(ISNUMBER(agent!$O$12*$W34*E34*$X34),TRUNC(agent!$O$12*$W34*E34*$X34,3),"没有上级")</f>
        <v>0</v>
      </c>
      <c r="N34" s="50">
        <f>IF(ISNUMBER(agent!$O$15*$W34*E34*$X34),TRUNC(agent!$O$15*$W34*E34*$X34,3),"没有上级")</f>
        <v>0</v>
      </c>
      <c r="O34" s="50">
        <f>IF(ISNUMBER(agent!$O$18*$W34*E34*$X34),TRUNC(agent!$O$18*$W34*E34*$X34,3),"没有上级")</f>
        <v>0</v>
      </c>
      <c r="P34" s="50">
        <f>IF(ISNUMBER(agent!$O$21*$W34*E34*$X34),TRUNC(agent!$O$21*$W34*E34*$X34,3),"没有上级")</f>
        <v>0</v>
      </c>
      <c r="Q34" s="50">
        <f>IF(ISNUMBER(agent!$O$24*$W34*E34*$X34),TRUNC(agent!$O$24*$W34*E34*$X34,3),"没有上级")</f>
        <v>0</v>
      </c>
      <c r="R34" s="50">
        <f>IF(ISNUMBER(agent!$O$27*$W34*E34*$X34),TRUNC(agent!$O$27*$W34*E34*$X34,3),"没有上级")</f>
        <v>0</v>
      </c>
      <c r="S34" s="50">
        <f>IF(ISNUMBER(agent!$O$30*$W34*E34*$X34),TRUNC(agent!$O$30*$W34*E34*$X34,3),"没有上级")</f>
        <v>0</v>
      </c>
      <c r="T34" s="50">
        <f>IF(ISNUMBER(agent!$O$33*$W34*$X34*E34),TRUNC(agent!$O$33*$W34*$X34*E34,3),"没有上级")</f>
        <v>0</v>
      </c>
      <c r="U34" s="50">
        <f t="shared" si="2"/>
        <v>0</v>
      </c>
      <c r="V34" s="50"/>
      <c r="W34" s="25">
        <v>2</v>
      </c>
      <c r="X34" s="25">
        <f>SSCSource!N44</f>
        <v>0</v>
      </c>
      <c r="Y34" s="36">
        <f>TRUNC((Z34-(9.9-agent!$L$3)*W34*10),3)</f>
        <v>1930</v>
      </c>
      <c r="Z34" s="49">
        <f t="shared" si="9"/>
        <v>1998</v>
      </c>
      <c r="AA34" s="48"/>
      <c r="AB34" s="48">
        <f t="shared" ref="AB34:AB65" si="10">Y34+AA34/E34</f>
        <v>1930</v>
      </c>
    </row>
    <row r="35" spans="1:28" x14ac:dyDescent="0.15">
      <c r="A35" s="50">
        <f>agent!J$2</f>
        <v>151</v>
      </c>
      <c r="B35" s="45" t="s">
        <v>36</v>
      </c>
      <c r="C35" s="45" t="s">
        <v>18</v>
      </c>
      <c r="D35" s="45" t="str">
        <f>SSCSource!$O45</f>
        <v>0 1 2 4 7 8 9</v>
      </c>
      <c r="E35" s="45">
        <f>SSCSource!$R45</f>
        <v>5</v>
      </c>
      <c r="F35" s="45">
        <v>1</v>
      </c>
      <c r="G35" s="45">
        <f>SSCSource!$P45</f>
        <v>5800</v>
      </c>
      <c r="H35" s="45">
        <f>SSCSource!K$2</f>
        <v>96681</v>
      </c>
      <c r="I35" s="45">
        <f>SSCSource!M45</f>
        <v>9650</v>
      </c>
      <c r="J35" s="45">
        <f t="shared" ref="J35:J66" si="11">$J34-$G35+$I35</f>
        <v>1001347.755</v>
      </c>
      <c r="K35" s="50">
        <f>IF(ISNUMBER(agent!$O$6*$W35*$X35*E35),TRUNC(agent!$O$6*$W35*$X35*E35,3),"没有上级")</f>
        <v>10</v>
      </c>
      <c r="L35" s="50">
        <f>IF(ISNUMBER(agent!$O$9*$W35*E35*$X35),TRUNC(agent!$O$9*$W35*E35*$X35,3),"没有上级")</f>
        <v>60</v>
      </c>
      <c r="M35" s="50">
        <f>IF(ISNUMBER(agent!$O$12*$W35*E35*$X35),TRUNC(agent!$O$12*$W35*E35*$X35,3),"没有上级")</f>
        <v>20</v>
      </c>
      <c r="N35" s="50">
        <f>IF(ISNUMBER(agent!$O$15*$W35*E35*$X35),TRUNC(agent!$O$15*$W35*E35*$X35,3),"没有上级")</f>
        <v>40</v>
      </c>
      <c r="O35" s="50">
        <f>IF(ISNUMBER(agent!$O$18*$W35*E35*$X35),TRUNC(agent!$O$18*$W35*E35*$X35,3),"没有上级")</f>
        <v>30</v>
      </c>
      <c r="P35" s="50">
        <f>IF(ISNUMBER(agent!$O$21*$W35*E35*$X35),TRUNC(agent!$O$21*$W35*E35*$X35,3),"没有上级")</f>
        <v>10</v>
      </c>
      <c r="Q35" s="50">
        <f>IF(ISNUMBER(agent!$O$24*$W35*E35*$X35),TRUNC(agent!$O$24*$W35*E35*$X35,3),"没有上级")</f>
        <v>70</v>
      </c>
      <c r="R35" s="50">
        <f>IF(ISNUMBER(agent!$O$27*$W35*E35*$X35),TRUNC(agent!$O$27*$W35*E35*$X35,3),"没有上级")</f>
        <v>30</v>
      </c>
      <c r="S35" s="50">
        <f>IF(ISNUMBER(agent!$O$30*$W35*E35*$X35),TRUNC(agent!$O$30*$W35*E35*$X35,3),"没有上级")</f>
        <v>40</v>
      </c>
      <c r="T35" s="50">
        <f>IF(ISNUMBER(agent!$O$33*$W35*$X35*E35),TRUNC(agent!$O$33*$W35*$X35*E35,3),"没有上级")</f>
        <v>30</v>
      </c>
      <c r="U35" s="50">
        <f t="shared" si="2"/>
        <v>340</v>
      </c>
      <c r="V35" s="50"/>
      <c r="W35" s="25">
        <v>2</v>
      </c>
      <c r="X35" s="25">
        <f>SSCSource!N45</f>
        <v>1</v>
      </c>
      <c r="Y35" s="36">
        <f>TRUNC((Z35-(9.9-agent!$L$3)*W35*10),3)</f>
        <v>1930</v>
      </c>
      <c r="Z35" s="49">
        <f t="shared" si="9"/>
        <v>1998</v>
      </c>
      <c r="AA35" s="48"/>
      <c r="AB35" s="48">
        <f t="shared" si="10"/>
        <v>1930</v>
      </c>
    </row>
    <row r="36" spans="1:28" x14ac:dyDescent="0.15">
      <c r="A36" s="50">
        <f>agent!J$2</f>
        <v>151</v>
      </c>
      <c r="B36" s="45" t="s">
        <v>36</v>
      </c>
      <c r="C36" s="45" t="s">
        <v>22</v>
      </c>
      <c r="D36" s="45" t="str">
        <f>SSCSource!$O46</f>
        <v>1 7 8 13 18 20 26</v>
      </c>
      <c r="E36" s="45">
        <f>SSCSource!$R46</f>
        <v>4</v>
      </c>
      <c r="F36" s="45">
        <v>1</v>
      </c>
      <c r="G36" s="45">
        <f>SSCSource!$P46</f>
        <v>432</v>
      </c>
      <c r="H36" s="45">
        <f>SSCSource!K$2</f>
        <v>96681</v>
      </c>
      <c r="I36" s="45">
        <f>SSCSource!M46</f>
        <v>2573.16</v>
      </c>
      <c r="J36" s="45">
        <f t="shared" si="11"/>
        <v>1003488.915</v>
      </c>
      <c r="K36" s="50">
        <f>IF(ISNUMBER(agent!$O$6*$W36*$X36*E36),TRUNC(agent!$O$6*$W36*$X36*E36,3),"没有上级")</f>
        <v>1.3320000000000001</v>
      </c>
      <c r="L36" s="50">
        <f>IF(ISNUMBER(agent!$O$9*$W36*E36*$X36),TRUNC(agent!$O$9*$W36*E36*$X36,3),"没有上级")</f>
        <v>7.992</v>
      </c>
      <c r="M36" s="50">
        <f>IF(ISNUMBER(agent!$O$12*$W36*E36*$X36),TRUNC(agent!$O$12*$W36*E36*$X36,3),"没有上级")</f>
        <v>2.6640000000000001</v>
      </c>
      <c r="N36" s="50">
        <f>IF(ISNUMBER(agent!$O$15*$W36*E36*$X36),TRUNC(agent!$O$15*$W36*E36*$X36,3),"没有上级")</f>
        <v>5.3280000000000003</v>
      </c>
      <c r="O36" s="50">
        <f>IF(ISNUMBER(agent!$O$18*$W36*E36*$X36),TRUNC(agent!$O$18*$W36*E36*$X36,3),"没有上级")</f>
        <v>3.996</v>
      </c>
      <c r="P36" s="50">
        <f>IF(ISNUMBER(agent!$O$21*$W36*E36*$X36),TRUNC(agent!$O$21*$W36*E36*$X36,3),"没有上级")</f>
        <v>1.3320000000000001</v>
      </c>
      <c r="Q36" s="50">
        <f>IF(ISNUMBER(agent!$O$24*$W36*E36*$X36),TRUNC(agent!$O$24*$W36*E36*$X36,3),"没有上级")</f>
        <v>9.3239999999999998</v>
      </c>
      <c r="R36" s="50">
        <f>IF(ISNUMBER(agent!$O$27*$W36*E36*$X36),TRUNC(agent!$O$27*$W36*E36*$X36,3),"没有上级")</f>
        <v>3.996</v>
      </c>
      <c r="S36" s="50">
        <f>IF(ISNUMBER(agent!$O$30*$W36*E36*$X36),TRUNC(agent!$O$30*$W36*E36*$X36,3),"没有上级")</f>
        <v>5.3280000000000003</v>
      </c>
      <c r="T36" s="50">
        <f>IF(ISNUMBER(agent!$O$33*$W36*$X36*E36),TRUNC(agent!$O$33*$W36*$X36*E36,3),"没有上级")</f>
        <v>3.996</v>
      </c>
      <c r="U36" s="50">
        <f t="shared" si="2"/>
        <v>45.288000000000004</v>
      </c>
      <c r="V36" s="50"/>
      <c r="W36" s="36">
        <f>TRUNC(0.33325,3)</f>
        <v>0.33300000000000002</v>
      </c>
      <c r="X36" s="25">
        <f>SSCSource!N46</f>
        <v>1</v>
      </c>
      <c r="Y36" s="36">
        <f>TRUNC((Z36-(9.9-agent!$L$3)*W36*10),3)</f>
        <v>321.64499999999998</v>
      </c>
      <c r="Z36" s="49">
        <f>TRUNC(300+99*W36,3)</f>
        <v>332.96699999999998</v>
      </c>
      <c r="AA36" s="48"/>
      <c r="AB36" s="48">
        <f t="shared" si="10"/>
        <v>321.64499999999998</v>
      </c>
    </row>
    <row r="37" spans="1:28" x14ac:dyDescent="0.15">
      <c r="A37" s="50">
        <f>agent!J$2</f>
        <v>151</v>
      </c>
      <c r="B37" s="45" t="s">
        <v>36</v>
      </c>
      <c r="C37" s="45" t="s">
        <v>28</v>
      </c>
      <c r="D37" s="45" t="str">
        <f>SSCSource!$O47</f>
        <v>0 1 6 7 5 9</v>
      </c>
      <c r="E37" s="45">
        <f>SSCSource!$R47</f>
        <v>2</v>
      </c>
      <c r="F37" s="45">
        <v>1</v>
      </c>
      <c r="G37" s="45">
        <f>SSCSource!$P47</f>
        <v>120</v>
      </c>
      <c r="H37" s="45">
        <f>SSCSource!K$2</f>
        <v>96681</v>
      </c>
      <c r="I37" s="45">
        <f>SSCSource!M47</f>
        <v>0</v>
      </c>
      <c r="J37" s="45">
        <f t="shared" si="11"/>
        <v>1003368.915</v>
      </c>
      <c r="K37" s="50">
        <f>IF(ISNUMBER(agent!$O$6*$W37*$X37*E37),TRUNC(agent!$O$6*$W37*$X37*E37,3),"没有上级")</f>
        <v>0</v>
      </c>
      <c r="L37" s="50">
        <f>IF(ISNUMBER(agent!$O$9*$W37*E37*$X37),TRUNC(agent!$O$9*$W37*E37*$X37,3),"没有上级")</f>
        <v>0</v>
      </c>
      <c r="M37" s="50">
        <f>IF(ISNUMBER(agent!$O$12*$W37*E37*$X37),TRUNC(agent!$O$12*$W37*E37*$X37,3),"没有上级")</f>
        <v>0</v>
      </c>
      <c r="N37" s="50">
        <f>IF(ISNUMBER(agent!$O$15*$W37*E37*$X37),TRUNC(agent!$O$15*$W37*E37*$X37,3),"没有上级")</f>
        <v>0</v>
      </c>
      <c r="O37" s="50">
        <f>IF(ISNUMBER(agent!$O$18*$W37*E37*$X37),TRUNC(agent!$O$18*$W37*E37*$X37,3),"没有上级")</f>
        <v>0</v>
      </c>
      <c r="P37" s="50">
        <f>IF(ISNUMBER(agent!$O$21*$W37*E37*$X37),TRUNC(agent!$O$21*$W37*E37*$X37,3),"没有上级")</f>
        <v>0</v>
      </c>
      <c r="Q37" s="50">
        <f>IF(ISNUMBER(agent!$O$24*$W37*E37*$X37),TRUNC(agent!$O$24*$W37*E37*$X37,3),"没有上级")</f>
        <v>0</v>
      </c>
      <c r="R37" s="50">
        <f>IF(ISNUMBER(agent!$O$27*$W37*E37*$X37),TRUNC(agent!$O$27*$W37*E37*$X37,3),"没有上级")</f>
        <v>0</v>
      </c>
      <c r="S37" s="50">
        <f>IF(ISNUMBER(agent!$O$30*$W37*E37*$X37),TRUNC(agent!$O$30*$W37*E37*$X37,3),"没有上级")</f>
        <v>0</v>
      </c>
      <c r="T37" s="50">
        <f>IF(ISNUMBER(agent!$O$33*$W37*$X37*E37),TRUNC(agent!$O$33*$W37*$X37*E37,3),"没有上级")</f>
        <v>0</v>
      </c>
      <c r="U37" s="50">
        <f t="shared" si="2"/>
        <v>0</v>
      </c>
      <c r="V37" s="50"/>
      <c r="W37" s="36">
        <f>TRUNC(0.666625,3)</f>
        <v>0.66600000000000004</v>
      </c>
      <c r="X37" s="25">
        <f>SSCSource!N47</f>
        <v>0</v>
      </c>
      <c r="Y37" s="36">
        <f>TRUNC((Z37-(9.9-agent!$L$3)*W37*10),3)</f>
        <v>643.29</v>
      </c>
      <c r="Z37" s="49">
        <f>TRUNC(600+99*W37,3)</f>
        <v>665.93399999999997</v>
      </c>
      <c r="AA37" s="48"/>
      <c r="AB37" s="48">
        <f t="shared" si="10"/>
        <v>643.29</v>
      </c>
    </row>
    <row r="38" spans="1:28" x14ac:dyDescent="0.15">
      <c r="A38" s="50">
        <f>agent!J$2</f>
        <v>151</v>
      </c>
      <c r="B38" s="45" t="s">
        <v>36</v>
      </c>
      <c r="C38" s="45" t="s">
        <v>29</v>
      </c>
      <c r="D38" s="45" t="str">
        <f>SSCSource!$O48</f>
        <v>0 1 2 3 4 8 9</v>
      </c>
      <c r="E38" s="45">
        <f>SSCSource!$R48</f>
        <v>1</v>
      </c>
      <c r="F38" s="45">
        <v>1</v>
      </c>
      <c r="G38" s="45">
        <f>SSCSource!$P48</f>
        <v>70</v>
      </c>
      <c r="H38" s="45">
        <f>SSCSource!K$2</f>
        <v>96681</v>
      </c>
      <c r="I38" s="45">
        <f>SSCSource!M48</f>
        <v>0</v>
      </c>
      <c r="J38" s="45">
        <f t="shared" si="11"/>
        <v>1003298.915</v>
      </c>
      <c r="K38" s="50">
        <f>IF(ISNUMBER(agent!$O$6*$W38*$X38*E38),TRUNC(agent!$O$6*$W38*$X38*E38,3),"没有上级")</f>
        <v>0</v>
      </c>
      <c r="L38" s="50">
        <f>IF(ISNUMBER(agent!$O$9*$W38*E38*$X38),TRUNC(agent!$O$9*$W38*E38*$X38,3),"没有上级")</f>
        <v>0</v>
      </c>
      <c r="M38" s="50">
        <f>IF(ISNUMBER(agent!$O$12*$W38*E38*$X38),TRUNC(agent!$O$12*$W38*E38*$X38,3),"没有上级")</f>
        <v>0</v>
      </c>
      <c r="N38" s="50">
        <f>IF(ISNUMBER(agent!$O$15*$W38*E38*$X38),TRUNC(agent!$O$15*$W38*E38*$X38,3),"没有上级")</f>
        <v>0</v>
      </c>
      <c r="O38" s="50">
        <f>IF(ISNUMBER(agent!$O$18*$W38*E38*$X38),TRUNC(agent!$O$18*$W38*E38*$X38,3),"没有上级")</f>
        <v>0</v>
      </c>
      <c r="P38" s="50">
        <f>IF(ISNUMBER(agent!$O$21*$W38*E38*$X38),TRUNC(agent!$O$21*$W38*E38*$X38,3),"没有上级")</f>
        <v>0</v>
      </c>
      <c r="Q38" s="50">
        <f>IF(ISNUMBER(agent!$O$24*$W38*E38*$X38),TRUNC(agent!$O$24*$W38*E38*$X38,3),"没有上级")</f>
        <v>0</v>
      </c>
      <c r="R38" s="50">
        <f>IF(ISNUMBER(agent!$O$27*$W38*E38*$X38),TRUNC(agent!$O$27*$W38*E38*$X38,3),"没有上级")</f>
        <v>0</v>
      </c>
      <c r="S38" s="50">
        <f>IF(ISNUMBER(agent!$O$30*$W38*E38*$X38),TRUNC(agent!$O$30*$W38*E38*$X38,3),"没有上级")</f>
        <v>0</v>
      </c>
      <c r="T38" s="50">
        <f>IF(ISNUMBER(agent!$O$33*$W38*$X38*E38),TRUNC(agent!$O$33*$W38*$X38*E38,3),"没有上级")</f>
        <v>0</v>
      </c>
      <c r="U38" s="50">
        <f t="shared" si="2"/>
        <v>0</v>
      </c>
      <c r="V38" s="50"/>
      <c r="W38" s="36">
        <f>TRUNC(0.33325,3)</f>
        <v>0.33300000000000002</v>
      </c>
      <c r="X38" s="25">
        <f>SSCSource!N48</f>
        <v>0</v>
      </c>
      <c r="Y38" s="36">
        <f>TRUNC((Z38-(9.9-agent!$L$3)*W38*10),3)</f>
        <v>321.64499999999998</v>
      </c>
      <c r="Z38" s="49">
        <f t="shared" ref="Z38:Z40" si="12">TRUNC(300+99*W38,3)</f>
        <v>332.96699999999998</v>
      </c>
      <c r="AA38" s="48"/>
      <c r="AB38" s="48">
        <f t="shared" si="10"/>
        <v>321.64499999999998</v>
      </c>
    </row>
    <row r="39" spans="1:28" x14ac:dyDescent="0.15">
      <c r="A39" s="50">
        <f>agent!J$2</f>
        <v>151</v>
      </c>
      <c r="B39" s="45" t="s">
        <v>36</v>
      </c>
      <c r="C39" s="45" t="s">
        <v>30</v>
      </c>
      <c r="D39" s="45" t="str">
        <f>SSCSource!$O49</f>
        <v>151</v>
      </c>
      <c r="E39" s="45">
        <f>SSCSource!$R49</f>
        <v>3</v>
      </c>
      <c r="F39" s="45">
        <v>1</v>
      </c>
      <c r="G39" s="45">
        <f>SSCSource!$P49</f>
        <v>6</v>
      </c>
      <c r="H39" s="45">
        <f>SSCSource!K$2</f>
        <v>96681</v>
      </c>
      <c r="I39" s="45">
        <f>SSCSource!M49</f>
        <v>0</v>
      </c>
      <c r="J39" s="45">
        <f t="shared" si="11"/>
        <v>1003292.915</v>
      </c>
      <c r="K39" s="50">
        <f>IF(ISNUMBER(agent!$O$6*$W39*$X39*E39),TRUNC(agent!$O$6*$W39*$X39*E39,3),"没有上级")</f>
        <v>0</v>
      </c>
      <c r="L39" s="50">
        <f>IF(ISNUMBER(agent!$O$9*$W39*E39*$X39),TRUNC(agent!$O$9*$W39*E39*$X39,3),"没有上级")</f>
        <v>0</v>
      </c>
      <c r="M39" s="50">
        <f>IF(ISNUMBER(agent!$O$12*$W39*E39*$X39),TRUNC(agent!$O$12*$W39*E39*$X39,3),"没有上级")</f>
        <v>0</v>
      </c>
      <c r="N39" s="50">
        <f>IF(ISNUMBER(agent!$O$15*$W39*E39*$X39),TRUNC(agent!$O$15*$W39*E39*$X39,3),"没有上级")</f>
        <v>0</v>
      </c>
      <c r="O39" s="50">
        <f>IF(ISNUMBER(agent!$O$18*$W39*E39*$X39),TRUNC(agent!$O$18*$W39*E39*$X39,3),"没有上级")</f>
        <v>0</v>
      </c>
      <c r="P39" s="50">
        <f>IF(ISNUMBER(agent!$O$21*$W39*E39*$X39),TRUNC(agent!$O$21*$W39*E39*$X39,3),"没有上级")</f>
        <v>0</v>
      </c>
      <c r="Q39" s="50">
        <f>IF(ISNUMBER(agent!$O$24*$W39*E39*$X39),TRUNC(agent!$O$24*$W39*E39*$X39,3),"没有上级")</f>
        <v>0</v>
      </c>
      <c r="R39" s="50">
        <f>IF(ISNUMBER(agent!$O$27*$W39*E39*$X39),TRUNC(agent!$O$27*$W39*E39*$X39,3),"没有上级")</f>
        <v>0</v>
      </c>
      <c r="S39" s="50">
        <f>IF(ISNUMBER(agent!$O$30*$W39*E39*$X39),TRUNC(agent!$O$30*$W39*E39*$X39,3),"没有上级")</f>
        <v>0</v>
      </c>
      <c r="T39" s="50">
        <f>IF(ISNUMBER(agent!$O$33*$W39*$X39*E39),TRUNC(agent!$O$33*$W39*$X39*E39,3),"没有上级")</f>
        <v>0</v>
      </c>
      <c r="U39" s="50">
        <f t="shared" si="2"/>
        <v>0</v>
      </c>
      <c r="V39" s="50"/>
      <c r="W39" s="36">
        <f>TRUNC(0.33325,3)</f>
        <v>0.33300000000000002</v>
      </c>
      <c r="X39" s="25">
        <f>SSCSource!N49</f>
        <v>0</v>
      </c>
      <c r="Y39" s="36">
        <f>TRUNC((Z39-(9.9-agent!$L$3)*W39*10),3)</f>
        <v>321.64499999999998</v>
      </c>
      <c r="Z39" s="49">
        <f t="shared" si="12"/>
        <v>332.96699999999998</v>
      </c>
      <c r="AA39" s="48"/>
      <c r="AB39" s="48">
        <f t="shared" si="10"/>
        <v>321.64499999999998</v>
      </c>
    </row>
    <row r="40" spans="1:28" x14ac:dyDescent="0.15">
      <c r="A40" s="50">
        <f>agent!J$2</f>
        <v>151</v>
      </c>
      <c r="B40" s="45" t="s">
        <v>36</v>
      </c>
      <c r="C40" s="45" t="s">
        <v>23</v>
      </c>
      <c r="D40" s="45" t="str">
        <f>SSCSource!$O50</f>
        <v>5</v>
      </c>
      <c r="E40" s="45">
        <f>SSCSource!$R50</f>
        <v>5</v>
      </c>
      <c r="F40" s="45">
        <v>1</v>
      </c>
      <c r="G40" s="45">
        <f>SSCSource!$P50</f>
        <v>540</v>
      </c>
      <c r="H40" s="45">
        <f>SSCSource!K$2</f>
        <v>96681</v>
      </c>
      <c r="I40" s="45">
        <f>SSCSource!M50</f>
        <v>0</v>
      </c>
      <c r="J40" s="45">
        <f t="shared" si="11"/>
        <v>1002752.915</v>
      </c>
      <c r="K40" s="50">
        <f>IF(ISNUMBER(agent!$O$6*$W40*$X40*E40),TRUNC(agent!$O$6*$W40*$X40*E40,3),"没有上级")</f>
        <v>0</v>
      </c>
      <c r="L40" s="50">
        <f>IF(ISNUMBER(agent!$O$9*$W40*E40*$X40),TRUNC(agent!$O$9*$W40*E40*$X40,3),"没有上级")</f>
        <v>0</v>
      </c>
      <c r="M40" s="50">
        <f>IF(ISNUMBER(agent!$O$12*$W40*E40*$X40),TRUNC(agent!$O$12*$W40*E40*$X40,3),"没有上级")</f>
        <v>0</v>
      </c>
      <c r="N40" s="50">
        <f>IF(ISNUMBER(agent!$O$15*$W40*E40*$X40),TRUNC(agent!$O$15*$W40*E40*$X40,3),"没有上级")</f>
        <v>0</v>
      </c>
      <c r="O40" s="50">
        <f>IF(ISNUMBER(agent!$O$18*$W40*E40*$X40),TRUNC(agent!$O$18*$W40*E40*$X40,3),"没有上级")</f>
        <v>0</v>
      </c>
      <c r="P40" s="50">
        <f>IF(ISNUMBER(agent!$O$21*$W40*E40*$X40),TRUNC(agent!$O$21*$W40*E40*$X40,3),"没有上级")</f>
        <v>0</v>
      </c>
      <c r="Q40" s="50">
        <f>IF(ISNUMBER(agent!$O$24*$W40*E40*$X40),TRUNC(agent!$O$24*$W40*E40*$X40,3),"没有上级")</f>
        <v>0</v>
      </c>
      <c r="R40" s="50">
        <f>IF(ISNUMBER(agent!$O$27*$W40*E40*$X40),TRUNC(agent!$O$27*$W40*E40*$X40,3),"没有上级")</f>
        <v>0</v>
      </c>
      <c r="S40" s="50">
        <f>IF(ISNUMBER(agent!$O$30*$W40*E40*$X40),TRUNC(agent!$O$30*$W40*E40*$X40,3),"没有上级")</f>
        <v>0</v>
      </c>
      <c r="T40" s="50">
        <f>IF(ISNUMBER(agent!$O$33*$W40*$X40*E40),TRUNC(agent!$O$33*$W40*$X40*E40,3),"没有上级")</f>
        <v>0</v>
      </c>
      <c r="U40" s="50">
        <f t="shared" si="2"/>
        <v>0</v>
      </c>
      <c r="V40" s="50"/>
      <c r="W40" s="36">
        <f>TRUNC(0.33325,3)</f>
        <v>0.33300000000000002</v>
      </c>
      <c r="X40" s="25">
        <f>SSCSource!N50</f>
        <v>0</v>
      </c>
      <c r="Y40" s="36">
        <f>TRUNC((Z40-(9.9-agent!$L$3)*W40*10),3)</f>
        <v>321.64499999999998</v>
      </c>
      <c r="Z40" s="49">
        <f t="shared" si="12"/>
        <v>332.96699999999998</v>
      </c>
      <c r="AA40" s="48"/>
      <c r="AB40" s="48">
        <f t="shared" si="10"/>
        <v>321.64499999999998</v>
      </c>
    </row>
    <row r="41" spans="1:28" x14ac:dyDescent="0.15">
      <c r="A41" s="50">
        <f>agent!J$2</f>
        <v>151</v>
      </c>
      <c r="B41" s="45" t="s">
        <v>36</v>
      </c>
      <c r="C41" s="45" t="s">
        <v>31</v>
      </c>
      <c r="D41" s="45" t="str">
        <f>SSCSource!$O51</f>
        <v>151</v>
      </c>
      <c r="E41" s="45">
        <f>SSCSource!$R51</f>
        <v>4</v>
      </c>
      <c r="F41" s="45">
        <v>1</v>
      </c>
      <c r="G41" s="45">
        <f>SSCSource!$P51</f>
        <v>8</v>
      </c>
      <c r="H41" s="45">
        <f>SSCSource!K$2</f>
        <v>96681</v>
      </c>
      <c r="I41" s="45">
        <f>SSCSource!M51</f>
        <v>0</v>
      </c>
      <c r="J41" s="45">
        <f t="shared" si="11"/>
        <v>1002744.915</v>
      </c>
      <c r="K41" s="50">
        <f>IF(ISNUMBER(agent!$O$6*$W41*$X41*E41),TRUNC(agent!$O$6*$W41*$X41*E41,3),"没有上级")</f>
        <v>0</v>
      </c>
      <c r="L41" s="50">
        <f>IF(ISNUMBER(agent!$O$9*$W41*E41*$X41),TRUNC(agent!$O$9*$W41*E41*$X41,3),"没有上级")</f>
        <v>0</v>
      </c>
      <c r="M41" s="50">
        <f>IF(ISNUMBER(agent!$O$12*$W41*E41*$X41),TRUNC(agent!$O$12*$W41*E41*$X41,3),"没有上级")</f>
        <v>0</v>
      </c>
      <c r="N41" s="50">
        <f>IF(ISNUMBER(agent!$O$15*$W41*E41*$X41),TRUNC(agent!$O$15*$W41*E41*$X41,3),"没有上级")</f>
        <v>0</v>
      </c>
      <c r="O41" s="50">
        <f>IF(ISNUMBER(agent!$O$18*$W41*E41*$X41),TRUNC(agent!$O$18*$W41*E41*$X41,3),"没有上级")</f>
        <v>0</v>
      </c>
      <c r="P41" s="50">
        <f>IF(ISNUMBER(agent!$O$21*$W41*E41*$X41),TRUNC(agent!$O$21*$W41*E41*$X41,3),"没有上级")</f>
        <v>0</v>
      </c>
      <c r="Q41" s="50">
        <f>IF(ISNUMBER(agent!$O$24*$W41*E41*$X41),TRUNC(agent!$O$24*$W41*E41*$X41,3),"没有上级")</f>
        <v>0</v>
      </c>
      <c r="R41" s="50">
        <f>IF(ISNUMBER(agent!$O$27*$W41*E41*$X41),TRUNC(agent!$O$27*$W41*E41*$X41,3),"没有上级")</f>
        <v>0</v>
      </c>
      <c r="S41" s="50">
        <f>IF(ISNUMBER(agent!$O$30*$W41*E41*$X41),TRUNC(agent!$O$30*$W41*E41*$X41,3),"没有上级")</f>
        <v>0</v>
      </c>
      <c r="T41" s="50">
        <f>IF(ISNUMBER(agent!$O$33*$W41*$X41*E41),TRUNC(agent!$O$33*$W41*$X41*E41,3),"没有上级")</f>
        <v>0</v>
      </c>
      <c r="U41" s="50">
        <f t="shared" si="2"/>
        <v>0</v>
      </c>
      <c r="V41" s="50"/>
      <c r="W41" s="36">
        <f>TRUNC(0.666625,3)</f>
        <v>0.66600000000000004</v>
      </c>
      <c r="X41" s="25">
        <f>SSCSource!N51</f>
        <v>0</v>
      </c>
      <c r="Y41" s="36">
        <f>TRUNC((Z41-(9.9-agent!$L$3)*W41*10),3)</f>
        <v>643.29</v>
      </c>
      <c r="Z41" s="49">
        <f>TRUNC(600+99*W41,3)</f>
        <v>665.93399999999997</v>
      </c>
      <c r="AA41" s="48"/>
      <c r="AB41" s="48">
        <f t="shared" si="10"/>
        <v>643.29</v>
      </c>
    </row>
    <row r="42" spans="1:28" x14ac:dyDescent="0.15">
      <c r="A42" s="50">
        <f>agent!J$2</f>
        <v>151</v>
      </c>
      <c r="B42" s="45" t="s">
        <v>36</v>
      </c>
      <c r="C42" s="45" t="s">
        <v>32</v>
      </c>
      <c r="D42" s="45" t="str">
        <f>SSCSource!$O52</f>
        <v>115</v>
      </c>
      <c r="E42" s="45">
        <f>SSCSource!$R52</f>
        <v>5</v>
      </c>
      <c r="F42" s="45">
        <v>1</v>
      </c>
      <c r="G42" s="45">
        <f>SSCSource!$P52</f>
        <v>10</v>
      </c>
      <c r="H42" s="45">
        <f>SSCSource!K$2</f>
        <v>96681</v>
      </c>
      <c r="I42" s="45">
        <f>SSCSource!M52</f>
        <v>0</v>
      </c>
      <c r="J42" s="45">
        <f t="shared" si="11"/>
        <v>1002734.915</v>
      </c>
      <c r="K42" s="50">
        <f>IF(ISNUMBER(agent!$O$6*$W42*$X42*E42),TRUNC(agent!$O$6*$W42*$X42*E42,3),"没有上级")</f>
        <v>0</v>
      </c>
      <c r="L42" s="50">
        <f>IF(ISNUMBER(agent!$O$9*$W42*E42*$X42),TRUNC(agent!$O$9*$W42*E42*$X42,3),"没有上级")</f>
        <v>0</v>
      </c>
      <c r="M42" s="50">
        <f>IF(ISNUMBER(agent!$O$12*$W42*E42*$X42),TRUNC(agent!$O$12*$W42*E42*$X42,3),"没有上级")</f>
        <v>0</v>
      </c>
      <c r="N42" s="50">
        <f>IF(ISNUMBER(agent!$O$15*$W42*E42*$X42),TRUNC(agent!$O$15*$W42*E42*$X42,3),"没有上级")</f>
        <v>0</v>
      </c>
      <c r="O42" s="50">
        <f>IF(ISNUMBER(agent!$O$18*$W42*E42*$X42),TRUNC(agent!$O$18*$W42*E42*$X42,3),"没有上级")</f>
        <v>0</v>
      </c>
      <c r="P42" s="50">
        <f>IF(ISNUMBER(agent!$O$21*$W42*E42*$X42),TRUNC(agent!$O$21*$W42*E42*$X42,3),"没有上级")</f>
        <v>0</v>
      </c>
      <c r="Q42" s="50">
        <f>IF(ISNUMBER(agent!$O$24*$W42*E42*$X42),TRUNC(agent!$O$24*$W42*E42*$X42,3),"没有上级")</f>
        <v>0</v>
      </c>
      <c r="R42" s="50">
        <f>IF(ISNUMBER(agent!$O$27*$W42*E42*$X42),TRUNC(agent!$O$27*$W42*E42*$X42,3),"没有上级")</f>
        <v>0</v>
      </c>
      <c r="S42" s="50">
        <f>IF(ISNUMBER(agent!$O$30*$W42*E42*$X42),TRUNC(agent!$O$30*$W42*E42*$X42,3),"没有上级")</f>
        <v>0</v>
      </c>
      <c r="T42" s="50">
        <f>IF(ISNUMBER(agent!$O$33*$W42*$X42*E42),TRUNC(agent!$O$33*$W42*$X42*E42,3),"没有上级")</f>
        <v>0</v>
      </c>
      <c r="U42" s="50">
        <f t="shared" si="2"/>
        <v>0</v>
      </c>
      <c r="V42" s="50"/>
      <c r="W42" s="36">
        <f>TRUNC(0.33325,3)</f>
        <v>0.33300000000000002</v>
      </c>
      <c r="X42" s="25">
        <f>SSCSource!N52</f>
        <v>0</v>
      </c>
      <c r="Y42" s="36">
        <f>TRUNC((Z42-(9.9-agent!$L$3)*W42*10),3)</f>
        <v>321.64499999999998</v>
      </c>
      <c r="Z42" s="49">
        <f>TRUNC(300+99*W42,3)</f>
        <v>332.96699999999998</v>
      </c>
      <c r="AA42" s="48"/>
      <c r="AB42" s="48">
        <f t="shared" si="10"/>
        <v>321.64499999999998</v>
      </c>
    </row>
    <row r="43" spans="1:28" s="29" customFormat="1" x14ac:dyDescent="0.15">
      <c r="A43" s="50">
        <f>agent!J$2</f>
        <v>151</v>
      </c>
      <c r="B43" s="29" t="s">
        <v>36</v>
      </c>
      <c r="C43" s="29" t="s">
        <v>34</v>
      </c>
      <c r="D43" s="29" t="str">
        <f>SSCSource!$O53</f>
        <v>0 1 2 8 9</v>
      </c>
      <c r="E43" s="29">
        <f>SSCSource!$R53</f>
        <v>4</v>
      </c>
      <c r="F43" s="29">
        <v>1</v>
      </c>
      <c r="G43" s="29">
        <f>SSCSource!$P53</f>
        <v>40</v>
      </c>
      <c r="H43" s="29">
        <f>SSCSource!K$2</f>
        <v>96681</v>
      </c>
      <c r="I43" s="29">
        <f>SSCSource!M53</f>
        <v>28.38</v>
      </c>
      <c r="J43" s="29">
        <f t="shared" si="11"/>
        <v>1002723.295</v>
      </c>
      <c r="K43" s="50">
        <f>IF(ISNUMBER(agent!$O$6*$W43*$X43*E43),TRUNC(agent!$O$6*$W43*$X43*E43,3),"没有上级")</f>
        <v>2.8000000000000001E-2</v>
      </c>
      <c r="L43" s="50">
        <f>IF(ISNUMBER(agent!$O$9*$W43*E43*$X43),TRUNC(agent!$O$9*$W43*E43*$X43,3),"没有上级")</f>
        <v>0.16800000000000001</v>
      </c>
      <c r="M43" s="50">
        <f>IF(ISNUMBER(agent!$O$12*$W43*E43*$X43),TRUNC(agent!$O$12*$W43*E43*$X43,3),"没有上级")</f>
        <v>5.6000000000000001E-2</v>
      </c>
      <c r="N43" s="50">
        <f>IF(ISNUMBER(agent!$O$15*$W43*E43*$X43),TRUNC(agent!$O$15*$W43*E43*$X43,3),"没有上级")</f>
        <v>0.112</v>
      </c>
      <c r="O43" s="50">
        <f>IF(ISNUMBER(agent!$O$18*$W43*E43*$X43),TRUNC(agent!$O$18*$W43*E43*$X43,3),"没有上级")</f>
        <v>8.4000000000000005E-2</v>
      </c>
      <c r="P43" s="50">
        <f>IF(ISNUMBER(agent!$O$21*$W43*E43*$X43),TRUNC(agent!$O$21*$W43*E43*$X43,3),"没有上级")</f>
        <v>2.8000000000000001E-2</v>
      </c>
      <c r="Q43" s="50">
        <f>IF(ISNUMBER(agent!$O$24*$W43*E43*$X43),TRUNC(agent!$O$24*$W43*E43*$X43,3),"没有上级")</f>
        <v>0.19600000000000001</v>
      </c>
      <c r="R43" s="50">
        <f>IF(ISNUMBER(agent!$O$27*$W43*E43*$X43),TRUNC(agent!$O$27*$W43*E43*$X43,3),"没有上级")</f>
        <v>8.4000000000000005E-2</v>
      </c>
      <c r="S43" s="50">
        <f>IF(ISNUMBER(agent!$O$30*$W43*E43*$X43),TRUNC(agent!$O$30*$W43*E43*$X43,3),"没有上级")</f>
        <v>0.112</v>
      </c>
      <c r="T43" s="50">
        <f>IF(ISNUMBER(agent!$O$33*$W43*$X43*E43),TRUNC(agent!$O$33*$W43*$X43*E43,3),"没有上级")</f>
        <v>8.4000000000000005E-2</v>
      </c>
      <c r="U43" s="50">
        <f t="shared" si="2"/>
        <v>0.95199999999999996</v>
      </c>
      <c r="V43" s="50"/>
      <c r="W43" s="29">
        <f>TRUNC(0.007375,3)</f>
        <v>7.0000000000000001E-3</v>
      </c>
      <c r="X43" s="29">
        <f>SSCSource!N53</f>
        <v>1</v>
      </c>
      <c r="Y43" s="29">
        <f>TRUNC((Z43-(9.9-agent!$L$3)*W43*10),3)</f>
        <v>7.0949999999999998</v>
      </c>
      <c r="Z43" s="49">
        <f>TRUNC(6.64+99*W43,3)</f>
        <v>7.3330000000000002</v>
      </c>
      <c r="AA43" s="48"/>
      <c r="AB43" s="29">
        <f t="shared" si="10"/>
        <v>7.0949999999999998</v>
      </c>
    </row>
    <row r="44" spans="1:28" x14ac:dyDescent="0.15">
      <c r="A44" s="50">
        <f>agent!J$2</f>
        <v>151</v>
      </c>
      <c r="B44" s="45" t="s">
        <v>36</v>
      </c>
      <c r="C44" s="45" t="s">
        <v>35</v>
      </c>
      <c r="D44" s="45" t="str">
        <f>SSCSource!$O54</f>
        <v>1 7 5 9</v>
      </c>
      <c r="E44" s="45">
        <f>SSCSource!$R54</f>
        <v>2</v>
      </c>
      <c r="F44" s="45">
        <v>1</v>
      </c>
      <c r="G44" s="45">
        <f>SSCSource!$P54</f>
        <v>24</v>
      </c>
      <c r="H44" s="45">
        <f>SSCSource!K$2</f>
        <v>96681</v>
      </c>
      <c r="I44" s="48">
        <f>IF(ISNUMBER(SSCSource!M54),SSCSource!M54,0)</f>
        <v>0</v>
      </c>
      <c r="J44" s="45">
        <f t="shared" si="11"/>
        <v>1002699.295</v>
      </c>
      <c r="K44" s="50" t="str">
        <f>IF(ISNUMBER(agent!$O$6*$W44*$X44*E44),TRUNC(agent!$O$6*$W44*$X44*E44,3),"没有上级")</f>
        <v>没有上级</v>
      </c>
      <c r="L44" s="50" t="str">
        <f>IF(ISNUMBER(agent!$O$9*$W44*E44*$X44),TRUNC(agent!$O$9*$W44*E44*$X44,3),"没有上级")</f>
        <v>没有上级</v>
      </c>
      <c r="M44" s="50" t="str">
        <f>IF(ISNUMBER(agent!$O$12*$W44*E44*$X44),TRUNC(agent!$O$12*$W44*E44*$X44,3),"没有上级")</f>
        <v>没有上级</v>
      </c>
      <c r="N44" s="50" t="str">
        <f>IF(ISNUMBER(agent!$O$15*$W44*E44*$X44),TRUNC(agent!$O$15*$W44*E44*$X44,3),"没有上级")</f>
        <v>没有上级</v>
      </c>
      <c r="O44" s="50" t="str">
        <f>IF(ISNUMBER(agent!$O$18*$W44*E44*$X44),TRUNC(agent!$O$18*$W44*E44*$X44,3),"没有上级")</f>
        <v>没有上级</v>
      </c>
      <c r="P44" s="50" t="str">
        <f>IF(ISNUMBER(agent!$O$21*$W44*E44*$X44),TRUNC(agent!$O$21*$W44*E44*$X44,3),"没有上级")</f>
        <v>没有上级</v>
      </c>
      <c r="Q44" s="50" t="str">
        <f>IF(ISNUMBER(agent!$O$24*$W44*E44*$X44),TRUNC(agent!$O$24*$W44*E44*$X44,3),"没有上级")</f>
        <v>没有上级</v>
      </c>
      <c r="R44" s="50" t="str">
        <f>IF(ISNUMBER(agent!$O$27*$W44*E44*$X44),TRUNC(agent!$O$27*$W44*E44*$X44,3),"没有上级")</f>
        <v>没有上级</v>
      </c>
      <c r="S44" s="50" t="str">
        <f>IF(ISNUMBER(agent!$O$30*$W44*E44*$X44),TRUNC(agent!$O$30*$W44*E44*$X44,3),"没有上级")</f>
        <v>没有上级</v>
      </c>
      <c r="T44" s="50" t="str">
        <f>IF(ISNUMBER(agent!$O$33*$W44*$X44*E44),TRUNC(agent!$O$33*$W44*$X44*E44,3),"没有上级")</f>
        <v>没有上级</v>
      </c>
      <c r="U44" s="50">
        <f t="shared" si="2"/>
        <v>0</v>
      </c>
      <c r="V44" s="50"/>
      <c r="W44" s="36">
        <f>TRUNC(0.037,3)</f>
        <v>3.6999999999999998E-2</v>
      </c>
      <c r="X44" s="25" t="e">
        <f>SSCSource!N54</f>
        <v>#NUM!</v>
      </c>
      <c r="Y44" s="36">
        <f>TRUNC((Z44-(9.9-agent!$L$3)*W44*10),3)</f>
        <v>35.734999999999999</v>
      </c>
      <c r="Z44" s="49">
        <f>TRUNC(33.33+99*W44,3)</f>
        <v>36.993000000000002</v>
      </c>
      <c r="AA44" s="48"/>
      <c r="AB44" s="48">
        <f t="shared" si="10"/>
        <v>35.734999999999999</v>
      </c>
    </row>
    <row r="45" spans="1:28" x14ac:dyDescent="0.15">
      <c r="A45" s="50">
        <f>agent!J$2</f>
        <v>151</v>
      </c>
      <c r="B45" s="45" t="s">
        <v>37</v>
      </c>
      <c r="C45" s="45" t="s">
        <v>5</v>
      </c>
      <c r="D45" s="45" t="str">
        <f>SSCSource!$O55</f>
        <v>1 2 6 7 8,1 3 4 5 6 7,0 1 2 5 6 7 8 9</v>
      </c>
      <c r="E45" s="45">
        <f>SSCSource!$R55</f>
        <v>3</v>
      </c>
      <c r="F45" s="45">
        <v>1</v>
      </c>
      <c r="G45" s="45">
        <f>SSCSource!$P55</f>
        <v>1440</v>
      </c>
      <c r="H45" s="45">
        <f>SSCSource!K$2</f>
        <v>96681</v>
      </c>
      <c r="I45" s="45">
        <f>SSCSource!M55</f>
        <v>0</v>
      </c>
      <c r="J45" s="45">
        <f t="shared" si="11"/>
        <v>1001259.295</v>
      </c>
      <c r="K45" s="50">
        <f>IF(ISNUMBER(agent!$O$6*$W45*$X45*E45),TRUNC(agent!$O$6*$W45*$X45*E45,3),"没有上级")</f>
        <v>0</v>
      </c>
      <c r="L45" s="50">
        <f>IF(ISNUMBER(agent!$O$9*$W45*E45*$X45),TRUNC(agent!$O$9*$W45*E45*$X45,3),"没有上级")</f>
        <v>0</v>
      </c>
      <c r="M45" s="50">
        <f>IF(ISNUMBER(agent!$O$12*$W45*E45*$X45),TRUNC(agent!$O$12*$W45*E45*$X45,3),"没有上级")</f>
        <v>0</v>
      </c>
      <c r="N45" s="50">
        <f>IF(ISNUMBER(agent!$O$15*$W45*E45*$X45),TRUNC(agent!$O$15*$W45*E45*$X45,3),"没有上级")</f>
        <v>0</v>
      </c>
      <c r="O45" s="50">
        <f>IF(ISNUMBER(agent!$O$18*$W45*E45*$X45),TRUNC(agent!$O$18*$W45*E45*$X45,3),"没有上级")</f>
        <v>0</v>
      </c>
      <c r="P45" s="50">
        <f>IF(ISNUMBER(agent!$O$21*$W45*E45*$X45),TRUNC(agent!$O$21*$W45*E45*$X45,3),"没有上级")</f>
        <v>0</v>
      </c>
      <c r="Q45" s="50">
        <f>IF(ISNUMBER(agent!$O$24*$W45*E45*$X45),TRUNC(agent!$O$24*$W45*E45*$X45,3),"没有上级")</f>
        <v>0</v>
      </c>
      <c r="R45" s="50">
        <f>IF(ISNUMBER(agent!$O$27*$W45*E45*$X45),TRUNC(agent!$O$27*$W45*E45*$X45,3),"没有上级")</f>
        <v>0</v>
      </c>
      <c r="S45" s="50">
        <f>IF(ISNUMBER(agent!$O$30*$W45*E45*$X45),TRUNC(agent!$O$30*$W45*E45*$X45,3),"没有上级")</f>
        <v>0</v>
      </c>
      <c r="T45" s="50">
        <f>IF(ISNUMBER(agent!$O$33*$W45*$X45*E45),TRUNC(agent!$O$33*$W45*$X45*E45,3),"没有上级")</f>
        <v>0</v>
      </c>
      <c r="U45" s="50">
        <f t="shared" si="2"/>
        <v>0</v>
      </c>
      <c r="V45" s="50"/>
      <c r="W45" s="25">
        <v>2</v>
      </c>
      <c r="X45" s="25">
        <f>SSCSource!N55</f>
        <v>0</v>
      </c>
      <c r="Y45" s="36">
        <f>TRUNC((Z45-(9.9-agent!$L$3)*W45*10),3)</f>
        <v>1930</v>
      </c>
      <c r="Z45" s="49">
        <f>TRUNC(1800+99*W45,3)</f>
        <v>1998</v>
      </c>
      <c r="AA45" s="48"/>
      <c r="AB45" s="48">
        <f t="shared" si="10"/>
        <v>1930</v>
      </c>
    </row>
    <row r="46" spans="1:28" x14ac:dyDescent="0.15">
      <c r="A46" s="50">
        <f>agent!J$2</f>
        <v>151</v>
      </c>
      <c r="B46" s="45" t="s">
        <v>37</v>
      </c>
      <c r="C46" s="45" t="s">
        <v>27</v>
      </c>
      <c r="D46" s="45" t="str">
        <f>SSCSource!$O58</f>
        <v>158</v>
      </c>
      <c r="E46" s="45">
        <f>SSCSource!$R58</f>
        <v>1</v>
      </c>
      <c r="F46" s="45">
        <v>1</v>
      </c>
      <c r="G46" s="45">
        <f>SSCSource!$P58</f>
        <v>2</v>
      </c>
      <c r="H46" s="45">
        <f>SSCSource!K$2</f>
        <v>96681</v>
      </c>
      <c r="I46" s="45">
        <f>SSCSource!M58</f>
        <v>0</v>
      </c>
      <c r="J46" s="45">
        <f t="shared" si="11"/>
        <v>1001257.295</v>
      </c>
      <c r="K46" s="50">
        <f>IF(ISNUMBER(agent!$O$6*$W46*$X46*E46),TRUNC(agent!$O$6*$W46*$X46*E46,3),"没有上级")</f>
        <v>0</v>
      </c>
      <c r="L46" s="50">
        <f>IF(ISNUMBER(agent!$O$9*$W46*E46*$X46),TRUNC(agent!$O$9*$W46*E46*$X46,3),"没有上级")</f>
        <v>0</v>
      </c>
      <c r="M46" s="50">
        <f>IF(ISNUMBER(agent!$O$12*$W46*E46*$X46),TRUNC(agent!$O$12*$W46*E46*$X46,3),"没有上级")</f>
        <v>0</v>
      </c>
      <c r="N46" s="50">
        <f>IF(ISNUMBER(agent!$O$15*$W46*E46*$X46),TRUNC(agent!$O$15*$W46*E46*$X46,3),"没有上级")</f>
        <v>0</v>
      </c>
      <c r="O46" s="50">
        <f>IF(ISNUMBER(agent!$O$18*$W46*E46*$X46),TRUNC(agent!$O$18*$W46*E46*$X46,3),"没有上级")</f>
        <v>0</v>
      </c>
      <c r="P46" s="50">
        <f>IF(ISNUMBER(agent!$O$21*$W46*E46*$X46),TRUNC(agent!$O$21*$W46*E46*$X46,3),"没有上级")</f>
        <v>0</v>
      </c>
      <c r="Q46" s="50">
        <f>IF(ISNUMBER(agent!$O$24*$W46*E46*$X46),TRUNC(agent!$O$24*$W46*E46*$X46,3),"没有上级")</f>
        <v>0</v>
      </c>
      <c r="R46" s="50">
        <f>IF(ISNUMBER(agent!$O$27*$W46*E46*$X46),TRUNC(agent!$O$27*$W46*E46*$X46,3),"没有上级")</f>
        <v>0</v>
      </c>
      <c r="S46" s="50">
        <f>IF(ISNUMBER(agent!$O$30*$W46*E46*$X46),TRUNC(agent!$O$30*$W46*E46*$X46,3),"没有上级")</f>
        <v>0</v>
      </c>
      <c r="T46" s="50">
        <f>IF(ISNUMBER(agent!$O$33*$W46*$X46*E46),TRUNC(agent!$O$33*$W46*$X46*E46,3),"没有上级")</f>
        <v>0</v>
      </c>
      <c r="U46" s="50">
        <f t="shared" si="2"/>
        <v>0</v>
      </c>
      <c r="V46" s="50"/>
      <c r="W46" s="25">
        <v>2</v>
      </c>
      <c r="X46" s="25">
        <f>SSCSource!N58</f>
        <v>0</v>
      </c>
      <c r="Y46" s="36">
        <f>TRUNC((Z46-(9.9-agent!$L$3)*W46*10),3)</f>
        <v>1930</v>
      </c>
      <c r="Z46" s="49">
        <f t="shared" ref="Z46:Z48" si="13">TRUNC(1800+99*W46,3)</f>
        <v>1998</v>
      </c>
      <c r="AA46" s="48"/>
      <c r="AB46" s="48">
        <f t="shared" si="10"/>
        <v>1930</v>
      </c>
    </row>
    <row r="47" spans="1:28" x14ac:dyDescent="0.15">
      <c r="A47" s="50">
        <f>agent!J$2</f>
        <v>151</v>
      </c>
      <c r="B47" s="45" t="s">
        <v>37</v>
      </c>
      <c r="C47" s="45" t="s">
        <v>16</v>
      </c>
      <c r="D47" s="45" t="str">
        <f>SSCSource!$O59</f>
        <v>1 2 3 9 10 11 14</v>
      </c>
      <c r="E47" s="45">
        <f>SSCSource!$R59</f>
        <v>2</v>
      </c>
      <c r="F47" s="45">
        <v>1</v>
      </c>
      <c r="G47" s="45">
        <f>SSCSource!$P59</f>
        <v>1124</v>
      </c>
      <c r="H47" s="45">
        <f>SSCSource!K$2</f>
        <v>96681</v>
      </c>
      <c r="I47" s="45">
        <f>SSCSource!M59</f>
        <v>0</v>
      </c>
      <c r="J47" s="45">
        <f t="shared" si="11"/>
        <v>1000133.295</v>
      </c>
      <c r="K47" s="50">
        <f>IF(ISNUMBER(agent!$O$6*$W47*$X47*E47),TRUNC(agent!$O$6*$W47*$X47*E47,3),"没有上级")</f>
        <v>0</v>
      </c>
      <c r="L47" s="50">
        <f>IF(ISNUMBER(agent!$O$9*$W47*E47*$X47),TRUNC(agent!$O$9*$W47*E47*$X47,3),"没有上级")</f>
        <v>0</v>
      </c>
      <c r="M47" s="50">
        <f>IF(ISNUMBER(agent!$O$12*$W47*E47*$X47),TRUNC(agent!$O$12*$W47*E47*$X47,3),"没有上级")</f>
        <v>0</v>
      </c>
      <c r="N47" s="50">
        <f>IF(ISNUMBER(agent!$O$15*$W47*E47*$X47),TRUNC(agent!$O$15*$W47*E47*$X47,3),"没有上级")</f>
        <v>0</v>
      </c>
      <c r="O47" s="50">
        <f>IF(ISNUMBER(agent!$O$18*$W47*E47*$X47),TRUNC(agent!$O$18*$W47*E47*$X47,3),"没有上级")</f>
        <v>0</v>
      </c>
      <c r="P47" s="50">
        <f>IF(ISNUMBER(agent!$O$21*$W47*E47*$X47),TRUNC(agent!$O$21*$W47*E47*$X47,3),"没有上级")</f>
        <v>0</v>
      </c>
      <c r="Q47" s="50">
        <f>IF(ISNUMBER(agent!$O$24*$W47*E47*$X47),TRUNC(agent!$O$24*$W47*E47*$X47,3),"没有上级")</f>
        <v>0</v>
      </c>
      <c r="R47" s="50">
        <f>IF(ISNUMBER(agent!$O$27*$W47*E47*$X47),TRUNC(agent!$O$27*$W47*E47*$X47,3),"没有上级")</f>
        <v>0</v>
      </c>
      <c r="S47" s="50">
        <f>IF(ISNUMBER(agent!$O$30*$W47*E47*$X47),TRUNC(agent!$O$30*$W47*E47*$X47,3),"没有上级")</f>
        <v>0</v>
      </c>
      <c r="T47" s="50">
        <f>IF(ISNUMBER(agent!$O$33*$W47*$X47*E47),TRUNC(agent!$O$33*$W47*$X47*E47,3),"没有上级")</f>
        <v>0</v>
      </c>
      <c r="U47" s="50">
        <f t="shared" si="2"/>
        <v>0</v>
      </c>
      <c r="V47" s="50"/>
      <c r="W47" s="25">
        <v>2</v>
      </c>
      <c r="X47" s="25">
        <f>SSCSource!N59</f>
        <v>0</v>
      </c>
      <c r="Y47" s="36">
        <f>TRUNC((Z47-(9.9-agent!$L$3)*W47*10),3)</f>
        <v>1930</v>
      </c>
      <c r="Z47" s="49">
        <f t="shared" si="13"/>
        <v>1998</v>
      </c>
      <c r="AA47" s="48"/>
      <c r="AB47" s="48">
        <f t="shared" si="10"/>
        <v>1930</v>
      </c>
    </row>
    <row r="48" spans="1:28" x14ac:dyDescent="0.15">
      <c r="A48" s="50">
        <f>agent!J$2</f>
        <v>151</v>
      </c>
      <c r="B48" s="45" t="s">
        <v>37</v>
      </c>
      <c r="C48" s="45" t="s">
        <v>18</v>
      </c>
      <c r="D48" s="45" t="str">
        <f>SSCSource!$O60</f>
        <v>0 1 3 5 6 7 9</v>
      </c>
      <c r="E48" s="45">
        <f>SSCSource!$R60</f>
        <v>1</v>
      </c>
      <c r="F48" s="45">
        <v>1</v>
      </c>
      <c r="G48" s="45">
        <f>SSCSource!$P60</f>
        <v>1328</v>
      </c>
      <c r="H48" s="45">
        <f>SSCSource!K$2</f>
        <v>96681</v>
      </c>
      <c r="I48" s="45">
        <f>SSCSource!M60</f>
        <v>1930</v>
      </c>
      <c r="J48" s="45">
        <f t="shared" si="11"/>
        <v>1000735.295</v>
      </c>
      <c r="K48" s="50">
        <f>IF(ISNUMBER(agent!$O$6*$W48*$X48*E48),TRUNC(agent!$O$6*$W48*$X48*E48,3),"没有上级")</f>
        <v>2</v>
      </c>
      <c r="L48" s="50">
        <f>IF(ISNUMBER(agent!$O$9*$W48*E48*$X48),TRUNC(agent!$O$9*$W48*E48*$X48,3),"没有上级")</f>
        <v>12</v>
      </c>
      <c r="M48" s="50">
        <f>IF(ISNUMBER(agent!$O$12*$W48*E48*$X48),TRUNC(agent!$O$12*$W48*E48*$X48,3),"没有上级")</f>
        <v>4</v>
      </c>
      <c r="N48" s="50">
        <f>IF(ISNUMBER(agent!$O$15*$W48*E48*$X48),TRUNC(agent!$O$15*$W48*E48*$X48,3),"没有上级")</f>
        <v>8</v>
      </c>
      <c r="O48" s="50">
        <f>IF(ISNUMBER(agent!$O$18*$W48*E48*$X48),TRUNC(agent!$O$18*$W48*E48*$X48,3),"没有上级")</f>
        <v>6</v>
      </c>
      <c r="P48" s="50">
        <f>IF(ISNUMBER(agent!$O$21*$W48*E48*$X48),TRUNC(agent!$O$21*$W48*E48*$X48,3),"没有上级")</f>
        <v>2</v>
      </c>
      <c r="Q48" s="50">
        <f>IF(ISNUMBER(agent!$O$24*$W48*E48*$X48),TRUNC(agent!$O$24*$W48*E48*$X48,3),"没有上级")</f>
        <v>14</v>
      </c>
      <c r="R48" s="50">
        <f>IF(ISNUMBER(agent!$O$27*$W48*E48*$X48),TRUNC(agent!$O$27*$W48*E48*$X48,3),"没有上级")</f>
        <v>6</v>
      </c>
      <c r="S48" s="50">
        <f>IF(ISNUMBER(agent!$O$30*$W48*E48*$X48),TRUNC(agent!$O$30*$W48*E48*$X48,3),"没有上级")</f>
        <v>8</v>
      </c>
      <c r="T48" s="50">
        <f>IF(ISNUMBER(agent!$O$33*$W48*$X48*E48),TRUNC(agent!$O$33*$W48*$X48*E48,3),"没有上级")</f>
        <v>6</v>
      </c>
      <c r="U48" s="50">
        <f t="shared" si="2"/>
        <v>68</v>
      </c>
      <c r="V48" s="50"/>
      <c r="W48" s="25">
        <v>2</v>
      </c>
      <c r="X48" s="25">
        <f>SSCSource!N60</f>
        <v>1</v>
      </c>
      <c r="Y48" s="36">
        <f>TRUNC((Z48-(9.9-agent!$L$3)*W48*10),3)</f>
        <v>1930</v>
      </c>
      <c r="Z48" s="49">
        <f t="shared" si="13"/>
        <v>1998</v>
      </c>
      <c r="AA48" s="48"/>
      <c r="AB48" s="48">
        <f t="shared" si="10"/>
        <v>1930</v>
      </c>
    </row>
    <row r="49" spans="1:28" x14ac:dyDescent="0.15">
      <c r="A49" s="50">
        <f>agent!J$2</f>
        <v>151</v>
      </c>
      <c r="B49" s="45" t="s">
        <v>37</v>
      </c>
      <c r="C49" s="45" t="s">
        <v>22</v>
      </c>
      <c r="D49" s="45" t="str">
        <f>SSCSource!$O61</f>
        <v>1 2 6 14 25 26</v>
      </c>
      <c r="E49" s="45">
        <f>SSCSource!$R61</f>
        <v>2</v>
      </c>
      <c r="F49" s="45">
        <v>1</v>
      </c>
      <c r="G49" s="45">
        <f>SSCSource!$P61</f>
        <v>108</v>
      </c>
      <c r="H49" s="45">
        <f>SSCSource!K$2</f>
        <v>96681</v>
      </c>
      <c r="I49" s="45">
        <f>SSCSource!M61</f>
        <v>0</v>
      </c>
      <c r="J49" s="45">
        <f t="shared" si="11"/>
        <v>1000627.295</v>
      </c>
      <c r="K49" s="50">
        <f>IF(ISNUMBER(agent!$O$6*$W49*$X49*E49),TRUNC(agent!$O$6*$W49*$X49*E49,3),"没有上级")</f>
        <v>0</v>
      </c>
      <c r="L49" s="50">
        <f>IF(ISNUMBER(agent!$O$9*$W49*E49*$X49),TRUNC(agent!$O$9*$W49*E49*$X49,3),"没有上级")</f>
        <v>0</v>
      </c>
      <c r="M49" s="50">
        <f>IF(ISNUMBER(agent!$O$12*$W49*E49*$X49),TRUNC(agent!$O$12*$W49*E49*$X49,3),"没有上级")</f>
        <v>0</v>
      </c>
      <c r="N49" s="50">
        <f>IF(ISNUMBER(agent!$O$15*$W49*E49*$X49),TRUNC(agent!$O$15*$W49*E49*$X49,3),"没有上级")</f>
        <v>0</v>
      </c>
      <c r="O49" s="50">
        <f>IF(ISNUMBER(agent!$O$18*$W49*E49*$X49),TRUNC(agent!$O$18*$W49*E49*$X49,3),"没有上级")</f>
        <v>0</v>
      </c>
      <c r="P49" s="50">
        <f>IF(ISNUMBER(agent!$O$21*$W49*E49*$X49),TRUNC(agent!$O$21*$W49*E49*$X49,3),"没有上级")</f>
        <v>0</v>
      </c>
      <c r="Q49" s="50">
        <f>IF(ISNUMBER(agent!$O$24*$W49*E49*$X49),TRUNC(agent!$O$24*$W49*E49*$X49,3),"没有上级")</f>
        <v>0</v>
      </c>
      <c r="R49" s="50">
        <f>IF(ISNUMBER(agent!$O$27*$W49*E49*$X49),TRUNC(agent!$O$27*$W49*E49*$X49,3),"没有上级")</f>
        <v>0</v>
      </c>
      <c r="S49" s="50">
        <f>IF(ISNUMBER(agent!$O$30*$W49*E49*$X49),TRUNC(agent!$O$30*$W49*E49*$X49,3),"没有上级")</f>
        <v>0</v>
      </c>
      <c r="T49" s="50">
        <f>IF(ISNUMBER(agent!$O$33*$W49*$X49*E49),TRUNC(agent!$O$33*$W49*$X49*E49,3),"没有上级")</f>
        <v>0</v>
      </c>
      <c r="U49" s="50">
        <f t="shared" si="2"/>
        <v>0</v>
      </c>
      <c r="V49" s="50"/>
      <c r="W49" s="36">
        <f>TRUNC(0.33325,3)</f>
        <v>0.33300000000000002</v>
      </c>
      <c r="X49" s="25">
        <f>SSCSource!N61</f>
        <v>0</v>
      </c>
      <c r="Y49" s="36">
        <f>TRUNC((Z49-(9.9-agent!$L$3)*W49*10),3)</f>
        <v>321.64499999999998</v>
      </c>
      <c r="Z49" s="49">
        <f>TRUNC(300+99*W49,3)</f>
        <v>332.96699999999998</v>
      </c>
      <c r="AA49" s="48"/>
      <c r="AB49" s="48">
        <f t="shared" si="10"/>
        <v>321.64499999999998</v>
      </c>
    </row>
    <row r="50" spans="1:28" x14ac:dyDescent="0.15">
      <c r="A50" s="50">
        <f>agent!J$2</f>
        <v>151</v>
      </c>
      <c r="B50" s="45" t="s">
        <v>37</v>
      </c>
      <c r="C50" s="45" t="s">
        <v>28</v>
      </c>
      <c r="D50" s="45" t="str">
        <f>SSCSource!$O62</f>
        <v>0 1 3 4 5 7 8 9</v>
      </c>
      <c r="E50" s="45">
        <f>SSCSource!$R62</f>
        <v>1</v>
      </c>
      <c r="F50" s="45">
        <v>1</v>
      </c>
      <c r="G50" s="45">
        <f>SSCSource!$P62</f>
        <v>112</v>
      </c>
      <c r="H50" s="45">
        <f>SSCSource!K$2</f>
        <v>96681</v>
      </c>
      <c r="I50" s="45">
        <f>SSCSource!M62</f>
        <v>0</v>
      </c>
      <c r="J50" s="45">
        <f t="shared" si="11"/>
        <v>1000515.295</v>
      </c>
      <c r="K50" s="50">
        <f>IF(ISNUMBER(agent!$O$6*$W50*$X50*E50),TRUNC(agent!$O$6*$W50*$X50*E50,3),"没有上级")</f>
        <v>0</v>
      </c>
      <c r="L50" s="50">
        <f>IF(ISNUMBER(agent!$O$9*$W50*E50*$X50),TRUNC(agent!$O$9*$W50*E50*$X50,3),"没有上级")</f>
        <v>0</v>
      </c>
      <c r="M50" s="50">
        <f>IF(ISNUMBER(agent!$O$12*$W50*E50*$X50),TRUNC(agent!$O$12*$W50*E50*$X50,3),"没有上级")</f>
        <v>0</v>
      </c>
      <c r="N50" s="50">
        <f>IF(ISNUMBER(agent!$O$15*$W50*E50*$X50),TRUNC(agent!$O$15*$W50*E50*$X50,3),"没有上级")</f>
        <v>0</v>
      </c>
      <c r="O50" s="50">
        <f>IF(ISNUMBER(agent!$O$18*$W50*E50*$X50),TRUNC(agent!$O$18*$W50*E50*$X50,3),"没有上级")</f>
        <v>0</v>
      </c>
      <c r="P50" s="50">
        <f>IF(ISNUMBER(agent!$O$21*$W50*E50*$X50),TRUNC(agent!$O$21*$W50*E50*$X50,3),"没有上级")</f>
        <v>0</v>
      </c>
      <c r="Q50" s="50">
        <f>IF(ISNUMBER(agent!$O$24*$W50*E50*$X50),TRUNC(agent!$O$24*$W50*E50*$X50,3),"没有上级")</f>
        <v>0</v>
      </c>
      <c r="R50" s="50">
        <f>IF(ISNUMBER(agent!$O$27*$W50*E50*$X50),TRUNC(agent!$O$27*$W50*E50*$X50,3),"没有上级")</f>
        <v>0</v>
      </c>
      <c r="S50" s="50">
        <f>IF(ISNUMBER(agent!$O$30*$W50*E50*$X50),TRUNC(agent!$O$30*$W50*E50*$X50,3),"没有上级")</f>
        <v>0</v>
      </c>
      <c r="T50" s="50">
        <f>IF(ISNUMBER(agent!$O$33*$W50*$X50*E50),TRUNC(agent!$O$33*$W50*$X50*E50,3),"没有上级")</f>
        <v>0</v>
      </c>
      <c r="U50" s="50">
        <f t="shared" si="2"/>
        <v>0</v>
      </c>
      <c r="V50" s="50"/>
      <c r="W50" s="36">
        <f>TRUNC(0.666625,3)</f>
        <v>0.66600000000000004</v>
      </c>
      <c r="X50" s="25">
        <f>SSCSource!N62</f>
        <v>0</v>
      </c>
      <c r="Y50" s="36">
        <f>TRUNC((Z50-(9.9-agent!$L$3)*W50*10),3)</f>
        <v>643.29</v>
      </c>
      <c r="Z50" s="49">
        <f>TRUNC(600+99*W50,3)</f>
        <v>665.93399999999997</v>
      </c>
      <c r="AA50" s="48"/>
      <c r="AB50" s="48">
        <f t="shared" si="10"/>
        <v>643.29</v>
      </c>
    </row>
    <row r="51" spans="1:28" x14ac:dyDescent="0.15">
      <c r="A51" s="50">
        <f>agent!J$2</f>
        <v>151</v>
      </c>
      <c r="B51" s="45" t="s">
        <v>37</v>
      </c>
      <c r="C51" s="45" t="s">
        <v>29</v>
      </c>
      <c r="D51" s="45" t="str">
        <f>SSCSource!$O63</f>
        <v>0 1 3 4 5 7 8 9</v>
      </c>
      <c r="E51" s="45">
        <f>SSCSource!$R63</f>
        <v>2</v>
      </c>
      <c r="F51" s="45">
        <v>1</v>
      </c>
      <c r="G51" s="45">
        <f>SSCSource!$P63</f>
        <v>224</v>
      </c>
      <c r="H51" s="45">
        <f>SSCSource!K$2</f>
        <v>96681</v>
      </c>
      <c r="I51" s="45">
        <f>SSCSource!M63</f>
        <v>0</v>
      </c>
      <c r="J51" s="45">
        <f t="shared" si="11"/>
        <v>1000291.295</v>
      </c>
      <c r="K51" s="50">
        <f>IF(ISNUMBER(agent!$O$6*$W51*$X51*E51),TRUNC(agent!$O$6*$W51*$X51*E51,3),"没有上级")</f>
        <v>0</v>
      </c>
      <c r="L51" s="50">
        <f>IF(ISNUMBER(agent!$O$9*$W51*E51*$X51),TRUNC(agent!$O$9*$W51*E51*$X51,3),"没有上级")</f>
        <v>0</v>
      </c>
      <c r="M51" s="50">
        <f>IF(ISNUMBER(agent!$O$12*$W51*E51*$X51),TRUNC(agent!$O$12*$W51*E51*$X51,3),"没有上级")</f>
        <v>0</v>
      </c>
      <c r="N51" s="50">
        <f>IF(ISNUMBER(agent!$O$15*$W51*E51*$X51),TRUNC(agent!$O$15*$W51*E51*$X51,3),"没有上级")</f>
        <v>0</v>
      </c>
      <c r="O51" s="50">
        <f>IF(ISNUMBER(agent!$O$18*$W51*E51*$X51),TRUNC(agent!$O$18*$W51*E51*$X51,3),"没有上级")</f>
        <v>0</v>
      </c>
      <c r="P51" s="50">
        <f>IF(ISNUMBER(agent!$O$21*$W51*E51*$X51),TRUNC(agent!$O$21*$W51*E51*$X51,3),"没有上级")</f>
        <v>0</v>
      </c>
      <c r="Q51" s="50">
        <f>IF(ISNUMBER(agent!$O$24*$W51*E51*$X51),TRUNC(agent!$O$24*$W51*E51*$X51,3),"没有上级")</f>
        <v>0</v>
      </c>
      <c r="R51" s="50">
        <f>IF(ISNUMBER(agent!$O$27*$W51*E51*$X51),TRUNC(agent!$O$27*$W51*E51*$X51,3),"没有上级")</f>
        <v>0</v>
      </c>
      <c r="S51" s="50">
        <f>IF(ISNUMBER(agent!$O$30*$W51*E51*$X51),TRUNC(agent!$O$30*$W51*E51*$X51,3),"没有上级")</f>
        <v>0</v>
      </c>
      <c r="T51" s="50">
        <f>IF(ISNUMBER(agent!$O$33*$W51*$X51*E51),TRUNC(agent!$O$33*$W51*$X51*E51,3),"没有上级")</f>
        <v>0</v>
      </c>
      <c r="U51" s="50">
        <f t="shared" si="2"/>
        <v>0</v>
      </c>
      <c r="V51" s="50"/>
      <c r="W51" s="36">
        <f>TRUNC(0.33325,3)</f>
        <v>0.33300000000000002</v>
      </c>
      <c r="X51" s="25">
        <f>SSCSource!N63</f>
        <v>0</v>
      </c>
      <c r="Y51" s="36">
        <f>TRUNC((Z51-(9.9-agent!$L$3)*W51*10),3)</f>
        <v>321.64499999999998</v>
      </c>
      <c r="Z51" s="49">
        <f t="shared" ref="Z51:Z53" si="14">TRUNC(300+99*W51,3)</f>
        <v>332.96699999999998</v>
      </c>
      <c r="AA51" s="48"/>
      <c r="AB51" s="48">
        <f t="shared" si="10"/>
        <v>321.64499999999998</v>
      </c>
    </row>
    <row r="52" spans="1:28" x14ac:dyDescent="0.15">
      <c r="A52" s="50">
        <f>agent!J$2</f>
        <v>151</v>
      </c>
      <c r="B52" s="45" t="s">
        <v>37</v>
      </c>
      <c r="C52" s="45" t="s">
        <v>30</v>
      </c>
      <c r="D52" s="45" t="str">
        <f>SSCSource!$O64</f>
        <v>518</v>
      </c>
      <c r="E52" s="45">
        <f>SSCSource!$R64</f>
        <v>3</v>
      </c>
      <c r="F52" s="45">
        <v>1</v>
      </c>
      <c r="G52" s="45">
        <f>SSCSource!$P64</f>
        <v>6</v>
      </c>
      <c r="H52" s="45">
        <f>SSCSource!K$2</f>
        <v>96681</v>
      </c>
      <c r="I52" s="45">
        <f>SSCSource!M64</f>
        <v>0</v>
      </c>
      <c r="J52" s="45">
        <f t="shared" si="11"/>
        <v>1000285.295</v>
      </c>
      <c r="K52" s="50">
        <f>IF(ISNUMBER(agent!$O$6*$W52*$X52*E52),TRUNC(agent!$O$6*$W52*$X52*E52,3),"没有上级")</f>
        <v>0</v>
      </c>
      <c r="L52" s="50">
        <f>IF(ISNUMBER(agent!$O$9*$W52*E52*$X52),TRUNC(agent!$O$9*$W52*E52*$X52,3),"没有上级")</f>
        <v>0</v>
      </c>
      <c r="M52" s="50">
        <f>IF(ISNUMBER(agent!$O$12*$W52*E52*$X52),TRUNC(agent!$O$12*$W52*E52*$X52,3),"没有上级")</f>
        <v>0</v>
      </c>
      <c r="N52" s="50">
        <f>IF(ISNUMBER(agent!$O$15*$W52*E52*$X52),TRUNC(agent!$O$15*$W52*E52*$X52,3),"没有上级")</f>
        <v>0</v>
      </c>
      <c r="O52" s="50">
        <f>IF(ISNUMBER(agent!$O$18*$W52*E52*$X52),TRUNC(agent!$O$18*$W52*E52*$X52,3),"没有上级")</f>
        <v>0</v>
      </c>
      <c r="P52" s="50">
        <f>IF(ISNUMBER(agent!$O$21*$W52*E52*$X52),TRUNC(agent!$O$21*$W52*E52*$X52,3),"没有上级")</f>
        <v>0</v>
      </c>
      <c r="Q52" s="50">
        <f>IF(ISNUMBER(agent!$O$24*$W52*E52*$X52),TRUNC(agent!$O$24*$W52*E52*$X52,3),"没有上级")</f>
        <v>0</v>
      </c>
      <c r="R52" s="50">
        <f>IF(ISNUMBER(agent!$O$27*$W52*E52*$X52),TRUNC(agent!$O$27*$W52*E52*$X52,3),"没有上级")</f>
        <v>0</v>
      </c>
      <c r="S52" s="50">
        <f>IF(ISNUMBER(agent!$O$30*$W52*E52*$X52),TRUNC(agent!$O$30*$W52*E52*$X52,3),"没有上级")</f>
        <v>0</v>
      </c>
      <c r="T52" s="50">
        <f>IF(ISNUMBER(agent!$O$33*$W52*$X52*E52),TRUNC(agent!$O$33*$W52*$X52*E52,3),"没有上级")</f>
        <v>0</v>
      </c>
      <c r="U52" s="50">
        <f t="shared" si="2"/>
        <v>0</v>
      </c>
      <c r="V52" s="50"/>
      <c r="W52" s="36">
        <f>TRUNC(0.33325,3)</f>
        <v>0.33300000000000002</v>
      </c>
      <c r="X52" s="25">
        <f>SSCSource!N64</f>
        <v>0</v>
      </c>
      <c r="Y52" s="36">
        <f>TRUNC((Z52-(9.9-agent!$L$3)*W52*10),3)</f>
        <v>321.64499999999998</v>
      </c>
      <c r="Z52" s="49">
        <f t="shared" si="14"/>
        <v>332.96699999999998</v>
      </c>
      <c r="AA52" s="48"/>
      <c r="AB52" s="48">
        <f t="shared" si="10"/>
        <v>321.64499999999998</v>
      </c>
    </row>
    <row r="53" spans="1:28" x14ac:dyDescent="0.15">
      <c r="A53" s="50">
        <f>agent!J$2</f>
        <v>151</v>
      </c>
      <c r="B53" s="45" t="s">
        <v>37</v>
      </c>
      <c r="C53" s="45" t="s">
        <v>23</v>
      </c>
      <c r="D53" s="45" t="str">
        <f>SSCSource!$O65</f>
        <v>8</v>
      </c>
      <c r="E53" s="45">
        <f>SSCSource!$R65</f>
        <v>1</v>
      </c>
      <c r="F53" s="45">
        <v>1</v>
      </c>
      <c r="G53" s="45">
        <f>SSCSource!$P65</f>
        <v>108</v>
      </c>
      <c r="H53" s="45">
        <f>SSCSource!K$2</f>
        <v>96681</v>
      </c>
      <c r="I53" s="45">
        <f>SSCSource!M65</f>
        <v>321.64499999999998</v>
      </c>
      <c r="J53" s="45">
        <f t="shared" si="11"/>
        <v>1000498.9400000001</v>
      </c>
      <c r="K53" s="50">
        <f>IF(ISNUMBER(agent!$O$6*$W53*$X53*E53),TRUNC(agent!$O$6*$W53*$X53*E53,3),"没有上级")</f>
        <v>0.33300000000000002</v>
      </c>
      <c r="L53" s="50">
        <f>IF(ISNUMBER(agent!$O$9*$W53*E53*$X53),TRUNC(agent!$O$9*$W53*E53*$X53,3),"没有上级")</f>
        <v>1.998</v>
      </c>
      <c r="M53" s="50">
        <f>IF(ISNUMBER(agent!$O$12*$W53*E53*$X53),TRUNC(agent!$O$12*$W53*E53*$X53,3),"没有上级")</f>
        <v>0.66600000000000004</v>
      </c>
      <c r="N53" s="50">
        <f>IF(ISNUMBER(agent!$O$15*$W53*E53*$X53),TRUNC(agent!$O$15*$W53*E53*$X53,3),"没有上级")</f>
        <v>1.3320000000000001</v>
      </c>
      <c r="O53" s="50">
        <f>IF(ISNUMBER(agent!$O$18*$W53*E53*$X53),TRUNC(agent!$O$18*$W53*E53*$X53,3),"没有上级")</f>
        <v>0.999</v>
      </c>
      <c r="P53" s="50">
        <f>IF(ISNUMBER(agent!$O$21*$W53*E53*$X53),TRUNC(agent!$O$21*$W53*E53*$X53,3),"没有上级")</f>
        <v>0.33300000000000002</v>
      </c>
      <c r="Q53" s="50">
        <f>IF(ISNUMBER(agent!$O$24*$W53*E53*$X53),TRUNC(agent!$O$24*$W53*E53*$X53,3),"没有上级")</f>
        <v>2.331</v>
      </c>
      <c r="R53" s="50">
        <f>IF(ISNUMBER(agent!$O$27*$W53*E53*$X53),TRUNC(agent!$O$27*$W53*E53*$X53,3),"没有上级")</f>
        <v>0.999</v>
      </c>
      <c r="S53" s="50">
        <f>IF(ISNUMBER(agent!$O$30*$W53*E53*$X53),TRUNC(agent!$O$30*$W53*E53*$X53,3),"没有上级")</f>
        <v>1.3320000000000001</v>
      </c>
      <c r="T53" s="50">
        <f>IF(ISNUMBER(agent!$O$33*$W53*$X53*E53),TRUNC(agent!$O$33*$W53*$X53*E53,3),"没有上级")</f>
        <v>0.999</v>
      </c>
      <c r="U53" s="50">
        <f t="shared" si="2"/>
        <v>11.322000000000001</v>
      </c>
      <c r="V53" s="50"/>
      <c r="W53" s="36">
        <f>TRUNC(0.33325,3)</f>
        <v>0.33300000000000002</v>
      </c>
      <c r="X53" s="25">
        <f>SSCSource!N65</f>
        <v>1</v>
      </c>
      <c r="Y53" s="36">
        <f>TRUNC((Z53-(9.9-agent!$L$3)*W53*10),3)</f>
        <v>321.64499999999998</v>
      </c>
      <c r="Z53" s="49">
        <f t="shared" si="14"/>
        <v>332.96699999999998</v>
      </c>
      <c r="AA53" s="48"/>
      <c r="AB53" s="48">
        <f t="shared" si="10"/>
        <v>321.64499999999998</v>
      </c>
    </row>
    <row r="54" spans="1:28" x14ac:dyDescent="0.15">
      <c r="A54" s="50">
        <f>agent!J$2</f>
        <v>151</v>
      </c>
      <c r="B54" s="45" t="s">
        <v>37</v>
      </c>
      <c r="C54" s="45" t="s">
        <v>31</v>
      </c>
      <c r="D54" s="45" t="str">
        <f>SSCSource!$O66</f>
        <v>855</v>
      </c>
      <c r="E54" s="45">
        <f>SSCSource!$R66</f>
        <v>2</v>
      </c>
      <c r="F54" s="45">
        <v>1</v>
      </c>
      <c r="G54" s="45">
        <f>SSCSource!$P66</f>
        <v>4</v>
      </c>
      <c r="H54" s="45">
        <f>SSCSource!K$2</f>
        <v>96681</v>
      </c>
      <c r="I54" s="45">
        <f>SSCSource!M66</f>
        <v>0</v>
      </c>
      <c r="J54" s="45">
        <f t="shared" si="11"/>
        <v>1000494.9400000001</v>
      </c>
      <c r="K54" s="50">
        <f>IF(ISNUMBER(agent!$O$6*$W54*$X54*E54),TRUNC(agent!$O$6*$W54*$X54*E54,3),"没有上级")</f>
        <v>0</v>
      </c>
      <c r="L54" s="50">
        <f>IF(ISNUMBER(agent!$O$9*$W54*E54*$X54),TRUNC(agent!$O$9*$W54*E54*$X54,3),"没有上级")</f>
        <v>0</v>
      </c>
      <c r="M54" s="50">
        <f>IF(ISNUMBER(agent!$O$12*$W54*E54*$X54),TRUNC(agent!$O$12*$W54*E54*$X54,3),"没有上级")</f>
        <v>0</v>
      </c>
      <c r="N54" s="50">
        <f>IF(ISNUMBER(agent!$O$15*$W54*E54*$X54),TRUNC(agent!$O$15*$W54*E54*$X54,3),"没有上级")</f>
        <v>0</v>
      </c>
      <c r="O54" s="50">
        <f>IF(ISNUMBER(agent!$O$18*$W54*E54*$X54),TRUNC(agent!$O$18*$W54*E54*$X54,3),"没有上级")</f>
        <v>0</v>
      </c>
      <c r="P54" s="50">
        <f>IF(ISNUMBER(agent!$O$21*$W54*E54*$X54),TRUNC(agent!$O$21*$W54*E54*$X54,3),"没有上级")</f>
        <v>0</v>
      </c>
      <c r="Q54" s="50">
        <f>IF(ISNUMBER(agent!$O$24*$W54*E54*$X54),TRUNC(agent!$O$24*$W54*E54*$X54,3),"没有上级")</f>
        <v>0</v>
      </c>
      <c r="R54" s="50">
        <f>IF(ISNUMBER(agent!$O$27*$W54*E54*$X54),TRUNC(agent!$O$27*$W54*E54*$X54,3),"没有上级")</f>
        <v>0</v>
      </c>
      <c r="S54" s="50">
        <f>IF(ISNUMBER(agent!$O$30*$W54*E54*$X54),TRUNC(agent!$O$30*$W54*E54*$X54,3),"没有上级")</f>
        <v>0</v>
      </c>
      <c r="T54" s="50">
        <f>IF(ISNUMBER(agent!$O$33*$W54*$X54*E54),TRUNC(agent!$O$33*$W54*$X54*E54,3),"没有上级")</f>
        <v>0</v>
      </c>
      <c r="U54" s="50">
        <f t="shared" si="2"/>
        <v>0</v>
      </c>
      <c r="V54" s="50"/>
      <c r="W54" s="36">
        <f>TRUNC(0.666625,3)</f>
        <v>0.66600000000000004</v>
      </c>
      <c r="X54" s="25">
        <f>SSCSource!N66</f>
        <v>0</v>
      </c>
      <c r="Y54" s="36">
        <f>TRUNC((Z54-(9.9-agent!$L$3)*W54*10),3)</f>
        <v>643.29</v>
      </c>
      <c r="Z54" s="49">
        <f>TRUNC(600+99*W54,3)</f>
        <v>665.93399999999997</v>
      </c>
      <c r="AA54" s="48"/>
      <c r="AB54" s="48">
        <f t="shared" si="10"/>
        <v>643.29</v>
      </c>
    </row>
    <row r="55" spans="1:28" x14ac:dyDescent="0.15">
      <c r="A55" s="50">
        <f>agent!J$2</f>
        <v>151</v>
      </c>
      <c r="B55" s="45" t="s">
        <v>37</v>
      </c>
      <c r="C55" s="45" t="s">
        <v>32</v>
      </c>
      <c r="D55" s="45" t="str">
        <f>SSCSource!$O67</f>
        <v>185</v>
      </c>
      <c r="E55" s="45">
        <f>SSCSource!$R67</f>
        <v>3</v>
      </c>
      <c r="F55" s="45">
        <v>1</v>
      </c>
      <c r="G55" s="45">
        <f>SSCSource!$P67</f>
        <v>6</v>
      </c>
      <c r="H55" s="45">
        <f>SSCSource!K$2</f>
        <v>96681</v>
      </c>
      <c r="I55" s="45">
        <f>SSCSource!M67</f>
        <v>0</v>
      </c>
      <c r="J55" s="45">
        <f t="shared" si="11"/>
        <v>1000488.9400000001</v>
      </c>
      <c r="K55" s="50">
        <f>IF(ISNUMBER(agent!$O$6*$W55*$X55*E55),TRUNC(agent!$O$6*$W55*$X55*E55,3),"没有上级")</f>
        <v>0</v>
      </c>
      <c r="L55" s="50">
        <f>IF(ISNUMBER(agent!$O$9*$W55*E55*$X55),TRUNC(agent!$O$9*$W55*E55*$X55,3),"没有上级")</f>
        <v>0</v>
      </c>
      <c r="M55" s="50">
        <f>IF(ISNUMBER(agent!$O$12*$W55*E55*$X55),TRUNC(agent!$O$12*$W55*E55*$X55,3),"没有上级")</f>
        <v>0</v>
      </c>
      <c r="N55" s="50">
        <f>IF(ISNUMBER(agent!$O$15*$W55*E55*$X55),TRUNC(agent!$O$15*$W55*E55*$X55,3),"没有上级")</f>
        <v>0</v>
      </c>
      <c r="O55" s="50">
        <f>IF(ISNUMBER(agent!$O$18*$W55*E55*$X55),TRUNC(agent!$O$18*$W55*E55*$X55,3),"没有上级")</f>
        <v>0</v>
      </c>
      <c r="P55" s="50">
        <f>IF(ISNUMBER(agent!$O$21*$W55*E55*$X55),TRUNC(agent!$O$21*$W55*E55*$X55,3),"没有上级")</f>
        <v>0</v>
      </c>
      <c r="Q55" s="50">
        <f>IF(ISNUMBER(agent!$O$24*$W55*E55*$X55),TRUNC(agent!$O$24*$W55*E55*$X55,3),"没有上级")</f>
        <v>0</v>
      </c>
      <c r="R55" s="50">
        <f>IF(ISNUMBER(agent!$O$27*$W55*E55*$X55),TRUNC(agent!$O$27*$W55*E55*$X55,3),"没有上级")</f>
        <v>0</v>
      </c>
      <c r="S55" s="50">
        <f>IF(ISNUMBER(agent!$O$30*$W55*E55*$X55),TRUNC(agent!$O$30*$W55*E55*$X55,3),"没有上级")</f>
        <v>0</v>
      </c>
      <c r="T55" s="50">
        <f>IF(ISNUMBER(agent!$O$33*$W55*$X55*E55),TRUNC(agent!$O$33*$W55*$X55*E55,3),"没有上级")</f>
        <v>0</v>
      </c>
      <c r="U55" s="50">
        <f t="shared" si="2"/>
        <v>0</v>
      </c>
      <c r="V55" s="50"/>
      <c r="W55" s="36">
        <f>TRUNC(0.33325,3)</f>
        <v>0.33300000000000002</v>
      </c>
      <c r="X55" s="25">
        <f>SSCSource!N67</f>
        <v>0</v>
      </c>
      <c r="Y55" s="36">
        <f>TRUNC((Z55-(9.9-agent!$L$3)*W55*10),3)</f>
        <v>321.64499999999998</v>
      </c>
      <c r="Z55" s="49">
        <f>TRUNC(300+99*W55,3)</f>
        <v>332.96699999999998</v>
      </c>
      <c r="AA55" s="48"/>
      <c r="AB55" s="48">
        <f t="shared" si="10"/>
        <v>321.64499999999998</v>
      </c>
    </row>
    <row r="56" spans="1:28" s="29" customFormat="1" x14ac:dyDescent="0.15">
      <c r="A56" s="50">
        <f>agent!J$2</f>
        <v>151</v>
      </c>
      <c r="B56" s="29" t="s">
        <v>37</v>
      </c>
      <c r="C56" s="29" t="s">
        <v>34</v>
      </c>
      <c r="D56" s="29" t="str">
        <f>SSCSource!$O68</f>
        <v>0 1 2 6 7 8 9</v>
      </c>
      <c r="E56" s="29">
        <f>SSCSource!$R68</f>
        <v>3</v>
      </c>
      <c r="F56" s="29">
        <v>1</v>
      </c>
      <c r="G56" s="29">
        <f>SSCSource!$P68</f>
        <v>42</v>
      </c>
      <c r="H56" s="29">
        <f>SSCSource!K$2</f>
        <v>96681</v>
      </c>
      <c r="I56" s="29">
        <f>SSCSource!M68</f>
        <v>63.854999999999997</v>
      </c>
      <c r="J56" s="29">
        <f t="shared" si="11"/>
        <v>1000510.795</v>
      </c>
      <c r="K56" s="50">
        <f>IF(ISNUMBER(agent!$O$6*$W56*$X56*E56),TRUNC(agent!$O$6*$W56*$X56*E56,3),"没有上级")</f>
        <v>6.3E-2</v>
      </c>
      <c r="L56" s="50">
        <f>IF(ISNUMBER(agent!$O$9*$W56*E56*$X56),TRUNC(agent!$O$9*$W56*E56*$X56,3),"没有上级")</f>
        <v>0.378</v>
      </c>
      <c r="M56" s="50">
        <f>IF(ISNUMBER(agent!$O$12*$W56*E56*$X56),TRUNC(agent!$O$12*$W56*E56*$X56,3),"没有上级")</f>
        <v>0.126</v>
      </c>
      <c r="N56" s="50">
        <f>IF(ISNUMBER(agent!$O$15*$W56*E56*$X56),TRUNC(agent!$O$15*$W56*E56*$X56,3),"没有上级")</f>
        <v>0.252</v>
      </c>
      <c r="O56" s="50">
        <f>IF(ISNUMBER(agent!$O$18*$W56*E56*$X56),TRUNC(agent!$O$18*$W56*E56*$X56,3),"没有上级")</f>
        <v>0.189</v>
      </c>
      <c r="P56" s="50">
        <f>IF(ISNUMBER(agent!$O$21*$W56*E56*$X56),TRUNC(agent!$O$21*$W56*E56*$X56,3),"没有上级")</f>
        <v>6.3E-2</v>
      </c>
      <c r="Q56" s="50">
        <f>IF(ISNUMBER(agent!$O$24*$W56*E56*$X56),TRUNC(agent!$O$24*$W56*E56*$X56,3),"没有上级")</f>
        <v>0.441</v>
      </c>
      <c r="R56" s="50">
        <f>IF(ISNUMBER(agent!$O$27*$W56*E56*$X56),TRUNC(agent!$O$27*$W56*E56*$X56,3),"没有上级")</f>
        <v>0.189</v>
      </c>
      <c r="S56" s="50">
        <f>IF(ISNUMBER(agent!$O$30*$W56*E56*$X56),TRUNC(agent!$O$30*$W56*E56*$X56,3),"没有上级")</f>
        <v>0.252</v>
      </c>
      <c r="T56" s="50">
        <f>IF(ISNUMBER(agent!$O$33*$W56*$X56*E56),TRUNC(agent!$O$33*$W56*$X56*E56,3),"没有上级")</f>
        <v>0.189</v>
      </c>
      <c r="U56" s="50">
        <f t="shared" si="2"/>
        <v>2.1419999999999999</v>
      </c>
      <c r="V56" s="50"/>
      <c r="W56" s="29">
        <f>TRUNC(0.007375,3)</f>
        <v>7.0000000000000001E-3</v>
      </c>
      <c r="X56" s="29">
        <f>SSCSource!N68</f>
        <v>3</v>
      </c>
      <c r="Y56" s="29">
        <f>TRUNC((Z56-(9.9-agent!$L$3)*W56*10),3)</f>
        <v>7.0949999999999998</v>
      </c>
      <c r="Z56" s="49">
        <f>TRUNC(6.64+99*W56,3)</f>
        <v>7.3330000000000002</v>
      </c>
      <c r="AA56" s="48"/>
      <c r="AB56" s="29">
        <f t="shared" si="10"/>
        <v>7.0949999999999998</v>
      </c>
    </row>
    <row r="57" spans="1:28" x14ac:dyDescent="0.15">
      <c r="A57" s="50">
        <f>agent!J$2</f>
        <v>151</v>
      </c>
      <c r="B57" s="45" t="s">
        <v>37</v>
      </c>
      <c r="C57" s="45" t="s">
        <v>35</v>
      </c>
      <c r="D57" s="45" t="str">
        <f>SSCSource!$O69</f>
        <v>0 2 3 4 5 8 9</v>
      </c>
      <c r="E57" s="45">
        <f>SSCSource!$R69</f>
        <v>3</v>
      </c>
      <c r="F57" s="45">
        <v>1</v>
      </c>
      <c r="G57" s="45">
        <f>SSCSource!$P69</f>
        <v>126</v>
      </c>
      <c r="H57" s="45">
        <f>SSCSource!K$2</f>
        <v>96681</v>
      </c>
      <c r="I57" s="48">
        <f>IF(ISNUMBER(SSCSource!M69),SSCSource!M69,0)</f>
        <v>0</v>
      </c>
      <c r="J57" s="45">
        <f t="shared" si="11"/>
        <v>1000384.795</v>
      </c>
      <c r="K57" s="50" t="str">
        <f>IF(ISNUMBER(agent!$O$6*$W57*$X57*E57),TRUNC(agent!$O$6*$W57*$X57*E57,3),"没有上级")</f>
        <v>没有上级</v>
      </c>
      <c r="L57" s="50" t="str">
        <f>IF(ISNUMBER(agent!$O$9*$W57*E57*$X57),TRUNC(agent!$O$9*$W57*E57*$X57,3),"没有上级")</f>
        <v>没有上级</v>
      </c>
      <c r="M57" s="50" t="str">
        <f>IF(ISNUMBER(agent!$O$12*$W57*E57*$X57),TRUNC(agent!$O$12*$W57*E57*$X57,3),"没有上级")</f>
        <v>没有上级</v>
      </c>
      <c r="N57" s="50" t="str">
        <f>IF(ISNUMBER(agent!$O$15*$W57*E57*$X57),TRUNC(agent!$O$15*$W57*E57*$X57,3),"没有上级")</f>
        <v>没有上级</v>
      </c>
      <c r="O57" s="50" t="str">
        <f>IF(ISNUMBER(agent!$O$18*$W57*E57*$X57),TRUNC(agent!$O$18*$W57*E57*$X57,3),"没有上级")</f>
        <v>没有上级</v>
      </c>
      <c r="P57" s="50" t="str">
        <f>IF(ISNUMBER(agent!$O$21*$W57*E57*$X57),TRUNC(agent!$O$21*$W57*E57*$X57,3),"没有上级")</f>
        <v>没有上级</v>
      </c>
      <c r="Q57" s="50" t="str">
        <f>IF(ISNUMBER(agent!$O$24*$W57*E57*$X57),TRUNC(agent!$O$24*$W57*E57*$X57,3),"没有上级")</f>
        <v>没有上级</v>
      </c>
      <c r="R57" s="50" t="str">
        <f>IF(ISNUMBER(agent!$O$27*$W57*E57*$X57),TRUNC(agent!$O$27*$W57*E57*$X57,3),"没有上级")</f>
        <v>没有上级</v>
      </c>
      <c r="S57" s="50" t="str">
        <f>IF(ISNUMBER(agent!$O$30*$W57*E57*$X57),TRUNC(agent!$O$30*$W57*E57*$X57,3),"没有上级")</f>
        <v>没有上级</v>
      </c>
      <c r="T57" s="50" t="str">
        <f>IF(ISNUMBER(agent!$O$33*$W57*$X57*E57),TRUNC(agent!$O$33*$W57*$X57*E57,3),"没有上级")</f>
        <v>没有上级</v>
      </c>
      <c r="U57" s="50">
        <f t="shared" si="2"/>
        <v>0</v>
      </c>
      <c r="V57" s="50"/>
      <c r="W57" s="36">
        <f>TRUNC(0.037,3)</f>
        <v>3.6999999999999998E-2</v>
      </c>
      <c r="X57" s="25" t="e">
        <f>SSCSource!N69</f>
        <v>#NUM!</v>
      </c>
      <c r="Y57" s="36">
        <f>TRUNC((Z57-(9.9-agent!$L$3)*W57*10),3)</f>
        <v>35.734999999999999</v>
      </c>
      <c r="Z57" s="49">
        <f>TRUNC(33.33+99*W57,3)</f>
        <v>36.993000000000002</v>
      </c>
      <c r="AA57" s="48"/>
      <c r="AB57" s="48">
        <f t="shared" si="10"/>
        <v>35.734999999999999</v>
      </c>
    </row>
    <row r="58" spans="1:28" x14ac:dyDescent="0.15">
      <c r="A58" s="50">
        <f>agent!J$2</f>
        <v>151</v>
      </c>
      <c r="B58" s="45" t="s">
        <v>38</v>
      </c>
      <c r="C58" s="45" t="s">
        <v>39</v>
      </c>
      <c r="D58" s="45" t="str">
        <f>SSCSource!$O70</f>
        <v>1 2 3 5 6,0 1 4 5 8 9,0 3 5 6 7 9,0 1 5 8 9</v>
      </c>
      <c r="E58" s="45">
        <f>SSCSource!$R70</f>
        <v>1</v>
      </c>
      <c r="F58" s="45">
        <v>1</v>
      </c>
      <c r="G58" s="45">
        <f>SSCSource!$P70</f>
        <v>1800</v>
      </c>
      <c r="H58" s="45">
        <f>SSCSource!K$2</f>
        <v>96681</v>
      </c>
      <c r="I58" s="45">
        <f>SSCSource!M70</f>
        <v>0</v>
      </c>
      <c r="J58" s="45">
        <f t="shared" si="11"/>
        <v>998584.79500000004</v>
      </c>
      <c r="K58" s="50">
        <f>IF(ISNUMBER(agent!$O$6*$W58*$X58*E58),TRUNC(agent!$O$6*$W58*$X58*E58,3),"没有上级")</f>
        <v>0</v>
      </c>
      <c r="L58" s="50">
        <f>IF(ISNUMBER(agent!$O$9*$W58*E58*$X58),TRUNC(agent!$O$9*$W58*E58*$X58,3),"没有上级")</f>
        <v>0</v>
      </c>
      <c r="M58" s="50">
        <f>IF(ISNUMBER(agent!$O$12*$W58*E58*$X58),TRUNC(agent!$O$12*$W58*E58*$X58,3),"没有上级")</f>
        <v>0</v>
      </c>
      <c r="N58" s="50">
        <f>IF(ISNUMBER(agent!$O$15*$W58*E58*$X58),TRUNC(agent!$O$15*$W58*E58*$X58,3),"没有上级")</f>
        <v>0</v>
      </c>
      <c r="O58" s="50">
        <f>IF(ISNUMBER(agent!$O$18*$W58*E58*$X58),TRUNC(agent!$O$18*$W58*E58*$X58,3),"没有上级")</f>
        <v>0</v>
      </c>
      <c r="P58" s="50">
        <f>IF(ISNUMBER(agent!$O$21*$W58*E58*$X58),TRUNC(agent!$O$21*$W58*E58*$X58,3),"没有上级")</f>
        <v>0</v>
      </c>
      <c r="Q58" s="50">
        <f>IF(ISNUMBER(agent!$O$24*$W58*E58*$X58),TRUNC(agent!$O$24*$W58*E58*$X58,3),"没有上级")</f>
        <v>0</v>
      </c>
      <c r="R58" s="50">
        <f>IF(ISNUMBER(agent!$O$27*$W58*E58*$X58),TRUNC(agent!$O$27*$W58*E58*$X58,3),"没有上级")</f>
        <v>0</v>
      </c>
      <c r="S58" s="50">
        <f>IF(ISNUMBER(agent!$O$30*$W58*E58*$X58),TRUNC(agent!$O$30*$W58*E58*$X58,3),"没有上级")</f>
        <v>0</v>
      </c>
      <c r="T58" s="50">
        <f>IF(ISNUMBER(agent!$O$33*$W58*$X58*E58),TRUNC(agent!$O$33*$W58*$X58*E58,3),"没有上级")</f>
        <v>0</v>
      </c>
      <c r="U58" s="50">
        <f t="shared" si="2"/>
        <v>0</v>
      </c>
      <c r="V58" s="50"/>
      <c r="W58" s="25">
        <v>20</v>
      </c>
      <c r="X58" s="25">
        <f>SSCSource!N70</f>
        <v>0</v>
      </c>
      <c r="Y58" s="36">
        <f>TRUNC((Z58-(9.9-agent!$L$3)*W58*10),3)</f>
        <v>19300</v>
      </c>
      <c r="Z58" s="49">
        <f>TRUNC(18000+99*W58,3)</f>
        <v>19980</v>
      </c>
      <c r="AA58" s="48"/>
      <c r="AB58" s="48">
        <f t="shared" si="10"/>
        <v>19300</v>
      </c>
    </row>
    <row r="59" spans="1:28" x14ac:dyDescent="0.15">
      <c r="A59" s="50">
        <f>agent!J$2</f>
        <v>151</v>
      </c>
      <c r="B59" s="45" t="s">
        <v>38</v>
      </c>
      <c r="C59" s="45" t="s">
        <v>40</v>
      </c>
      <c r="D59" s="45" t="str">
        <f>SSCSource!$O74</f>
        <v>1158</v>
      </c>
      <c r="E59" s="45">
        <f>SSCSource!$R74</f>
        <v>2</v>
      </c>
      <c r="F59" s="45">
        <v>1</v>
      </c>
      <c r="G59" s="45">
        <f>SSCSource!$P74</f>
        <v>4</v>
      </c>
      <c r="H59" s="45">
        <f>SSCSource!K$2</f>
        <v>96681</v>
      </c>
      <c r="I59" s="45">
        <f>SSCSource!M74</f>
        <v>0</v>
      </c>
      <c r="J59" s="45">
        <f t="shared" si="11"/>
        <v>998580.79500000004</v>
      </c>
      <c r="K59" s="50">
        <f>IF(ISNUMBER(agent!$O$6*$W59*$X59*E59),TRUNC(agent!$O$6*$W59*$X59*E59,3),"没有上级")</f>
        <v>0</v>
      </c>
      <c r="L59" s="50">
        <f>IF(ISNUMBER(agent!$O$9*$W59*E59*$X59),TRUNC(agent!$O$9*$W59*E59*$X59,3),"没有上级")</f>
        <v>0</v>
      </c>
      <c r="M59" s="50">
        <f>IF(ISNUMBER(agent!$O$12*$W59*E59*$X59),TRUNC(agent!$O$12*$W59*E59*$X59,3),"没有上级")</f>
        <v>0</v>
      </c>
      <c r="N59" s="50">
        <f>IF(ISNUMBER(agent!$O$15*$W59*E59*$X59),TRUNC(agent!$O$15*$W59*E59*$X59,3),"没有上级")</f>
        <v>0</v>
      </c>
      <c r="O59" s="50">
        <f>IF(ISNUMBER(agent!$O$18*$W59*E59*$X59),TRUNC(agent!$O$18*$W59*E59*$X59,3),"没有上级")</f>
        <v>0</v>
      </c>
      <c r="P59" s="50">
        <f>IF(ISNUMBER(agent!$O$21*$W59*E59*$X59),TRUNC(agent!$O$21*$W59*E59*$X59,3),"没有上级")</f>
        <v>0</v>
      </c>
      <c r="Q59" s="50">
        <f>IF(ISNUMBER(agent!$O$24*$W59*E59*$X59),TRUNC(agent!$O$24*$W59*E59*$X59,3),"没有上级")</f>
        <v>0</v>
      </c>
      <c r="R59" s="50">
        <f>IF(ISNUMBER(agent!$O$27*$W59*E59*$X59),TRUNC(agent!$O$27*$W59*E59*$X59,3),"没有上级")</f>
        <v>0</v>
      </c>
      <c r="S59" s="50">
        <f>IF(ISNUMBER(agent!$O$30*$W59*E59*$X59),TRUNC(agent!$O$30*$W59*E59*$X59,3),"没有上级")</f>
        <v>0</v>
      </c>
      <c r="T59" s="50">
        <f>IF(ISNUMBER(agent!$O$33*$W59*$X59*E59),TRUNC(agent!$O$33*$W59*$X59*E59,3),"没有上级")</f>
        <v>0</v>
      </c>
      <c r="U59" s="50">
        <f t="shared" si="2"/>
        <v>0</v>
      </c>
      <c r="V59" s="50"/>
      <c r="W59" s="25">
        <v>20</v>
      </c>
      <c r="X59" s="25">
        <f>SSCSource!N74</f>
        <v>0</v>
      </c>
      <c r="Y59" s="36">
        <f>TRUNC((Z59-(9.9-agent!$L$3)*W59*10),3)</f>
        <v>19300</v>
      </c>
      <c r="Z59" s="49">
        <f>TRUNC(18000+99*W59,3)</f>
        <v>19980</v>
      </c>
      <c r="AA59" s="48"/>
      <c r="AB59" s="48">
        <f t="shared" si="10"/>
        <v>19300</v>
      </c>
    </row>
    <row r="60" spans="1:28" x14ac:dyDescent="0.15">
      <c r="A60" s="50">
        <f>agent!J$2</f>
        <v>151</v>
      </c>
      <c r="B60" s="45" t="s">
        <v>38</v>
      </c>
      <c r="C60" s="45" t="s">
        <v>42</v>
      </c>
      <c r="D60" s="45" t="str">
        <f>SSCSource!$O75</f>
        <v>0 1 2 4 5 6 8 9</v>
      </c>
      <c r="E60" s="45">
        <f>SSCSource!$R75</f>
        <v>5</v>
      </c>
      <c r="F60" s="45">
        <v>1</v>
      </c>
      <c r="G60" s="45">
        <f>SSCSource!$P75</f>
        <v>700</v>
      </c>
      <c r="H60" s="45">
        <f>SSCSource!K$2</f>
        <v>96681</v>
      </c>
      <c r="I60" s="45">
        <f>SSCSource!M75</f>
        <v>4020.7249999999999</v>
      </c>
      <c r="J60" s="45">
        <f t="shared" si="11"/>
        <v>1001901.52</v>
      </c>
      <c r="K60" s="50">
        <f>IF(ISNUMBER(agent!$O$6*$W60*$X60*E60),TRUNC(agent!$O$6*$W60*$X60*E60,3),"没有上级")</f>
        <v>4.165</v>
      </c>
      <c r="L60" s="50">
        <f>IF(ISNUMBER(agent!$O$9*$W60*E60*$X60),TRUNC(agent!$O$9*$W60*E60*$X60,3),"没有上级")</f>
        <v>24.99</v>
      </c>
      <c r="M60" s="50">
        <f>IF(ISNUMBER(agent!$O$12*$W60*E60*$X60),TRUNC(agent!$O$12*$W60*E60*$X60,3),"没有上级")</f>
        <v>8.33</v>
      </c>
      <c r="N60" s="50">
        <f>IF(ISNUMBER(agent!$O$15*$W60*E60*$X60),TRUNC(agent!$O$15*$W60*E60*$X60,3),"没有上级")</f>
        <v>16.66</v>
      </c>
      <c r="O60" s="50">
        <f>IF(ISNUMBER(agent!$O$18*$W60*E60*$X60),TRUNC(agent!$O$18*$W60*E60*$X60,3),"没有上级")</f>
        <v>12.494999999999999</v>
      </c>
      <c r="P60" s="50">
        <f>IF(ISNUMBER(agent!$O$21*$W60*E60*$X60),TRUNC(agent!$O$21*$W60*E60*$X60,3),"没有上级")</f>
        <v>4.165</v>
      </c>
      <c r="Q60" s="50">
        <f>IF(ISNUMBER(agent!$O$24*$W60*E60*$X60),TRUNC(agent!$O$24*$W60*E60*$X60,3),"没有上级")</f>
        <v>29.155000000000001</v>
      </c>
      <c r="R60" s="50">
        <f>IF(ISNUMBER(agent!$O$27*$W60*E60*$X60),TRUNC(agent!$O$27*$W60*E60*$X60,3),"没有上级")</f>
        <v>12.494999999999999</v>
      </c>
      <c r="S60" s="50">
        <f>IF(ISNUMBER(agent!$O$30*$W60*E60*$X60),TRUNC(agent!$O$30*$W60*E60*$X60,3),"没有上级")</f>
        <v>16.66</v>
      </c>
      <c r="T60" s="50">
        <f>IF(ISNUMBER(agent!$O$33*$W60*$X60*E60),TRUNC(agent!$O$33*$W60*$X60*E60,3),"没有上级")</f>
        <v>12.494999999999999</v>
      </c>
      <c r="U60" s="50">
        <f t="shared" si="2"/>
        <v>141.61000000000001</v>
      </c>
      <c r="V60" s="50"/>
      <c r="W60" s="25">
        <f>TRUNC(0.83325,3)</f>
        <v>0.83299999999999996</v>
      </c>
      <c r="X60" s="25">
        <f>SSCSource!N75</f>
        <v>1</v>
      </c>
      <c r="Y60" s="36">
        <f>TRUNC((Z60-(9.9-agent!$L$3)*W60*10),3)</f>
        <v>804.14499999999998</v>
      </c>
      <c r="Z60" s="49">
        <f>TRUNC(750+99*W60,3)</f>
        <v>832.46699999999998</v>
      </c>
      <c r="AA60" s="48"/>
      <c r="AB60" s="48">
        <f t="shared" si="10"/>
        <v>804.14499999999998</v>
      </c>
    </row>
    <row r="61" spans="1:28" x14ac:dyDescent="0.15">
      <c r="A61" s="50">
        <f>agent!J$2</f>
        <v>151</v>
      </c>
      <c r="B61" s="45" t="s">
        <v>38</v>
      </c>
      <c r="C61" s="45" t="s">
        <v>185</v>
      </c>
      <c r="D61" s="45" t="str">
        <f>SSCSource!$O76</f>
        <v>0 1 2 6 7 8 9,0 1 2 3 4 5 8 9</v>
      </c>
      <c r="E61" s="45">
        <f>SSCSource!$R76</f>
        <v>4</v>
      </c>
      <c r="F61" s="45">
        <v>1</v>
      </c>
      <c r="G61" s="45">
        <f>SSCSource!$P76</f>
        <v>1288</v>
      </c>
      <c r="H61" s="45">
        <f>SSCSource!K$2</f>
        <v>96681</v>
      </c>
      <c r="I61" s="45">
        <f>SSCSource!M76</f>
        <v>6433.16</v>
      </c>
      <c r="J61" s="45">
        <f t="shared" si="11"/>
        <v>1007046.68</v>
      </c>
      <c r="K61" s="50">
        <f>IF(ISNUMBER(agent!$O$6*$W61*$X61*E61),TRUNC(agent!$O$6*$W61*$X61*E61,3),"没有上级")</f>
        <v>6.6639999999999997</v>
      </c>
      <c r="L61" s="50">
        <f>IF(ISNUMBER(agent!$O$9*$W61*E61*$X61),TRUNC(agent!$O$9*$W61*E61*$X61,3),"没有上级")</f>
        <v>39.984000000000002</v>
      </c>
      <c r="M61" s="50">
        <f>IF(ISNUMBER(agent!$O$12*$W61*E61*$X61),TRUNC(agent!$O$12*$W61*E61*$X61,3),"没有上级")</f>
        <v>13.327999999999999</v>
      </c>
      <c r="N61" s="50">
        <f>IF(ISNUMBER(agent!$O$15*$W61*E61*$X61),TRUNC(agent!$O$15*$W61*E61*$X61,3),"没有上级")</f>
        <v>26.655999999999999</v>
      </c>
      <c r="O61" s="50">
        <f>IF(ISNUMBER(agent!$O$18*$W61*E61*$X61),TRUNC(agent!$O$18*$W61*E61*$X61,3),"没有上级")</f>
        <v>19.992000000000001</v>
      </c>
      <c r="P61" s="50">
        <f>IF(ISNUMBER(agent!$O$21*$W61*E61*$X61),TRUNC(agent!$O$21*$W61*E61*$X61,3),"没有上级")</f>
        <v>6.6639999999999997</v>
      </c>
      <c r="Q61" s="50">
        <f>IF(ISNUMBER(agent!$O$24*$W61*E61*$X61),TRUNC(agent!$O$24*$W61*E61*$X61,3),"没有上级")</f>
        <v>46.648000000000003</v>
      </c>
      <c r="R61" s="50">
        <f>IF(ISNUMBER(agent!$O$27*$W61*E61*$X61),TRUNC(agent!$O$27*$W61*E61*$X61,3),"没有上级")</f>
        <v>19.992000000000001</v>
      </c>
      <c r="S61" s="50">
        <f>IF(ISNUMBER(agent!$O$30*$W61*E61*$X61),TRUNC(agent!$O$30*$W61*E61*$X61,3),"没有上级")</f>
        <v>26.655999999999999</v>
      </c>
      <c r="T61" s="50">
        <f>IF(ISNUMBER(agent!$O$33*$W61*$X61*E61),TRUNC(agent!$O$33*$W61*$X61*E61,3),"没有上级")</f>
        <v>19.992000000000001</v>
      </c>
      <c r="U61" s="50">
        <f t="shared" si="2"/>
        <v>226.57599999999999</v>
      </c>
      <c r="V61" s="50"/>
      <c r="W61" s="36">
        <f>TRUNC(1.666625,3)</f>
        <v>1.6659999999999999</v>
      </c>
      <c r="X61" s="25">
        <f>SSCSource!N76</f>
        <v>1</v>
      </c>
      <c r="Y61" s="36">
        <f>TRUNC((Z61-(9.9-agent!$L$3)*W61*10),3)</f>
        <v>1608.29</v>
      </c>
      <c r="Z61" s="49">
        <f>TRUNC(1500+99*W61,3)</f>
        <v>1664.934</v>
      </c>
      <c r="AA61" s="48"/>
      <c r="AB61" s="48">
        <f t="shared" si="10"/>
        <v>1608.29</v>
      </c>
    </row>
    <row r="62" spans="1:28" x14ac:dyDescent="0.15">
      <c r="A62" s="50">
        <f>agent!J$2</f>
        <v>151</v>
      </c>
      <c r="B62" s="45" t="s">
        <v>38</v>
      </c>
      <c r="C62" s="45" t="s">
        <v>45</v>
      </c>
      <c r="D62" s="45" t="str">
        <f>SSCSource!$O78</f>
        <v>1 4 5 6 7 8 9</v>
      </c>
      <c r="E62" s="45">
        <f>SSCSource!$R78</f>
        <v>1</v>
      </c>
      <c r="F62" s="45">
        <v>1</v>
      </c>
      <c r="G62" s="45">
        <f>SSCSource!$P78</f>
        <v>42</v>
      </c>
      <c r="H62" s="45">
        <f>SSCSource!K$2</f>
        <v>96681</v>
      </c>
      <c r="I62" s="45">
        <f>SSCSource!M78</f>
        <v>0</v>
      </c>
      <c r="J62" s="45">
        <f t="shared" si="11"/>
        <v>1007004.68</v>
      </c>
      <c r="K62" s="50">
        <f>IF(ISNUMBER(agent!$O$6*$W62*$X62*E62),TRUNC(agent!$O$6*$W62*$X62*E62,3),"没有上级")</f>
        <v>0</v>
      </c>
      <c r="L62" s="50">
        <f>IF(ISNUMBER(agent!$O$9*$W62*E62*$X62),TRUNC(agent!$O$9*$W62*E62*$X62,3),"没有上级")</f>
        <v>0</v>
      </c>
      <c r="M62" s="50">
        <f>IF(ISNUMBER(agent!$O$12*$W62*E62*$X62),TRUNC(agent!$O$12*$W62*E62*$X62,3),"没有上级")</f>
        <v>0</v>
      </c>
      <c r="N62" s="50">
        <f>IF(ISNUMBER(agent!$O$15*$W62*E62*$X62),TRUNC(agent!$O$15*$W62*E62*$X62,3),"没有上级")</f>
        <v>0</v>
      </c>
      <c r="O62" s="50">
        <f>IF(ISNUMBER(agent!$O$18*$W62*E62*$X62),TRUNC(agent!$O$18*$W62*E62*$X62,3),"没有上级")</f>
        <v>0</v>
      </c>
      <c r="P62" s="50">
        <f>IF(ISNUMBER(agent!$O$21*$W62*E62*$X62),TRUNC(agent!$O$21*$W62*E62*$X62,3),"没有上级")</f>
        <v>0</v>
      </c>
      <c r="Q62" s="50">
        <f>IF(ISNUMBER(agent!$O$24*$W62*E62*$X62),TRUNC(agent!$O$24*$W62*E62*$X62,3),"没有上级")</f>
        <v>0</v>
      </c>
      <c r="R62" s="50">
        <f>IF(ISNUMBER(agent!$O$27*$W62*E62*$X62),TRUNC(agent!$O$27*$W62*E62*$X62,3),"没有上级")</f>
        <v>0</v>
      </c>
      <c r="S62" s="50">
        <f>IF(ISNUMBER(agent!$O$30*$W62*E62*$X62),TRUNC(agent!$O$30*$W62*E62*$X62,3),"没有上级")</f>
        <v>0</v>
      </c>
      <c r="T62" s="50">
        <f>IF(ISNUMBER(agent!$O$33*$W62*$X62*E62),TRUNC(agent!$O$33*$W62*$X62*E62,3),"没有上级")</f>
        <v>0</v>
      </c>
      <c r="U62" s="50">
        <f t="shared" si="2"/>
        <v>0</v>
      </c>
      <c r="V62" s="50"/>
      <c r="W62" s="25">
        <f>TRUNC(3.33325,3)</f>
        <v>3.3330000000000002</v>
      </c>
      <c r="X62" s="25">
        <f>SSCSource!N78</f>
        <v>0</v>
      </c>
      <c r="Y62" s="36">
        <f>TRUNC((Z62-(9.9-agent!$L$3)*W62*10),3)</f>
        <v>3216.645</v>
      </c>
      <c r="Z62" s="49">
        <f>TRUNC(3000+99*W62,3)</f>
        <v>3329.9670000000001</v>
      </c>
      <c r="AA62" s="48"/>
      <c r="AB62" s="48">
        <f t="shared" si="10"/>
        <v>3216.645</v>
      </c>
    </row>
    <row r="63" spans="1:28" x14ac:dyDescent="0.15">
      <c r="A63" s="50">
        <f>agent!J$2</f>
        <v>151</v>
      </c>
      <c r="B63" s="45" t="s">
        <v>38</v>
      </c>
      <c r="C63" s="45" t="s">
        <v>46</v>
      </c>
      <c r="D63" s="45" t="str">
        <f>SSCSource!$O79</f>
        <v>0 1 2 5 6 7 8,0 1 2 7 8 9</v>
      </c>
      <c r="E63" s="45">
        <f>SSCSource!$R79</f>
        <v>2</v>
      </c>
      <c r="F63" s="45">
        <v>1</v>
      </c>
      <c r="G63" s="45">
        <f>SSCSource!$P79</f>
        <v>148</v>
      </c>
      <c r="H63" s="45">
        <f>SSCSource!K$2</f>
        <v>96681</v>
      </c>
      <c r="I63" s="45">
        <f>SSCSource!M79</f>
        <v>0</v>
      </c>
      <c r="J63" s="45">
        <f t="shared" si="11"/>
        <v>1006856.68</v>
      </c>
      <c r="K63" s="50">
        <f>IF(ISNUMBER(agent!$O$6*$W63*$X63*E63),TRUNC(agent!$O$6*$W63*$X63*E63,3),"没有上级")</f>
        <v>0</v>
      </c>
      <c r="L63" s="50">
        <f>IF(ISNUMBER(agent!$O$9*$W63*E63*$X63),TRUNC(agent!$O$9*$W63*E63*$X63,3),"没有上级")</f>
        <v>0</v>
      </c>
      <c r="M63" s="50">
        <f>IF(ISNUMBER(agent!$O$12*$W63*E63*$X63),TRUNC(agent!$O$12*$W63*E63*$X63,3),"没有上级")</f>
        <v>0</v>
      </c>
      <c r="N63" s="50">
        <f>IF(ISNUMBER(agent!$O$15*$W63*E63*$X63),TRUNC(agent!$O$15*$W63*E63*$X63,3),"没有上级")</f>
        <v>0</v>
      </c>
      <c r="O63" s="50">
        <f>IF(ISNUMBER(agent!$O$18*$W63*E63*$X63),TRUNC(agent!$O$18*$W63*E63*$X63,3),"没有上级")</f>
        <v>0</v>
      </c>
      <c r="P63" s="50">
        <f>IF(ISNUMBER(agent!$O$21*$W63*E63*$X63),TRUNC(agent!$O$21*$W63*E63*$X63,3),"没有上级")</f>
        <v>0</v>
      </c>
      <c r="Q63" s="50">
        <f>IF(ISNUMBER(agent!$O$24*$W63*E63*$X63),TRUNC(agent!$O$24*$W63*E63*$X63,3),"没有上级")</f>
        <v>0</v>
      </c>
      <c r="R63" s="50">
        <f>IF(ISNUMBER(agent!$O$27*$W63*E63*$X63),TRUNC(agent!$O$27*$W63*E63*$X63,3),"没有上级")</f>
        <v>0</v>
      </c>
      <c r="S63" s="50">
        <f>IF(ISNUMBER(agent!$O$30*$W63*E63*$X63),TRUNC(agent!$O$30*$W63*E63*$X63,3),"没有上级")</f>
        <v>0</v>
      </c>
      <c r="T63" s="50">
        <f>IF(ISNUMBER(agent!$O$33*$W63*$X63*E63),TRUNC(agent!$O$33*$W63*$X63*E63,3),"没有上级")</f>
        <v>0</v>
      </c>
      <c r="U63" s="50">
        <f t="shared" si="2"/>
        <v>0</v>
      </c>
      <c r="V63" s="50"/>
      <c r="W63" s="25">
        <v>5</v>
      </c>
      <c r="X63" s="25">
        <f>SSCSource!N79</f>
        <v>0</v>
      </c>
      <c r="Y63" s="36">
        <f>TRUNC((Z63-(9.9-agent!$L$3)*W63*10),3)</f>
        <v>4825</v>
      </c>
      <c r="Z63" s="49">
        <f>TRUNC(4500+99*W63,3)</f>
        <v>4995</v>
      </c>
      <c r="AA63" s="48"/>
      <c r="AB63" s="48">
        <f t="shared" si="10"/>
        <v>4825</v>
      </c>
    </row>
    <row r="64" spans="1:28" s="29" customFormat="1" x14ac:dyDescent="0.15">
      <c r="A64" s="50">
        <f>agent!J$2</f>
        <v>151</v>
      </c>
      <c r="B64" s="29" t="s">
        <v>38</v>
      </c>
      <c r="C64" s="29" t="s">
        <v>50</v>
      </c>
      <c r="D64" s="29" t="str">
        <f>SSCSource!$O81</f>
        <v>0 1 2 5 6 7 8 9</v>
      </c>
      <c r="E64" s="29">
        <f>SSCSource!$R81</f>
        <v>3</v>
      </c>
      <c r="F64" s="29">
        <v>1</v>
      </c>
      <c r="G64" s="29">
        <f>SSCSource!$P81</f>
        <v>48</v>
      </c>
      <c r="H64" s="29">
        <f>SSCSource!K$2</f>
        <v>96681</v>
      </c>
      <c r="I64" s="29">
        <f>SSCSource!M81</f>
        <v>49.994999999999997</v>
      </c>
      <c r="J64" s="29">
        <f t="shared" si="11"/>
        <v>1006858.675</v>
      </c>
      <c r="K64" s="50">
        <f>IF(ISNUMBER(agent!$O$6*$W64*$X64*E64),TRUNC(agent!$O$6*$W64*$X64*E64,3),"没有上级")</f>
        <v>4.4999999999999998E-2</v>
      </c>
      <c r="L64" s="50">
        <f>IF(ISNUMBER(agent!$O$9*$W64*E64*$X64),TRUNC(agent!$O$9*$W64*E64*$X64,3),"没有上级")</f>
        <v>0.27</v>
      </c>
      <c r="M64" s="50">
        <f>IF(ISNUMBER(agent!$O$12*$W64*E64*$X64),TRUNC(agent!$O$12*$W64*E64*$X64,3),"没有上级")</f>
        <v>0.09</v>
      </c>
      <c r="N64" s="50">
        <f>IF(ISNUMBER(agent!$O$15*$W64*E64*$X64),TRUNC(agent!$O$15*$W64*E64*$X64,3),"没有上级")</f>
        <v>0.18</v>
      </c>
      <c r="O64" s="50">
        <f>IF(ISNUMBER(agent!$O$18*$W64*E64*$X64),TRUNC(agent!$O$18*$W64*E64*$X64,3),"没有上级")</f>
        <v>0.13500000000000001</v>
      </c>
      <c r="P64" s="50">
        <f>IF(ISNUMBER(agent!$O$21*$W64*E64*$X64),TRUNC(agent!$O$21*$W64*E64*$X64,3),"没有上级")</f>
        <v>4.4999999999999998E-2</v>
      </c>
      <c r="Q64" s="50">
        <f>IF(ISNUMBER(agent!$O$24*$W64*E64*$X64),TRUNC(agent!$O$24*$W64*E64*$X64,3),"没有上级")</f>
        <v>0.315</v>
      </c>
      <c r="R64" s="50">
        <f>IF(ISNUMBER(agent!$O$27*$W64*E64*$X64),TRUNC(agent!$O$27*$W64*E64*$X64,3),"没有上级")</f>
        <v>0.13500000000000001</v>
      </c>
      <c r="S64" s="50">
        <f>IF(ISNUMBER(agent!$O$30*$W64*E64*$X64),TRUNC(agent!$O$30*$W64*E64*$X64,3),"没有上级")</f>
        <v>0.18</v>
      </c>
      <c r="T64" s="50">
        <f>IF(ISNUMBER(agent!$O$33*$W64*$X64*E64),TRUNC(agent!$O$33*$W64*$X64*E64,3),"没有上级")</f>
        <v>0.13500000000000001</v>
      </c>
      <c r="U64" s="50">
        <f t="shared" si="2"/>
        <v>1.53</v>
      </c>
      <c r="V64" s="50"/>
      <c r="W64" s="29">
        <f>TRUNC(0.00575,3)</f>
        <v>5.0000000000000001E-3</v>
      </c>
      <c r="X64" s="29">
        <f>SSCSource!N81</f>
        <v>3</v>
      </c>
      <c r="Y64" s="29">
        <f>TRUNC((Z64-(9.9-agent!$L$3)*W64*10),3)</f>
        <v>5.5549999999999997</v>
      </c>
      <c r="Z64" s="49">
        <f>TRUNC(5.23+99*W64,3)</f>
        <v>5.7249999999999996</v>
      </c>
      <c r="AA64" s="48"/>
      <c r="AB64" s="29">
        <f t="shared" si="10"/>
        <v>5.5549999999999997</v>
      </c>
    </row>
    <row r="65" spans="1:28" s="29" customFormat="1" x14ac:dyDescent="0.15">
      <c r="A65" s="50">
        <f>agent!J$2</f>
        <v>151</v>
      </c>
      <c r="B65" s="29" t="s">
        <v>38</v>
      </c>
      <c r="C65" s="29" t="s">
        <v>51</v>
      </c>
      <c r="D65" s="29" t="str">
        <f>SSCSource!$O82</f>
        <v>1 0 2 6 7 8 9</v>
      </c>
      <c r="E65" s="29">
        <f>SSCSource!$R82</f>
        <v>1</v>
      </c>
      <c r="F65" s="29">
        <v>1</v>
      </c>
      <c r="G65" s="29">
        <f>SSCSource!$P82</f>
        <v>42</v>
      </c>
      <c r="H65" s="29">
        <f>SSCSource!K$2</f>
        <v>96681</v>
      </c>
      <c r="I65" s="29">
        <f>SSCSource!M82</f>
        <v>59.34</v>
      </c>
      <c r="J65" s="29">
        <f t="shared" si="11"/>
        <v>1006876.015</v>
      </c>
      <c r="K65" s="50">
        <f>IF(ISNUMBER(agent!$O$6*$W65*$X65*E65),TRUNC(agent!$O$6*$W65*$X65*E65,3),"没有上级")</f>
        <v>0.06</v>
      </c>
      <c r="L65" s="50">
        <f>IF(ISNUMBER(agent!$O$9*$W65*E65*$X65),TRUNC(agent!$O$9*$W65*E65*$X65,3),"没有上级")</f>
        <v>0.36</v>
      </c>
      <c r="M65" s="50">
        <f>IF(ISNUMBER(agent!$O$12*$W65*E65*$X65),TRUNC(agent!$O$12*$W65*E65*$X65,3),"没有上级")</f>
        <v>0.12</v>
      </c>
      <c r="N65" s="50">
        <f>IF(ISNUMBER(agent!$O$15*$W65*E65*$X65),TRUNC(agent!$O$15*$W65*E65*$X65,3),"没有上级")</f>
        <v>0.24</v>
      </c>
      <c r="O65" s="50">
        <f>IF(ISNUMBER(agent!$O$18*$W65*E65*$X65),TRUNC(agent!$O$18*$W65*E65*$X65,3),"没有上级")</f>
        <v>0.18</v>
      </c>
      <c r="P65" s="50">
        <f>IF(ISNUMBER(agent!$O$21*$W65*E65*$X65),TRUNC(agent!$O$21*$W65*E65*$X65,3),"没有上级")</f>
        <v>0.06</v>
      </c>
      <c r="Q65" s="50">
        <f>IF(ISNUMBER(agent!$O$24*$W65*E65*$X65),TRUNC(agent!$O$24*$W65*E65*$X65,3),"没有上级")</f>
        <v>0.42</v>
      </c>
      <c r="R65" s="50">
        <f>IF(ISNUMBER(agent!$O$27*$W65*E65*$X65),TRUNC(agent!$O$27*$W65*E65*$X65,3),"没有上级")</f>
        <v>0.18</v>
      </c>
      <c r="S65" s="50">
        <f>IF(ISNUMBER(agent!$O$30*$W65*E65*$X65),TRUNC(agent!$O$30*$W65*E65*$X65,3),"没有上级")</f>
        <v>0.24</v>
      </c>
      <c r="T65" s="50">
        <f>IF(ISNUMBER(agent!$O$33*$W65*$X65*E65),TRUNC(agent!$O$33*$W65*$X65*E65,3),"没有上级")</f>
        <v>0.18</v>
      </c>
      <c r="U65" s="50">
        <f t="shared" si="2"/>
        <v>2.04</v>
      </c>
      <c r="V65" s="50"/>
      <c r="W65" s="29">
        <f>TRUNC(0.0205,3)</f>
        <v>0.02</v>
      </c>
      <c r="X65" s="29">
        <f>SSCSource!N82</f>
        <v>3</v>
      </c>
      <c r="Y65" s="29">
        <f>TRUNC((Z65-(9.9-agent!$L$3)*W65*10),3)</f>
        <v>19.78</v>
      </c>
      <c r="Z65" s="49">
        <f>TRUNC(18.48+99*W65,3)</f>
        <v>20.46</v>
      </c>
      <c r="AA65" s="48"/>
      <c r="AB65" s="29">
        <f t="shared" si="10"/>
        <v>19.78</v>
      </c>
    </row>
    <row r="66" spans="1:28" x14ac:dyDescent="0.15">
      <c r="A66" s="50">
        <f>agent!J$2</f>
        <v>151</v>
      </c>
      <c r="B66" s="45" t="s">
        <v>53</v>
      </c>
      <c r="C66" s="45" t="s">
        <v>54</v>
      </c>
      <c r="D66" s="45" t="str">
        <f>SSCSource!$O83</f>
        <v>0 1 2 7 8 9,0 1 2 3 4 9,0 1 2 7 8 9,0 1 3 5 8 9,0 1 4 5 7 8</v>
      </c>
      <c r="E66" s="45">
        <f>SSCSource!$R83</f>
        <v>2</v>
      </c>
      <c r="F66" s="45">
        <v>1</v>
      </c>
      <c r="G66" s="45">
        <f>SSCSource!$P83</f>
        <v>31104</v>
      </c>
      <c r="H66" s="45">
        <f>SSCSource!K$2</f>
        <v>96681</v>
      </c>
      <c r="I66" s="45">
        <f>SSCSource!M83</f>
        <v>0</v>
      </c>
      <c r="J66" s="45">
        <f t="shared" si="11"/>
        <v>975772.01500000001</v>
      </c>
      <c r="K66" s="50">
        <f>IF(ISNUMBER(agent!$O$6*$W66*$X66*E66),TRUNC(agent!$O$6*$W66*$X66*E66,3),"没有上级")</f>
        <v>0</v>
      </c>
      <c r="L66" s="50">
        <f>IF(ISNUMBER(agent!$O$9*$W66*E66*$X66),TRUNC(agent!$O$9*$W66*E66*$X66,3),"没有上级")</f>
        <v>0</v>
      </c>
      <c r="M66" s="50">
        <f>IF(ISNUMBER(agent!$O$12*$W66*E66*$X66),TRUNC(agent!$O$12*$W66*E66*$X66,3),"没有上级")</f>
        <v>0</v>
      </c>
      <c r="N66" s="50">
        <f>IF(ISNUMBER(agent!$O$15*$W66*E66*$X66),TRUNC(agent!$O$15*$W66*E66*$X66,3),"没有上级")</f>
        <v>0</v>
      </c>
      <c r="O66" s="50">
        <f>IF(ISNUMBER(agent!$O$18*$W66*E66*$X66),TRUNC(agent!$O$18*$W66*E66*$X66,3),"没有上级")</f>
        <v>0</v>
      </c>
      <c r="P66" s="50">
        <f>IF(ISNUMBER(agent!$O$21*$W66*E66*$X66),TRUNC(agent!$O$21*$W66*E66*$X66,3),"没有上级")</f>
        <v>0</v>
      </c>
      <c r="Q66" s="50">
        <f>IF(ISNUMBER(agent!$O$24*$W66*E66*$X66),TRUNC(agent!$O$24*$W66*E66*$X66,3),"没有上级")</f>
        <v>0</v>
      </c>
      <c r="R66" s="50">
        <f>IF(ISNUMBER(agent!$O$27*$W66*E66*$X66),TRUNC(agent!$O$27*$W66*E66*$X66,3),"没有上级")</f>
        <v>0</v>
      </c>
      <c r="S66" s="50">
        <f>IF(ISNUMBER(agent!$O$30*$W66*E66*$X66),TRUNC(agent!$O$30*$W66*E66*$X66,3),"没有上级")</f>
        <v>0</v>
      </c>
      <c r="T66" s="50">
        <f>IF(ISNUMBER(agent!$O$33*$W66*$X66*E66),TRUNC(agent!$O$33*$W66*$X66*E66,3),"没有上级")</f>
        <v>0</v>
      </c>
      <c r="U66" s="50">
        <f t="shared" si="2"/>
        <v>0</v>
      </c>
      <c r="V66" s="50"/>
      <c r="W66" s="25">
        <v>200</v>
      </c>
      <c r="X66" s="25">
        <f>SSCSource!N83</f>
        <v>0</v>
      </c>
      <c r="Y66" s="36">
        <f>TRUNC((Z66-(9.9-agent!$L$3)*W66*10),3)</f>
        <v>193000</v>
      </c>
      <c r="Z66" s="49">
        <f>TRUNC(180000+99*W66,3)</f>
        <v>199800</v>
      </c>
      <c r="AA66" s="48"/>
      <c r="AB66" s="48">
        <f t="shared" ref="AB66:AB97" si="15">Y66+AA66/E66</f>
        <v>193000</v>
      </c>
    </row>
    <row r="67" spans="1:28" x14ac:dyDescent="0.15">
      <c r="A67" s="50">
        <f>agent!J$2</f>
        <v>151</v>
      </c>
      <c r="B67" s="45" t="s">
        <v>53</v>
      </c>
      <c r="C67" s="45" t="s">
        <v>55</v>
      </c>
      <c r="D67" s="45" t="str">
        <f>SSCSource!$O88</f>
        <v>12212,85118,81158</v>
      </c>
      <c r="E67" s="45">
        <f>SSCSource!$R88</f>
        <v>3</v>
      </c>
      <c r="F67" s="45">
        <v>1</v>
      </c>
      <c r="G67" s="45">
        <f>SSCSource!$P88</f>
        <v>18</v>
      </c>
      <c r="H67" s="45">
        <f>SSCSource!K$2</f>
        <v>96681</v>
      </c>
      <c r="I67" s="45">
        <f>SSCSource!M88</f>
        <v>0</v>
      </c>
      <c r="J67" s="45">
        <f t="shared" ref="J67:J86" si="16">$J66-$G67+$I67</f>
        <v>975754.01500000001</v>
      </c>
      <c r="K67" s="50">
        <f>IF(ISNUMBER(agent!$O$6*$W67*$X67*E67),TRUNC(agent!$O$6*$W67*$X67*E67,3),"没有上级")</f>
        <v>0</v>
      </c>
      <c r="L67" s="50">
        <f>IF(ISNUMBER(agent!$O$9*$W67*E67*$X67),TRUNC(agent!$O$9*$W67*E67*$X67,3),"没有上级")</f>
        <v>0</v>
      </c>
      <c r="M67" s="50">
        <f>IF(ISNUMBER(agent!$O$12*$W67*E67*$X67),TRUNC(agent!$O$12*$W67*E67*$X67,3),"没有上级")</f>
        <v>0</v>
      </c>
      <c r="N67" s="50">
        <f>IF(ISNUMBER(agent!$O$15*$W67*E67*$X67),TRUNC(agent!$O$15*$W67*E67*$X67,3),"没有上级")</f>
        <v>0</v>
      </c>
      <c r="O67" s="50">
        <f>IF(ISNUMBER(agent!$O$18*$W67*E67*$X67),TRUNC(agent!$O$18*$W67*E67*$X67,3),"没有上级")</f>
        <v>0</v>
      </c>
      <c r="P67" s="50">
        <f>IF(ISNUMBER(agent!$O$21*$W67*E67*$X67),TRUNC(agent!$O$21*$W67*E67*$X67,3),"没有上级")</f>
        <v>0</v>
      </c>
      <c r="Q67" s="50">
        <f>IF(ISNUMBER(agent!$O$24*$W67*E67*$X67),TRUNC(agent!$O$24*$W67*E67*$X67,3),"没有上级")</f>
        <v>0</v>
      </c>
      <c r="R67" s="50">
        <f>IF(ISNUMBER(agent!$O$27*$W67*E67*$X67),TRUNC(agent!$O$27*$W67*E67*$X67,3),"没有上级")</f>
        <v>0</v>
      </c>
      <c r="S67" s="50">
        <f>IF(ISNUMBER(agent!$O$30*$W67*E67*$X67),TRUNC(agent!$O$30*$W67*E67*$X67,3),"没有上级")</f>
        <v>0</v>
      </c>
      <c r="T67" s="50">
        <f>IF(ISNUMBER(agent!$O$33*$W67*$X67*E67),TRUNC(agent!$O$33*$W67*$X67*E67,3),"没有上级")</f>
        <v>0</v>
      </c>
      <c r="U67" s="50">
        <f t="shared" ref="U67:U88" si="17">SUM(K67:T67)</f>
        <v>0</v>
      </c>
      <c r="V67" s="50"/>
      <c r="W67" s="25">
        <v>200</v>
      </c>
      <c r="X67" s="25">
        <f>SSCSource!N88</f>
        <v>0</v>
      </c>
      <c r="Y67" s="36">
        <f>TRUNC((Z67-(9.9-agent!$L$3)*W67*10),3)</f>
        <v>193000</v>
      </c>
      <c r="Z67" s="49">
        <f>TRUNC(180000+99*W67,3)</f>
        <v>199800</v>
      </c>
      <c r="AA67" s="48"/>
      <c r="AB67" s="48">
        <f t="shared" si="15"/>
        <v>193000</v>
      </c>
    </row>
    <row r="68" spans="1:28" x14ac:dyDescent="0.15">
      <c r="A68" s="50">
        <f>agent!J$2</f>
        <v>151</v>
      </c>
      <c r="B68" s="45" t="s">
        <v>53</v>
      </c>
      <c r="C68" s="45" t="s">
        <v>275</v>
      </c>
      <c r="D68" s="45" t="str">
        <f>SSCSource!$O89</f>
        <v>0 1 2 3 4 6 7 8 9</v>
      </c>
      <c r="E68" s="45">
        <f>SSCSource!$R89</f>
        <v>1</v>
      </c>
      <c r="F68" s="45">
        <v>1</v>
      </c>
      <c r="G68" s="45">
        <f>SSCSource!$P89</f>
        <v>252</v>
      </c>
      <c r="H68" s="45">
        <f>SSCSource!K$2</f>
        <v>96681</v>
      </c>
      <c r="I68" s="45">
        <f>SSCSource!M89</f>
        <v>0</v>
      </c>
      <c r="J68" s="45">
        <f t="shared" si="16"/>
        <v>975502.01500000001</v>
      </c>
      <c r="K68" s="50">
        <f>IF(ISNUMBER(agent!$O$6*$W68*$X68*E68),TRUNC(agent!$O$6*$W68*$X68*E68,3),"没有上级")</f>
        <v>0</v>
      </c>
      <c r="L68" s="50">
        <f>IF(ISNUMBER(agent!$O$9*$W68*E68*$X68),TRUNC(agent!$O$9*$W68*E68*$X68,3),"没有上级")</f>
        <v>0</v>
      </c>
      <c r="M68" s="50">
        <f>IF(ISNUMBER(agent!$O$12*$W68*E68*$X68),TRUNC(agent!$O$12*$W68*E68*$X68,3),"没有上级")</f>
        <v>0</v>
      </c>
      <c r="N68" s="50">
        <f>IF(ISNUMBER(agent!$O$15*$W68*E68*$X68),TRUNC(agent!$O$15*$W68*E68*$X68,3),"没有上级")</f>
        <v>0</v>
      </c>
      <c r="O68" s="50">
        <f>IF(ISNUMBER(agent!$O$18*$W68*E68*$X68),TRUNC(agent!$O$18*$W68*E68*$X68,3),"没有上级")</f>
        <v>0</v>
      </c>
      <c r="P68" s="50">
        <f>IF(ISNUMBER(agent!$O$21*$W68*E68*$X68),TRUNC(agent!$O$21*$W68*E68*$X68,3),"没有上级")</f>
        <v>0</v>
      </c>
      <c r="Q68" s="50">
        <f>IF(ISNUMBER(agent!$O$24*$W68*E68*$X68),TRUNC(agent!$O$24*$W68*E68*$X68,3),"没有上级")</f>
        <v>0</v>
      </c>
      <c r="R68" s="50">
        <f>IF(ISNUMBER(agent!$O$27*$W68*E68*$X68),TRUNC(agent!$O$27*$W68*E68*$X68,3),"没有上级")</f>
        <v>0</v>
      </c>
      <c r="S68" s="50">
        <f>IF(ISNUMBER(agent!$O$30*$W68*E68*$X68),TRUNC(agent!$O$30*$W68*E68*$X68,3),"没有上级")</f>
        <v>0</v>
      </c>
      <c r="T68" s="50">
        <f>IF(ISNUMBER(agent!$O$33*$W68*$X68*E68),TRUNC(agent!$O$33*$W68*$X68*E68,3),"没有上级")</f>
        <v>0</v>
      </c>
      <c r="U68" s="50">
        <f t="shared" si="17"/>
        <v>0</v>
      </c>
      <c r="V68" s="50"/>
      <c r="W68" s="36">
        <f>TRUNC(1.666625,3)</f>
        <v>1.6659999999999999</v>
      </c>
      <c r="X68" s="25">
        <f>SSCSource!N89</f>
        <v>0</v>
      </c>
      <c r="Y68" s="36">
        <f>TRUNC((Z68-(9.9-agent!$L$3)*W68*10),3)</f>
        <v>1608.29</v>
      </c>
      <c r="Z68" s="49">
        <f>TRUNC(1500+99*W68,3)</f>
        <v>1664.934</v>
      </c>
      <c r="AA68" s="48"/>
      <c r="AB68" s="48">
        <f t="shared" si="15"/>
        <v>1608.29</v>
      </c>
    </row>
    <row r="69" spans="1:28" x14ac:dyDescent="0.15">
      <c r="A69" s="50">
        <f>agent!J$2</f>
        <v>151</v>
      </c>
      <c r="B69" s="45" t="s">
        <v>53</v>
      </c>
      <c r="C69" s="45" t="s">
        <v>176</v>
      </c>
      <c r="D69" s="45" t="str">
        <f>SSCSource!$O90</f>
        <v>0 1 5 7 9 6,0 1 4 5 6 8 9</v>
      </c>
      <c r="E69" s="45">
        <f>SSCSource!$R90</f>
        <v>2</v>
      </c>
      <c r="F69" s="45">
        <v>1</v>
      </c>
      <c r="G69" s="45">
        <f>SSCSource!$P90</f>
        <v>540</v>
      </c>
      <c r="H69" s="45">
        <f>SSCSource!K$2</f>
        <v>96681</v>
      </c>
      <c r="I69" s="45">
        <f>SSCSource!M90</f>
        <v>6433.29</v>
      </c>
      <c r="J69" s="45">
        <f t="shared" si="16"/>
        <v>981395.30500000005</v>
      </c>
      <c r="K69" s="50">
        <f>IF(ISNUMBER(agent!$O$6*$W69*$X69*E69),TRUNC(agent!$O$6*$W69*$X69*E69,3),"没有上级")</f>
        <v>6.6660000000000004</v>
      </c>
      <c r="L69" s="50">
        <f>IF(ISNUMBER(agent!$O$9*$W69*E69*$X69),TRUNC(agent!$O$9*$W69*E69*$X69,3),"没有上级")</f>
        <v>39.996000000000002</v>
      </c>
      <c r="M69" s="50">
        <f>IF(ISNUMBER(agent!$O$12*$W69*E69*$X69),TRUNC(agent!$O$12*$W69*E69*$X69,3),"没有上级")</f>
        <v>13.332000000000001</v>
      </c>
      <c r="N69" s="50">
        <f>IF(ISNUMBER(agent!$O$15*$W69*E69*$X69),TRUNC(agent!$O$15*$W69*E69*$X69,3),"没有上级")</f>
        <v>26.664000000000001</v>
      </c>
      <c r="O69" s="50">
        <f>IF(ISNUMBER(agent!$O$18*$W69*E69*$X69),TRUNC(agent!$O$18*$W69*E69*$X69,3),"没有上级")</f>
        <v>19.998000000000001</v>
      </c>
      <c r="P69" s="50">
        <f>IF(ISNUMBER(agent!$O$21*$W69*E69*$X69),TRUNC(agent!$O$21*$W69*E69*$X69,3),"没有上级")</f>
        <v>6.6660000000000004</v>
      </c>
      <c r="Q69" s="50">
        <f>IF(ISNUMBER(agent!$O$24*$W69*E69*$X69),TRUNC(agent!$O$24*$W69*E69*$X69,3),"没有上级")</f>
        <v>46.661999999999999</v>
      </c>
      <c r="R69" s="50">
        <f>IF(ISNUMBER(agent!$O$27*$W69*E69*$X69),TRUNC(agent!$O$27*$W69*E69*$X69,3),"没有上级")</f>
        <v>19.998000000000001</v>
      </c>
      <c r="S69" s="50">
        <f>IF(ISNUMBER(agent!$O$30*$W69*E69*$X69),TRUNC(agent!$O$30*$W69*E69*$X69,3),"没有上级")</f>
        <v>26.664000000000001</v>
      </c>
      <c r="T69" s="50">
        <f>IF(ISNUMBER(agent!$O$33*$W69*$X69*E69),TRUNC(agent!$O$33*$W69*$X69*E69,3),"没有上级")</f>
        <v>19.998000000000001</v>
      </c>
      <c r="U69" s="50">
        <f t="shared" si="17"/>
        <v>226.64400000000001</v>
      </c>
      <c r="V69" s="50"/>
      <c r="W69" s="36">
        <f>TRUNC(3.33325,3)</f>
        <v>3.3330000000000002</v>
      </c>
      <c r="X69" s="25">
        <f>SSCSource!N90</f>
        <v>1</v>
      </c>
      <c r="Y69" s="36">
        <f>TRUNC((Z69-(9.9-agent!$L$3)*W69*10),3)</f>
        <v>3216.645</v>
      </c>
      <c r="Z69" s="49">
        <f>TRUNC(3000+99*W69,3)</f>
        <v>3329.9670000000001</v>
      </c>
      <c r="AA69" s="48"/>
      <c r="AB69" s="48">
        <f t="shared" si="15"/>
        <v>3216.645</v>
      </c>
    </row>
    <row r="70" spans="1:28" x14ac:dyDescent="0.15">
      <c r="A70" s="50">
        <f>agent!J$2</f>
        <v>151</v>
      </c>
      <c r="B70" s="45" t="s">
        <v>53</v>
      </c>
      <c r="C70" s="45" t="s">
        <v>276</v>
      </c>
      <c r="D70" s="45" t="str">
        <f>SSCSource!$O92</f>
        <v>0 1 2 7 8,1 3 4 5 6 7</v>
      </c>
      <c r="E70" s="45">
        <f>SSCSource!$R92</f>
        <v>1</v>
      </c>
      <c r="F70" s="45">
        <v>1</v>
      </c>
      <c r="G70" s="45">
        <f>SSCSource!$P92</f>
        <v>104</v>
      </c>
      <c r="H70" s="45">
        <f>SSCSource!K$2</f>
        <v>96681</v>
      </c>
      <c r="I70" s="45">
        <f>SSCSource!M92</f>
        <v>0</v>
      </c>
      <c r="J70" s="45">
        <f t="shared" si="16"/>
        <v>981291.30500000005</v>
      </c>
      <c r="K70" s="50">
        <f>IF(ISNUMBER(agent!$O$6*$W70*$X70*E70),TRUNC(agent!$O$6*$W70*$X70*E70,3),"没有上级")</f>
        <v>0</v>
      </c>
      <c r="L70" s="50">
        <f>IF(ISNUMBER(agent!$O$9*$W70*E70*$X70),TRUNC(agent!$O$9*$W70*E70*$X70,3),"没有上级")</f>
        <v>0</v>
      </c>
      <c r="M70" s="50">
        <f>IF(ISNUMBER(agent!$O$12*$W70*E70*$X70),TRUNC(agent!$O$12*$W70*E70*$X70,3),"没有上级")</f>
        <v>0</v>
      </c>
      <c r="N70" s="50">
        <f>IF(ISNUMBER(agent!$O$15*$W70*E70*$X70),TRUNC(agent!$O$15*$W70*E70*$X70,3),"没有上级")</f>
        <v>0</v>
      </c>
      <c r="O70" s="50">
        <f>IF(ISNUMBER(agent!$O$18*$W70*E70*$X70),TRUNC(agent!$O$18*$W70*E70*$X70,3),"没有上级")</f>
        <v>0</v>
      </c>
      <c r="P70" s="50">
        <f>IF(ISNUMBER(agent!$O$21*$W70*E70*$X70),TRUNC(agent!$O$21*$W70*E70*$X70,3),"没有上级")</f>
        <v>0</v>
      </c>
      <c r="Q70" s="50">
        <f>IF(ISNUMBER(agent!$O$24*$W70*E70*$X70),TRUNC(agent!$O$24*$W70*E70*$X70,3),"没有上级")</f>
        <v>0</v>
      </c>
      <c r="R70" s="50">
        <f>IF(ISNUMBER(agent!$O$27*$W70*E70*$X70),TRUNC(agent!$O$27*$W70*E70*$X70,3),"没有上级")</f>
        <v>0</v>
      </c>
      <c r="S70" s="50">
        <f>IF(ISNUMBER(agent!$O$30*$W70*E70*$X70),TRUNC(agent!$O$30*$W70*E70*$X70,3),"没有上级")</f>
        <v>0</v>
      </c>
      <c r="T70" s="50">
        <f>IF(ISNUMBER(agent!$O$33*$W70*$X70*E70),TRUNC(agent!$O$33*$W70*$X70*E70,3),"没有上级")</f>
        <v>0</v>
      </c>
      <c r="U70" s="50">
        <f t="shared" si="17"/>
        <v>0</v>
      </c>
      <c r="V70" s="50"/>
      <c r="W70" s="25">
        <f>TRUNC(6.666625,3)</f>
        <v>6.6660000000000004</v>
      </c>
      <c r="X70" s="25">
        <f>SSCSource!N92</f>
        <v>0</v>
      </c>
      <c r="Y70" s="36">
        <f>TRUNC((Z70-(9.9-agent!$L$3)*W70*10),3)</f>
        <v>6433.29</v>
      </c>
      <c r="Z70" s="49">
        <f>TRUNC(6000+99*W70,3)</f>
        <v>6659.9340000000002</v>
      </c>
      <c r="AA70" s="48"/>
      <c r="AB70" s="48">
        <f t="shared" si="15"/>
        <v>6433.29</v>
      </c>
    </row>
    <row r="71" spans="1:28" x14ac:dyDescent="0.15">
      <c r="A71" s="50">
        <f>agent!J$2</f>
        <v>151</v>
      </c>
      <c r="B71" s="45" t="s">
        <v>53</v>
      </c>
      <c r="C71" s="45" t="s">
        <v>177</v>
      </c>
      <c r="D71" s="45" t="str">
        <f>SSCSource!$O94</f>
        <v>0 1 2 7,0 1 8 9</v>
      </c>
      <c r="E71" s="45">
        <f>SSCSource!$R94</f>
        <v>3</v>
      </c>
      <c r="F71" s="45">
        <v>1</v>
      </c>
      <c r="G71" s="45">
        <f>SSCSource!$P94</f>
        <v>108</v>
      </c>
      <c r="H71" s="45">
        <f>SSCSource!K$2</f>
        <v>96681</v>
      </c>
      <c r="I71" s="45">
        <f>SSCSource!M94</f>
        <v>0</v>
      </c>
      <c r="J71" s="45">
        <f t="shared" si="16"/>
        <v>981183.30500000005</v>
      </c>
      <c r="K71" s="50">
        <f>IF(ISNUMBER(agent!$O$6*$W71*$X71*E71),TRUNC(agent!$O$6*$W71*$X71*E71,3),"没有上级")</f>
        <v>0</v>
      </c>
      <c r="L71" s="50">
        <f>IF(ISNUMBER(agent!$O$9*$W71*E71*$X71),TRUNC(agent!$O$9*$W71*E71*$X71,3),"没有上级")</f>
        <v>0</v>
      </c>
      <c r="M71" s="50">
        <f>IF(ISNUMBER(agent!$O$12*$W71*E71*$X71),TRUNC(agent!$O$12*$W71*E71*$X71,3),"没有上级")</f>
        <v>0</v>
      </c>
      <c r="N71" s="50">
        <f>IF(ISNUMBER(agent!$O$15*$W71*E71*$X71),TRUNC(agent!$O$15*$W71*E71*$X71,3),"没有上级")</f>
        <v>0</v>
      </c>
      <c r="O71" s="50">
        <f>IF(ISNUMBER(agent!$O$18*$W71*E71*$X71),TRUNC(agent!$O$18*$W71*E71*$X71,3),"没有上级")</f>
        <v>0</v>
      </c>
      <c r="P71" s="50">
        <f>IF(ISNUMBER(agent!$O$21*$W71*E71*$X71),TRUNC(agent!$O$21*$W71*E71*$X71,3),"没有上级")</f>
        <v>0</v>
      </c>
      <c r="Q71" s="50">
        <f>IF(ISNUMBER(agent!$O$24*$W71*E71*$X71),TRUNC(agent!$O$24*$W71*E71*$X71,3),"没有上级")</f>
        <v>0</v>
      </c>
      <c r="R71" s="50">
        <f>IF(ISNUMBER(agent!$O$27*$W71*E71*$X71),TRUNC(agent!$O$27*$W71*E71*$X71,3),"没有上级")</f>
        <v>0</v>
      </c>
      <c r="S71" s="50">
        <f>IF(ISNUMBER(agent!$O$30*$W71*E71*$X71),TRUNC(agent!$O$30*$W71*E71*$X71,3),"没有上级")</f>
        <v>0</v>
      </c>
      <c r="T71" s="50">
        <f>IF(ISNUMBER(agent!$O$33*$W71*$X71*E71),TRUNC(agent!$O$33*$W71*$X71*E71,3),"没有上级")</f>
        <v>0</v>
      </c>
      <c r="U71" s="50">
        <f t="shared" si="17"/>
        <v>0</v>
      </c>
      <c r="V71" s="50"/>
      <c r="W71" s="25">
        <v>10</v>
      </c>
      <c r="X71" s="25">
        <f>SSCSource!N94</f>
        <v>0</v>
      </c>
      <c r="Y71" s="36">
        <f>TRUNC((Z71-(9.9-agent!$L$3)*W71*10),3)</f>
        <v>9650</v>
      </c>
      <c r="Z71" s="49">
        <f>TRUNC(9000+99*W71,3)</f>
        <v>9990</v>
      </c>
      <c r="AA71" s="48"/>
      <c r="AB71" s="48">
        <f t="shared" si="15"/>
        <v>9650</v>
      </c>
    </row>
    <row r="72" spans="1:28" x14ac:dyDescent="0.15">
      <c r="A72" s="50">
        <f>agent!J$2</f>
        <v>151</v>
      </c>
      <c r="B72" s="45" t="s">
        <v>53</v>
      </c>
      <c r="C72" s="45" t="s">
        <v>178</v>
      </c>
      <c r="D72" s="45" t="str">
        <f>SSCSource!$O96</f>
        <v>0 1 4,0 1 8</v>
      </c>
      <c r="E72" s="45">
        <f>SSCSource!$R96</f>
        <v>2</v>
      </c>
      <c r="F72" s="45">
        <v>1</v>
      </c>
      <c r="G72" s="45">
        <f>SSCSource!$P96</f>
        <v>28</v>
      </c>
      <c r="H72" s="45">
        <f>SSCSource!K$2</f>
        <v>96681</v>
      </c>
      <c r="I72" s="45">
        <f>SSCSource!M96</f>
        <v>0</v>
      </c>
      <c r="J72" s="45">
        <f t="shared" si="16"/>
        <v>981155.30500000005</v>
      </c>
      <c r="K72" s="50">
        <f>IF(ISNUMBER(agent!$O$6*$W72*$X72*E72),TRUNC(agent!$O$6*$W72*$X72*E72,3),"没有上级")</f>
        <v>0</v>
      </c>
      <c r="L72" s="50">
        <f>IF(ISNUMBER(agent!$O$9*$W72*E72*$X72),TRUNC(agent!$O$9*$W72*E72*$X72,3),"没有上级")</f>
        <v>0</v>
      </c>
      <c r="M72" s="50">
        <f>IF(ISNUMBER(agent!$O$12*$W72*E72*$X72),TRUNC(agent!$O$12*$W72*E72*$X72,3),"没有上级")</f>
        <v>0</v>
      </c>
      <c r="N72" s="50">
        <f>IF(ISNUMBER(agent!$O$15*$W72*E72*$X72),TRUNC(agent!$O$15*$W72*E72*$X72,3),"没有上级")</f>
        <v>0</v>
      </c>
      <c r="O72" s="50">
        <f>IF(ISNUMBER(agent!$O$18*$W72*E72*$X72),TRUNC(agent!$O$18*$W72*E72*$X72,3),"没有上级")</f>
        <v>0</v>
      </c>
      <c r="P72" s="50">
        <f>IF(ISNUMBER(agent!$O$21*$W72*E72*$X72),TRUNC(agent!$O$21*$W72*E72*$X72,3),"没有上级")</f>
        <v>0</v>
      </c>
      <c r="Q72" s="50">
        <f>IF(ISNUMBER(agent!$O$24*$W72*E72*$X72),TRUNC(agent!$O$24*$W72*E72*$X72,3),"没有上级")</f>
        <v>0</v>
      </c>
      <c r="R72" s="50">
        <f>IF(ISNUMBER(agent!$O$27*$W72*E72*$X72),TRUNC(agent!$O$27*$W72*E72*$X72,3),"没有上级")</f>
        <v>0</v>
      </c>
      <c r="S72" s="50">
        <f>IF(ISNUMBER(agent!$O$30*$W72*E72*$X72),TRUNC(agent!$O$30*$W72*E72*$X72,3),"没有上级")</f>
        <v>0</v>
      </c>
      <c r="T72" s="50">
        <f>IF(ISNUMBER(agent!$O$33*$W72*$X72*E72),TRUNC(agent!$O$33*$W72*$X72*E72,3),"没有上级")</f>
        <v>0</v>
      </c>
      <c r="U72" s="50">
        <f t="shared" si="17"/>
        <v>0</v>
      </c>
      <c r="V72" s="50"/>
      <c r="W72" s="25">
        <v>20</v>
      </c>
      <c r="X72" s="25">
        <f>SSCSource!N96</f>
        <v>0</v>
      </c>
      <c r="Y72" s="36">
        <f>TRUNC((Z72-(9.9-agent!$L$3)*W72*10),3)</f>
        <v>19300</v>
      </c>
      <c r="Z72" s="49">
        <f>TRUNC(18000+99*W72,3)</f>
        <v>19980</v>
      </c>
      <c r="AA72" s="48"/>
      <c r="AB72" s="48">
        <f t="shared" si="15"/>
        <v>19300</v>
      </c>
    </row>
    <row r="73" spans="1:28" x14ac:dyDescent="0.15">
      <c r="A73" s="50">
        <f>agent!J$2</f>
        <v>151</v>
      </c>
      <c r="B73" s="45" t="s">
        <v>53</v>
      </c>
      <c r="C73" s="45" t="s">
        <v>59</v>
      </c>
      <c r="D73" s="45" t="str">
        <f>SSCSource!$O98</f>
        <v>4 1 5,1 2 3</v>
      </c>
      <c r="E73" s="45">
        <f>SSCSource!$R98</f>
        <v>3</v>
      </c>
      <c r="F73" s="45">
        <v>1</v>
      </c>
      <c r="G73" s="45">
        <f>SSCSource!$P98</f>
        <v>48</v>
      </c>
      <c r="H73" s="45">
        <f>SSCSource!K$2</f>
        <v>96681</v>
      </c>
      <c r="I73" s="45">
        <f>SSCSource!M98</f>
        <v>0</v>
      </c>
      <c r="J73" s="45">
        <f t="shared" si="16"/>
        <v>981107.30500000005</v>
      </c>
      <c r="K73" s="50">
        <f>IF(ISNUMBER(agent!$O$6*$W73*$X73*E73),TRUNC(agent!$O$6*$W73*$X73*E73,3),"没有上级")</f>
        <v>0</v>
      </c>
      <c r="L73" s="50">
        <f>IF(ISNUMBER(agent!$O$9*$W73*E73*$X73),TRUNC(agent!$O$9*$W73*E73*$X73,3),"没有上级")</f>
        <v>0</v>
      </c>
      <c r="M73" s="50">
        <f>IF(ISNUMBER(agent!$O$12*$W73*E73*$X73),TRUNC(agent!$O$12*$W73*E73*$X73,3),"没有上级")</f>
        <v>0</v>
      </c>
      <c r="N73" s="50">
        <f>IF(ISNUMBER(agent!$O$15*$W73*E73*$X73),TRUNC(agent!$O$15*$W73*E73*$X73,3),"没有上级")</f>
        <v>0</v>
      </c>
      <c r="O73" s="50">
        <f>IF(ISNUMBER(agent!$O$18*$W73*E73*$X73),TRUNC(agent!$O$18*$W73*E73*$X73,3),"没有上级")</f>
        <v>0</v>
      </c>
      <c r="P73" s="50">
        <f>IF(ISNUMBER(agent!$O$21*$W73*E73*$X73),TRUNC(agent!$O$21*$W73*E73*$X73,3),"没有上级")</f>
        <v>0</v>
      </c>
      <c r="Q73" s="50">
        <f>IF(ISNUMBER(agent!$O$24*$W73*E73*$X73),TRUNC(agent!$O$24*$W73*E73*$X73,3),"没有上级")</f>
        <v>0</v>
      </c>
      <c r="R73" s="50">
        <f>IF(ISNUMBER(agent!$O$27*$W73*E73*$X73),TRUNC(agent!$O$27*$W73*E73*$X73,3),"没有上级")</f>
        <v>0</v>
      </c>
      <c r="S73" s="50">
        <f>IF(ISNUMBER(agent!$O$30*$W73*E73*$X73),TRUNC(agent!$O$30*$W73*E73*$X73,3),"没有上级")</f>
        <v>0</v>
      </c>
      <c r="T73" s="50">
        <f>IF(ISNUMBER(agent!$O$33*$W73*$X73*E73),TRUNC(agent!$O$33*$W73*$X73*E73,3),"没有上级")</f>
        <v>0</v>
      </c>
      <c r="U73" s="50">
        <f t="shared" si="17"/>
        <v>0</v>
      </c>
      <c r="V73" s="50"/>
      <c r="W73" s="25">
        <v>40</v>
      </c>
      <c r="X73" s="25">
        <f>SSCSource!N98</f>
        <v>0</v>
      </c>
      <c r="Y73" s="36">
        <f>TRUNC((Z73-(9.9-agent!$L$3)*W73*10),3)</f>
        <v>38600</v>
      </c>
      <c r="Z73" s="49">
        <f>TRUNC(36000+99*W73,3)</f>
        <v>39960</v>
      </c>
      <c r="AA73" s="48"/>
      <c r="AB73" s="48">
        <f t="shared" si="15"/>
        <v>38600</v>
      </c>
    </row>
    <row r="74" spans="1:28" x14ac:dyDescent="0.15">
      <c r="A74" s="50">
        <f>agent!J$2</f>
        <v>151</v>
      </c>
      <c r="B74" s="45" t="s">
        <v>53</v>
      </c>
      <c r="C74" s="45" t="s">
        <v>66</v>
      </c>
      <c r="D74" s="45" t="str">
        <f>SSCSource!$O100</f>
        <v>0 1 2 3 4 5 6</v>
      </c>
      <c r="E74" s="45">
        <f>SSCSource!$R100</f>
        <v>2</v>
      </c>
      <c r="F74" s="45">
        <v>1</v>
      </c>
      <c r="G74" s="45">
        <f>SSCSource!$P100</f>
        <v>28</v>
      </c>
      <c r="H74" s="45">
        <f>SSCSource!K$2</f>
        <v>96681</v>
      </c>
      <c r="I74" s="45">
        <f>SSCSource!M100</f>
        <v>18.600000000000001</v>
      </c>
      <c r="J74" s="45">
        <f t="shared" si="16"/>
        <v>981097.90500000003</v>
      </c>
      <c r="K74" s="50">
        <f>IF(ISNUMBER(agent!$O$6*$W74*$X74*E74),TRUNC(agent!$O$6*$W74*$X74*E74,3),"没有上级")</f>
        <v>1.6E-2</v>
      </c>
      <c r="L74" s="50">
        <f>IF(ISNUMBER(agent!$O$9*$W74*E74*$X74),TRUNC(agent!$O$9*$W74*E74*$X74,3),"没有上级")</f>
        <v>9.6000000000000002E-2</v>
      </c>
      <c r="M74" s="50">
        <f>IF(ISNUMBER(agent!$O$12*$W74*E74*$X74),TRUNC(agent!$O$12*$W74*E74*$X74,3),"没有上级")</f>
        <v>3.2000000000000001E-2</v>
      </c>
      <c r="N74" s="50">
        <f>IF(ISNUMBER(agent!$O$15*$W74*E74*$X74),TRUNC(agent!$O$15*$W74*E74*$X74,3),"没有上级")</f>
        <v>6.4000000000000001E-2</v>
      </c>
      <c r="O74" s="50">
        <f>IF(ISNUMBER(agent!$O$18*$W74*E74*$X74),TRUNC(agent!$O$18*$W74*E74*$X74,3),"没有上级")</f>
        <v>4.8000000000000001E-2</v>
      </c>
      <c r="P74" s="50">
        <f>IF(ISNUMBER(agent!$O$21*$W74*E74*$X74),TRUNC(agent!$O$21*$W74*E74*$X74,3),"没有上级")</f>
        <v>1.6E-2</v>
      </c>
      <c r="Q74" s="50">
        <f>IF(ISNUMBER(agent!$O$24*$W74*E74*$X74),TRUNC(agent!$O$24*$W74*E74*$X74,3),"没有上级")</f>
        <v>0.112</v>
      </c>
      <c r="R74" s="50">
        <f>IF(ISNUMBER(agent!$O$27*$W74*E74*$X74),TRUNC(agent!$O$27*$W74*E74*$X74,3),"没有上级")</f>
        <v>4.8000000000000001E-2</v>
      </c>
      <c r="S74" s="50">
        <f>IF(ISNUMBER(agent!$O$30*$W74*E74*$X74),TRUNC(agent!$O$30*$W74*E74*$X74,3),"没有上级")</f>
        <v>6.4000000000000001E-2</v>
      </c>
      <c r="T74" s="50">
        <f>IF(ISNUMBER(agent!$O$33*$W74*$X74*E74),TRUNC(agent!$O$33*$W74*$X74*E74,3),"没有上级")</f>
        <v>4.8000000000000001E-2</v>
      </c>
      <c r="U74" s="50">
        <f t="shared" si="17"/>
        <v>0.54400000000000004</v>
      </c>
      <c r="V74" s="50"/>
      <c r="W74" s="25">
        <f>TRUNC(0.004875,3)</f>
        <v>4.0000000000000001E-3</v>
      </c>
      <c r="X74" s="25">
        <f>SSCSource!N100</f>
        <v>2</v>
      </c>
      <c r="Y74" s="36">
        <f>TRUNC((Z74-(9.9-agent!$L$3)*W74*10),3)</f>
        <v>4.6500000000000004</v>
      </c>
      <c r="Z74" s="49">
        <f>TRUNC(4.39+99*W74,3)</f>
        <v>4.7859999999999996</v>
      </c>
      <c r="AA74" s="48"/>
      <c r="AB74" s="48">
        <f t="shared" si="15"/>
        <v>4.6500000000000004</v>
      </c>
    </row>
    <row r="75" spans="1:28" x14ac:dyDescent="0.15">
      <c r="A75" s="50">
        <f>agent!J$2</f>
        <v>151</v>
      </c>
      <c r="B75" s="45" t="s">
        <v>53</v>
      </c>
      <c r="C75" s="45" t="s">
        <v>67</v>
      </c>
      <c r="D75" s="45" t="str">
        <f>SSCSource!$O101</f>
        <v>0 1 2 3 4 5 6</v>
      </c>
      <c r="E75" s="45">
        <f>SSCSource!$R101</f>
        <v>4</v>
      </c>
      <c r="F75" s="45">
        <v>1</v>
      </c>
      <c r="G75" s="45">
        <f>SSCSource!$P101</f>
        <v>168</v>
      </c>
      <c r="H75" s="45">
        <f>SSCSource!K$2</f>
        <v>96681</v>
      </c>
      <c r="I75" s="45">
        <f>SSCSource!M101</f>
        <v>52.42</v>
      </c>
      <c r="J75" s="45">
        <f t="shared" si="16"/>
        <v>980982.32500000007</v>
      </c>
      <c r="K75" s="50">
        <f>IF(ISNUMBER(agent!$O$6*$W75*$X75*E75),TRUNC(agent!$O$6*$W75*$X75*E75,3),"没有上级")</f>
        <v>5.1999999999999998E-2</v>
      </c>
      <c r="L75" s="50">
        <f>IF(ISNUMBER(agent!$O$9*$W75*E75*$X75),TRUNC(agent!$O$9*$W75*E75*$X75,3),"没有上级")</f>
        <v>0.312</v>
      </c>
      <c r="M75" s="50">
        <f>IF(ISNUMBER(agent!$O$12*$W75*E75*$X75),TRUNC(agent!$O$12*$W75*E75*$X75,3),"没有上级")</f>
        <v>0.104</v>
      </c>
      <c r="N75" s="50">
        <f>IF(ISNUMBER(agent!$O$15*$W75*E75*$X75),TRUNC(agent!$O$15*$W75*E75*$X75,3),"没有上级")</f>
        <v>0.20799999999999999</v>
      </c>
      <c r="O75" s="50">
        <f>IF(ISNUMBER(agent!$O$18*$W75*E75*$X75),TRUNC(agent!$O$18*$W75*E75*$X75,3),"没有上级")</f>
        <v>0.156</v>
      </c>
      <c r="P75" s="50">
        <f>IF(ISNUMBER(agent!$O$21*$W75*E75*$X75),TRUNC(agent!$O$21*$W75*E75*$X75,3),"没有上级")</f>
        <v>5.1999999999999998E-2</v>
      </c>
      <c r="Q75" s="50">
        <f>IF(ISNUMBER(agent!$O$24*$W75*E75*$X75),TRUNC(agent!$O$24*$W75*E75*$X75,3),"没有上级")</f>
        <v>0.36399999999999999</v>
      </c>
      <c r="R75" s="50">
        <f>IF(ISNUMBER(agent!$O$27*$W75*E75*$X75),TRUNC(agent!$O$27*$W75*E75*$X75,3),"没有上级")</f>
        <v>0.156</v>
      </c>
      <c r="S75" s="50">
        <f>IF(ISNUMBER(agent!$O$30*$W75*E75*$X75),TRUNC(agent!$O$30*$W75*E75*$X75,3),"没有上级")</f>
        <v>0.20799999999999999</v>
      </c>
      <c r="T75" s="50">
        <f>IF(ISNUMBER(agent!$O$33*$W75*$X75*E75),TRUNC(agent!$O$33*$W75*$X75*E75,3),"没有上级")</f>
        <v>0.156</v>
      </c>
      <c r="U75" s="50">
        <f t="shared" si="17"/>
        <v>1.7679999999999998</v>
      </c>
      <c r="V75" s="50"/>
      <c r="W75" s="25">
        <f>TRUNC(0.01375,3)</f>
        <v>1.2999999999999999E-2</v>
      </c>
      <c r="X75" s="25">
        <f>SSCSource!N101</f>
        <v>1</v>
      </c>
      <c r="Y75" s="36">
        <f>TRUNC((Z75-(9.9-agent!$L$3)*W75*10),3)</f>
        <v>13.105</v>
      </c>
      <c r="Z75" s="49">
        <f>TRUNC(12.26+99*W75,3)</f>
        <v>13.547000000000001</v>
      </c>
      <c r="AA75" s="48"/>
      <c r="AB75" s="48">
        <f t="shared" si="15"/>
        <v>13.105</v>
      </c>
    </row>
    <row r="76" spans="1:28" x14ac:dyDescent="0.15">
      <c r="A76" s="50">
        <f>agent!J$2</f>
        <v>151</v>
      </c>
      <c r="B76" s="45" t="s">
        <v>53</v>
      </c>
      <c r="C76" s="45" t="s">
        <v>68</v>
      </c>
      <c r="D76" s="45" t="str">
        <f>SSCSource!$O102</f>
        <v>0 1 2 5 8 9</v>
      </c>
      <c r="E76" s="45">
        <f>SSCSource!$R102</f>
        <v>3</v>
      </c>
      <c r="F76" s="45">
        <v>1</v>
      </c>
      <c r="G76" s="45">
        <f>SSCSource!$P102</f>
        <v>120</v>
      </c>
      <c r="H76" s="45">
        <f>SSCSource!K$2</f>
        <v>96681</v>
      </c>
      <c r="I76" s="45">
        <f>SSCSource!M102</f>
        <v>133.07999999999998</v>
      </c>
      <c r="J76" s="45">
        <f t="shared" si="16"/>
        <v>980995.40500000003</v>
      </c>
      <c r="K76" s="50">
        <f>IF(ISNUMBER(agent!$O$6*$W76*$X76*E76),TRUNC(agent!$O$6*$W76*$X76*E76,3),"没有上级")</f>
        <v>0.13800000000000001</v>
      </c>
      <c r="L76" s="50">
        <f>IF(ISNUMBER(agent!$O$9*$W76*E76*$X76),TRUNC(agent!$O$9*$W76*E76*$X76,3),"没有上级")</f>
        <v>0.82799999999999996</v>
      </c>
      <c r="M76" s="50">
        <f>IF(ISNUMBER(agent!$O$12*$W76*E76*$X76),TRUNC(agent!$O$12*$W76*E76*$X76,3),"没有上级")</f>
        <v>0.27600000000000002</v>
      </c>
      <c r="N76" s="50">
        <f>IF(ISNUMBER(agent!$O$15*$W76*E76*$X76),TRUNC(agent!$O$15*$W76*E76*$X76,3),"没有上级")</f>
        <v>0.55200000000000005</v>
      </c>
      <c r="O76" s="50">
        <f>IF(ISNUMBER(agent!$O$18*$W76*E76*$X76),TRUNC(agent!$O$18*$W76*E76*$X76,3),"没有上级")</f>
        <v>0.41399999999999998</v>
      </c>
      <c r="P76" s="50">
        <f>IF(ISNUMBER(agent!$O$21*$W76*E76*$X76),TRUNC(agent!$O$21*$W76*E76*$X76,3),"没有上级")</f>
        <v>0.13800000000000001</v>
      </c>
      <c r="Q76" s="50">
        <f>IF(ISNUMBER(agent!$O$24*$W76*E76*$X76),TRUNC(agent!$O$24*$W76*E76*$X76,3),"没有上级")</f>
        <v>0.96599999999999997</v>
      </c>
      <c r="R76" s="50">
        <f>IF(ISNUMBER(agent!$O$27*$W76*E76*$X76),TRUNC(agent!$O$27*$W76*E76*$X76,3),"没有上级")</f>
        <v>0.41399999999999998</v>
      </c>
      <c r="S76" s="50">
        <f>IF(ISNUMBER(agent!$O$30*$W76*E76*$X76),TRUNC(agent!$O$30*$W76*E76*$X76,3),"没有上级")</f>
        <v>0.55200000000000005</v>
      </c>
      <c r="T76" s="50">
        <f>IF(ISNUMBER(agent!$O$33*$W76*$X76*E76),TRUNC(agent!$O$33*$W76*$X76*E76,3),"没有上级")</f>
        <v>0.41399999999999998</v>
      </c>
      <c r="U76" s="50">
        <f t="shared" si="17"/>
        <v>4.6920000000000002</v>
      </c>
      <c r="V76" s="50"/>
      <c r="W76" s="25">
        <f>TRUNC(0.046,4)</f>
        <v>4.5999999999999999E-2</v>
      </c>
      <c r="X76" s="25">
        <f>SSCSource!N102</f>
        <v>0.99999999999999989</v>
      </c>
      <c r="Y76" s="36">
        <f>TRUNC((Z76-(9.9-agent!$L$3)*W76*10),3)</f>
        <v>44.36</v>
      </c>
      <c r="Z76" s="49">
        <f>TRUNC(41.37+99*W76,3)</f>
        <v>45.923999999999999</v>
      </c>
      <c r="AA76" s="48"/>
      <c r="AB76" s="48">
        <f t="shared" si="15"/>
        <v>44.36</v>
      </c>
    </row>
    <row r="77" spans="1:28" x14ac:dyDescent="0.15">
      <c r="A77" s="50">
        <f>agent!J$2</f>
        <v>151</v>
      </c>
      <c r="B77" s="45" t="s">
        <v>53</v>
      </c>
      <c r="C77" s="45" t="s">
        <v>70</v>
      </c>
      <c r="D77" s="45" t="str">
        <f>SSCSource!$O103</f>
        <v>0 1 2 3 4 5 6 7 8 9</v>
      </c>
      <c r="E77" s="45">
        <f>SSCSource!$R103</f>
        <v>4</v>
      </c>
      <c r="F77" s="45">
        <v>1</v>
      </c>
      <c r="G77" s="45">
        <f>SSCSource!$P103</f>
        <v>80</v>
      </c>
      <c r="H77" s="45">
        <f>SSCSource!K$2</f>
        <v>96681</v>
      </c>
      <c r="I77" s="45">
        <f>SSCSource!M103</f>
        <v>74.400000000000006</v>
      </c>
      <c r="J77" s="45">
        <f t="shared" si="16"/>
        <v>980989.80500000005</v>
      </c>
      <c r="K77" s="50">
        <f>IF(ISNUMBER(agent!$O$6*$W77*$X77*E77),TRUNC(agent!$O$6*$W77*$X77*E77,3),"没有上级")</f>
        <v>6.4000000000000001E-2</v>
      </c>
      <c r="L77" s="50">
        <f>IF(ISNUMBER(agent!$O$9*$W77*E77*$X77),TRUNC(agent!$O$9*$W77*E77*$X77,3),"没有上级")</f>
        <v>0.38400000000000001</v>
      </c>
      <c r="M77" s="50">
        <f>IF(ISNUMBER(agent!$O$12*$W77*E77*$X77),TRUNC(agent!$O$12*$W77*E77*$X77,3),"没有上级")</f>
        <v>0.128</v>
      </c>
      <c r="N77" s="50">
        <f>IF(ISNUMBER(agent!$O$15*$W77*E77*$X77),TRUNC(agent!$O$15*$W77*E77*$X77,3),"没有上级")</f>
        <v>0.25600000000000001</v>
      </c>
      <c r="O77" s="50">
        <f>IF(ISNUMBER(agent!$O$18*$W77*E77*$X77),TRUNC(agent!$O$18*$W77*E77*$X77,3),"没有上级")</f>
        <v>0.192</v>
      </c>
      <c r="P77" s="50">
        <f>IF(ISNUMBER(agent!$O$21*$W77*E77*$X77),TRUNC(agent!$O$21*$W77*E77*$X77,3),"没有上级")</f>
        <v>6.4000000000000001E-2</v>
      </c>
      <c r="Q77" s="50">
        <f>IF(ISNUMBER(agent!$O$24*$W77*E77*$X77),TRUNC(agent!$O$24*$W77*E77*$X77,3),"没有上级")</f>
        <v>0.44800000000000001</v>
      </c>
      <c r="R77" s="50">
        <f>IF(ISNUMBER(agent!$O$27*$W77*E77*$X77),TRUNC(agent!$O$27*$W77*E77*$X77,3),"没有上级")</f>
        <v>0.192</v>
      </c>
      <c r="S77" s="50">
        <f>IF(ISNUMBER(agent!$O$30*$W77*E77*$X77),TRUNC(agent!$O$30*$W77*E77*$X77,3),"没有上级")</f>
        <v>0.25600000000000001</v>
      </c>
      <c r="T77" s="50">
        <f>IF(ISNUMBER(agent!$O$33*$W77*$X77*E77),TRUNC(agent!$O$33*$W77*$X77*E77,3),"没有上级")</f>
        <v>0.192</v>
      </c>
      <c r="U77" s="50">
        <f t="shared" si="17"/>
        <v>2.1760000000000002</v>
      </c>
      <c r="V77" s="50"/>
      <c r="W77" s="36">
        <f>TRUNC(0.004875,3)</f>
        <v>4.0000000000000001E-3</v>
      </c>
      <c r="X77" s="25">
        <f>SSCSource!N103</f>
        <v>4</v>
      </c>
      <c r="Y77" s="36">
        <f>TRUNC((Z77-(9.9-agent!$L$3)*W77*10),3)</f>
        <v>4.6500000000000004</v>
      </c>
      <c r="Z77" s="49">
        <f>TRUNC(4.39+99*W77,3)</f>
        <v>4.7859999999999996</v>
      </c>
      <c r="AA77" s="48"/>
      <c r="AB77" s="48">
        <f t="shared" si="15"/>
        <v>4.6500000000000004</v>
      </c>
    </row>
    <row r="78" spans="1:28" x14ac:dyDescent="0.15">
      <c r="A78" s="50">
        <f>agent!J$2</f>
        <v>151</v>
      </c>
      <c r="B78" s="45" t="s">
        <v>53</v>
      </c>
      <c r="C78" s="45" t="s">
        <v>71</v>
      </c>
      <c r="D78" s="45" t="str">
        <f>SSCSource!$O104</f>
        <v>0 1 2 5 7 8</v>
      </c>
      <c r="E78" s="45">
        <f>SSCSource!$R104</f>
        <v>2</v>
      </c>
      <c r="F78" s="45">
        <v>1</v>
      </c>
      <c r="G78" s="45">
        <f>SSCSource!$P104</f>
        <v>24</v>
      </c>
      <c r="H78" s="45">
        <f>SSCSource!K$2</f>
        <v>96681</v>
      </c>
      <c r="I78" s="45">
        <f>SSCSource!M104</f>
        <v>0</v>
      </c>
      <c r="J78" s="45">
        <f t="shared" si="16"/>
        <v>980965.80500000005</v>
      </c>
      <c r="K78" s="50">
        <f>IF(ISNUMBER(agent!$O$6*$W78*$X78*E78),TRUNC(agent!$O$6*$W78*$X78*E78,3),"没有上级")</f>
        <v>0</v>
      </c>
      <c r="L78" s="50">
        <f>IF(ISNUMBER(agent!$O$9*$W78*E78*$X78),TRUNC(agent!$O$9*$W78*E78*$X78,3),"没有上级")</f>
        <v>0</v>
      </c>
      <c r="M78" s="50">
        <f>IF(ISNUMBER(agent!$O$12*$W78*E78*$X78),TRUNC(agent!$O$12*$W78*E78*$X78,3),"没有上级")</f>
        <v>0</v>
      </c>
      <c r="N78" s="50">
        <f>IF(ISNUMBER(agent!$O$15*$W78*E78*$X78),TRUNC(agent!$O$15*$W78*E78*$X78,3),"没有上级")</f>
        <v>0</v>
      </c>
      <c r="O78" s="50">
        <f>IF(ISNUMBER(agent!$O$18*$W78*E78*$X78),TRUNC(agent!$O$18*$W78*E78*$X78,3),"没有上级")</f>
        <v>0</v>
      </c>
      <c r="P78" s="50">
        <f>IF(ISNUMBER(agent!$O$21*$W78*E78*$X78),TRUNC(agent!$O$21*$W78*E78*$X78,3),"没有上级")</f>
        <v>0</v>
      </c>
      <c r="Q78" s="50">
        <f>IF(ISNUMBER(agent!$O$24*$W78*E78*$X78),TRUNC(agent!$O$24*$W78*E78*$X78,3),"没有上级")</f>
        <v>0</v>
      </c>
      <c r="R78" s="50">
        <f>IF(ISNUMBER(agent!$O$27*$W78*E78*$X78),TRUNC(agent!$O$27*$W78*E78*$X78,3),"没有上级")</f>
        <v>0</v>
      </c>
      <c r="S78" s="50">
        <f>IF(ISNUMBER(agent!$O$30*$W78*E78*$X78),TRUNC(agent!$O$30*$W78*E78*$X78,3),"没有上级")</f>
        <v>0</v>
      </c>
      <c r="T78" s="50">
        <f>IF(ISNUMBER(agent!$O$33*$W78*$X78*E78),TRUNC(agent!$O$33*$W78*$X78*E78,3),"没有上级")</f>
        <v>0</v>
      </c>
      <c r="U78" s="50">
        <f t="shared" si="17"/>
        <v>0</v>
      </c>
      <c r="V78" s="50"/>
      <c r="W78" s="25">
        <f>TRUNC(0.024625,3)</f>
        <v>2.4E-2</v>
      </c>
      <c r="X78" s="25">
        <f>SSCSource!N104</f>
        <v>0</v>
      </c>
      <c r="Y78" s="36">
        <f>TRUNC((Z78-(9.9-agent!$L$3)*W78*10),3)</f>
        <v>23.65</v>
      </c>
      <c r="Z78" s="49">
        <f>TRUNC(22.09+99*W78,3)</f>
        <v>24.466000000000001</v>
      </c>
      <c r="AA78" s="48"/>
      <c r="AB78" s="48">
        <f t="shared" si="15"/>
        <v>23.65</v>
      </c>
    </row>
    <row r="79" spans="1:28" x14ac:dyDescent="0.15">
      <c r="A79" s="50">
        <f>agent!J$2</f>
        <v>151</v>
      </c>
      <c r="B79" s="45" t="s">
        <v>53</v>
      </c>
      <c r="C79" s="45" t="s">
        <v>72</v>
      </c>
      <c r="D79" s="45" t="str">
        <f>SSCSource!$O105</f>
        <v>1 2</v>
      </c>
      <c r="E79" s="45">
        <f>SSCSource!$R105</f>
        <v>4</v>
      </c>
      <c r="F79" s="45">
        <v>1</v>
      </c>
      <c r="G79" s="45">
        <f>SSCSource!$P105</f>
        <v>16</v>
      </c>
      <c r="H79" s="45">
        <f>SSCSource!K$2</f>
        <v>96681</v>
      </c>
      <c r="I79" s="45">
        <f>SSCSource!M105</f>
        <v>0</v>
      </c>
      <c r="J79" s="45">
        <f t="shared" si="16"/>
        <v>980949.80500000005</v>
      </c>
      <c r="K79" s="50">
        <f>IF(ISNUMBER(agent!$O$6*$W79*$X79*E79),TRUNC(agent!$O$6*$W79*$X79*E79,3),"没有上级")</f>
        <v>0</v>
      </c>
      <c r="L79" s="50">
        <f>IF(ISNUMBER(agent!$O$9*$W79*E79*$X79),TRUNC(agent!$O$9*$W79*E79*$X79,3),"没有上级")</f>
        <v>0</v>
      </c>
      <c r="M79" s="50">
        <f>IF(ISNUMBER(agent!$O$12*$W79*E79*$X79),TRUNC(agent!$O$12*$W79*E79*$X79,3),"没有上级")</f>
        <v>0</v>
      </c>
      <c r="N79" s="50">
        <f>IF(ISNUMBER(agent!$O$15*$W79*E79*$X79),TRUNC(agent!$O$15*$W79*E79*$X79,3),"没有上级")</f>
        <v>0</v>
      </c>
      <c r="O79" s="50">
        <f>IF(ISNUMBER(agent!$O$18*$W79*E79*$X79),TRUNC(agent!$O$18*$W79*E79*$X79,3),"没有上级")</f>
        <v>0</v>
      </c>
      <c r="P79" s="50">
        <f>IF(ISNUMBER(agent!$O$21*$W79*E79*$X79),TRUNC(agent!$O$21*$W79*E79*$X79,3),"没有上级")</f>
        <v>0</v>
      </c>
      <c r="Q79" s="50">
        <f>IF(ISNUMBER(agent!$O$24*$W79*E79*$X79),TRUNC(agent!$O$24*$W79*E79*$X79,3),"没有上级")</f>
        <v>0</v>
      </c>
      <c r="R79" s="50">
        <f>IF(ISNUMBER(agent!$O$27*$W79*E79*$X79),TRUNC(agent!$O$27*$W79*E79*$X79,3),"没有上级")</f>
        <v>0</v>
      </c>
      <c r="S79" s="50">
        <f>IF(ISNUMBER(agent!$O$30*$W79*E79*$X79),TRUNC(agent!$O$30*$W79*E79*$X79,3),"没有上级")</f>
        <v>0</v>
      </c>
      <c r="T79" s="50">
        <f>IF(ISNUMBER(agent!$O$33*$W79*$X79*E79),TRUNC(agent!$O$33*$W79*$X79*E79,3),"没有上级")</f>
        <v>0</v>
      </c>
      <c r="U79" s="50">
        <f t="shared" si="17"/>
        <v>0</v>
      </c>
      <c r="V79" s="50"/>
      <c r="W79" s="25">
        <f>TRUNC(0.233625,3)</f>
        <v>0.23300000000000001</v>
      </c>
      <c r="X79" s="25">
        <f>SSCSource!N105</f>
        <v>0</v>
      </c>
      <c r="Y79" s="36">
        <f>TRUNC((Z79-(9.9-agent!$L$3)*W79*10),3)</f>
        <v>225.42500000000001</v>
      </c>
      <c r="Z79" s="49">
        <f>TRUNC(210.28+99*W79,3)</f>
        <v>233.34700000000001</v>
      </c>
      <c r="AA79" s="48"/>
      <c r="AB79" s="48">
        <f t="shared" si="15"/>
        <v>225.42500000000001</v>
      </c>
    </row>
    <row r="80" spans="1:28" x14ac:dyDescent="0.15">
      <c r="A80" s="50">
        <f>agent!J$2</f>
        <v>151</v>
      </c>
      <c r="B80" s="45" t="s">
        <v>53</v>
      </c>
      <c r="C80" s="45" t="s">
        <v>73</v>
      </c>
      <c r="D80" s="45" t="str">
        <f>SSCSource!$O106</f>
        <v>0 1 2 3 4 5 6 7 8 9</v>
      </c>
      <c r="E80" s="45">
        <f>SSCSource!$R106</f>
        <v>3</v>
      </c>
      <c r="F80" s="45">
        <v>1</v>
      </c>
      <c r="G80" s="45">
        <f>SSCSource!$P106</f>
        <v>60</v>
      </c>
      <c r="H80" s="45">
        <f>SSCSource!K$2</f>
        <v>96681</v>
      </c>
      <c r="I80" s="45">
        <f>SSCSource!M106</f>
        <v>0</v>
      </c>
      <c r="J80" s="45">
        <f t="shared" si="16"/>
        <v>980889.80500000005</v>
      </c>
      <c r="K80" s="50">
        <f>IF(ISNUMBER(agent!$O$6*$W80*$X80*E80),TRUNC(agent!$O$6*$W80*$X80*E80,3),"没有上级")</f>
        <v>0</v>
      </c>
      <c r="L80" s="50">
        <f>IF(ISNUMBER(agent!$O$9*$W80*E80*$X80),TRUNC(agent!$O$9*$W80*E80*$X80,3),"没有上级")</f>
        <v>0</v>
      </c>
      <c r="M80" s="50">
        <f>IF(ISNUMBER(agent!$O$12*$W80*E80*$X80),TRUNC(agent!$O$12*$W80*E80*$X80,3),"没有上级")</f>
        <v>0</v>
      </c>
      <c r="N80" s="50">
        <f>IF(ISNUMBER(agent!$O$15*$W80*E80*$X80),TRUNC(agent!$O$15*$W80*E80*$X80,3),"没有上级")</f>
        <v>0</v>
      </c>
      <c r="O80" s="50">
        <f>IF(ISNUMBER(agent!$O$18*$W80*E80*$X80),TRUNC(agent!$O$18*$W80*E80*$X80,3),"没有上级")</f>
        <v>0</v>
      </c>
      <c r="P80" s="50">
        <f>IF(ISNUMBER(agent!$O$21*$W80*E80*$X80),TRUNC(agent!$O$21*$W80*E80*$X80,3),"没有上级")</f>
        <v>0</v>
      </c>
      <c r="Q80" s="50">
        <f>IF(ISNUMBER(agent!$O$24*$W80*E80*$X80),TRUNC(agent!$O$24*$W80*E80*$X80,3),"没有上级")</f>
        <v>0</v>
      </c>
      <c r="R80" s="50">
        <f>IF(ISNUMBER(agent!$O$27*$W80*E80*$X80),TRUNC(agent!$O$27*$W80*E80*$X80,3),"没有上级")</f>
        <v>0</v>
      </c>
      <c r="S80" s="50">
        <f>IF(ISNUMBER(agent!$O$30*$W80*E80*$X80),TRUNC(agent!$O$30*$W80*E80*$X80,3),"没有上级")</f>
        <v>0</v>
      </c>
      <c r="T80" s="50">
        <f>IF(ISNUMBER(agent!$O$33*$W80*$X80*E80),TRUNC(agent!$O$33*$W80*$X80*E80,3),"没有上级")</f>
        <v>0</v>
      </c>
      <c r="U80" s="50">
        <f t="shared" si="17"/>
        <v>0</v>
      </c>
      <c r="V80" s="50"/>
      <c r="W80" s="25">
        <f>TRUNC(4.34775,3)</f>
        <v>4.3470000000000004</v>
      </c>
      <c r="X80" s="25">
        <f>SSCSource!N106</f>
        <v>0</v>
      </c>
      <c r="Y80" s="36">
        <f>TRUNC((Z80-(9.9-agent!$L$3)*W80*10),3)</f>
        <v>4195.5950000000003</v>
      </c>
      <c r="Z80" s="49">
        <f>TRUNC(3913.04+99*W80,3)</f>
        <v>4343.393</v>
      </c>
      <c r="AA80" s="48"/>
      <c r="AB80" s="48">
        <f t="shared" si="15"/>
        <v>4195.5950000000003</v>
      </c>
    </row>
    <row r="81" spans="1:28" x14ac:dyDescent="0.15">
      <c r="A81" s="50">
        <f>agent!J$2</f>
        <v>151</v>
      </c>
      <c r="B81" s="45" t="s">
        <v>74</v>
      </c>
      <c r="C81" s="45" t="s">
        <v>75</v>
      </c>
      <c r="D81" s="45" t="str">
        <f>SSCSource!$O107</f>
        <v>大 小 单 双,大 小 单 双</v>
      </c>
      <c r="E81" s="45">
        <f>SSCSource!$R107</f>
        <v>5</v>
      </c>
      <c r="F81" s="45">
        <v>1</v>
      </c>
      <c r="G81" s="45">
        <f>SSCSource!$P107</f>
        <v>160</v>
      </c>
      <c r="H81" s="45">
        <f>SSCSource!K$2</f>
        <v>96681</v>
      </c>
      <c r="I81" s="45">
        <f>SSCSource!M107</f>
        <v>154.4</v>
      </c>
      <c r="J81" s="45">
        <f t="shared" si="16"/>
        <v>980884.20500000007</v>
      </c>
      <c r="K81" s="50">
        <f>IF(ISNUMBER(agent!$O$6*$W81*$X81*E81),TRUNC(agent!$O$6*$W81*$X81*E81,3),"没有上级")</f>
        <v>0.16</v>
      </c>
      <c r="L81" s="50">
        <f>IF(ISNUMBER(agent!$O$9*$W81*E81*$X81),TRUNC(agent!$O$9*$W81*E81*$X81,3),"没有上级")</f>
        <v>0.96</v>
      </c>
      <c r="M81" s="50">
        <f>IF(ISNUMBER(agent!$O$12*$W81*E81*$X81),TRUNC(agent!$O$12*$W81*E81*$X81,3),"没有上级")</f>
        <v>0.32</v>
      </c>
      <c r="N81" s="50">
        <f>IF(ISNUMBER(agent!$O$15*$W81*E81*$X81),TRUNC(agent!$O$15*$W81*E81*$X81,3),"没有上级")</f>
        <v>0.64</v>
      </c>
      <c r="O81" s="50">
        <f>IF(ISNUMBER(agent!$O$18*$W81*E81*$X81),TRUNC(agent!$O$18*$W81*E81*$X81,3),"没有上级")</f>
        <v>0.48</v>
      </c>
      <c r="P81" s="50">
        <f>IF(ISNUMBER(agent!$O$21*$W81*E81*$X81),TRUNC(agent!$O$21*$W81*E81*$X81,3),"没有上级")</f>
        <v>0.16</v>
      </c>
      <c r="Q81" s="50">
        <f>IF(ISNUMBER(agent!$O$24*$W81*E81*$X81),TRUNC(agent!$O$24*$W81*E81*$X81,3),"没有上级")</f>
        <v>1.1200000000000001</v>
      </c>
      <c r="R81" s="50">
        <f>IF(ISNUMBER(agent!$O$27*$W81*E81*$X81),TRUNC(agent!$O$27*$W81*E81*$X81,3),"没有上级")</f>
        <v>0.48</v>
      </c>
      <c r="S81" s="50">
        <f>IF(ISNUMBER(agent!$O$30*$W81*E81*$X81),TRUNC(agent!$O$30*$W81*E81*$X81,3),"没有上级")</f>
        <v>0.64</v>
      </c>
      <c r="T81" s="50">
        <f>IF(ISNUMBER(agent!$O$33*$W81*$X81*E81),TRUNC(agent!$O$33*$W81*$X81*E81,3),"没有上级")</f>
        <v>0.48</v>
      </c>
      <c r="U81" s="50">
        <f t="shared" si="17"/>
        <v>5.4399999999999995</v>
      </c>
      <c r="V81" s="50"/>
      <c r="W81" s="25">
        <f>TRUNC(0.008,4)</f>
        <v>8.0000000000000002E-3</v>
      </c>
      <c r="X81" s="25">
        <f>SSCSource!N107</f>
        <v>4</v>
      </c>
      <c r="Y81" s="36">
        <f>TRUNC((Z81-(9.9-agent!$L$3)*W81*10),3)</f>
        <v>7.72</v>
      </c>
      <c r="Z81" s="49">
        <f>TRUNC(7.2+99*W81,3)</f>
        <v>7.992</v>
      </c>
      <c r="AA81" s="48"/>
      <c r="AB81" s="48">
        <f t="shared" si="15"/>
        <v>7.72</v>
      </c>
    </row>
    <row r="82" spans="1:28" x14ac:dyDescent="0.15">
      <c r="A82" s="50">
        <f>agent!J$2</f>
        <v>151</v>
      </c>
      <c r="B82" s="45" t="s">
        <v>74</v>
      </c>
      <c r="C82" s="45" t="s">
        <v>78</v>
      </c>
      <c r="D82" s="45" t="str">
        <f>SSCSource!$O109</f>
        <v>大 小 单 双,大 小 单 双</v>
      </c>
      <c r="E82" s="45">
        <f>SSCSource!$R109</f>
        <v>1</v>
      </c>
      <c r="F82" s="45">
        <v>1</v>
      </c>
      <c r="G82" s="45">
        <f>SSCSource!$P109</f>
        <v>32</v>
      </c>
      <c r="H82" s="45">
        <f>SSCSource!K$2</f>
        <v>96681</v>
      </c>
      <c r="I82" s="45">
        <f>SSCSource!M109</f>
        <v>30.88</v>
      </c>
      <c r="J82" s="45">
        <f t="shared" si="16"/>
        <v>980883.08500000008</v>
      </c>
      <c r="K82" s="50">
        <f>IF(ISNUMBER(agent!$O$6*$W82*$X82*E82),TRUNC(agent!$O$6*$W82*$X82*E82,3),"没有上级")</f>
        <v>3.2000000000000001E-2</v>
      </c>
      <c r="L82" s="50">
        <f>IF(ISNUMBER(agent!$O$9*$W82*E82*$X82),TRUNC(agent!$O$9*$W82*E82*$X82,3),"没有上级")</f>
        <v>0.192</v>
      </c>
      <c r="M82" s="50">
        <f>IF(ISNUMBER(agent!$O$12*$W82*E82*$X82),TRUNC(agent!$O$12*$W82*E82*$X82,3),"没有上级")</f>
        <v>6.4000000000000001E-2</v>
      </c>
      <c r="N82" s="50">
        <f>IF(ISNUMBER(agent!$O$15*$W82*E82*$X82),TRUNC(agent!$O$15*$W82*E82*$X82,3),"没有上级")</f>
        <v>0.128</v>
      </c>
      <c r="O82" s="50">
        <f>IF(ISNUMBER(agent!$O$18*$W82*E82*$X82),TRUNC(agent!$O$18*$W82*E82*$X82,3),"没有上级")</f>
        <v>9.6000000000000002E-2</v>
      </c>
      <c r="P82" s="50">
        <f>IF(ISNUMBER(agent!$O$21*$W82*E82*$X82),TRUNC(agent!$O$21*$W82*E82*$X82,3),"没有上级")</f>
        <v>3.2000000000000001E-2</v>
      </c>
      <c r="Q82" s="50">
        <f>IF(ISNUMBER(agent!$O$24*$W82*E82*$X82),TRUNC(agent!$O$24*$W82*E82*$X82,3),"没有上级")</f>
        <v>0.224</v>
      </c>
      <c r="R82" s="50">
        <f>IF(ISNUMBER(agent!$O$27*$W82*E82*$X82),TRUNC(agent!$O$27*$W82*E82*$X82,3),"没有上级")</f>
        <v>9.6000000000000002E-2</v>
      </c>
      <c r="S82" s="50">
        <f>IF(ISNUMBER(agent!$O$30*$W82*E82*$X82),TRUNC(agent!$O$30*$W82*E82*$X82,3),"没有上级")</f>
        <v>0.128</v>
      </c>
      <c r="T82" s="50">
        <f>IF(ISNUMBER(agent!$O$33*$W82*$X82*E82),TRUNC(agent!$O$33*$W82*$X82*E82,3),"没有上级")</f>
        <v>9.6000000000000002E-2</v>
      </c>
      <c r="U82" s="50">
        <f t="shared" si="17"/>
        <v>1.0880000000000001</v>
      </c>
      <c r="V82" s="50"/>
      <c r="W82" s="36">
        <f>TRUNC(0.008,4)</f>
        <v>8.0000000000000002E-3</v>
      </c>
      <c r="X82" s="25">
        <f>SSCSource!N109</f>
        <v>4</v>
      </c>
      <c r="Y82" s="36">
        <f>TRUNC((Z82-(9.9-agent!$L$3)*W82*10),3)</f>
        <v>7.72</v>
      </c>
      <c r="Z82" s="49">
        <f>TRUNC(7.2+99*W82,3)</f>
        <v>7.992</v>
      </c>
      <c r="AA82" s="48"/>
      <c r="AB82" s="48">
        <f t="shared" si="15"/>
        <v>7.72</v>
      </c>
    </row>
    <row r="83" spans="1:28" x14ac:dyDescent="0.15">
      <c r="A83" s="50">
        <f>agent!J$2</f>
        <v>151</v>
      </c>
      <c r="B83" s="45" t="s">
        <v>74</v>
      </c>
      <c r="C83" s="45" t="s">
        <v>81</v>
      </c>
      <c r="D83" s="45" t="str">
        <f>SSCSource!$O111</f>
        <v>大 小 单 双,大 小 单 双,大 小 单 双</v>
      </c>
      <c r="E83" s="45">
        <f>SSCSource!$R111</f>
        <v>2</v>
      </c>
      <c r="F83" s="45">
        <v>1</v>
      </c>
      <c r="G83" s="45">
        <f>SSCSource!$P111</f>
        <v>256</v>
      </c>
      <c r="H83" s="45">
        <f>SSCSource!K$2</f>
        <v>96681</v>
      </c>
      <c r="I83" s="45">
        <f>SSCSource!M111</f>
        <v>247.04</v>
      </c>
      <c r="J83" s="45">
        <f t="shared" si="16"/>
        <v>980874.12500000012</v>
      </c>
      <c r="K83" s="50">
        <f>IF(ISNUMBER(agent!$O$6*$W83*$X83*E83),TRUNC(agent!$O$6*$W83*$X83*E83,3),"没有上级")</f>
        <v>0.25600000000000001</v>
      </c>
      <c r="L83" s="50">
        <f>IF(ISNUMBER(agent!$O$9*$W83*E83*$X83),TRUNC(agent!$O$9*$W83*E83*$X83,3),"没有上级")</f>
        <v>1.536</v>
      </c>
      <c r="M83" s="50">
        <f>IF(ISNUMBER(agent!$O$12*$W83*E83*$X83),TRUNC(agent!$O$12*$W83*E83*$X83,3),"没有上级")</f>
        <v>0.51200000000000001</v>
      </c>
      <c r="N83" s="50">
        <f>IF(ISNUMBER(agent!$O$15*$W83*E83*$X83),TRUNC(agent!$O$15*$W83*E83*$X83,3),"没有上级")</f>
        <v>1.024</v>
      </c>
      <c r="O83" s="50">
        <f>IF(ISNUMBER(agent!$O$18*$W83*E83*$X83),TRUNC(agent!$O$18*$W83*E83*$X83,3),"没有上级")</f>
        <v>0.76800000000000002</v>
      </c>
      <c r="P83" s="50">
        <f>IF(ISNUMBER(agent!$O$21*$W83*E83*$X83),TRUNC(agent!$O$21*$W83*E83*$X83,3),"没有上级")</f>
        <v>0.25600000000000001</v>
      </c>
      <c r="Q83" s="50">
        <f>IF(ISNUMBER(agent!$O$24*$W83*E83*$X83),TRUNC(agent!$O$24*$W83*E83*$X83,3),"没有上级")</f>
        <v>1.792</v>
      </c>
      <c r="R83" s="50">
        <f>IF(ISNUMBER(agent!$O$27*$W83*E83*$X83),TRUNC(agent!$O$27*$W83*E83*$X83,3),"没有上级")</f>
        <v>0.76800000000000002</v>
      </c>
      <c r="S83" s="50">
        <f>IF(ISNUMBER(agent!$O$30*$W83*E83*$X83),TRUNC(agent!$O$30*$W83*E83*$X83,3),"没有上级")</f>
        <v>1.024</v>
      </c>
      <c r="T83" s="50">
        <f>IF(ISNUMBER(agent!$O$33*$W83*$X83*E83),TRUNC(agent!$O$33*$W83*$X83*E83,3),"没有上级")</f>
        <v>0.76800000000000002</v>
      </c>
      <c r="U83" s="50">
        <f t="shared" si="17"/>
        <v>8.7040000000000006</v>
      </c>
      <c r="V83" s="50"/>
      <c r="W83" s="25">
        <f>TRUNC(0.016,3)</f>
        <v>1.6E-2</v>
      </c>
      <c r="X83" s="25">
        <f>SSCSource!N111</f>
        <v>8</v>
      </c>
      <c r="Y83" s="36">
        <f>TRUNC((Z83-(9.9-agent!$L$3)*W83*10),3)</f>
        <v>15.44</v>
      </c>
      <c r="Z83" s="49">
        <f>TRUNC(14.4+99*W83,3)</f>
        <v>15.984</v>
      </c>
      <c r="AA83" s="48"/>
      <c r="AB83" s="48">
        <f t="shared" si="15"/>
        <v>15.44</v>
      </c>
    </row>
    <row r="84" spans="1:28" x14ac:dyDescent="0.15">
      <c r="A84" s="50">
        <f>agent!J$2</f>
        <v>151</v>
      </c>
      <c r="B84" s="45" t="s">
        <v>74</v>
      </c>
      <c r="C84" s="45" t="s">
        <v>37</v>
      </c>
      <c r="D84" s="45" t="str">
        <f>SSCSource!$O114</f>
        <v>大 小 单 双,大 小 单 双,大 小 单 双</v>
      </c>
      <c r="E84" s="45">
        <f>SSCSource!$R114</f>
        <v>3</v>
      </c>
      <c r="F84" s="45">
        <v>1</v>
      </c>
      <c r="G84" s="45">
        <f>SSCSource!$P114</f>
        <v>384</v>
      </c>
      <c r="H84" s="45">
        <f>SSCSource!K$2</f>
        <v>96681</v>
      </c>
      <c r="I84" s="45">
        <f>SSCSource!M114</f>
        <v>370.56</v>
      </c>
      <c r="J84" s="45">
        <f t="shared" si="16"/>
        <v>980860.68500000017</v>
      </c>
      <c r="K84" s="50">
        <f>IF(ISNUMBER(agent!$O$6*$W84*$X84*E84),TRUNC(agent!$O$6*$W84*$X84*E84,3),"没有上级")</f>
        <v>0.38400000000000001</v>
      </c>
      <c r="L84" s="50">
        <f>IF(ISNUMBER(agent!$O$9*$W84*E84*$X84),TRUNC(agent!$O$9*$W84*E84*$X84,3),"没有上级")</f>
        <v>2.3039999999999998</v>
      </c>
      <c r="M84" s="50">
        <f>IF(ISNUMBER(agent!$O$12*$W84*E84*$X84),TRUNC(agent!$O$12*$W84*E84*$X84,3),"没有上级")</f>
        <v>0.76800000000000002</v>
      </c>
      <c r="N84" s="50">
        <f>IF(ISNUMBER(agent!$O$15*$W84*E84*$X84),TRUNC(agent!$O$15*$W84*E84*$X84,3),"没有上级")</f>
        <v>1.536</v>
      </c>
      <c r="O84" s="50">
        <f>IF(ISNUMBER(agent!$O$18*$W84*E84*$X84),TRUNC(agent!$O$18*$W84*E84*$X84,3),"没有上级")</f>
        <v>1.1519999999999999</v>
      </c>
      <c r="P84" s="50">
        <f>IF(ISNUMBER(agent!$O$21*$W84*E84*$X84),TRUNC(agent!$O$21*$W84*E84*$X84,3),"没有上级")</f>
        <v>0.38400000000000001</v>
      </c>
      <c r="Q84" s="50">
        <f>IF(ISNUMBER(agent!$O$24*$W84*E84*$X84),TRUNC(agent!$O$24*$W84*E84*$X84,3),"没有上级")</f>
        <v>2.6880000000000002</v>
      </c>
      <c r="R84" s="50">
        <f>IF(ISNUMBER(agent!$O$27*$W84*E84*$X84),TRUNC(agent!$O$27*$W84*E84*$X84,3),"没有上级")</f>
        <v>1.1519999999999999</v>
      </c>
      <c r="S84" s="50">
        <f>IF(ISNUMBER(agent!$O$30*$W84*E84*$X84),TRUNC(agent!$O$30*$W84*E84*$X84,3),"没有上级")</f>
        <v>1.536</v>
      </c>
      <c r="T84" s="50">
        <f>IF(ISNUMBER(agent!$O$33*$W84*$X84*E84),TRUNC(agent!$O$33*$W84*$X84*E84,3),"没有上级")</f>
        <v>1.1519999999999999</v>
      </c>
      <c r="U84" s="50">
        <f t="shared" si="17"/>
        <v>13.055999999999997</v>
      </c>
      <c r="V84" s="50"/>
      <c r="W84" s="36">
        <f>TRUNC(0.016,3)</f>
        <v>1.6E-2</v>
      </c>
      <c r="X84" s="25">
        <f>SSCSource!N114</f>
        <v>8</v>
      </c>
      <c r="Y84" s="36">
        <f>TRUNC((Z84-(9.9-agent!$L$3)*W84*10),3)</f>
        <v>15.44</v>
      </c>
      <c r="Z84" s="49">
        <f>TRUNC(14.4+99*W84,3)</f>
        <v>15.984</v>
      </c>
      <c r="AA84" s="48"/>
      <c r="AB84" s="48">
        <f t="shared" si="15"/>
        <v>15.44</v>
      </c>
    </row>
    <row r="85" spans="1:28" s="29" customFormat="1" x14ac:dyDescent="0.15">
      <c r="A85" s="50">
        <f>agent!J$2</f>
        <v>151</v>
      </c>
      <c r="B85" s="29" t="s">
        <v>86</v>
      </c>
      <c r="C85" s="29" t="s">
        <v>86</v>
      </c>
      <c r="D85" s="29" t="str">
        <f>SSCSource!$O117</f>
        <v>和大 和小 和单 和双,大 小 单 双 质 合,大 小 单 双 质 合,大 小 单 双 质 合,大 小 单 双 质 合,大 小 单 双 质 合</v>
      </c>
      <c r="E85" s="29">
        <v>1</v>
      </c>
      <c r="F85" s="29">
        <f>SSCSource!$R117</f>
        <v>1</v>
      </c>
      <c r="G85" s="29">
        <f>SSCSource!$P117</f>
        <v>34</v>
      </c>
      <c r="H85" s="29">
        <f>SSCSource!K$2</f>
        <v>96681</v>
      </c>
      <c r="I85" s="29">
        <f>SSCSource!M117</f>
        <v>32.81</v>
      </c>
      <c r="J85" s="29">
        <f t="shared" si="16"/>
        <v>980859.49500000023</v>
      </c>
      <c r="K85" s="50">
        <f>IF(ISNUMBER(agent!$O$6*$W85*$X85*F85),TRUNC(agent!$O$6*$W85*$X85*F85,3),"没有上级")</f>
        <v>3.4000000000000002E-2</v>
      </c>
      <c r="L85" s="50">
        <f>IF(ISNUMBER(agent!$O$9*$W85*F85*$X85),TRUNC(agent!$O$9*$W85*F85*$X85,3),"没有上级")</f>
        <v>0.20399999999999999</v>
      </c>
      <c r="M85" s="50">
        <f>IF(ISNUMBER(agent!$O$12*$W85*F85*$X85),TRUNC(agent!$O$12*$W85*F85*$X85,3),"没有上级")</f>
        <v>6.8000000000000005E-2</v>
      </c>
      <c r="N85" s="50">
        <f>IF(ISNUMBER(agent!$O$15*$W85*F85*$X85),TRUNC(agent!$O$15*$W85*F85*$X85,3),"没有上级")</f>
        <v>0.13600000000000001</v>
      </c>
      <c r="O85" s="50">
        <f>IF(ISNUMBER(agent!$O$18*$W85*F85*$X85),TRUNC(agent!$O$18*$W85*F85*$X85,3),"没有上级")</f>
        <v>0.10199999999999999</v>
      </c>
      <c r="P85" s="50">
        <f>IF(ISNUMBER(agent!$O$21*$W85*F85*$X85),TRUNC(agent!$O$21*$W85*F85*$X85,3),"没有上级")</f>
        <v>3.4000000000000002E-2</v>
      </c>
      <c r="Q85" s="50">
        <f>IF(ISNUMBER(agent!$O$24*$W85*F85*$X85),TRUNC(agent!$O$24*$W85*F85*$X85,3),"没有上级")</f>
        <v>0.23799999999999999</v>
      </c>
      <c r="R85" s="50">
        <f>IF(ISNUMBER(agent!$O$27*$W85*F85*$X85),TRUNC(agent!$O$27*$W85*F85*$X85,3),"没有上级")</f>
        <v>0.10199999999999999</v>
      </c>
      <c r="S85" s="50">
        <f>IF(ISNUMBER(agent!$O$30*$W85*F85*$X85),TRUNC(agent!$O$30*$W85*F85*$X85,3),"没有上级")</f>
        <v>0.13600000000000001</v>
      </c>
      <c r="T85" s="50">
        <f>IF(ISNUMBER(agent!$O$33*$W85*$X85*F85),TRUNC(agent!$O$33*$W85*$X85*F85,3),"没有上级")</f>
        <v>0.10199999999999999</v>
      </c>
      <c r="U85" s="50">
        <f t="shared" si="17"/>
        <v>1.1560000000000001</v>
      </c>
      <c r="V85" s="50"/>
      <c r="W85" s="29">
        <f>TRUNC(0.002,3)</f>
        <v>2E-3</v>
      </c>
      <c r="X85" s="29">
        <f>SSCSource!N117</f>
        <v>17</v>
      </c>
      <c r="Y85" s="29">
        <f>TRUNC((Z85-(9.9-agent!$L$3)*W85*10),3)</f>
        <v>1.93</v>
      </c>
      <c r="Z85" s="49">
        <f>TRUNC(1.8+99*W85,3)</f>
        <v>1.998</v>
      </c>
      <c r="AA85" s="48"/>
      <c r="AB85" s="29">
        <f t="shared" si="15"/>
        <v>1.93</v>
      </c>
    </row>
    <row r="86" spans="1:28" s="25" customFormat="1" x14ac:dyDescent="0.15">
      <c r="A86" s="50">
        <f>agent!J$2</f>
        <v>151</v>
      </c>
      <c r="B86" s="45" t="s">
        <v>88</v>
      </c>
      <c r="C86" s="45" t="s">
        <v>89</v>
      </c>
      <c r="D86" s="45" t="str">
        <f>SSCSource!$O123</f>
        <v>龙 虎 和,龙 虎 和,龙 虎 和,龙 虎 和,龙 虎 和,龙 虎 和,龙 虎 和,龙 虎 和,龙 虎 和,龙 虎 和</v>
      </c>
      <c r="E86" s="45">
        <v>1</v>
      </c>
      <c r="F86" s="45">
        <f>SSCSource!$R123</f>
        <v>2</v>
      </c>
      <c r="G86" s="45">
        <f>SSCSource!$P123</f>
        <v>60</v>
      </c>
      <c r="H86" s="45">
        <f>SSCSource!K$2</f>
        <v>96681</v>
      </c>
      <c r="I86" s="45">
        <f>SSCSource!M123+SSCSource!M128</f>
        <v>57.94</v>
      </c>
      <c r="J86" s="45">
        <f t="shared" si="16"/>
        <v>980857.43500000017</v>
      </c>
      <c r="K86" s="56">
        <f>IF(ISNUMBER(agent!$O$6*$W86*SSCSource!$M$123),TRUNC(agent!$O$6*$W86*X86*F86,3)+TRUNC(agent!$O$6*$W87*X87*F86,3),"没有上级")</f>
        <v>5.5999999999999994E-2</v>
      </c>
      <c r="L86" s="56">
        <f>IF(ISNUMBER(agent!$O$9*$W86*$X86),TRUNC(agent!$O$9*$W86*X86*F86,3)+TRUNC(agent!$O$9*$W87*X87*F86,3),"没有上级")</f>
        <v>0.33599999999999997</v>
      </c>
      <c r="M86" s="56">
        <f>IF(ISNUMBER(agent!$O$12*$W86*$X86),TRUNC(agent!$O$12*$W86*X86*F86,3)+TRUNC(agent!$O$12*$W87*X87*F86,3),"没有上级")</f>
        <v>0.11199999999999999</v>
      </c>
      <c r="N86" s="56">
        <f>IF(ISNUMBER(agent!$O$15*$W86*$X86),TRUNC(agent!$O$15*$W86*X86*F86,3)+TRUNC(agent!$O$15*$W87*X87*F86,3),"没有上级")</f>
        <v>0.22399999999999998</v>
      </c>
      <c r="O86" s="56">
        <f>IF(ISNUMBER(agent!$O$18*$W86*$X86),TRUNC(agent!$O$18*$W86*X86*F86,3)+TRUNC(agent!$O$18*$W87*X87*F86,3),"没有上级")</f>
        <v>0.16799999999999998</v>
      </c>
      <c r="P86" s="56">
        <f>IF(ISNUMBER(agent!$O$21*$W86*$X86),TRUNC(agent!$O$21*$W86*X86*F86,3)+TRUNC(agent!$O$21*$W87*X87*F86,3),"没有上级")</f>
        <v>5.5999999999999994E-2</v>
      </c>
      <c r="Q86" s="56">
        <f>IF(ISNUMBER(agent!$O$24*$W86*$X86),TRUNC(agent!$O$24*$W86*X86*F86,3)+TRUNC(agent!$O$24*$W87*X87*F86,3),"没有上级")</f>
        <v>0.39200000000000002</v>
      </c>
      <c r="R86" s="56">
        <f>IF(ISNUMBER(agent!$O$27*$W86*$X86),TRUNC(agent!$O$27*$W86*X86*F86,3)+TRUNC(agent!$O$27*$W87*X87*F86,3),"没有上级")</f>
        <v>0.16799999999999998</v>
      </c>
      <c r="S86" s="56">
        <f>IF(ISNUMBER(agent!$O$30*$W86*$X86),TRUNC(agent!$O$30*$W86*X86*F86,3)+TRUNC(agent!$O$30*$W87*X87*F86,3),"没有上级")</f>
        <v>0.22399999999999998</v>
      </c>
      <c r="T86" s="56">
        <f>IF(ISNUMBER(agent!$O$33*$W86*$X86),TRUNC(agent!$O$33*$W86*X86*F86,3)+TRUNC(agent!$O$33*$W87*X87*F86,3),"没有上级")</f>
        <v>0.16799999999999998</v>
      </c>
      <c r="U86" s="50">
        <f t="shared" si="17"/>
        <v>1.9039999999999997</v>
      </c>
      <c r="V86" s="50"/>
      <c r="W86" s="26">
        <f>TRUNC(0.002225,3)</f>
        <v>2E-3</v>
      </c>
      <c r="X86" s="36" t="str">
        <f>SSCSource!N123</f>
        <v>9</v>
      </c>
      <c r="Y86" s="36">
        <f>TRUNC((Z86-(9.9-agent!$L$3)*W86*10),3)</f>
        <v>2.13</v>
      </c>
      <c r="Z86" s="49">
        <f>TRUNC(2+99*W86,3)</f>
        <v>2.198</v>
      </c>
      <c r="AA86" s="56"/>
      <c r="AB86" s="48">
        <f t="shared" si="15"/>
        <v>2.13</v>
      </c>
    </row>
    <row r="87" spans="1:28" x14ac:dyDescent="0.15">
      <c r="B87" s="45"/>
      <c r="C87" s="45"/>
      <c r="D87" s="45"/>
      <c r="E87" s="45"/>
      <c r="F87" s="45"/>
      <c r="G87" s="45"/>
      <c r="H87" s="45"/>
      <c r="I87" s="45"/>
      <c r="J87" s="45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0">
        <f t="shared" si="17"/>
        <v>0</v>
      </c>
      <c r="V87" s="50"/>
      <c r="W87" s="26">
        <v>0.01</v>
      </c>
      <c r="X87" s="36" t="str">
        <f>SSCSource!N128</f>
        <v>1</v>
      </c>
      <c r="Y87" s="36">
        <f>TRUNC((Z87-(9.9-agent!$L$3)*W87*10),3)</f>
        <v>9.65</v>
      </c>
      <c r="Z87" s="49">
        <f>TRUNC(9+99*W87,3)</f>
        <v>9.99</v>
      </c>
      <c r="AA87" s="56"/>
      <c r="AB87" s="48"/>
    </row>
    <row r="88" spans="1:28" x14ac:dyDescent="0.15">
      <c r="A88" s="50">
        <f>agent!J$2</f>
        <v>151</v>
      </c>
      <c r="B88" s="45" t="s">
        <v>100</v>
      </c>
      <c r="C88" s="45" t="s">
        <v>101</v>
      </c>
      <c r="D88" s="45" t="str">
        <f>SSCSource!$O133</f>
        <v>0 1 2 3 4 5 6 7 8 9</v>
      </c>
      <c r="E88" s="45">
        <f>SSCSource!$R133</f>
        <v>3</v>
      </c>
      <c r="F88" s="45">
        <v>1</v>
      </c>
      <c r="G88" s="45">
        <f>SSCSource!$P133</f>
        <v>60</v>
      </c>
      <c r="H88" s="45">
        <f>SSCSource!K$2</f>
        <v>96681</v>
      </c>
      <c r="I88" s="45">
        <f>SSCSource!M133</f>
        <v>0</v>
      </c>
      <c r="J88" s="45">
        <f>$J86-$G88+$I88</f>
        <v>980797.43500000017</v>
      </c>
      <c r="K88" s="36">
        <f>IF(ISNUMBER(agent!$O$6*$W88*$X88),TRUNC(agent!$O$6*$W88*$X88,3),"没有上级")</f>
        <v>0</v>
      </c>
      <c r="L88" s="36">
        <f>IF(ISNUMBER(agent!$O$9*$W88*$X88),TRUNC(agent!$O$9*$W88*$X88,3),"没有上级")</f>
        <v>0</v>
      </c>
      <c r="M88" s="36">
        <f>IF(ISNUMBER(agent!$O$12*$W88*$X88),TRUNC(agent!$O$12*$W88*$X88,3),"没有上级")</f>
        <v>0</v>
      </c>
      <c r="N88" s="36">
        <f>IF(ISNUMBER(agent!$O$15*$W88*$X88),TRUNC(agent!$O$15*$W88*$X88,3),"没有上级")</f>
        <v>0</v>
      </c>
      <c r="O88" s="36">
        <f>IF(ISNUMBER(agent!$O$18*$W88*$X88),TRUNC(agent!$O$18*$W88*$X88,3),"没有上级")</f>
        <v>0</v>
      </c>
      <c r="P88" s="36">
        <f>IF(ISNUMBER(agent!$O$21*$W88*$X88),TRUNC(agent!$O$21*$W88*$X88,3),"没有上级")</f>
        <v>0</v>
      </c>
      <c r="Q88" s="36">
        <f>IF(ISNUMBER(agent!$O$24*$W88*$X88),TRUNC(agent!$O$24*$W88*$X88,3),"没有上级")</f>
        <v>0</v>
      </c>
      <c r="R88" s="36">
        <f>IF(ISNUMBER(agent!$O$27*$W88*$X88),TRUNC(agent!$O$27*$W88*$X88,3),"没有上级")</f>
        <v>0</v>
      </c>
      <c r="S88" s="36">
        <f>IF(ISNUMBER(agent!$O$30*$W88*$X88),TRUNC(agent!$O$30*$W88*$X88,3),"没有上级")</f>
        <v>0</v>
      </c>
      <c r="T88" s="36">
        <f>IF(ISNUMBER(agent!$O$33*$W88*$X88),TRUNC(agent!$O$33*$W88*$X88,3),"没有上级")</f>
        <v>0</v>
      </c>
      <c r="U88" s="50">
        <f t="shared" si="17"/>
        <v>0</v>
      </c>
      <c r="V88" s="50"/>
      <c r="W88" s="25">
        <v>100</v>
      </c>
      <c r="X88" s="25">
        <f>SSCSource!N133</f>
        <v>0</v>
      </c>
      <c r="Y88" s="36">
        <f>TRUNC((Z88-(9.9-agent!$L$3)*W88*10),3)</f>
        <v>96500</v>
      </c>
      <c r="Z88" s="49">
        <f>TRUNC(90000+99*W88,3)</f>
        <v>99900</v>
      </c>
      <c r="AA88" s="45"/>
      <c r="AB88" s="48">
        <f>Y88+AA88/E88</f>
        <v>96500</v>
      </c>
    </row>
    <row r="89" spans="1:28" x14ac:dyDescent="0.15">
      <c r="K89" s="25">
        <f>SUM(K2:K88)</f>
        <v>41.518999999999984</v>
      </c>
      <c r="L89" s="36">
        <f t="shared" ref="L89:T89" si="18">SUM(L2:L88)</f>
        <v>249.11400000000006</v>
      </c>
      <c r="M89" s="36">
        <f t="shared" si="18"/>
        <v>83.037999999999968</v>
      </c>
      <c r="N89" s="36">
        <f t="shared" si="18"/>
        <v>166.07599999999994</v>
      </c>
      <c r="O89" s="36">
        <f t="shared" si="18"/>
        <v>124.55700000000003</v>
      </c>
      <c r="P89" s="36">
        <f t="shared" si="18"/>
        <v>41.518999999999984</v>
      </c>
      <c r="Q89" s="36">
        <f t="shared" si="18"/>
        <v>290.63299999999992</v>
      </c>
      <c r="R89" s="36">
        <f t="shared" si="18"/>
        <v>124.55700000000003</v>
      </c>
      <c r="S89" s="36">
        <f t="shared" si="18"/>
        <v>166.07599999999994</v>
      </c>
      <c r="T89" s="36">
        <f t="shared" si="18"/>
        <v>124.55700000000003</v>
      </c>
    </row>
    <row r="90" spans="1:28" x14ac:dyDescent="0.15">
      <c r="Y90" s="48"/>
      <c r="Z90" s="48"/>
    </row>
    <row r="91" spans="1:28" x14ac:dyDescent="0.15">
      <c r="Y91" s="48"/>
    </row>
    <row r="92" spans="1:28" x14ac:dyDescent="0.15">
      <c r="Y92" s="48"/>
    </row>
    <row r="93" spans="1:28" x14ac:dyDescent="0.15">
      <c r="Y93" s="48"/>
      <c r="Z93" s="48"/>
    </row>
  </sheetData>
  <autoFilter ref="B1:Y88"/>
  <mergeCells count="11">
    <mergeCell ref="AA86:AA87"/>
    <mergeCell ref="P86:P87"/>
    <mergeCell ref="Q86:Q87"/>
    <mergeCell ref="R86:R87"/>
    <mergeCell ref="S86:S87"/>
    <mergeCell ref="T86:T87"/>
    <mergeCell ref="K86:K87"/>
    <mergeCell ref="L86:L87"/>
    <mergeCell ref="M86:M87"/>
    <mergeCell ref="N86:N87"/>
    <mergeCell ref="O86:O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9"/>
  <sheetViews>
    <sheetView topLeftCell="G1" workbookViewId="0">
      <pane ySplit="1" topLeftCell="A32" activePane="bottomLeft" state="frozen"/>
      <selection pane="bottomLeft" activeCell="M43" sqref="M43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5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21" width="15.125" style="1" customWidth="1"/>
    <col min="22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198</v>
      </c>
      <c r="D1" s="2" t="s">
        <v>199</v>
      </c>
      <c r="E1" s="4" t="s">
        <v>200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5" t="s">
        <v>202</v>
      </c>
      <c r="M1" s="26" t="s">
        <v>279</v>
      </c>
      <c r="N1" s="26" t="s">
        <v>464</v>
      </c>
      <c r="P1" s="1" t="s">
        <v>203</v>
      </c>
      <c r="Q1" s="23" t="s">
        <v>277</v>
      </c>
      <c r="R1" s="23" t="s">
        <v>278</v>
      </c>
      <c r="S1" s="23" t="s">
        <v>280</v>
      </c>
      <c r="T1" t="s">
        <v>113</v>
      </c>
    </row>
    <row r="2" spans="1:20" ht="29.25" customHeight="1" x14ac:dyDescent="0.15">
      <c r="A2" s="57" t="s">
        <v>115</v>
      </c>
      <c r="B2" s="2" t="s">
        <v>124</v>
      </c>
      <c r="C2" s="1">
        <f>IF(ISNUMBER(FIND($B2,$J$10,1)),$F2,0)</f>
        <v>0</v>
      </c>
      <c r="D2" s="24" t="s">
        <v>295</v>
      </c>
      <c r="E2" s="1">
        <f>IF(ISNUMBER(FIND($B2,J$19,1)),$F2,0)</f>
        <v>1</v>
      </c>
      <c r="F2" s="1">
        <v>1</v>
      </c>
      <c r="G2" s="56" t="s">
        <v>4</v>
      </c>
      <c r="H2" s="56" t="s">
        <v>5</v>
      </c>
      <c r="I2" s="6" t="s">
        <v>6</v>
      </c>
      <c r="J2" s="10" t="s">
        <v>187</v>
      </c>
      <c r="K2" s="28">
        <v>96681</v>
      </c>
      <c r="L2" s="8">
        <f>IF(AND(ISNUMBER(FIND(LEFT($K$2,1),J2,1)),LEN($K$2)&lt;&gt;0),1,0)</f>
        <v>0</v>
      </c>
      <c r="M2" s="56">
        <f>SUM(L2:L6)*S2*R2</f>
        <v>0</v>
      </c>
      <c r="N2" s="56">
        <f>M2/S2/R2</f>
        <v>0</v>
      </c>
      <c r="O2" s="58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6">
        <f>SUM(Q2:Q6)*2*R2</f>
        <v>52</v>
      </c>
      <c r="Q2" s="1">
        <f>LEN(SUBSTITUTE(J2,",",))</f>
        <v>4</v>
      </c>
      <c r="R2" s="56">
        <v>2</v>
      </c>
      <c r="S2" s="56">
        <f>SSC!Y2</f>
        <v>19.3</v>
      </c>
    </row>
    <row r="3" spans="1:20" ht="20.100000000000001" customHeight="1" x14ac:dyDescent="0.15">
      <c r="A3" s="57"/>
      <c r="B3" s="2" t="s">
        <v>125</v>
      </c>
      <c r="C3" s="12">
        <f t="shared" ref="C3:C20" si="0">IF(ISNUMBER(FIND($B3,$J$10,1)),$F3,0)</f>
        <v>2</v>
      </c>
      <c r="D3" s="22">
        <f>LOOKUP(SUM(LEN(SUBSTITUTE(K3,MID(K3,{1,2,3,4,5},1),))),{8,12,14,16,18,20;5,10,20,30,60,120})</f>
        <v>60</v>
      </c>
      <c r="E3" s="12">
        <f t="shared" ref="E3:E20" si="1">IF(ISNUMBER(FIND($B3,J$19,1)),$F3,0)</f>
        <v>2</v>
      </c>
      <c r="F3" s="1">
        <v>2</v>
      </c>
      <c r="G3" s="56"/>
      <c r="H3" s="56"/>
      <c r="I3" s="6" t="s">
        <v>7</v>
      </c>
      <c r="J3" s="10" t="s">
        <v>188</v>
      </c>
      <c r="K3" s="28">
        <f>K2</f>
        <v>96681</v>
      </c>
      <c r="L3" s="8">
        <f>IF(AND(ISNUMBER(FIND(MID($K$2,2,1),J3,1)),LEN($K$2)&lt;&gt;0),1,0)</f>
        <v>0</v>
      </c>
      <c r="M3" s="56"/>
      <c r="N3" s="56"/>
      <c r="O3" s="58"/>
      <c r="P3" s="56"/>
      <c r="Q3" s="22">
        <f>LEN(SUBSTITUTE(J3,",",))</f>
        <v>3</v>
      </c>
      <c r="R3" s="56"/>
      <c r="S3" s="56"/>
    </row>
    <row r="4" spans="1:20" ht="20.100000000000001" customHeight="1" x14ac:dyDescent="0.15">
      <c r="A4" s="57"/>
      <c r="B4" s="2" t="s">
        <v>126</v>
      </c>
      <c r="C4" s="12">
        <f t="shared" si="0"/>
        <v>0</v>
      </c>
      <c r="D4" s="24" t="s">
        <v>296</v>
      </c>
      <c r="E4" s="12">
        <f t="shared" si="1"/>
        <v>0</v>
      </c>
      <c r="F4" s="1">
        <v>3</v>
      </c>
      <c r="G4" s="56"/>
      <c r="H4" s="56"/>
      <c r="I4" s="6" t="s">
        <v>8</v>
      </c>
      <c r="J4" s="10" t="s">
        <v>189</v>
      </c>
      <c r="K4" s="28">
        <f t="shared" ref="K4:K67" si="2">K3</f>
        <v>96681</v>
      </c>
      <c r="L4" s="8">
        <f>IF(AND(ISNUMBER(FIND(MID($K$2,3,1),J4,1)),LEN($K$2)&lt;&gt;0),1,0)</f>
        <v>0</v>
      </c>
      <c r="M4" s="56"/>
      <c r="N4" s="56"/>
      <c r="O4" s="58"/>
      <c r="P4" s="56"/>
      <c r="Q4" s="22">
        <f>LEN(SUBSTITUTE(J4,",",))</f>
        <v>2</v>
      </c>
      <c r="R4" s="56"/>
      <c r="S4" s="56"/>
    </row>
    <row r="5" spans="1:20" ht="20.100000000000001" customHeight="1" x14ac:dyDescent="0.15">
      <c r="A5" s="57"/>
      <c r="B5" s="2" t="s">
        <v>127</v>
      </c>
      <c r="C5" s="12">
        <f t="shared" si="0"/>
        <v>0</v>
      </c>
      <c r="D5" s="22">
        <f>LOOKUP(SUM(LEN(SUBSTITUTE(K5,MID(K5,{1,2,3},1),))),{8,6;3,6})</f>
        <v>6</v>
      </c>
      <c r="E5" s="12">
        <f t="shared" si="1"/>
        <v>0</v>
      </c>
      <c r="F5" s="1">
        <v>4</v>
      </c>
      <c r="G5" s="56"/>
      <c r="H5" s="56"/>
      <c r="I5" s="6" t="s">
        <v>10</v>
      </c>
      <c r="J5" s="10" t="s">
        <v>190</v>
      </c>
      <c r="K5" s="28">
        <f t="shared" si="2"/>
        <v>96681</v>
      </c>
      <c r="L5" s="8">
        <f>IF(AND(ISNUMBER(FIND(MID($K$2,4,1),J5,1)),LEN($K$2)&lt;&gt;0),1,0)</f>
        <v>0</v>
      </c>
      <c r="M5" s="56"/>
      <c r="N5" s="56"/>
      <c r="O5" s="58"/>
      <c r="P5" s="56"/>
      <c r="Q5" s="22">
        <f>LEN(SUBSTITUTE(J5,",",))</f>
        <v>2</v>
      </c>
      <c r="R5" s="56"/>
      <c r="S5" s="56"/>
    </row>
    <row r="6" spans="1:20" ht="20.100000000000001" customHeight="1" x14ac:dyDescent="0.15">
      <c r="A6" s="57"/>
      <c r="B6" s="2" t="s">
        <v>128</v>
      </c>
      <c r="C6" s="12">
        <f t="shared" si="0"/>
        <v>0</v>
      </c>
      <c r="E6" s="12">
        <f t="shared" si="1"/>
        <v>0</v>
      </c>
      <c r="F6" s="1">
        <v>5</v>
      </c>
      <c r="G6" s="56"/>
      <c r="H6" s="56"/>
      <c r="I6" s="6" t="s">
        <v>11</v>
      </c>
      <c r="J6" s="10" t="s">
        <v>191</v>
      </c>
      <c r="K6" s="28">
        <f t="shared" si="2"/>
        <v>96681</v>
      </c>
      <c r="L6" s="8">
        <f>IF(AND(ISNUMBER(FIND(RIGHT($K$2,1),J6,1)),LEN($K$2)&lt;&gt;0),1,0)</f>
        <v>0</v>
      </c>
      <c r="M6" s="56"/>
      <c r="N6" s="56"/>
      <c r="O6" s="58"/>
      <c r="P6" s="56"/>
      <c r="Q6" s="22">
        <f>LEN(SUBSTITUTE(J6,",",))</f>
        <v>2</v>
      </c>
      <c r="R6" s="56"/>
      <c r="S6" s="56"/>
    </row>
    <row r="7" spans="1:20" ht="20.100000000000001" customHeight="1" x14ac:dyDescent="0.15">
      <c r="A7" s="57"/>
      <c r="B7" s="2" t="s">
        <v>129</v>
      </c>
      <c r="C7" s="12">
        <f t="shared" si="0"/>
        <v>6</v>
      </c>
      <c r="E7" s="12">
        <f t="shared" si="1"/>
        <v>0</v>
      </c>
      <c r="F7" s="1">
        <v>6</v>
      </c>
      <c r="G7" s="56" t="s">
        <v>12</v>
      </c>
      <c r="H7" s="56" t="s">
        <v>13</v>
      </c>
      <c r="I7" s="6" t="s">
        <v>6</v>
      </c>
      <c r="J7" s="10" t="s">
        <v>282</v>
      </c>
      <c r="K7" s="28">
        <f t="shared" si="2"/>
        <v>96681</v>
      </c>
      <c r="L7" s="8">
        <f>IF(AND(ISNUMBER(FIND(LEFT($K$2,1),J7,1)),LEN($K$2)&lt;&gt;0),1,0)</f>
        <v>0</v>
      </c>
      <c r="M7" s="56">
        <f>IF(SUM(L7:L8)=2,1,0)*S7*R7</f>
        <v>0</v>
      </c>
      <c r="N7" s="56">
        <f>M7/S7/R7</f>
        <v>0</v>
      </c>
      <c r="O7" s="58" t="str">
        <f>TRIM(IF(LEN($J7)=0,"-",SUBSTITUTE($J7,","," ")))&amp;","&amp;TRIM(IF(LEN($J8)=0,"-",SUBSTITUTE($J8,","," ")))</f>
        <v>0 1 2 8,3 4 5 6 1</v>
      </c>
      <c r="P7" s="56">
        <f>Q7*2*R7</f>
        <v>120</v>
      </c>
      <c r="Q7" s="56">
        <f>LEN(SUBSTITUTE(J7,",",))*LEN(SUBSTITUTE(J8,",",))</f>
        <v>20</v>
      </c>
      <c r="R7" s="56">
        <v>3</v>
      </c>
      <c r="S7" s="56">
        <f>SSC!Y3</f>
        <v>193</v>
      </c>
    </row>
    <row r="8" spans="1:20" ht="20.100000000000001" customHeight="1" x14ac:dyDescent="0.15">
      <c r="A8" s="57"/>
      <c r="B8" s="2" t="s">
        <v>130</v>
      </c>
      <c r="C8" s="12">
        <f t="shared" si="0"/>
        <v>0</v>
      </c>
      <c r="E8" s="12">
        <f t="shared" si="1"/>
        <v>7</v>
      </c>
      <c r="F8" s="1">
        <v>7</v>
      </c>
      <c r="G8" s="56"/>
      <c r="H8" s="56"/>
      <c r="I8" s="6" t="s">
        <v>7</v>
      </c>
      <c r="J8" s="10" t="s">
        <v>281</v>
      </c>
      <c r="K8" s="28">
        <f t="shared" si="2"/>
        <v>96681</v>
      </c>
      <c r="L8" s="7">
        <f>IF(AND(ISNUMBER(FIND(MID($K$2,2,1),J8,1)),LEN($K$2)&lt;&gt;0),1,0)</f>
        <v>1</v>
      </c>
      <c r="M8" s="56"/>
      <c r="N8" s="56"/>
      <c r="O8" s="58"/>
      <c r="P8" s="56"/>
      <c r="Q8" s="56"/>
      <c r="R8" s="56"/>
      <c r="S8" s="56"/>
    </row>
    <row r="9" spans="1:20" ht="20.100000000000001" customHeight="1" x14ac:dyDescent="0.15">
      <c r="A9" s="57"/>
      <c r="B9" s="2" t="s">
        <v>131</v>
      </c>
      <c r="C9" s="12">
        <f t="shared" si="0"/>
        <v>0</v>
      </c>
      <c r="E9" s="12">
        <f t="shared" si="1"/>
        <v>8</v>
      </c>
      <c r="F9" s="1">
        <v>8</v>
      </c>
      <c r="G9" s="56"/>
      <c r="H9" s="6" t="s">
        <v>14</v>
      </c>
      <c r="I9" s="6" t="s">
        <v>15</v>
      </c>
      <c r="J9" s="10" t="s">
        <v>519</v>
      </c>
      <c r="K9" s="28">
        <f t="shared" si="2"/>
        <v>96681</v>
      </c>
      <c r="L9" s="7" t="b">
        <f>ISNUMBER(FIND(","&amp;LEFT(K$2,2),J9))</f>
        <v>0</v>
      </c>
      <c r="M9" s="25">
        <f>N(L9)*R9*S9</f>
        <v>0</v>
      </c>
      <c r="N9" s="25">
        <f>M9/S9/R9</f>
        <v>0</v>
      </c>
      <c r="O9" s="9" t="str">
        <f>SUBSTITUTE(TRIM(IF(LEN($J9)=0,"-",SUBSTITUTE($J9,","," ")))," ",",")</f>
        <v>23,98,47,81</v>
      </c>
      <c r="P9" s="22">
        <f>Q9*R9*2</f>
        <v>32</v>
      </c>
      <c r="Q9" s="29">
        <f>FINDNUMBER(J9,2)</f>
        <v>4</v>
      </c>
      <c r="R9" s="22">
        <v>4</v>
      </c>
      <c r="S9" s="22">
        <f>SSC!Y4</f>
        <v>193</v>
      </c>
    </row>
    <row r="10" spans="1:20" ht="20.100000000000001" customHeight="1" x14ac:dyDescent="0.15">
      <c r="A10" s="57"/>
      <c r="B10" s="2" t="s">
        <v>132</v>
      </c>
      <c r="C10" s="12">
        <f t="shared" si="0"/>
        <v>9</v>
      </c>
      <c r="E10" s="12">
        <f t="shared" si="1"/>
        <v>0</v>
      </c>
      <c r="F10" s="1">
        <v>9</v>
      </c>
      <c r="G10" s="56"/>
      <c r="H10" s="6" t="s">
        <v>16</v>
      </c>
      <c r="I10" s="6" t="s">
        <v>17</v>
      </c>
      <c r="J10" s="10" t="s">
        <v>528</v>
      </c>
      <c r="K10" s="28">
        <f t="shared" si="2"/>
        <v>96681</v>
      </c>
      <c r="L10" s="7" t="b">
        <f>ISNUMBER(FIND(","&amp;SUM(MID(K$2,1,1),MID(K$2,2,1)),J10,1))</f>
        <v>1</v>
      </c>
      <c r="M10" s="25">
        <f>N(L10)*R10*S10</f>
        <v>386</v>
      </c>
      <c r="N10" s="25">
        <f t="shared" ref="N10:N15" si="3">M10/S10/R10</f>
        <v>1</v>
      </c>
      <c r="O10" s="11" t="str">
        <f t="shared" ref="O10:O14" si="4">TRIM(IF(LEN($J10)=0,"-",SUBSTITUTE($J10,","," ")))</f>
        <v>1 5 8 9 14 15 18</v>
      </c>
      <c r="P10" s="22">
        <f t="shared" ref="P10:P11" si="5">Q10*R10*2</f>
        <v>148</v>
      </c>
      <c r="Q10" s="22">
        <f>SUM(C$2:C$20)</f>
        <v>37</v>
      </c>
      <c r="R10" s="22">
        <v>2</v>
      </c>
      <c r="S10" s="22">
        <f>SSC!Y5</f>
        <v>193</v>
      </c>
    </row>
    <row r="11" spans="1:20" ht="20.100000000000001" customHeight="1" x14ac:dyDescent="0.15">
      <c r="A11" s="57"/>
      <c r="B11" s="2" t="s">
        <v>133</v>
      </c>
      <c r="C11" s="12">
        <f t="shared" si="0"/>
        <v>10</v>
      </c>
      <c r="E11" s="12">
        <f t="shared" si="1"/>
        <v>10</v>
      </c>
      <c r="F11" s="1">
        <v>10</v>
      </c>
      <c r="G11" s="56"/>
      <c r="H11" s="6" t="s">
        <v>18</v>
      </c>
      <c r="I11" s="6" t="s">
        <v>18</v>
      </c>
      <c r="J11" s="9" t="s">
        <v>123</v>
      </c>
      <c r="K11" s="28">
        <f t="shared" si="2"/>
        <v>96681</v>
      </c>
      <c r="L11" s="8" t="b">
        <f>ISNUMBER(FIND(MAX(LEFT(K$2,1),MID(K$2,2,1))-MIN(LEFT(K$2,1),MID(K$2,2,1)),J11,1))</f>
        <v>0</v>
      </c>
      <c r="M11" s="25">
        <f>N(L11)*R11*S11</f>
        <v>0</v>
      </c>
      <c r="N11" s="25">
        <f t="shared" si="3"/>
        <v>0</v>
      </c>
      <c r="O11" s="11" t="str">
        <f t="shared" si="4"/>
        <v>0 1 2 7 8 9</v>
      </c>
      <c r="P11" s="22">
        <f t="shared" si="5"/>
        <v>112</v>
      </c>
      <c r="Q11" s="22">
        <f>SUM(C$21:C$30)</f>
        <v>56</v>
      </c>
      <c r="R11" s="22">
        <v>1</v>
      </c>
      <c r="S11" s="22">
        <f>SSC!Y6</f>
        <v>193</v>
      </c>
    </row>
    <row r="12" spans="1:20" ht="20.100000000000001" customHeight="1" x14ac:dyDescent="0.15">
      <c r="A12" s="57"/>
      <c r="B12" s="2" t="s">
        <v>134</v>
      </c>
      <c r="C12" s="12">
        <f t="shared" si="0"/>
        <v>0</v>
      </c>
      <c r="E12" s="12">
        <f t="shared" si="1"/>
        <v>9</v>
      </c>
      <c r="F12" s="1">
        <v>9</v>
      </c>
      <c r="G12" s="56"/>
      <c r="H12" s="6" t="s">
        <v>20</v>
      </c>
      <c r="I12" s="6" t="s">
        <v>19</v>
      </c>
      <c r="J12" s="9" t="s">
        <v>174</v>
      </c>
      <c r="K12" s="28">
        <f t="shared" si="2"/>
        <v>96681</v>
      </c>
      <c r="L12" s="7" t="b">
        <f>IF(LEFT(K2,1)&lt;&gt;MID(K2,2,1),IF(IF(ISNUMBER(FIND(LEFT(K2,1),J12,1)),1,0)+IF(ISNUMBER(FIND(MID(K2,2,1),J12,1)),1,0)=2,TRUE,FALSE),FALSE)</f>
        <v>0</v>
      </c>
      <c r="M12" s="25">
        <f>IF(LEFT(K2,1)&lt;&gt;MID(K2,2,1),IF(IF(ISNUMBER(FIND(LEFT(K2,1),J12,1)),1,0)+IF(ISNUMBER(FIND(MID(K2,2,1),J12,1)),1,0)=2,R12*S12,0),0)</f>
        <v>0</v>
      </c>
      <c r="N12" s="25">
        <f t="shared" si="3"/>
        <v>0</v>
      </c>
      <c r="O12" s="11" t="str">
        <f t="shared" si="4"/>
        <v>0 1 2 7 8 9</v>
      </c>
      <c r="P12" s="22">
        <f>Q12*R12*2</f>
        <v>150</v>
      </c>
      <c r="Q12" s="22">
        <f>COMBIN(LEN(SUBSTITUTE(J12,",",)),2)</f>
        <v>15</v>
      </c>
      <c r="R12" s="22">
        <v>5</v>
      </c>
      <c r="S12" s="22">
        <f>SSC!Y7</f>
        <v>96.5</v>
      </c>
    </row>
    <row r="13" spans="1:20" ht="20.100000000000001" customHeight="1" x14ac:dyDescent="0.15">
      <c r="A13" s="57"/>
      <c r="B13" s="2" t="s">
        <v>135</v>
      </c>
      <c r="C13" s="12">
        <f t="shared" si="0"/>
        <v>0</v>
      </c>
      <c r="E13" s="12">
        <f t="shared" si="1"/>
        <v>8</v>
      </c>
      <c r="F13" s="1">
        <v>8</v>
      </c>
      <c r="G13" s="56"/>
      <c r="H13" s="6" t="s">
        <v>21</v>
      </c>
      <c r="I13" s="6" t="s">
        <v>15</v>
      </c>
      <c r="J13" s="10" t="s">
        <v>283</v>
      </c>
      <c r="K13" s="28">
        <f t="shared" si="2"/>
        <v>96681</v>
      </c>
      <c r="M13" s="25">
        <f>IF(EXACT(LEFT(K2,1),MID(K2,2,1)),0,IF(OR(ISNUMBER(FIND(","&amp;LEFT(K2,2)&amp;",",J13,1)),ISNUMBER(FIND(","&amp;MID(K2,2,1)&amp;LEFT(K2,1)&amp;",",J13,1))),R13*S13,0))</f>
        <v>0</v>
      </c>
      <c r="N13" s="25">
        <f t="shared" si="3"/>
        <v>0</v>
      </c>
      <c r="O13" s="11" t="str">
        <f>SUBSTITUTE(TRIM(IF(LEN($J13)=0,"-",SUBSTITUTE($J13,","," ")))," ",",")</f>
        <v>01,02,03,18</v>
      </c>
      <c r="P13" s="22">
        <f>Q13*R13*2</f>
        <v>16</v>
      </c>
      <c r="Q13" s="29">
        <f>FINDNUMBER(J13,2)</f>
        <v>4</v>
      </c>
      <c r="R13" s="22">
        <v>2</v>
      </c>
      <c r="S13" s="22">
        <f>SSC!Y8</f>
        <v>96.5</v>
      </c>
    </row>
    <row r="14" spans="1:20" ht="20.100000000000001" customHeight="1" x14ac:dyDescent="0.15">
      <c r="A14" s="57"/>
      <c r="B14" s="2" t="s">
        <v>136</v>
      </c>
      <c r="C14" s="12">
        <f t="shared" si="0"/>
        <v>0</v>
      </c>
      <c r="E14" s="12">
        <f t="shared" si="1"/>
        <v>0</v>
      </c>
      <c r="F14" s="1">
        <v>7</v>
      </c>
      <c r="G14" s="56"/>
      <c r="H14" s="6" t="s">
        <v>22</v>
      </c>
      <c r="I14" s="6" t="s">
        <v>17</v>
      </c>
      <c r="J14" s="10" t="s">
        <v>284</v>
      </c>
      <c r="K14" s="28">
        <f t="shared" si="2"/>
        <v>96681</v>
      </c>
      <c r="M14" s="25">
        <f>IF(LEFT(K14,1)&lt;&gt;MID(K14,2,1),IF(ISNUMBER(FIND(","&amp;SUM(LEFT(K14,1),MID(K14,2,1))&amp;",",J14,1)),R14*S14,0),0)</f>
        <v>289.5</v>
      </c>
      <c r="N14" s="25">
        <f t="shared" si="3"/>
        <v>1</v>
      </c>
      <c r="O14" s="11" t="str">
        <f t="shared" si="4"/>
        <v>1 2 3 8 14 15 9</v>
      </c>
      <c r="P14" s="22">
        <f t="shared" ref="P14:P15" si="6">Q14*R14*2</f>
        <v>102</v>
      </c>
      <c r="Q14" s="22">
        <f>SUM(C$31:C$47)</f>
        <v>17</v>
      </c>
      <c r="R14" s="22">
        <v>3</v>
      </c>
      <c r="S14" s="22">
        <f>SSC!Y9</f>
        <v>96.5</v>
      </c>
    </row>
    <row r="15" spans="1:20" ht="20.100000000000001" customHeight="1" x14ac:dyDescent="0.15">
      <c r="A15" s="57"/>
      <c r="B15" s="2" t="s">
        <v>137</v>
      </c>
      <c r="C15" s="12">
        <f t="shared" si="0"/>
        <v>0</v>
      </c>
      <c r="E15" s="12">
        <f t="shared" si="1"/>
        <v>0</v>
      </c>
      <c r="F15" s="1">
        <v>6</v>
      </c>
      <c r="G15" s="56"/>
      <c r="H15" s="6" t="s">
        <v>23</v>
      </c>
      <c r="I15" s="6" t="s">
        <v>24</v>
      </c>
      <c r="J15" s="24" t="s">
        <v>285</v>
      </c>
      <c r="K15" s="28">
        <f t="shared" si="2"/>
        <v>96681</v>
      </c>
      <c r="M15" s="25">
        <f>IF(AND(OR(ISNUMBER(FIND(LEFT(K15,1),J15,1)),ISNUMBER(FIND(MID(K15,2,1),J15,1))),LEFT(K15,1)&lt;&gt;MID(K15,2,1)),R15*S15,0)</f>
        <v>0</v>
      </c>
      <c r="N15" s="25">
        <f t="shared" si="3"/>
        <v>0</v>
      </c>
      <c r="O15" s="11" t="str">
        <f>TRIM(IF(LEN($J15)=0,"-",SUBSTITUTE($J15,","," ")))</f>
        <v>1</v>
      </c>
      <c r="P15" s="22">
        <f t="shared" si="6"/>
        <v>72</v>
      </c>
      <c r="Q15" s="22">
        <v>9</v>
      </c>
      <c r="R15" s="22">
        <v>4</v>
      </c>
      <c r="S15" s="22">
        <f>SSC!Y10</f>
        <v>96.5</v>
      </c>
    </row>
    <row r="16" spans="1:20" ht="20.100000000000001" customHeight="1" x14ac:dyDescent="0.15">
      <c r="A16" s="57"/>
      <c r="B16" s="2" t="s">
        <v>138</v>
      </c>
      <c r="C16" s="12">
        <f t="shared" si="0"/>
        <v>5</v>
      </c>
      <c r="E16" s="12">
        <f t="shared" si="1"/>
        <v>0</v>
      </c>
      <c r="F16" s="1">
        <v>5</v>
      </c>
      <c r="G16" s="56" t="s">
        <v>25</v>
      </c>
      <c r="H16" s="56" t="s">
        <v>13</v>
      </c>
      <c r="I16" s="6" t="s">
        <v>103</v>
      </c>
      <c r="J16" s="10" t="s">
        <v>184</v>
      </c>
      <c r="K16" s="28">
        <f t="shared" si="2"/>
        <v>96681</v>
      </c>
      <c r="L16" s="23">
        <f>IF(AND(ISNUMBER(FIND(MID($K$2,4,1),J16,1)),LEN($K$2)&lt;&gt;0),1,0)</f>
        <v>1</v>
      </c>
      <c r="M16" s="56">
        <f>IF(SUM(L16:L17)=2,1,0)*S16*R16</f>
        <v>965</v>
      </c>
      <c r="N16" s="56">
        <f>M16/S16/R16</f>
        <v>1</v>
      </c>
      <c r="O16" s="58" t="str">
        <f>TRIM(IF(LEN($J16)=0,"-",SUBSTITUTE($J16,","," ")))&amp;","&amp;TRIM(IF(LEN($J17)=0,"-",SUBSTITUTE($J17,","," ")))</f>
        <v>1 2 8 9,2 3 4 1</v>
      </c>
      <c r="P16" s="56">
        <f>Q16*2*R16</f>
        <v>160</v>
      </c>
      <c r="Q16" s="56">
        <f>LEN(SUBSTITUTE(J16,",",))*LEN(SUBSTITUTE(J17,",",))</f>
        <v>16</v>
      </c>
      <c r="R16" s="56">
        <v>5</v>
      </c>
      <c r="S16" s="56">
        <f>SSC!Y11</f>
        <v>193</v>
      </c>
    </row>
    <row r="17" spans="1:19" ht="20.100000000000001" customHeight="1" x14ac:dyDescent="0.15">
      <c r="A17" s="57"/>
      <c r="B17" s="2" t="s">
        <v>139</v>
      </c>
      <c r="C17" s="12">
        <f t="shared" si="0"/>
        <v>4</v>
      </c>
      <c r="E17" s="12">
        <f t="shared" si="1"/>
        <v>0</v>
      </c>
      <c r="F17" s="1">
        <v>4</v>
      </c>
      <c r="G17" s="56"/>
      <c r="H17" s="56"/>
      <c r="I17" s="6" t="s">
        <v>104</v>
      </c>
      <c r="J17" s="10" t="s">
        <v>287</v>
      </c>
      <c r="K17" s="28">
        <f t="shared" si="2"/>
        <v>96681</v>
      </c>
      <c r="L17" s="22">
        <f>IF(AND(ISNUMBER(FIND(MID($K$2,5,1),J17,1)),LEN($K$2)&lt;&gt;0),1,0)</f>
        <v>1</v>
      </c>
      <c r="M17" s="56"/>
      <c r="N17" s="56"/>
      <c r="O17" s="58"/>
      <c r="P17" s="56"/>
      <c r="Q17" s="56"/>
      <c r="R17" s="56"/>
      <c r="S17" s="56"/>
    </row>
    <row r="18" spans="1:19" ht="20.100000000000001" customHeight="1" x14ac:dyDescent="0.15">
      <c r="A18" s="57"/>
      <c r="B18" s="2" t="s">
        <v>140</v>
      </c>
      <c r="C18" s="12">
        <f t="shared" si="0"/>
        <v>0</v>
      </c>
      <c r="E18" s="12">
        <f t="shared" si="1"/>
        <v>0</v>
      </c>
      <c r="F18" s="1">
        <v>3</v>
      </c>
      <c r="G18" s="56"/>
      <c r="H18" s="6" t="s">
        <v>14</v>
      </c>
      <c r="I18" s="6" t="s">
        <v>15</v>
      </c>
      <c r="J18" s="13" t="s">
        <v>389</v>
      </c>
      <c r="K18" s="28">
        <f t="shared" si="2"/>
        <v>96681</v>
      </c>
      <c r="L18" s="22" t="b">
        <f>ISNUMBER(FIND(","&amp;RIGHT(K$2,2),J18))</f>
        <v>1</v>
      </c>
      <c r="M18" s="25">
        <f>N(L18)*R18*S18</f>
        <v>386</v>
      </c>
      <c r="N18" s="25">
        <f t="shared" ref="N18:N24" si="7">M18/S18/R18</f>
        <v>1</v>
      </c>
      <c r="O18" s="11" t="str">
        <f>SUBSTITUTE(TRIM(IF(LEN($J18)=0,"-",SUBSTITUTE($J18,","," ")))," ",",")</f>
        <v>12,12,13,21,81</v>
      </c>
      <c r="P18" s="22">
        <f>Q18*R18*2</f>
        <v>16</v>
      </c>
      <c r="Q18" s="29">
        <f>FINDNUMBER(J18,2)</f>
        <v>4</v>
      </c>
      <c r="R18" s="22">
        <v>2</v>
      </c>
      <c r="S18" s="22">
        <f>SSC!Y12</f>
        <v>193</v>
      </c>
    </row>
    <row r="19" spans="1:19" ht="20.100000000000001" customHeight="1" x14ac:dyDescent="0.15">
      <c r="A19" s="57"/>
      <c r="B19" s="2" t="s">
        <v>141</v>
      </c>
      <c r="C19" s="12">
        <f t="shared" si="0"/>
        <v>0</v>
      </c>
      <c r="E19" s="12">
        <f t="shared" si="1"/>
        <v>2</v>
      </c>
      <c r="F19" s="1">
        <v>2</v>
      </c>
      <c r="G19" s="56"/>
      <c r="H19" s="6" t="s">
        <v>16</v>
      </c>
      <c r="I19" s="6" t="s">
        <v>17</v>
      </c>
      <c r="J19" s="10" t="s">
        <v>288</v>
      </c>
      <c r="K19" s="28">
        <f t="shared" si="2"/>
        <v>96681</v>
      </c>
      <c r="L19" s="22" t="b">
        <f>ISNUMBER(FIND(","&amp;SUM(MID(K$2,4,1),MID(K$2,5,1)),J19,1))</f>
        <v>1</v>
      </c>
      <c r="M19" s="25">
        <f>N(L19)*R19*S19</f>
        <v>193</v>
      </c>
      <c r="N19" s="25">
        <f t="shared" si="7"/>
        <v>1</v>
      </c>
      <c r="O19" s="11" t="str">
        <f>TRIM(IF(LEN($J19)=0,"-",SUBSTITUTE($J19,","," ")))</f>
        <v>0 1 6 7 10 11 17 9</v>
      </c>
      <c r="P19" s="22">
        <f t="shared" ref="P19:P20" si="8">Q19*R19*2</f>
        <v>94</v>
      </c>
      <c r="Q19" s="22">
        <f>SUM(E$2:E$20)</f>
        <v>47</v>
      </c>
      <c r="R19" s="22">
        <v>1</v>
      </c>
      <c r="S19" s="22">
        <f>SSC!Y13</f>
        <v>193</v>
      </c>
    </row>
    <row r="20" spans="1:19" ht="20.100000000000001" customHeight="1" x14ac:dyDescent="0.15">
      <c r="A20" s="57"/>
      <c r="B20" s="2" t="s">
        <v>142</v>
      </c>
      <c r="C20" s="12">
        <f t="shared" si="0"/>
        <v>1</v>
      </c>
      <c r="E20" s="12">
        <f t="shared" si="1"/>
        <v>0</v>
      </c>
      <c r="F20" s="1">
        <v>1</v>
      </c>
      <c r="G20" s="56"/>
      <c r="H20" s="6" t="s">
        <v>18</v>
      </c>
      <c r="I20" s="6" t="s">
        <v>18</v>
      </c>
      <c r="J20" s="13" t="s">
        <v>192</v>
      </c>
      <c r="K20" s="28">
        <f t="shared" si="2"/>
        <v>96681</v>
      </c>
      <c r="L20" s="23" t="b">
        <f>ISNUMBER(FIND(MAX(RIGHT(K$2,1),MID(K$2,4,1))-MIN(RIGHT(K$2,1),MID(K$2,4,1)),J20,1))</f>
        <v>1</v>
      </c>
      <c r="M20" s="25">
        <f>N(L20)*R20*S20</f>
        <v>579</v>
      </c>
      <c r="N20" s="25">
        <f t="shared" si="7"/>
        <v>1</v>
      </c>
      <c r="O20" s="11" t="str">
        <f>TRIM(IF(LEN($J20)=0,"-",SUBSTITUTE($J20,","," ")))</f>
        <v>0 2 3 5 6 7 9</v>
      </c>
      <c r="P20" s="22">
        <f t="shared" si="8"/>
        <v>396</v>
      </c>
      <c r="Q20" s="22">
        <f>SUM(E$21:E$30)</f>
        <v>66</v>
      </c>
      <c r="R20" s="22">
        <v>3</v>
      </c>
      <c r="S20" s="22">
        <f>SSC!Y14</f>
        <v>193</v>
      </c>
    </row>
    <row r="21" spans="1:19" ht="20.100000000000001" customHeight="1" x14ac:dyDescent="0.15">
      <c r="A21" s="57" t="s">
        <v>118</v>
      </c>
      <c r="B21" s="2" t="s">
        <v>143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56"/>
      <c r="H21" s="6" t="s">
        <v>20</v>
      </c>
      <c r="I21" s="6" t="s">
        <v>19</v>
      </c>
      <c r="J21" s="13" t="s">
        <v>193</v>
      </c>
      <c r="K21" s="28">
        <f t="shared" si="2"/>
        <v>96681</v>
      </c>
      <c r="L21" s="22" t="b">
        <f>IF(RIGHT(K11,1)&lt;&gt;MID(K11,4,1),IF(IF(ISNUMBER(FIND(RIGHT(K11,1),J21,1)),1,0)+IF(ISNUMBER(FIND(MID(K11,4,1),J21,1)),1,0)=2,TRUE,FALSE),FALSE)</f>
        <v>1</v>
      </c>
      <c r="M21" s="25">
        <f>IF(RIGHT(K11,1)&lt;&gt;MID(K11,4,1),IF(IF(ISNUMBER(FIND(RIGHT(K11,1),J21,1)),1,0)+IF(ISNUMBER(FIND(MID(K11,4,1),J21,1)),1,0)=2,R21*S21,0),0)</f>
        <v>193</v>
      </c>
      <c r="N21" s="25">
        <f t="shared" si="7"/>
        <v>1</v>
      </c>
      <c r="O21" s="19" t="str">
        <f t="shared" ref="O21:O24" si="9">TRIM(IF(LEN($J21)=0,"-",SUBSTITUTE($J21,","," ")))</f>
        <v>0 1 2 7 8 9</v>
      </c>
      <c r="P21" s="22">
        <f>Q21*R21*2</f>
        <v>60</v>
      </c>
      <c r="Q21" s="22">
        <f>COMBIN(LEN(SUBSTITUTE(J21,",",)),2)</f>
        <v>15</v>
      </c>
      <c r="R21" s="22">
        <v>2</v>
      </c>
      <c r="S21" s="22">
        <f>SSC!Y15</f>
        <v>96.5</v>
      </c>
    </row>
    <row r="22" spans="1:19" ht="20.100000000000001" customHeight="1" x14ac:dyDescent="0.15">
      <c r="A22" s="57"/>
      <c r="B22" s="2" t="s">
        <v>144</v>
      </c>
      <c r="C22" s="14">
        <f t="shared" ref="C22:C30" si="10">IF(ISNUMBER(FIND($B22,$J$11,1)),$F22,0)</f>
        <v>18</v>
      </c>
      <c r="E22" s="14">
        <f t="shared" ref="E22:E30" si="11">IF(ISNUMBER(FIND($B22,J$20,1)),$F22,0)</f>
        <v>0</v>
      </c>
      <c r="F22" s="1">
        <v>18</v>
      </c>
      <c r="G22" s="56"/>
      <c r="H22" s="6" t="s">
        <v>21</v>
      </c>
      <c r="I22" s="6" t="s">
        <v>15</v>
      </c>
      <c r="J22" s="24" t="s">
        <v>286</v>
      </c>
      <c r="K22" s="28">
        <f t="shared" si="2"/>
        <v>96681</v>
      </c>
      <c r="M22" s="25">
        <f>IF(EXACT(RIGHT(K11,1),MID(K11,4,1)),0,IF(OR(ISNUMBER(FIND(","&amp;RIGHT(K11,2)&amp;",",J22,1)),ISNUMBER(FIND(","&amp;RIGHT(K11,1)&amp;MID(K11,4,1)&amp;",",J22,1))),R22*S22,0))</f>
        <v>386</v>
      </c>
      <c r="N22" s="25">
        <f t="shared" si="7"/>
        <v>1</v>
      </c>
      <c r="O22" s="19" t="str">
        <f>SUBSTITUTE(TRIM(IF(LEN($J22)=0,"-",SUBSTITUTE($J22,","," ")))," ",",")</f>
        <v>15,58,68,96,18</v>
      </c>
      <c r="P22" s="22">
        <f>Q22*R22*2</f>
        <v>40</v>
      </c>
      <c r="Q22" s="29">
        <f>FINDNUMBER(J22,2)</f>
        <v>5</v>
      </c>
      <c r="R22" s="22">
        <v>4</v>
      </c>
      <c r="S22" s="22">
        <f>SSC!Y16</f>
        <v>96.5</v>
      </c>
    </row>
    <row r="23" spans="1:19" ht="20.100000000000001" customHeight="1" x14ac:dyDescent="0.15">
      <c r="A23" s="57"/>
      <c r="B23" s="2" t="s">
        <v>145</v>
      </c>
      <c r="C23" s="14">
        <f t="shared" si="10"/>
        <v>16</v>
      </c>
      <c r="E23" s="14">
        <f t="shared" si="11"/>
        <v>16</v>
      </c>
      <c r="F23" s="1">
        <v>16</v>
      </c>
      <c r="G23" s="56"/>
      <c r="H23" s="6" t="s">
        <v>22</v>
      </c>
      <c r="I23" s="6" t="s">
        <v>17</v>
      </c>
      <c r="J23" s="13" t="s">
        <v>194</v>
      </c>
      <c r="K23" s="28">
        <f t="shared" si="2"/>
        <v>96681</v>
      </c>
      <c r="M23" s="25">
        <f>IF(RIGHT(K23,1)&lt;&gt;MID(K23,4,1),IF(ISNUMBER(FIND(","&amp;SUM(RIGHT(K23,1),MID(K23,4,1))&amp;",",J23,1)),R23*S23,0),0)</f>
        <v>482.5</v>
      </c>
      <c r="N23" s="25">
        <f t="shared" si="7"/>
        <v>1</v>
      </c>
      <c r="O23" s="19" t="str">
        <f t="shared" si="9"/>
        <v>1 2 3 7 8 9 17</v>
      </c>
      <c r="P23" s="22">
        <f t="shared" ref="P23:P24" si="12">Q23*R23*2</f>
        <v>180</v>
      </c>
      <c r="Q23" s="22">
        <f>SUM(E$31:E$47)</f>
        <v>18</v>
      </c>
      <c r="R23" s="22">
        <v>5</v>
      </c>
      <c r="S23" s="22">
        <f>SSC!Y17</f>
        <v>96.5</v>
      </c>
    </row>
    <row r="24" spans="1:19" ht="20.100000000000001" customHeight="1" x14ac:dyDescent="0.15">
      <c r="A24" s="57"/>
      <c r="B24" s="2" t="s">
        <v>146</v>
      </c>
      <c r="C24" s="14">
        <f t="shared" si="10"/>
        <v>0</v>
      </c>
      <c r="E24" s="14">
        <f t="shared" si="11"/>
        <v>14</v>
      </c>
      <c r="F24" s="1">
        <v>14</v>
      </c>
      <c r="G24" s="56"/>
      <c r="H24" s="6" t="s">
        <v>23</v>
      </c>
      <c r="I24" s="6" t="s">
        <v>24</v>
      </c>
      <c r="J24" s="13" t="s">
        <v>297</v>
      </c>
      <c r="K24" s="28">
        <f t="shared" si="2"/>
        <v>96681</v>
      </c>
      <c r="M24" s="25">
        <f>IF(AND(OR(ISNUMBER(FIND(RIGHT(K24,1),J24,1)),ISNUMBER(FIND(MID(K24,4,1),J24,1))),RIGHT(K24,1)&lt;&gt;MID(K24,4,1)),R24*S24,0)</f>
        <v>289.5</v>
      </c>
      <c r="N24" s="25">
        <f t="shared" si="7"/>
        <v>1</v>
      </c>
      <c r="O24" s="19" t="str">
        <f t="shared" si="9"/>
        <v>8</v>
      </c>
      <c r="P24" s="22">
        <f t="shared" si="12"/>
        <v>54</v>
      </c>
      <c r="Q24" s="22">
        <v>9</v>
      </c>
      <c r="R24" s="22">
        <v>3</v>
      </c>
      <c r="S24" s="22">
        <f>SSC!Y18</f>
        <v>96.5</v>
      </c>
    </row>
    <row r="25" spans="1:19" ht="20.100000000000001" customHeight="1" x14ac:dyDescent="0.15">
      <c r="A25" s="57"/>
      <c r="B25" s="2" t="s">
        <v>147</v>
      </c>
      <c r="C25" s="14">
        <f t="shared" si="10"/>
        <v>0</v>
      </c>
      <c r="E25" s="14">
        <f t="shared" si="11"/>
        <v>0</v>
      </c>
      <c r="F25" s="1">
        <v>12</v>
      </c>
      <c r="G25" s="58" t="s">
        <v>26</v>
      </c>
      <c r="H25" s="56" t="s">
        <v>5</v>
      </c>
      <c r="I25" s="6" t="s">
        <v>6</v>
      </c>
      <c r="J25" s="10" t="s">
        <v>195</v>
      </c>
      <c r="K25" s="28">
        <f t="shared" si="2"/>
        <v>96681</v>
      </c>
      <c r="M25" s="56">
        <f>IF(AND(ISNUMBER(FIND(LEFT(K25,1),J25,1)),ISNUMBER(FIND(MID(K25,2,1),J26,1)),ISNUMBER(FIND(MID(K25,3,1),J27,1))),R25*S25,0)</f>
        <v>0</v>
      </c>
      <c r="N25" s="56">
        <f>M25/S25/R25</f>
        <v>0</v>
      </c>
      <c r="O25" s="59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6">
        <f>R25*Q25*2</f>
        <v>1080</v>
      </c>
      <c r="Q25" s="56">
        <f>LEN(SUBSTITUTE($J$25,",",))*LEN(SUBSTITUTE($J$26,",",))*LEN(SUBSTITUTE($J$27,",",))</f>
        <v>180</v>
      </c>
      <c r="R25" s="56">
        <v>3</v>
      </c>
      <c r="S25" s="56">
        <f>SSC!Y19</f>
        <v>1930</v>
      </c>
    </row>
    <row r="26" spans="1:19" ht="20.100000000000001" customHeight="1" x14ac:dyDescent="0.15">
      <c r="A26" s="57"/>
      <c r="B26" s="2" t="s">
        <v>148</v>
      </c>
      <c r="C26" s="14">
        <f t="shared" si="10"/>
        <v>0</v>
      </c>
      <c r="E26" s="14">
        <f t="shared" si="11"/>
        <v>10</v>
      </c>
      <c r="F26" s="1">
        <v>10</v>
      </c>
      <c r="G26" s="58"/>
      <c r="H26" s="56"/>
      <c r="I26" s="6" t="s">
        <v>7</v>
      </c>
      <c r="J26" s="10" t="s">
        <v>289</v>
      </c>
      <c r="K26" s="28">
        <f t="shared" si="2"/>
        <v>96681</v>
      </c>
      <c r="M26" s="56"/>
      <c r="N26" s="56"/>
      <c r="O26" s="58"/>
      <c r="P26" s="56"/>
      <c r="Q26" s="56"/>
      <c r="R26" s="56"/>
      <c r="S26" s="56"/>
    </row>
    <row r="27" spans="1:19" ht="20.100000000000001" customHeight="1" x14ac:dyDescent="0.15">
      <c r="A27" s="57"/>
      <c r="B27" s="2" t="s">
        <v>149</v>
      </c>
      <c r="C27" s="14">
        <f t="shared" si="10"/>
        <v>0</v>
      </c>
      <c r="E27" s="14">
        <f t="shared" si="11"/>
        <v>8</v>
      </c>
      <c r="F27" s="1">
        <v>8</v>
      </c>
      <c r="G27" s="58"/>
      <c r="H27" s="56"/>
      <c r="I27" s="6" t="s">
        <v>8</v>
      </c>
      <c r="J27" s="10" t="s">
        <v>196</v>
      </c>
      <c r="K27" s="28">
        <f t="shared" si="2"/>
        <v>96681</v>
      </c>
      <c r="M27" s="56"/>
      <c r="N27" s="56"/>
      <c r="O27" s="58"/>
      <c r="P27" s="56"/>
      <c r="Q27" s="56"/>
      <c r="R27" s="56"/>
      <c r="S27" s="56"/>
    </row>
    <row r="28" spans="1:19" ht="20.100000000000001" customHeight="1" x14ac:dyDescent="0.15">
      <c r="A28" s="57"/>
      <c r="B28" s="2" t="s">
        <v>150</v>
      </c>
      <c r="C28" s="14">
        <f t="shared" si="10"/>
        <v>6</v>
      </c>
      <c r="E28" s="14">
        <f t="shared" si="11"/>
        <v>6</v>
      </c>
      <c r="F28" s="1">
        <v>6</v>
      </c>
      <c r="G28" s="58"/>
      <c r="H28" s="6" t="s">
        <v>27</v>
      </c>
      <c r="I28" s="6" t="s">
        <v>15</v>
      </c>
      <c r="J28" s="13" t="s">
        <v>290</v>
      </c>
      <c r="K28" s="28">
        <f t="shared" si="2"/>
        <v>96681</v>
      </c>
      <c r="M28" s="25">
        <f>IF(ISNUMBER(FIND(","&amp;LEFT(K28,3),J28,1)),R28*S28,0)</f>
        <v>0</v>
      </c>
      <c r="N28" s="25">
        <f t="shared" ref="N28:N39" si="13">M28/S28/R28</f>
        <v>0</v>
      </c>
      <c r="O28" s="19" t="str">
        <f>SUBSTITUTE(TRIM(IF(LEN($J28)=0,"-",SUBSTITUTE($J28,","," ")))," ",",")</f>
        <v>123,123,321,801,118,811</v>
      </c>
      <c r="P28" s="22">
        <f t="shared" ref="P28:P38" si="14">Q28*R28*2</f>
        <v>10</v>
      </c>
      <c r="Q28" s="22">
        <f>FINDNUMBER(J28,3)</f>
        <v>5</v>
      </c>
      <c r="R28" s="22">
        <v>1</v>
      </c>
      <c r="S28" s="22">
        <f>SSC!Y20</f>
        <v>1930</v>
      </c>
    </row>
    <row r="29" spans="1:19" ht="33" customHeight="1" x14ac:dyDescent="0.15">
      <c r="A29" s="57"/>
      <c r="B29" s="2" t="s">
        <v>151</v>
      </c>
      <c r="C29" s="14">
        <f t="shared" si="10"/>
        <v>4</v>
      </c>
      <c r="E29" s="14">
        <f t="shared" si="11"/>
        <v>0</v>
      </c>
      <c r="F29" s="1">
        <v>4</v>
      </c>
      <c r="G29" s="58"/>
      <c r="H29" s="6" t="s">
        <v>16</v>
      </c>
      <c r="I29" s="6" t="s">
        <v>17</v>
      </c>
      <c r="J29" s="10" t="s">
        <v>291</v>
      </c>
      <c r="K29" s="28">
        <f t="shared" si="2"/>
        <v>96681</v>
      </c>
      <c r="M29" s="25">
        <f>IF(ISNUMBER(FIND(","&amp;SUM(LEFT(K29,1),MID(K29,2,1),MID(K29,3,1))&amp;",",J29,1)),R29*S29,0)</f>
        <v>0</v>
      </c>
      <c r="N29" s="25">
        <f t="shared" si="13"/>
        <v>0</v>
      </c>
      <c r="O29" s="19" t="str">
        <f t="shared" ref="O29:O39" si="15">TRIM(IF(LEN($J29)=0,"-",SUBSTITUTE($J29,","," ")))</f>
        <v>1 2 3 4 6 10 11 16 17 18</v>
      </c>
      <c r="P29" s="22">
        <f t="shared" si="14"/>
        <v>762</v>
      </c>
      <c r="Q29" s="22">
        <f>SUM(C$48:C$75)</f>
        <v>381</v>
      </c>
      <c r="R29" s="22">
        <v>1</v>
      </c>
      <c r="S29" s="22">
        <f>SSC!Y21</f>
        <v>1930</v>
      </c>
    </row>
    <row r="30" spans="1:19" ht="20.100000000000001" customHeight="1" x14ac:dyDescent="0.15">
      <c r="A30" s="57"/>
      <c r="B30" s="2" t="s">
        <v>152</v>
      </c>
      <c r="C30" s="14">
        <f t="shared" si="10"/>
        <v>2</v>
      </c>
      <c r="E30" s="14">
        <f t="shared" si="11"/>
        <v>2</v>
      </c>
      <c r="F30" s="1">
        <v>2</v>
      </c>
      <c r="G30" s="58"/>
      <c r="H30" s="6" t="s">
        <v>18</v>
      </c>
      <c r="I30" s="6" t="s">
        <v>18</v>
      </c>
      <c r="J30" s="13" t="s">
        <v>292</v>
      </c>
      <c r="K30" s="28">
        <f t="shared" si="2"/>
        <v>96681</v>
      </c>
      <c r="M30" s="25">
        <f>IF(ISNUMBER(FIND(MAX(MID(K30,2,1),LEFT(K30,1),MID(K30,3,1))-MIN(MID(K30,2,1),LEFT(K30,1),MID(K30,3,1)),J30,1)),R30*S30*1,0)</f>
        <v>1930</v>
      </c>
      <c r="N30" s="25">
        <f t="shared" si="13"/>
        <v>1</v>
      </c>
      <c r="O30" s="19" t="str">
        <f t="shared" si="15"/>
        <v>0 3 4 5 6 7 9</v>
      </c>
      <c r="P30" s="22">
        <f t="shared" si="14"/>
        <v>1508</v>
      </c>
      <c r="Q30" s="22">
        <f>SUM(C$76:C$85)</f>
        <v>754</v>
      </c>
      <c r="R30" s="22">
        <v>1</v>
      </c>
      <c r="S30" s="22">
        <f>SSC!Y22</f>
        <v>1930</v>
      </c>
    </row>
    <row r="31" spans="1:19" ht="20.100000000000001" customHeight="1" x14ac:dyDescent="0.15">
      <c r="A31" s="57" t="s">
        <v>119</v>
      </c>
      <c r="B31" s="2" t="s">
        <v>153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58"/>
      <c r="H31" s="6" t="s">
        <v>22</v>
      </c>
      <c r="I31" s="6" t="s">
        <v>17</v>
      </c>
      <c r="J31" s="10" t="s">
        <v>293</v>
      </c>
      <c r="K31" s="28">
        <f t="shared" si="2"/>
        <v>96681</v>
      </c>
      <c r="M31" s="25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0</v>
      </c>
      <c r="N31" s="25">
        <f>IF(OR(AND(LEFT(K31,1)=MID(K31,2,1),MID(K31,2,1)&lt;&gt;MID(K31,3,1)),AND(LEFT(K31,1)&lt;&gt;MID(K31,2,1),MID(K31,2,1)=MID(K31,3,1)),AND(MID(K31,3,1)=LEFT(K31,1),LEFT(K31,1)&lt;&gt;MID(K31,2,1))),M31/S31/R31/2,M31/S31/R31)</f>
        <v>0</v>
      </c>
      <c r="O31" s="19" t="str">
        <f t="shared" si="15"/>
        <v>1 3 4 6 10 15 16 24 25 26</v>
      </c>
      <c r="P31" s="22">
        <f t="shared" si="14"/>
        <v>590</v>
      </c>
      <c r="Q31" s="22">
        <f>SUM(C$86:C$111)</f>
        <v>59</v>
      </c>
      <c r="R31" s="22">
        <v>5</v>
      </c>
      <c r="S31" s="22">
        <f>SSC!Y23</f>
        <v>321.64499999999998</v>
      </c>
    </row>
    <row r="32" spans="1:19" ht="20.100000000000001" customHeight="1" x14ac:dyDescent="0.15">
      <c r="A32" s="57"/>
      <c r="B32" s="2" t="s">
        <v>145</v>
      </c>
      <c r="C32" s="16">
        <f t="shared" ref="C32:C47" si="16">IF(ISNUMBER(FIND($B32,$J$14,1)),$F32,0)</f>
        <v>1</v>
      </c>
      <c r="E32" s="16">
        <f t="shared" ref="E32:E47" si="17">IF(ISNUMBER(FIND($B32,J$23,1)),$F32,0)</f>
        <v>1</v>
      </c>
      <c r="F32" s="1">
        <v>1</v>
      </c>
      <c r="G32" s="58"/>
      <c r="H32" s="6" t="s">
        <v>28</v>
      </c>
      <c r="I32" s="6" t="s">
        <v>28</v>
      </c>
      <c r="J32" s="13" t="s">
        <v>294</v>
      </c>
      <c r="K32" s="28">
        <f t="shared" si="2"/>
        <v>96681</v>
      </c>
      <c r="M32" s="25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2573.16</v>
      </c>
      <c r="N32" s="25">
        <f t="shared" si="13"/>
        <v>1</v>
      </c>
      <c r="O32" s="19" t="str">
        <f t="shared" si="15"/>
        <v>0 1 2 3 6 7 8 9</v>
      </c>
      <c r="P32" s="22">
        <f t="shared" si="14"/>
        <v>448</v>
      </c>
      <c r="Q32" s="22">
        <f>COMBIN(LEN(SUBSTITUTE(J32,",",)),2)*2</f>
        <v>56</v>
      </c>
      <c r="R32" s="22">
        <v>4</v>
      </c>
      <c r="S32" s="22">
        <f>SSC!Y24</f>
        <v>643.29</v>
      </c>
    </row>
    <row r="33" spans="1:23" ht="20.100000000000001" customHeight="1" x14ac:dyDescent="0.15">
      <c r="A33" s="57"/>
      <c r="B33" s="2" t="s">
        <v>146</v>
      </c>
      <c r="C33" s="16">
        <f t="shared" si="16"/>
        <v>2</v>
      </c>
      <c r="E33" s="16">
        <f t="shared" si="17"/>
        <v>2</v>
      </c>
      <c r="F33" s="1">
        <v>2</v>
      </c>
      <c r="G33" s="58"/>
      <c r="H33" s="6" t="s">
        <v>29</v>
      </c>
      <c r="I33" s="6" t="s">
        <v>29</v>
      </c>
      <c r="J33" s="13" t="s">
        <v>197</v>
      </c>
      <c r="K33" s="28">
        <f t="shared" si="2"/>
        <v>96681</v>
      </c>
      <c r="M33" s="25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5">
        <f t="shared" si="13"/>
        <v>0</v>
      </c>
      <c r="O33" s="19" t="str">
        <f t="shared" si="15"/>
        <v>0 1 2 7 8 9</v>
      </c>
      <c r="P33" s="22">
        <f t="shared" si="14"/>
        <v>80</v>
      </c>
      <c r="Q33" s="22">
        <f>COMBIN(LEN(SUBSTITUTE(J33,",",)),3)</f>
        <v>20</v>
      </c>
      <c r="R33" s="22">
        <v>2</v>
      </c>
      <c r="S33" s="22">
        <f>SSC!Y25</f>
        <v>321.64499999999998</v>
      </c>
    </row>
    <row r="34" spans="1:23" ht="20.100000000000001" customHeight="1" x14ac:dyDescent="0.15">
      <c r="A34" s="57"/>
      <c r="B34" s="2" t="s">
        <v>147</v>
      </c>
      <c r="C34" s="16">
        <f t="shared" si="16"/>
        <v>0</v>
      </c>
      <c r="E34" s="16">
        <f t="shared" si="17"/>
        <v>0</v>
      </c>
      <c r="F34" s="1">
        <v>2</v>
      </c>
      <c r="G34" s="58"/>
      <c r="H34" s="6" t="s">
        <v>30</v>
      </c>
      <c r="I34" s="6" t="s">
        <v>15</v>
      </c>
      <c r="J34" s="20" t="s">
        <v>298</v>
      </c>
      <c r="K34" s="28">
        <f t="shared" si="2"/>
        <v>96681</v>
      </c>
      <c r="M34" s="29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0</v>
      </c>
      <c r="N34" s="25">
        <f>IF(OR(AND(LEFT(K34,1)=MID(K34,2,1),MID(K34,2,1)&lt;&gt;MID(K34,3,1)),AND(LEFT(K34,1)&lt;&gt;MID(K34,2,1),MID(K34,2,1)=MID(K34,3,1)),AND(MID(K34,3,1)=LEFT(K34,1),LEFT(K34,1)&lt;&gt;MID(K34,2,1))),M34/S34/R34/2,M34/S34/R34)</f>
        <v>0</v>
      </c>
      <c r="O34" s="19" t="str">
        <f>SUBSTITUTE(TRIM(IF(LEN($J34)=0,"-",SUBSTITUTE($J34,","," ")))," ",",")</f>
        <v>218,181,312,132,231</v>
      </c>
      <c r="P34" s="22">
        <f t="shared" si="14"/>
        <v>30</v>
      </c>
      <c r="Q34" s="29">
        <f>FINDNUMBER(J34,3)</f>
        <v>5</v>
      </c>
      <c r="R34" s="22">
        <v>3</v>
      </c>
      <c r="S34" s="22">
        <f>SSC!Y26</f>
        <v>321.64499999999998</v>
      </c>
    </row>
    <row r="35" spans="1:23" ht="20.100000000000001" customHeight="1" x14ac:dyDescent="0.15">
      <c r="A35" s="57"/>
      <c r="B35" s="2" t="s">
        <v>148</v>
      </c>
      <c r="C35" s="16">
        <f t="shared" si="16"/>
        <v>0</v>
      </c>
      <c r="E35" s="16">
        <f t="shared" si="17"/>
        <v>0</v>
      </c>
      <c r="F35" s="1">
        <v>3</v>
      </c>
      <c r="G35" s="58"/>
      <c r="H35" s="6" t="s">
        <v>23</v>
      </c>
      <c r="I35" s="6" t="s">
        <v>24</v>
      </c>
      <c r="J35" s="20" t="s">
        <v>297</v>
      </c>
      <c r="K35" s="28">
        <f t="shared" si="2"/>
        <v>96681</v>
      </c>
      <c r="M35" s="25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0</v>
      </c>
      <c r="N35" s="25">
        <f>IF(OR(AND(LEFT(K35,1)=MID(K35,2,1),MID(K35,2,1)&lt;&gt;MID(K35,3,1)),AND(LEFT(K35,1)&lt;&gt;MID(K35,2,1),MID(K35,2,1)=MID(K35,3,1)),AND(MID(K35,3,1)=LEFT(K35,1),LEFT(K35,1)&lt;&gt;MID(K35,2,1))),M35/S35/R35/2,M35/S35/R35)</f>
        <v>0</v>
      </c>
      <c r="O35" s="19" t="str">
        <f t="shared" si="15"/>
        <v>8</v>
      </c>
      <c r="P35" s="22">
        <f t="shared" si="14"/>
        <v>432</v>
      </c>
      <c r="Q35" s="22">
        <v>54</v>
      </c>
      <c r="R35" s="22">
        <v>4</v>
      </c>
      <c r="S35" s="22">
        <f>SSC!Y27</f>
        <v>321.64499999999998</v>
      </c>
    </row>
    <row r="36" spans="1:23" ht="20.100000000000001" customHeight="1" x14ac:dyDescent="0.15">
      <c r="A36" s="57"/>
      <c r="B36" s="2" t="s">
        <v>149</v>
      </c>
      <c r="C36" s="16">
        <f t="shared" si="16"/>
        <v>0</v>
      </c>
      <c r="E36" s="16">
        <f t="shared" si="17"/>
        <v>0</v>
      </c>
      <c r="F36" s="1">
        <v>3</v>
      </c>
      <c r="G36" s="58"/>
      <c r="H36" s="6" t="s">
        <v>31</v>
      </c>
      <c r="I36" s="6" t="s">
        <v>15</v>
      </c>
      <c r="J36" s="20" t="s">
        <v>299</v>
      </c>
      <c r="K36" s="28">
        <f t="shared" si="2"/>
        <v>96681</v>
      </c>
      <c r="M36" s="25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0</v>
      </c>
      <c r="N36" s="25">
        <f t="shared" si="13"/>
        <v>0</v>
      </c>
      <c r="O36" s="19" t="str">
        <f>SUBSTITUTE(TRIM(IF(LEN($J36)=0,"-",SUBSTITUTE($J36,","," ")))," ",",")</f>
        <v>118</v>
      </c>
      <c r="P36" s="22">
        <f t="shared" si="14"/>
        <v>6</v>
      </c>
      <c r="Q36" s="29">
        <f>FINDNUMBER(J$36,3)</f>
        <v>1</v>
      </c>
      <c r="R36" s="22">
        <v>3</v>
      </c>
      <c r="S36" s="22">
        <f>SSC!Y28</f>
        <v>643.29</v>
      </c>
    </row>
    <row r="37" spans="1:23" ht="20.100000000000001" customHeight="1" x14ac:dyDescent="0.15">
      <c r="A37" s="57"/>
      <c r="B37" s="2" t="s">
        <v>150</v>
      </c>
      <c r="C37" s="16">
        <f t="shared" si="16"/>
        <v>0</v>
      </c>
      <c r="E37" s="16">
        <f t="shared" si="17"/>
        <v>4</v>
      </c>
      <c r="F37" s="1">
        <v>4</v>
      </c>
      <c r="G37" s="58"/>
      <c r="H37" s="6" t="s">
        <v>32</v>
      </c>
      <c r="I37" s="6" t="s">
        <v>15</v>
      </c>
      <c r="J37" s="20" t="s">
        <v>311</v>
      </c>
      <c r="K37" s="28">
        <f t="shared" si="2"/>
        <v>96681</v>
      </c>
      <c r="M37" s="25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5">
        <f t="shared" si="13"/>
        <v>0</v>
      </c>
      <c r="O37" s="19" t="str">
        <f>SUBSTITUTE(TRIM(IF(LEN($J37)=0,"-",SUBSTITUTE($J37,","," ")))," ",",")</f>
        <v>811</v>
      </c>
      <c r="P37" s="22">
        <f t="shared" si="14"/>
        <v>4</v>
      </c>
      <c r="Q37" s="29">
        <f>FINDNUMBER(J$37,3)</f>
        <v>1</v>
      </c>
      <c r="R37" s="22">
        <v>2</v>
      </c>
      <c r="S37" s="22">
        <f>SSC!Y29</f>
        <v>321.64499999999998</v>
      </c>
    </row>
    <row r="38" spans="1:23" ht="20.100000000000001" customHeight="1" x14ac:dyDescent="0.15">
      <c r="A38" s="57"/>
      <c r="B38" s="2" t="s">
        <v>151</v>
      </c>
      <c r="C38" s="16">
        <f t="shared" si="16"/>
        <v>4</v>
      </c>
      <c r="E38" s="16">
        <f t="shared" si="17"/>
        <v>4</v>
      </c>
      <c r="F38" s="1">
        <v>4</v>
      </c>
      <c r="G38" s="58"/>
      <c r="H38" s="6" t="s">
        <v>34</v>
      </c>
      <c r="I38" s="6" t="s">
        <v>33</v>
      </c>
      <c r="J38" s="17" t="s">
        <v>300</v>
      </c>
      <c r="K38" s="28">
        <f t="shared" si="2"/>
        <v>96681</v>
      </c>
      <c r="M38" s="29">
        <f>IF(AND(LEFT(U38,1)=MID(U38,2,1),MID(U38,2,1)=MID(U38,3,1)),N(ISNUMBER(FIND(V38,J38,1)))*R38*S38,
 IF(AND(LEFT(U38,1)&lt;&gt;MID(U38,2,1),MID(U38,2,1)&lt;&gt;MID(U38,3,1),LEFT(U38,1)&lt;&gt;MID(U38,3,1)),
  SUM(N(ISNUMBER(FIND(LEFT(U38,1),J38,1))),N(ISNUMBER(FIND(MID(U38,2,1),J38,1))),N(ISNUMBER(FIND(RIGHT(U38,1),J38,1))))*R38*S38,SUM(N(ISNUMBER(FIND(V38,J38,1))),N(ISNUMBER(FIND(W38,J38,1))))*R38*S38))</f>
        <v>7.0949999999999998</v>
      </c>
      <c r="N38" s="25">
        <f t="shared" si="13"/>
        <v>1</v>
      </c>
      <c r="O38" s="19" t="str">
        <f t="shared" si="15"/>
        <v>0 1 3 4 7 8 9</v>
      </c>
      <c r="P38" s="22">
        <f t="shared" si="14"/>
        <v>14</v>
      </c>
      <c r="Q38" s="22">
        <f>LEN(SUBSTITUTE(J38,",",))</f>
        <v>7</v>
      </c>
      <c r="R38" s="22">
        <v>1</v>
      </c>
      <c r="S38" s="22">
        <f>SSC!Y30</f>
        <v>7.0949999999999998</v>
      </c>
      <c r="T38" s="55" t="s">
        <v>554</v>
      </c>
      <c r="U38" s="1" t="str">
        <f>LEFT(K38,3)</f>
        <v>966</v>
      </c>
      <c r="V38" s="1">
        <f>_xlfn.MODE.SNGL(INT(LEFT(U38,1)),INT(MID(U38,2,1)),INT(RIGHT(U38,1)))</f>
        <v>6</v>
      </c>
      <c r="W38" s="1" t="str">
        <f>SUBSTITUTE(U38,V38,)</f>
        <v>9</v>
      </c>
    </row>
    <row r="39" spans="1:23" ht="20.100000000000001" customHeight="1" x14ac:dyDescent="0.15">
      <c r="A39" s="57"/>
      <c r="B39" s="2" t="s">
        <v>152</v>
      </c>
      <c r="C39" s="16">
        <f t="shared" si="16"/>
        <v>5</v>
      </c>
      <c r="E39" s="16">
        <f t="shared" si="17"/>
        <v>5</v>
      </c>
      <c r="F39" s="1">
        <v>5</v>
      </c>
      <c r="G39" s="58"/>
      <c r="H39" s="6" t="s">
        <v>35</v>
      </c>
      <c r="I39" s="6" t="s">
        <v>33</v>
      </c>
      <c r="J39" s="20" t="s">
        <v>256</v>
      </c>
      <c r="K39" s="28">
        <f t="shared" si="2"/>
        <v>96681</v>
      </c>
      <c r="M39" s="29" t="e">
        <f>IF(AND(AND(LEFT(K39,1)=MID(K39,2,1),MID(K39,2,1)=MID(K39,3,1)),ISNUMBER(FIND(LEFT(K39,1),J39,1))),R39*S39,
 IF(AND(LEFT(K38,1)&lt;&gt;MID(K38,2,1),MID(K38,2,1)&lt;&gt;MID(K38,3,1),LEFT(K38,1)&lt;&gt;MID(K38,3,1)),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</f>
        <v>#NUM!</v>
      </c>
      <c r="N39" s="25" t="e">
        <f t="shared" si="13"/>
        <v>#NUM!</v>
      </c>
      <c r="O39" s="19" t="str">
        <f t="shared" si="15"/>
        <v>2 3 4 5 6 7 8</v>
      </c>
      <c r="P39" s="22">
        <f>Q39*R39*2</f>
        <v>168</v>
      </c>
      <c r="Q39" s="22">
        <f>COMBIN(LEN(SUBSTITUTE(J39,",",)),2)</f>
        <v>21</v>
      </c>
      <c r="R39" s="22">
        <v>4</v>
      </c>
      <c r="S39" s="22">
        <f>SSC!Y31</f>
        <v>35.734999999999999</v>
      </c>
    </row>
    <row r="40" spans="1:23" ht="20.100000000000001" customHeight="1" x14ac:dyDescent="0.15">
      <c r="A40" s="57"/>
      <c r="B40" s="2" t="s">
        <v>154</v>
      </c>
      <c r="C40" s="16">
        <f t="shared" si="16"/>
        <v>0</v>
      </c>
      <c r="E40" s="16">
        <f t="shared" si="17"/>
        <v>0</v>
      </c>
      <c r="F40" s="1">
        <v>4</v>
      </c>
      <c r="G40" s="56" t="s">
        <v>36</v>
      </c>
      <c r="H40" s="56" t="s">
        <v>5</v>
      </c>
      <c r="I40" s="6" t="s">
        <v>105</v>
      </c>
      <c r="J40" s="20" t="s">
        <v>302</v>
      </c>
      <c r="K40" s="28">
        <f t="shared" si="2"/>
        <v>96681</v>
      </c>
      <c r="M40" s="56">
        <f>IF(AND(ISNUMBER(FIND(MID(K40,2,1),J40,1)),ISNUMBER(FIND(MID(K40,3,1),J41,1)),ISNUMBER(FIND(MID(K40,4,1),J42,1))),R40*S40,0)</f>
        <v>0</v>
      </c>
      <c r="N40" s="56">
        <f>M40/S40/R40</f>
        <v>0</v>
      </c>
      <c r="O40" s="59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6">
        <f>R40*Q40*2</f>
        <v>2160</v>
      </c>
      <c r="Q40" s="56">
        <f>LEN(SUBSTITUTE($J40,",",))*LEN(SUBSTITUTE($J41,",",))*LEN(SUBSTITUTE($J42,",",))</f>
        <v>216</v>
      </c>
      <c r="R40" s="56">
        <v>5</v>
      </c>
      <c r="S40" s="56">
        <f>SSC!Y32</f>
        <v>1930</v>
      </c>
    </row>
    <row r="41" spans="1:23" ht="20.100000000000001" customHeight="1" x14ac:dyDescent="0.15">
      <c r="A41" s="57"/>
      <c r="B41" s="2" t="s">
        <v>155</v>
      </c>
      <c r="C41" s="16">
        <f t="shared" si="16"/>
        <v>0</v>
      </c>
      <c r="E41" s="16">
        <f t="shared" si="17"/>
        <v>0</v>
      </c>
      <c r="F41" s="1">
        <v>4</v>
      </c>
      <c r="G41" s="56"/>
      <c r="H41" s="56"/>
      <c r="I41" s="6" t="s">
        <v>106</v>
      </c>
      <c r="J41" s="20" t="s">
        <v>257</v>
      </c>
      <c r="K41" s="28">
        <f t="shared" si="2"/>
        <v>96681</v>
      </c>
      <c r="M41" s="56"/>
      <c r="N41" s="56"/>
      <c r="O41" s="58"/>
      <c r="P41" s="56"/>
      <c r="Q41" s="56"/>
      <c r="R41" s="56"/>
      <c r="S41" s="56"/>
    </row>
    <row r="42" spans="1:23" ht="20.100000000000001" customHeight="1" x14ac:dyDescent="0.15">
      <c r="A42" s="57"/>
      <c r="B42" s="2" t="s">
        <v>156</v>
      </c>
      <c r="C42" s="16">
        <f t="shared" si="16"/>
        <v>0</v>
      </c>
      <c r="E42" s="16">
        <f t="shared" si="17"/>
        <v>0</v>
      </c>
      <c r="F42" s="1">
        <v>3</v>
      </c>
      <c r="G42" s="56"/>
      <c r="H42" s="56"/>
      <c r="I42" s="6" t="s">
        <v>107</v>
      </c>
      <c r="J42" s="20" t="s">
        <v>301</v>
      </c>
      <c r="K42" s="28">
        <f t="shared" si="2"/>
        <v>96681</v>
      </c>
      <c r="M42" s="56"/>
      <c r="N42" s="56"/>
      <c r="O42" s="58"/>
      <c r="P42" s="56"/>
      <c r="Q42" s="56"/>
      <c r="R42" s="56"/>
      <c r="S42" s="56"/>
    </row>
    <row r="43" spans="1:23" ht="20.100000000000001" customHeight="1" x14ac:dyDescent="0.15">
      <c r="A43" s="57"/>
      <c r="B43" s="2" t="s">
        <v>157</v>
      </c>
      <c r="C43" s="16">
        <f t="shared" si="16"/>
        <v>0</v>
      </c>
      <c r="E43" s="16">
        <f t="shared" si="17"/>
        <v>0</v>
      </c>
      <c r="F43" s="1">
        <v>3</v>
      </c>
      <c r="G43" s="56"/>
      <c r="H43" s="6" t="s">
        <v>27</v>
      </c>
      <c r="I43" s="6" t="s">
        <v>15</v>
      </c>
      <c r="J43" s="17" t="s">
        <v>303</v>
      </c>
      <c r="K43" s="28">
        <f t="shared" si="2"/>
        <v>96681</v>
      </c>
      <c r="M43" s="25">
        <f>IF(ISNUMBER(FIND(","&amp;MID(K43,2,3),J43,1)),R43*S43,0)</f>
        <v>0</v>
      </c>
      <c r="N43" s="25">
        <f t="shared" ref="N43:N54" si="18">M43/S43/R43</f>
        <v>0</v>
      </c>
      <c r="O43" s="47" t="str">
        <f>SUBSTITUTE(TRIM(IF(LEN($J43)=0,"-",SUBSTITUTE($J43,","," ")))," ",",")</f>
        <v>456,115</v>
      </c>
      <c r="P43" s="22">
        <f t="shared" ref="P43:P53" si="19">Q43*R43*2</f>
        <v>8</v>
      </c>
      <c r="Q43" s="25">
        <f>FINDNUMBER(J43,3)</f>
        <v>2</v>
      </c>
      <c r="R43" s="22">
        <v>2</v>
      </c>
      <c r="S43" s="22">
        <f>SSC!Y33</f>
        <v>1930</v>
      </c>
    </row>
    <row r="44" spans="1:23" ht="20.100000000000001" customHeight="1" x14ac:dyDescent="0.15">
      <c r="A44" s="57"/>
      <c r="B44" s="2" t="s">
        <v>158</v>
      </c>
      <c r="C44" s="16">
        <f t="shared" si="16"/>
        <v>2</v>
      </c>
      <c r="E44" s="16">
        <f t="shared" si="17"/>
        <v>0</v>
      </c>
      <c r="F44" s="1">
        <v>2</v>
      </c>
      <c r="G44" s="56"/>
      <c r="H44" s="6" t="s">
        <v>16</v>
      </c>
      <c r="I44" s="6" t="s">
        <v>17</v>
      </c>
      <c r="J44" s="13" t="s">
        <v>305</v>
      </c>
      <c r="K44" s="28">
        <f t="shared" si="2"/>
        <v>96681</v>
      </c>
      <c r="M44" s="25">
        <f>IF(ISNUMBER(FIND(","&amp;SUM(MID(K44,2,1),MID(K44,3,1),MID(K44,4,1))&amp;",",J44,1)),R44*S44,0)</f>
        <v>0</v>
      </c>
      <c r="N44" s="25">
        <f t="shared" si="18"/>
        <v>0</v>
      </c>
      <c r="O44" s="19" t="str">
        <f t="shared" ref="O44:O54" si="20">TRIM(IF(LEN($J44)=0,"-",SUBSTITUTE($J44,","," ")))</f>
        <v>0 1 4 6 7 11 12 17 18</v>
      </c>
      <c r="P44" s="22">
        <f t="shared" si="19"/>
        <v>2058</v>
      </c>
      <c r="Q44" s="25">
        <f>SUM(D$48:D$75)</f>
        <v>343</v>
      </c>
      <c r="R44" s="22">
        <v>3</v>
      </c>
      <c r="S44" s="22">
        <f>SSC!Y34</f>
        <v>1930</v>
      </c>
    </row>
    <row r="45" spans="1:23" ht="20.100000000000001" customHeight="1" x14ac:dyDescent="0.15">
      <c r="A45" s="57"/>
      <c r="B45" s="2" t="s">
        <v>159</v>
      </c>
      <c r="C45" s="16">
        <f t="shared" si="16"/>
        <v>2</v>
      </c>
      <c r="E45" s="16">
        <f t="shared" si="17"/>
        <v>0</v>
      </c>
      <c r="F45" s="1">
        <v>2</v>
      </c>
      <c r="G45" s="56"/>
      <c r="H45" s="6" t="s">
        <v>18</v>
      </c>
      <c r="I45" s="6" t="s">
        <v>18</v>
      </c>
      <c r="J45" s="20" t="s">
        <v>304</v>
      </c>
      <c r="K45" s="28">
        <f t="shared" si="2"/>
        <v>96681</v>
      </c>
      <c r="M45" s="25">
        <f>IF(ISNUMBER(FIND(MAX(MID(K45,2,1),MID(K45,3,1),MID(K45,4,1))-MIN(MID(K45,2,1),MID(K45,4,1),MID(K45,3,1)),J45,1)),R45*S45*1,0)</f>
        <v>9650</v>
      </c>
      <c r="N45" s="25">
        <f t="shared" si="18"/>
        <v>1</v>
      </c>
      <c r="O45" s="19" t="str">
        <f t="shared" si="20"/>
        <v>0 1 2 4 7 8 9</v>
      </c>
      <c r="P45" s="22">
        <f t="shared" si="19"/>
        <v>5800</v>
      </c>
      <c r="Q45" s="25">
        <f>SUM(D$76:D$85)</f>
        <v>580</v>
      </c>
      <c r="R45" s="22">
        <v>5</v>
      </c>
      <c r="S45" s="22">
        <f>SSC!Y35</f>
        <v>1930</v>
      </c>
    </row>
    <row r="46" spans="1:23" ht="20.100000000000001" customHeight="1" x14ac:dyDescent="0.15">
      <c r="A46" s="57"/>
      <c r="B46" s="2" t="s">
        <v>160</v>
      </c>
      <c r="C46" s="16">
        <f t="shared" si="16"/>
        <v>0</v>
      </c>
      <c r="E46" s="16">
        <f t="shared" si="17"/>
        <v>0</v>
      </c>
      <c r="F46" s="1">
        <v>1</v>
      </c>
      <c r="G46" s="56"/>
      <c r="H46" s="6" t="s">
        <v>22</v>
      </c>
      <c r="I46" s="6" t="s">
        <v>17</v>
      </c>
      <c r="J46" s="13" t="s">
        <v>306</v>
      </c>
      <c r="K46" s="28">
        <f t="shared" si="2"/>
        <v>96681</v>
      </c>
      <c r="M46" s="25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2573.16</v>
      </c>
      <c r="N46" s="25">
        <f>IF(OR(AND(MID(K46,2,1)=MID(K46,3,1),MID(K46,3,1)&lt;&gt;MID(K46,4,1)),AND(MID(K46,2,1)&lt;&gt;MID(K46,3,1),MID(K46,3,1)=MID(K46,4,1)),AND(MID(K46,4,1)=MID(K46,2,1),MID(K46,2,1)&lt;&gt;MID(K46,3,1))),M46/S46/R46/2,M46/S46/R46)</f>
        <v>1</v>
      </c>
      <c r="O46" s="19" t="str">
        <f t="shared" si="20"/>
        <v>1 7 8 13 18 20 26</v>
      </c>
      <c r="P46" s="22">
        <f t="shared" si="19"/>
        <v>432</v>
      </c>
      <c r="Q46" s="25">
        <f>SUM(D$86:D$111)</f>
        <v>54</v>
      </c>
      <c r="R46" s="22">
        <v>4</v>
      </c>
      <c r="S46" s="22">
        <f>SSC!Y36</f>
        <v>321.64499999999998</v>
      </c>
    </row>
    <row r="47" spans="1:23" ht="20.100000000000001" customHeight="1" x14ac:dyDescent="0.15">
      <c r="A47" s="57"/>
      <c r="B47" s="2" t="s">
        <v>161</v>
      </c>
      <c r="C47" s="16">
        <f t="shared" si="16"/>
        <v>0</v>
      </c>
      <c r="E47" s="16">
        <f t="shared" si="17"/>
        <v>1</v>
      </c>
      <c r="F47" s="1">
        <v>1</v>
      </c>
      <c r="G47" s="56"/>
      <c r="H47" s="6" t="s">
        <v>28</v>
      </c>
      <c r="I47" s="6" t="s">
        <v>28</v>
      </c>
      <c r="J47" s="20" t="s">
        <v>307</v>
      </c>
      <c r="K47" s="28">
        <f t="shared" si="2"/>
        <v>96681</v>
      </c>
      <c r="M47" s="25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0</v>
      </c>
      <c r="N47" s="25">
        <f t="shared" si="18"/>
        <v>0</v>
      </c>
      <c r="O47" s="19" t="str">
        <f t="shared" si="20"/>
        <v>0 1 6 7 5 9</v>
      </c>
      <c r="P47" s="22">
        <f t="shared" si="19"/>
        <v>120</v>
      </c>
      <c r="Q47" s="25">
        <f>COMBIN(LEN(SUBSTITUTE(J47,",",)),2)*2</f>
        <v>30</v>
      </c>
      <c r="R47" s="22">
        <v>2</v>
      </c>
      <c r="S47" s="22">
        <f>SSC!Y37</f>
        <v>643.29</v>
      </c>
    </row>
    <row r="48" spans="1:23" ht="20.100000000000001" customHeight="1" x14ac:dyDescent="0.15">
      <c r="A48" s="57" t="s">
        <v>120</v>
      </c>
      <c r="B48" s="2" t="s">
        <v>162</v>
      </c>
      <c r="C48" s="16">
        <f>IF(ISNUMBER(FIND($B48,$J$29,1)),$F48,0)</f>
        <v>0</v>
      </c>
      <c r="D48" s="16">
        <f>IF(ISNUMBER(FIND($B48,$J$44,1)),$F48,0)</f>
        <v>1</v>
      </c>
      <c r="E48" s="16">
        <f>IF(ISNUMBER(FIND($B48,$J$59,1)),$F48,0)</f>
        <v>0</v>
      </c>
      <c r="F48" s="1">
        <v>1</v>
      </c>
      <c r="G48" s="56"/>
      <c r="H48" s="6" t="s">
        <v>29</v>
      </c>
      <c r="I48" s="6" t="s">
        <v>29</v>
      </c>
      <c r="J48" s="20" t="s">
        <v>258</v>
      </c>
      <c r="K48" s="28">
        <f t="shared" si="2"/>
        <v>96681</v>
      </c>
      <c r="M48" s="25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5">
        <f t="shared" si="18"/>
        <v>0</v>
      </c>
      <c r="O48" s="19" t="str">
        <f t="shared" si="20"/>
        <v>0 1 2 3 4 8 9</v>
      </c>
      <c r="P48" s="22">
        <f t="shared" si="19"/>
        <v>70</v>
      </c>
      <c r="Q48" s="25">
        <f>COMBIN(LEN(SUBSTITUTE(J48,",",)),3)</f>
        <v>35</v>
      </c>
      <c r="R48" s="22">
        <v>1</v>
      </c>
      <c r="S48" s="22">
        <f>SSC!Y38</f>
        <v>321.64499999999998</v>
      </c>
    </row>
    <row r="49" spans="1:23" ht="20.100000000000001" customHeight="1" x14ac:dyDescent="0.15">
      <c r="A49" s="57"/>
      <c r="B49" s="2" t="s">
        <v>144</v>
      </c>
      <c r="C49" s="16">
        <f t="shared" ref="C49:C75" si="21">IF(ISNUMBER(FIND($B49,$J$29,1)),$F49,0)</f>
        <v>3</v>
      </c>
      <c r="D49" s="16">
        <f t="shared" ref="D49:D75" si="22">IF(ISNUMBER(FIND($B49,$J$44,1)),$F49,0)</f>
        <v>3</v>
      </c>
      <c r="E49" s="16">
        <f t="shared" ref="E49:E75" si="23">IF(ISNUMBER(FIND($B49,$J$59,1)),$F49,0)</f>
        <v>3</v>
      </c>
      <c r="F49" s="1">
        <v>3</v>
      </c>
      <c r="G49" s="56"/>
      <c r="H49" s="6" t="s">
        <v>30</v>
      </c>
      <c r="I49" s="6" t="s">
        <v>15</v>
      </c>
      <c r="J49" s="20" t="s">
        <v>308</v>
      </c>
      <c r="K49" s="28">
        <f t="shared" si="2"/>
        <v>96681</v>
      </c>
      <c r="M49" s="29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0</v>
      </c>
      <c r="N49" s="25">
        <f>IF(OR(AND(MID(K49,2,1)=MID(K49,3,1),MID(K49,3,1)&lt;&gt;MID(K49,4,1)),AND(MID(K49,2,1)&lt;&gt;MID(K49,3,1),MID(K49,3,1)=MID(K49,4,1)),AND(MID(K49,4,1)=MID(K49,2,1),MID(K49,2,1)&lt;&gt;MID(K49,3,1))),M49/S49/R49/2,M49/S49/R49)</f>
        <v>0</v>
      </c>
      <c r="O49" s="47" t="str">
        <f>SUBSTITUTE(TRIM(IF(LEN($J49)=0,"-",SUBSTITUTE($J49,","," ")))," ",",")</f>
        <v>151</v>
      </c>
      <c r="P49" s="22">
        <f t="shared" si="19"/>
        <v>6</v>
      </c>
      <c r="Q49" s="29">
        <f>FINDNUMBER(J49,3)</f>
        <v>1</v>
      </c>
      <c r="R49" s="22">
        <v>3</v>
      </c>
      <c r="S49" s="22">
        <f>SSC!Y39</f>
        <v>321.64499999999998</v>
      </c>
    </row>
    <row r="50" spans="1:23" ht="20.100000000000001" customHeight="1" x14ac:dyDescent="0.15">
      <c r="A50" s="57"/>
      <c r="B50" s="2" t="s">
        <v>145</v>
      </c>
      <c r="C50" s="16">
        <f t="shared" si="21"/>
        <v>6</v>
      </c>
      <c r="D50" s="16">
        <f t="shared" si="22"/>
        <v>0</v>
      </c>
      <c r="E50" s="16">
        <f t="shared" si="23"/>
        <v>6</v>
      </c>
      <c r="F50" s="1">
        <v>6</v>
      </c>
      <c r="G50" s="56"/>
      <c r="H50" s="6" t="s">
        <v>23</v>
      </c>
      <c r="I50" s="6" t="s">
        <v>24</v>
      </c>
      <c r="J50" s="20" t="s">
        <v>309</v>
      </c>
      <c r="K50" s="28">
        <f t="shared" si="2"/>
        <v>96681</v>
      </c>
      <c r="M50" s="25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0</v>
      </c>
      <c r="N50" s="25">
        <f t="shared" ref="N50" si="24">IF(OR(AND(MID(K50,2,1)=MID(K50,3,1),MID(K50,3,1)&lt;&gt;MID(K50,4,1)),AND(MID(K50,2,1)&lt;&gt;MID(K50,3,1),MID(K50,3,1)=MID(K50,4,1)),AND(MID(K50,4,1)=MID(K50,2,1),MID(K50,2,1)&lt;&gt;MID(K50,3,1))),M50/S50/R50/2,M50/S50/R50)</f>
        <v>0</v>
      </c>
      <c r="O50" s="19" t="str">
        <f t="shared" si="20"/>
        <v>5</v>
      </c>
      <c r="P50" s="22">
        <f t="shared" si="19"/>
        <v>540</v>
      </c>
      <c r="Q50" s="25">
        <v>54</v>
      </c>
      <c r="R50" s="22">
        <v>5</v>
      </c>
      <c r="S50" s="22">
        <f>SSC!Y40</f>
        <v>321.64499999999998</v>
      </c>
    </row>
    <row r="51" spans="1:23" ht="20.100000000000001" customHeight="1" x14ac:dyDescent="0.15">
      <c r="A51" s="57"/>
      <c r="B51" s="2" t="s">
        <v>146</v>
      </c>
      <c r="C51" s="16">
        <f t="shared" si="21"/>
        <v>10</v>
      </c>
      <c r="D51" s="16">
        <f t="shared" si="22"/>
        <v>0</v>
      </c>
      <c r="E51" s="16">
        <f t="shared" si="23"/>
        <v>10</v>
      </c>
      <c r="F51" s="1">
        <v>10</v>
      </c>
      <c r="G51" s="56"/>
      <c r="H51" s="6" t="s">
        <v>31</v>
      </c>
      <c r="I51" s="6" t="s">
        <v>15</v>
      </c>
      <c r="J51" s="20" t="s">
        <v>310</v>
      </c>
      <c r="K51" s="28">
        <f t="shared" si="2"/>
        <v>96681</v>
      </c>
      <c r="M51" s="25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0</v>
      </c>
      <c r="N51" s="25">
        <f t="shared" si="18"/>
        <v>0</v>
      </c>
      <c r="O51" s="47" t="str">
        <f>SUBSTITUTE(TRIM(IF(LEN($J51)=0,"-",SUBSTITUTE($J51,","," ")))," ",",")</f>
        <v>151</v>
      </c>
      <c r="P51" s="22">
        <f t="shared" si="19"/>
        <v>8</v>
      </c>
      <c r="Q51" s="29">
        <f>FINDNUMBER(J51,3)</f>
        <v>1</v>
      </c>
      <c r="R51" s="22">
        <v>4</v>
      </c>
      <c r="S51" s="22">
        <f>SSC!Y41</f>
        <v>643.29</v>
      </c>
    </row>
    <row r="52" spans="1:23" ht="20.100000000000001" customHeight="1" x14ac:dyDescent="0.15">
      <c r="A52" s="57"/>
      <c r="B52" s="2" t="s">
        <v>147</v>
      </c>
      <c r="C52" s="16">
        <f t="shared" si="21"/>
        <v>15</v>
      </c>
      <c r="D52" s="16">
        <f t="shared" si="22"/>
        <v>15</v>
      </c>
      <c r="E52" s="16">
        <f t="shared" si="23"/>
        <v>0</v>
      </c>
      <c r="F52" s="1">
        <v>15</v>
      </c>
      <c r="G52" s="56"/>
      <c r="H52" s="6" t="s">
        <v>32</v>
      </c>
      <c r="I52" s="6" t="s">
        <v>15</v>
      </c>
      <c r="J52" s="20" t="s">
        <v>313</v>
      </c>
      <c r="K52" s="28">
        <f t="shared" si="2"/>
        <v>96681</v>
      </c>
      <c r="M52" s="25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5">
        <f t="shared" si="18"/>
        <v>0</v>
      </c>
      <c r="O52" s="47" t="str">
        <f>SUBSTITUTE(TRIM(IF(LEN($J52)=0,"-",SUBSTITUTE($J52,","," ")))," ",",")</f>
        <v>115</v>
      </c>
      <c r="P52" s="22">
        <f t="shared" si="19"/>
        <v>10</v>
      </c>
      <c r="Q52" s="29">
        <f>FINDNUMBER(J52,3)</f>
        <v>1</v>
      </c>
      <c r="R52" s="22">
        <v>5</v>
      </c>
      <c r="S52" s="22">
        <f>SSC!Y42</f>
        <v>321.64499999999998</v>
      </c>
    </row>
    <row r="53" spans="1:23" ht="20.100000000000001" customHeight="1" x14ac:dyDescent="0.15">
      <c r="A53" s="57"/>
      <c r="B53" s="2" t="s">
        <v>148</v>
      </c>
      <c r="C53" s="16">
        <f t="shared" si="21"/>
        <v>0</v>
      </c>
      <c r="D53" s="16">
        <f t="shared" si="22"/>
        <v>0</v>
      </c>
      <c r="E53" s="16">
        <f t="shared" si="23"/>
        <v>0</v>
      </c>
      <c r="F53" s="1">
        <v>21</v>
      </c>
      <c r="G53" s="56"/>
      <c r="H53" s="6" t="s">
        <v>34</v>
      </c>
      <c r="I53" s="6" t="s">
        <v>33</v>
      </c>
      <c r="J53" s="20" t="s">
        <v>259</v>
      </c>
      <c r="K53" s="28">
        <f t="shared" si="2"/>
        <v>96681</v>
      </c>
      <c r="M53" s="29">
        <f>IF(AND(LEFT(U53,1)=MID(U53,2,1),MID(U53,2,1)=MID(U53,3,1)),N(ISNUMBER(FIND(V53,J53,1)))*R53*S53,
 IF(AND(LEFT(U53,1)&lt;&gt;MID(U53,2,1),MID(U53,2,1)&lt;&gt;MID(U53,3,1),LEFT(U53,1)&lt;&gt;MID(U53,3,1)),
  SUM(N(ISNUMBER(FIND(LEFT(U53,1),J53,1))),N(ISNUMBER(FIND(MID(U53,2,1),J53,1))),N(ISNUMBER(FIND(RIGHT(U53,1),J53,1))))*R53*S53,SUM(N(ISNUMBER(FIND(V53,J53,1))),N(ISNUMBER(FIND(W53,J53,1))))*R53*S53))</f>
        <v>28.38</v>
      </c>
      <c r="N53" s="25">
        <f t="shared" si="18"/>
        <v>1</v>
      </c>
      <c r="O53" s="19" t="str">
        <f t="shared" si="20"/>
        <v>0 1 2 8 9</v>
      </c>
      <c r="P53" s="22">
        <f t="shared" si="19"/>
        <v>40</v>
      </c>
      <c r="Q53" s="25">
        <f>LEN(SUBSTITUTE(J53,",",))</f>
        <v>5</v>
      </c>
      <c r="R53" s="22">
        <v>4</v>
      </c>
      <c r="S53" s="22">
        <f>SSC!Y43</f>
        <v>7.0949999999999998</v>
      </c>
      <c r="U53" s="50" t="str">
        <f>MID(K53,2,3)</f>
        <v>668</v>
      </c>
      <c r="V53" s="50">
        <f>_xlfn.MODE.SNGL(INT(LEFT(U53,1)),INT(MID(U53,2,1)),INT(RIGHT(U53,1)))</f>
        <v>6</v>
      </c>
      <c r="W53" s="50" t="str">
        <f>SUBSTITUTE(U53,V53,)</f>
        <v>8</v>
      </c>
    </row>
    <row r="54" spans="1:23" ht="20.100000000000001" customHeight="1" x14ac:dyDescent="0.15">
      <c r="A54" s="57"/>
      <c r="B54" s="2" t="s">
        <v>149</v>
      </c>
      <c r="C54" s="16">
        <f t="shared" si="21"/>
        <v>28</v>
      </c>
      <c r="D54" s="16">
        <f t="shared" si="22"/>
        <v>28</v>
      </c>
      <c r="E54" s="16">
        <f t="shared" si="23"/>
        <v>0</v>
      </c>
      <c r="F54" s="1">
        <v>28</v>
      </c>
      <c r="G54" s="56"/>
      <c r="H54" s="6" t="s">
        <v>35</v>
      </c>
      <c r="I54" s="6" t="s">
        <v>33</v>
      </c>
      <c r="J54" s="20" t="s">
        <v>312</v>
      </c>
      <c r="K54" s="28">
        <f t="shared" si="2"/>
        <v>96681</v>
      </c>
      <c r="M54" s="25" t="e">
        <f>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</f>
        <v>#NUM!</v>
      </c>
      <c r="N54" s="25" t="e">
        <f t="shared" si="18"/>
        <v>#NUM!</v>
      </c>
      <c r="O54" s="19" t="str">
        <f t="shared" si="20"/>
        <v>1 7 5 9</v>
      </c>
      <c r="P54" s="22">
        <f>Q54*R54*2</f>
        <v>24</v>
      </c>
      <c r="Q54" s="25">
        <f>COMBIN(LEN(SUBSTITUTE(J54,",",)),2)</f>
        <v>6</v>
      </c>
      <c r="R54" s="22">
        <v>2</v>
      </c>
      <c r="S54" s="22">
        <f>SSC!Y44</f>
        <v>35.734999999999999</v>
      </c>
    </row>
    <row r="55" spans="1:23" ht="20.100000000000001" customHeight="1" x14ac:dyDescent="0.15">
      <c r="A55" s="57"/>
      <c r="B55" s="2" t="s">
        <v>150</v>
      </c>
      <c r="C55" s="16">
        <f t="shared" si="21"/>
        <v>0</v>
      </c>
      <c r="D55" s="16">
        <f t="shared" si="22"/>
        <v>36</v>
      </c>
      <c r="E55" s="16">
        <f t="shared" si="23"/>
        <v>0</v>
      </c>
      <c r="F55" s="1">
        <v>36</v>
      </c>
      <c r="G55" s="6" t="s">
        <v>37</v>
      </c>
      <c r="H55" s="56" t="s">
        <v>5</v>
      </c>
      <c r="I55" s="6" t="s">
        <v>109</v>
      </c>
      <c r="J55" s="20" t="s">
        <v>260</v>
      </c>
      <c r="K55" s="28">
        <f t="shared" si="2"/>
        <v>96681</v>
      </c>
      <c r="M55" s="56">
        <f>IF(AND(ISNUMBER(FIND(MID(K55,3,1),J55,1)),ISNUMBER(FIND(MID(K55,4,1),J56,1)),ISNUMBER(FIND(MID(K55,5,1),J57,1))),R55*S55,0)</f>
        <v>0</v>
      </c>
      <c r="N55" s="56">
        <f>M55/S55/R55</f>
        <v>0</v>
      </c>
      <c r="O55" s="59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6">
        <f>R55*Q55*2</f>
        <v>1440</v>
      </c>
      <c r="Q55" s="56">
        <f>LEN(SUBSTITUTE($J55,",",))*LEN(SUBSTITUTE($J56,",",))*LEN(SUBSTITUTE($J57,",",))</f>
        <v>240</v>
      </c>
      <c r="R55" s="56">
        <v>3</v>
      </c>
      <c r="S55" s="56">
        <f>SSC!Y45</f>
        <v>1930</v>
      </c>
    </row>
    <row r="56" spans="1:23" ht="20.100000000000001" customHeight="1" x14ac:dyDescent="0.15">
      <c r="A56" s="57"/>
      <c r="B56" s="2" t="s">
        <v>151</v>
      </c>
      <c r="C56" s="16">
        <f t="shared" si="21"/>
        <v>0</v>
      </c>
      <c r="D56" s="16">
        <f t="shared" si="22"/>
        <v>0</v>
      </c>
      <c r="E56" s="16">
        <f t="shared" si="23"/>
        <v>0</v>
      </c>
      <c r="F56" s="1">
        <v>45</v>
      </c>
      <c r="H56" s="56"/>
      <c r="I56" s="6" t="s">
        <v>110</v>
      </c>
      <c r="J56" s="20" t="s">
        <v>317</v>
      </c>
      <c r="K56" s="28">
        <f t="shared" si="2"/>
        <v>96681</v>
      </c>
      <c r="M56" s="56"/>
      <c r="N56" s="56"/>
      <c r="O56" s="58"/>
      <c r="P56" s="56"/>
      <c r="Q56" s="56"/>
      <c r="R56" s="56"/>
      <c r="S56" s="56"/>
    </row>
    <row r="57" spans="1:23" ht="20.100000000000001" customHeight="1" x14ac:dyDescent="0.15">
      <c r="A57" s="57"/>
      <c r="B57" s="2" t="s">
        <v>152</v>
      </c>
      <c r="C57" s="16">
        <f t="shared" si="21"/>
        <v>0</v>
      </c>
      <c r="D57" s="16">
        <f t="shared" si="22"/>
        <v>0</v>
      </c>
      <c r="E57" s="16">
        <f t="shared" si="23"/>
        <v>55</v>
      </c>
      <c r="F57" s="1">
        <v>55</v>
      </c>
      <c r="H57" s="56"/>
      <c r="I57" s="6" t="s">
        <v>111</v>
      </c>
      <c r="J57" s="20" t="s">
        <v>316</v>
      </c>
      <c r="K57" s="28">
        <f t="shared" si="2"/>
        <v>96681</v>
      </c>
      <c r="M57" s="56"/>
      <c r="N57" s="56"/>
      <c r="O57" s="58"/>
      <c r="P57" s="56"/>
      <c r="Q57" s="56"/>
      <c r="R57" s="56"/>
      <c r="S57" s="56"/>
    </row>
    <row r="58" spans="1:23" ht="20.100000000000001" customHeight="1" x14ac:dyDescent="0.15">
      <c r="A58" s="57"/>
      <c r="B58" s="2" t="s">
        <v>154</v>
      </c>
      <c r="C58" s="16">
        <f t="shared" si="21"/>
        <v>63</v>
      </c>
      <c r="D58" s="16">
        <f t="shared" si="22"/>
        <v>0</v>
      </c>
      <c r="E58" s="16">
        <f t="shared" si="23"/>
        <v>63</v>
      </c>
      <c r="F58" s="1">
        <v>63</v>
      </c>
      <c r="H58" s="6" t="s">
        <v>27</v>
      </c>
      <c r="I58" s="6" t="s">
        <v>15</v>
      </c>
      <c r="J58" s="27" t="s">
        <v>318</v>
      </c>
      <c r="K58" s="28">
        <f t="shared" si="2"/>
        <v>96681</v>
      </c>
      <c r="M58" s="25">
        <f>IF(ISNUMBER(FIND(","&amp;MID(K58,3,3),J58,1)),R58*S58,0)</f>
        <v>0</v>
      </c>
      <c r="N58" s="25">
        <f t="shared" ref="N58:N69" si="25">M58/S58/R58</f>
        <v>0</v>
      </c>
      <c r="O58" s="47" t="str">
        <f>SUBSTITUTE(TRIM(IF(LEN($J58)=0,"-",SUBSTITUTE($J58,","," ")))," ",",")</f>
        <v>158</v>
      </c>
      <c r="P58" s="22">
        <f t="shared" ref="P58:P68" si="26">Q58*R58*2</f>
        <v>2</v>
      </c>
      <c r="Q58" s="25">
        <f>FINDNUMBER(J58,3)</f>
        <v>1</v>
      </c>
      <c r="R58" s="22">
        <v>1</v>
      </c>
      <c r="S58" s="22">
        <f>SSC!Y46</f>
        <v>1930</v>
      </c>
    </row>
    <row r="59" spans="1:23" ht="20.100000000000001" customHeight="1" x14ac:dyDescent="0.15">
      <c r="A59" s="57"/>
      <c r="B59" s="2" t="s">
        <v>155</v>
      </c>
      <c r="C59" s="16">
        <f t="shared" si="21"/>
        <v>69</v>
      </c>
      <c r="D59" s="16">
        <f t="shared" si="22"/>
        <v>69</v>
      </c>
      <c r="E59" s="16">
        <f t="shared" si="23"/>
        <v>69</v>
      </c>
      <c r="F59" s="1">
        <v>69</v>
      </c>
      <c r="H59" s="6" t="s">
        <v>16</v>
      </c>
      <c r="I59" s="6" t="s">
        <v>17</v>
      </c>
      <c r="J59" s="10" t="s">
        <v>314</v>
      </c>
      <c r="K59" s="28">
        <f t="shared" si="2"/>
        <v>96681</v>
      </c>
      <c r="M59" s="25">
        <f>IF(ISNUMBER(FIND(","&amp;SUM(MID(K59,3,1),MID(K59,4,1),MID(K59,5,1))&amp;",",J59,1)),R59*S59,0)</f>
        <v>0</v>
      </c>
      <c r="N59" s="25">
        <f t="shared" si="25"/>
        <v>0</v>
      </c>
      <c r="O59" s="19" t="str">
        <f t="shared" ref="O59:O69" si="27">TRIM(IF(LEN($J59)=0,"-",SUBSTITUTE($J59,","," ")))</f>
        <v>1 2 3 9 10 11 14</v>
      </c>
      <c r="P59" s="22">
        <f t="shared" si="26"/>
        <v>1124</v>
      </c>
      <c r="Q59" s="22">
        <f>SUM(E$48:E$75)</f>
        <v>281</v>
      </c>
      <c r="R59" s="22">
        <v>2</v>
      </c>
      <c r="S59" s="22">
        <f>SSC!Y47</f>
        <v>1930</v>
      </c>
    </row>
    <row r="60" spans="1:23" ht="20.100000000000001" customHeight="1" x14ac:dyDescent="0.15">
      <c r="A60" s="57"/>
      <c r="B60" s="2" t="s">
        <v>156</v>
      </c>
      <c r="C60" s="16">
        <f t="shared" si="21"/>
        <v>0</v>
      </c>
      <c r="D60" s="16">
        <f t="shared" si="22"/>
        <v>73</v>
      </c>
      <c r="E60" s="16">
        <f t="shared" si="23"/>
        <v>0</v>
      </c>
      <c r="F60" s="1">
        <v>73</v>
      </c>
      <c r="H60" s="6" t="s">
        <v>18</v>
      </c>
      <c r="I60" s="6" t="s">
        <v>18</v>
      </c>
      <c r="J60" s="20" t="s">
        <v>315</v>
      </c>
      <c r="K60" s="28">
        <f t="shared" si="2"/>
        <v>96681</v>
      </c>
      <c r="M60" s="25">
        <f>IF(ISNUMBER(FIND(MAX(MID(K60,3,1),MID(K60,4,1),MID(K60,5,1))-MIN(MID(K60,3,1),MID(K60,5,1),MID(K60,4,1)),J60,1)),R60*S60*1,0)</f>
        <v>1930</v>
      </c>
      <c r="N60" s="25">
        <f t="shared" si="25"/>
        <v>1</v>
      </c>
      <c r="O60" s="19" t="str">
        <f t="shared" si="27"/>
        <v>0 1 3 5 6 7 9</v>
      </c>
      <c r="P60" s="22">
        <f t="shared" si="26"/>
        <v>1328</v>
      </c>
      <c r="Q60" s="22">
        <f>SUM(E$76:E$85)</f>
        <v>664</v>
      </c>
      <c r="R60" s="22">
        <v>1</v>
      </c>
      <c r="S60" s="22">
        <f>SSC!Y48</f>
        <v>1930</v>
      </c>
    </row>
    <row r="61" spans="1:23" ht="20.100000000000001" customHeight="1" x14ac:dyDescent="0.15">
      <c r="A61" s="57"/>
      <c r="B61" s="2" t="s">
        <v>157</v>
      </c>
      <c r="C61" s="16">
        <f t="shared" si="21"/>
        <v>0</v>
      </c>
      <c r="D61" s="16">
        <f t="shared" si="22"/>
        <v>0</v>
      </c>
      <c r="E61" s="16">
        <f t="shared" si="23"/>
        <v>0</v>
      </c>
      <c r="F61" s="1">
        <v>75</v>
      </c>
      <c r="H61" s="6" t="s">
        <v>22</v>
      </c>
      <c r="I61" s="6" t="s">
        <v>17</v>
      </c>
      <c r="J61" s="10" t="s">
        <v>319</v>
      </c>
      <c r="K61" s="28">
        <f t="shared" si="2"/>
        <v>96681</v>
      </c>
      <c r="M61" s="25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0</v>
      </c>
      <c r="N61" s="25">
        <f>IF(OR(AND(MID(K61,3,1)=MID(K61,4,1),MID(K61,4,1)&lt;&gt;MID(K61,5,1)),AND(MID(K61,3,1)&lt;&gt;MID(K61,4,1),MID(K61,4,1)=MID(K61,5,1)),AND(MID(K61,5,1)=MID(K61,3,1),MID(K61,3,1)&lt;&gt;MID(K61,4,1))),M61/S61/R61/2,M61/S61/R61)</f>
        <v>0</v>
      </c>
      <c r="O61" s="19" t="str">
        <f t="shared" si="27"/>
        <v>1 2 6 14 25 26</v>
      </c>
      <c r="P61" s="22">
        <f t="shared" si="26"/>
        <v>108</v>
      </c>
      <c r="Q61" s="22">
        <f>SUM(E$86:E$111)</f>
        <v>27</v>
      </c>
      <c r="R61" s="22">
        <v>2</v>
      </c>
      <c r="S61" s="22">
        <f>SSC!Y49</f>
        <v>321.64499999999998</v>
      </c>
    </row>
    <row r="62" spans="1:23" ht="20.100000000000001" customHeight="1" x14ac:dyDescent="0.15">
      <c r="A62" s="57"/>
      <c r="B62" s="2" t="s">
        <v>158</v>
      </c>
      <c r="C62" s="16">
        <f t="shared" si="21"/>
        <v>0</v>
      </c>
      <c r="D62" s="16">
        <f t="shared" si="22"/>
        <v>0</v>
      </c>
      <c r="E62" s="16">
        <f t="shared" si="23"/>
        <v>75</v>
      </c>
      <c r="F62" s="1">
        <v>75</v>
      </c>
      <c r="H62" s="6" t="s">
        <v>28</v>
      </c>
      <c r="I62" s="6" t="s">
        <v>28</v>
      </c>
      <c r="J62" s="20" t="s">
        <v>320</v>
      </c>
      <c r="K62" s="28">
        <f t="shared" si="2"/>
        <v>96681</v>
      </c>
      <c r="M62" s="25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5">
        <f t="shared" si="25"/>
        <v>0</v>
      </c>
      <c r="O62" s="19" t="str">
        <f t="shared" si="27"/>
        <v>0 1 3 4 5 7 8 9</v>
      </c>
      <c r="P62" s="22">
        <f t="shared" si="26"/>
        <v>112</v>
      </c>
      <c r="Q62" s="25">
        <f>COMBIN(LEN(SUBSTITUTE(J62,",",)),2)*2</f>
        <v>56</v>
      </c>
      <c r="R62" s="22">
        <v>1</v>
      </c>
      <c r="S62" s="22">
        <f>SSC!Y50</f>
        <v>643.29</v>
      </c>
    </row>
    <row r="63" spans="1:23" ht="20.100000000000001" customHeight="1" x14ac:dyDescent="0.15">
      <c r="A63" s="57"/>
      <c r="B63" s="2" t="s">
        <v>159</v>
      </c>
      <c r="C63" s="16">
        <f t="shared" si="21"/>
        <v>0</v>
      </c>
      <c r="D63" s="16">
        <f t="shared" si="22"/>
        <v>0</v>
      </c>
      <c r="E63" s="16">
        <f t="shared" si="23"/>
        <v>0</v>
      </c>
      <c r="F63" s="1">
        <v>73</v>
      </c>
      <c r="H63" s="6" t="s">
        <v>29</v>
      </c>
      <c r="I63" s="6" t="s">
        <v>29</v>
      </c>
      <c r="J63" s="20" t="s">
        <v>321</v>
      </c>
      <c r="K63" s="28">
        <f t="shared" si="2"/>
        <v>96681</v>
      </c>
      <c r="M63" s="25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0</v>
      </c>
      <c r="N63" s="25">
        <f t="shared" si="25"/>
        <v>0</v>
      </c>
      <c r="O63" s="19" t="str">
        <f t="shared" si="27"/>
        <v>0 1 3 4 5 7 8 9</v>
      </c>
      <c r="P63" s="22">
        <f t="shared" si="26"/>
        <v>224</v>
      </c>
      <c r="Q63" s="25">
        <f>COMBIN(LEN(SUBSTITUTE(J63,",",)),3)</f>
        <v>56</v>
      </c>
      <c r="R63" s="22">
        <v>2</v>
      </c>
      <c r="S63" s="22">
        <f>SSC!Y51</f>
        <v>321.64499999999998</v>
      </c>
    </row>
    <row r="64" spans="1:23" ht="20.100000000000001" customHeight="1" x14ac:dyDescent="0.15">
      <c r="A64" s="57"/>
      <c r="B64" s="2" t="s">
        <v>160</v>
      </c>
      <c r="C64" s="16">
        <f t="shared" si="21"/>
        <v>69</v>
      </c>
      <c r="D64" s="16">
        <f t="shared" si="22"/>
        <v>0</v>
      </c>
      <c r="E64" s="16">
        <f t="shared" si="23"/>
        <v>0</v>
      </c>
      <c r="F64" s="1">
        <v>69</v>
      </c>
      <c r="H64" s="6" t="s">
        <v>30</v>
      </c>
      <c r="I64" s="6" t="s">
        <v>15</v>
      </c>
      <c r="J64" s="20" t="s">
        <v>322</v>
      </c>
      <c r="K64" s="28">
        <f t="shared" si="2"/>
        <v>96681</v>
      </c>
      <c r="M64" s="25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0</v>
      </c>
      <c r="N64" s="25">
        <f t="shared" ref="N64:N65" si="28">IF(OR(AND(MID(K64,3,1)=MID(K64,4,1),MID(K64,4,1)&lt;&gt;MID(K64,5,1)),AND(MID(K64,3,1)&lt;&gt;MID(K64,4,1),MID(K64,4,1)=MID(K64,5,1)),AND(MID(K64,5,1)=MID(K64,3,1),MID(K64,3,1)&lt;&gt;MID(K64,4,1))),M64/S64/R64/2,M64/S64/R64)</f>
        <v>0</v>
      </c>
      <c r="O64" s="47" t="str">
        <f>SUBSTITUTE(TRIM(IF(LEN($J64)=0,"-",SUBSTITUTE($J64,","," ")))," ",",")</f>
        <v>518</v>
      </c>
      <c r="P64" s="22">
        <f t="shared" si="26"/>
        <v>6</v>
      </c>
      <c r="Q64" s="29">
        <f>FINDNUMBER(J64,3)</f>
        <v>1</v>
      </c>
      <c r="R64" s="22">
        <v>3</v>
      </c>
      <c r="S64" s="22">
        <f>SSC!Y52</f>
        <v>321.64499999999998</v>
      </c>
    </row>
    <row r="65" spans="1:23" ht="20.100000000000001" customHeight="1" x14ac:dyDescent="0.15">
      <c r="A65" s="57"/>
      <c r="B65" s="2" t="s">
        <v>161</v>
      </c>
      <c r="C65" s="16">
        <f t="shared" si="21"/>
        <v>63</v>
      </c>
      <c r="D65" s="16">
        <f t="shared" si="22"/>
        <v>63</v>
      </c>
      <c r="E65" s="16">
        <f t="shared" si="23"/>
        <v>0</v>
      </c>
      <c r="F65" s="1">
        <v>63</v>
      </c>
      <c r="H65" s="6" t="s">
        <v>23</v>
      </c>
      <c r="I65" s="6" t="s">
        <v>24</v>
      </c>
      <c r="J65" s="20" t="s">
        <v>261</v>
      </c>
      <c r="K65" s="28">
        <f t="shared" si="2"/>
        <v>96681</v>
      </c>
      <c r="M65" s="25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321.64499999999998</v>
      </c>
      <c r="N65" s="25">
        <f t="shared" si="28"/>
        <v>1</v>
      </c>
      <c r="O65" s="19" t="str">
        <f t="shared" si="27"/>
        <v>8</v>
      </c>
      <c r="P65" s="22">
        <f t="shared" si="26"/>
        <v>108</v>
      </c>
      <c r="Q65" s="25">
        <v>54</v>
      </c>
      <c r="R65" s="22">
        <v>1</v>
      </c>
      <c r="S65" s="22">
        <f>SSC!Y53</f>
        <v>321.64499999999998</v>
      </c>
    </row>
    <row r="66" spans="1:23" ht="20.100000000000001" customHeight="1" x14ac:dyDescent="0.15">
      <c r="A66" s="57"/>
      <c r="B66" s="2" t="s">
        <v>163</v>
      </c>
      <c r="C66" s="16">
        <f t="shared" si="21"/>
        <v>55</v>
      </c>
      <c r="D66" s="16">
        <f t="shared" si="22"/>
        <v>55</v>
      </c>
      <c r="E66" s="16">
        <f t="shared" si="23"/>
        <v>0</v>
      </c>
      <c r="F66" s="1">
        <v>55</v>
      </c>
      <c r="H66" s="6" t="s">
        <v>31</v>
      </c>
      <c r="I66" s="6" t="s">
        <v>15</v>
      </c>
      <c r="J66" s="20" t="s">
        <v>323</v>
      </c>
      <c r="K66" s="28">
        <f t="shared" si="2"/>
        <v>96681</v>
      </c>
      <c r="M66" s="25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5">
        <f t="shared" si="25"/>
        <v>0</v>
      </c>
      <c r="O66" s="47" t="str">
        <f>SUBSTITUTE(TRIM(IF(LEN($J66)=0,"-",SUBSTITUTE($J66,","," ")))," ",",")</f>
        <v>855</v>
      </c>
      <c r="P66" s="22">
        <f t="shared" si="26"/>
        <v>4</v>
      </c>
      <c r="Q66" s="29">
        <f>FINDNUMBER(J66,3)</f>
        <v>1</v>
      </c>
      <c r="R66" s="22">
        <v>2</v>
      </c>
      <c r="S66" s="22">
        <f>SSC!Y54</f>
        <v>643.29</v>
      </c>
    </row>
    <row r="67" spans="1:23" ht="20.100000000000001" customHeight="1" x14ac:dyDescent="0.15">
      <c r="A67" s="57"/>
      <c r="B67" s="2" t="s">
        <v>164</v>
      </c>
      <c r="C67" s="16">
        <f t="shared" si="21"/>
        <v>0</v>
      </c>
      <c r="D67" s="16">
        <f t="shared" si="22"/>
        <v>0</v>
      </c>
      <c r="E67" s="16">
        <f t="shared" si="23"/>
        <v>0</v>
      </c>
      <c r="F67" s="1">
        <v>45</v>
      </c>
      <c r="H67" s="6" t="s">
        <v>32</v>
      </c>
      <c r="I67" s="6" t="s">
        <v>15</v>
      </c>
      <c r="J67" s="20" t="s">
        <v>324</v>
      </c>
      <c r="K67" s="28">
        <f t="shared" si="2"/>
        <v>96681</v>
      </c>
      <c r="M67" s="25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0</v>
      </c>
      <c r="N67" s="25">
        <f t="shared" si="25"/>
        <v>0</v>
      </c>
      <c r="O67" s="47" t="str">
        <f>SUBSTITUTE(TRIM(IF(LEN($J67)=0,"-",SUBSTITUTE($J67,","," ")))," ",",")</f>
        <v>185</v>
      </c>
      <c r="P67" s="22">
        <f t="shared" si="26"/>
        <v>6</v>
      </c>
      <c r="Q67" s="29">
        <f>FINDNUMBER(J67,3)</f>
        <v>1</v>
      </c>
      <c r="R67" s="22">
        <v>3</v>
      </c>
      <c r="S67" s="22">
        <f>SSC!Y55</f>
        <v>321.64499999999998</v>
      </c>
    </row>
    <row r="68" spans="1:23" ht="20.100000000000001" customHeight="1" x14ac:dyDescent="0.15">
      <c r="A68" s="57"/>
      <c r="B68" s="2" t="s">
        <v>165</v>
      </c>
      <c r="C68" s="16">
        <f t="shared" si="21"/>
        <v>0</v>
      </c>
      <c r="D68" s="16">
        <f t="shared" si="22"/>
        <v>0</v>
      </c>
      <c r="E68" s="16">
        <f t="shared" si="23"/>
        <v>0</v>
      </c>
      <c r="F68" s="1">
        <v>36</v>
      </c>
      <c r="H68" s="6" t="s">
        <v>34</v>
      </c>
      <c r="I68" s="6" t="s">
        <v>33</v>
      </c>
      <c r="J68" s="20" t="s">
        <v>262</v>
      </c>
      <c r="K68" s="28">
        <f t="shared" ref="K68:K131" si="29">K67</f>
        <v>96681</v>
      </c>
      <c r="M68" s="29">
        <f>IF(AND(LEFT(U68,1)=MID(U68,2,1),MID(U68,2,1)=MID(U68,3,1)),N(ISNUMBER(FIND(V68,J68,1)))*R68*S68,
 IF(AND(LEFT(U68,1)&lt;&gt;MID(U68,2,1),MID(U68,2,1)&lt;&gt;MID(U68,3,1),LEFT(U68,1)&lt;&gt;MID(U68,3,1)),
  SUM(N(ISNUMBER(FIND(LEFT(U68,1),J68,1))),N(ISNUMBER(FIND(MID(U68,2,1),J68,1))),N(ISNUMBER(FIND(RIGHT(U68,1),J68,1))))*R68*S68,SUM(N(ISNUMBER(FIND(V68,J68,1))),N(ISNUMBER(FIND(W68,J68,1))))*R68*S68))</f>
        <v>63.854999999999997</v>
      </c>
      <c r="N68" s="25">
        <f t="shared" si="25"/>
        <v>3</v>
      </c>
      <c r="O68" s="19" t="str">
        <f t="shared" si="27"/>
        <v>0 1 2 6 7 8 9</v>
      </c>
      <c r="P68" s="22">
        <f t="shared" si="26"/>
        <v>42</v>
      </c>
      <c r="Q68" s="25">
        <f>LEN(SUBSTITUTE(J68,",",))</f>
        <v>7</v>
      </c>
      <c r="R68" s="22">
        <v>3</v>
      </c>
      <c r="S68" s="22">
        <f>SSC!Y56</f>
        <v>7.0949999999999998</v>
      </c>
      <c r="U68" s="50" t="str">
        <f>RIGHT(K68,3)</f>
        <v>681</v>
      </c>
      <c r="V68" s="50" t="e">
        <f>_xlfn.MODE.SNGL(INT(LEFT(U68,1)),INT(MID(U68,2,1)),INT(RIGHT(U68,1)))</f>
        <v>#N/A</v>
      </c>
      <c r="W68" s="50" t="e">
        <f>SUBSTITUTE(U68,V68,)</f>
        <v>#N/A</v>
      </c>
    </row>
    <row r="69" spans="1:23" ht="20.100000000000001" customHeight="1" x14ac:dyDescent="0.15">
      <c r="A69" s="57"/>
      <c r="B69" s="2" t="s">
        <v>166</v>
      </c>
      <c r="C69" s="16">
        <f t="shared" si="21"/>
        <v>0</v>
      </c>
      <c r="D69" s="16">
        <f t="shared" si="22"/>
        <v>0</v>
      </c>
      <c r="E69" s="16">
        <f t="shared" si="23"/>
        <v>0</v>
      </c>
      <c r="F69" s="1">
        <v>28</v>
      </c>
      <c r="H69" s="6" t="s">
        <v>35</v>
      </c>
      <c r="I69" s="6" t="s">
        <v>33</v>
      </c>
      <c r="J69" s="20" t="s">
        <v>263</v>
      </c>
      <c r="K69" s="28">
        <f t="shared" si="29"/>
        <v>96681</v>
      </c>
      <c r="M69" s="25" t="e">
        <f>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</f>
        <v>#NUM!</v>
      </c>
      <c r="N69" s="25" t="e">
        <f t="shared" si="25"/>
        <v>#NUM!</v>
      </c>
      <c r="O69" s="19" t="str">
        <f t="shared" si="27"/>
        <v>0 2 3 4 5 8 9</v>
      </c>
      <c r="P69" s="22">
        <f>Q69*R69*2</f>
        <v>126</v>
      </c>
      <c r="Q69" s="25">
        <f>COMBIN(LEN(SUBSTITUTE(J69,",",)),2)</f>
        <v>21</v>
      </c>
      <c r="R69" s="22">
        <v>3</v>
      </c>
      <c r="S69" s="22">
        <f>SSC!Y57</f>
        <v>35.734999999999999</v>
      </c>
    </row>
    <row r="70" spans="1:23" ht="20.100000000000001" customHeight="1" x14ac:dyDescent="0.15">
      <c r="A70" s="57"/>
      <c r="B70" s="2" t="s">
        <v>167</v>
      </c>
      <c r="C70" s="16">
        <f t="shared" si="21"/>
        <v>0</v>
      </c>
      <c r="D70" s="16">
        <f t="shared" si="22"/>
        <v>0</v>
      </c>
      <c r="E70" s="16">
        <f t="shared" si="23"/>
        <v>0</v>
      </c>
      <c r="F70" s="1">
        <v>21</v>
      </c>
      <c r="G70" s="6" t="s">
        <v>38</v>
      </c>
      <c r="H70" s="56" t="s">
        <v>39</v>
      </c>
      <c r="I70" s="6" t="s">
        <v>7</v>
      </c>
      <c r="J70" s="20" t="s">
        <v>327</v>
      </c>
      <c r="K70" s="28">
        <f t="shared" si="29"/>
        <v>96681</v>
      </c>
      <c r="M70" s="56">
        <f>IF(AND(ISNUMBER(FIND(MID(K70,2,1),J70,1)),ISNUMBER(FIND(MID(K70,3,1),J71,1)),ISNUMBER(FIND(MID(K70,4,1),J72,1)),ISNUMBER(FIND(RIGHT(K70,1),J73,1))),R70*S70,0)</f>
        <v>0</v>
      </c>
      <c r="N70" s="56">
        <f>M70/S70/R70</f>
        <v>0</v>
      </c>
      <c r="O70" s="58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6">
        <f>Q70*R70*2</f>
        <v>1800</v>
      </c>
      <c r="Q70" s="57">
        <f>LEN(SUBSTITUTE($J70,",",))*LEN(SUBSTITUTE($J71,",",))*LEN(SUBSTITUTE($J72,",",))*LEN(SUBSTITUTE($J73,",",))</f>
        <v>900</v>
      </c>
      <c r="R70" s="56">
        <v>1</v>
      </c>
      <c r="S70" s="56">
        <f>SSC!Y58</f>
        <v>19300</v>
      </c>
    </row>
    <row r="71" spans="1:23" ht="20.100000000000001" customHeight="1" x14ac:dyDescent="0.15">
      <c r="A71" s="57"/>
      <c r="B71" s="2" t="s">
        <v>168</v>
      </c>
      <c r="C71" s="16">
        <f t="shared" si="21"/>
        <v>0</v>
      </c>
      <c r="D71" s="16">
        <f t="shared" si="22"/>
        <v>0</v>
      </c>
      <c r="E71" s="16">
        <f t="shared" si="23"/>
        <v>0</v>
      </c>
      <c r="F71" s="1">
        <v>15</v>
      </c>
      <c r="H71" s="56"/>
      <c r="I71" s="6" t="s">
        <v>8</v>
      </c>
      <c r="J71" s="20" t="s">
        <v>325</v>
      </c>
      <c r="K71" s="28">
        <f t="shared" si="29"/>
        <v>96681</v>
      </c>
      <c r="M71" s="56"/>
      <c r="N71" s="56"/>
      <c r="O71" s="58"/>
      <c r="P71" s="56"/>
      <c r="Q71" s="56"/>
      <c r="R71" s="56"/>
      <c r="S71" s="56"/>
    </row>
    <row r="72" spans="1:23" ht="20.100000000000001" customHeight="1" x14ac:dyDescent="0.15">
      <c r="A72" s="57"/>
      <c r="B72" s="2" t="s">
        <v>169</v>
      </c>
      <c r="C72" s="16">
        <f t="shared" si="21"/>
        <v>0</v>
      </c>
      <c r="D72" s="16">
        <f t="shared" si="22"/>
        <v>0</v>
      </c>
      <c r="E72" s="16">
        <f t="shared" si="23"/>
        <v>0</v>
      </c>
      <c r="F72" s="1">
        <v>10</v>
      </c>
      <c r="H72" s="56"/>
      <c r="I72" s="6" t="s">
        <v>10</v>
      </c>
      <c r="J72" s="20" t="s">
        <v>328</v>
      </c>
      <c r="K72" s="28">
        <f t="shared" si="29"/>
        <v>96681</v>
      </c>
      <c r="M72" s="56"/>
      <c r="N72" s="56"/>
      <c r="O72" s="58"/>
      <c r="P72" s="56"/>
      <c r="Q72" s="56"/>
      <c r="R72" s="56"/>
      <c r="S72" s="56"/>
    </row>
    <row r="73" spans="1:23" ht="20.100000000000001" customHeight="1" x14ac:dyDescent="0.15">
      <c r="A73" s="57"/>
      <c r="B73" s="2" t="s">
        <v>170</v>
      </c>
      <c r="C73" s="16">
        <f t="shared" si="21"/>
        <v>0</v>
      </c>
      <c r="D73" s="16">
        <f t="shared" si="22"/>
        <v>0</v>
      </c>
      <c r="E73" s="16">
        <f t="shared" si="23"/>
        <v>0</v>
      </c>
      <c r="F73" s="1">
        <v>6</v>
      </c>
      <c r="H73" s="56"/>
      <c r="I73" s="6" t="s">
        <v>11</v>
      </c>
      <c r="J73" s="20" t="s">
        <v>326</v>
      </c>
      <c r="K73" s="28">
        <f t="shared" si="29"/>
        <v>96681</v>
      </c>
      <c r="M73" s="56"/>
      <c r="N73" s="56"/>
      <c r="O73" s="58"/>
      <c r="P73" s="56"/>
      <c r="Q73" s="56"/>
      <c r="R73" s="56"/>
      <c r="S73" s="56"/>
    </row>
    <row r="74" spans="1:23" ht="20.100000000000001" customHeight="1" x14ac:dyDescent="0.15">
      <c r="A74" s="57"/>
      <c r="B74" s="2" t="s">
        <v>171</v>
      </c>
      <c r="C74" s="16">
        <f t="shared" si="21"/>
        <v>0</v>
      </c>
      <c r="D74" s="16">
        <f t="shared" si="22"/>
        <v>0</v>
      </c>
      <c r="E74" s="16">
        <f t="shared" si="23"/>
        <v>0</v>
      </c>
      <c r="F74" s="1">
        <v>3</v>
      </c>
      <c r="H74" s="6" t="s">
        <v>40</v>
      </c>
      <c r="I74" s="6" t="s">
        <v>41</v>
      </c>
      <c r="J74" s="20" t="s">
        <v>329</v>
      </c>
      <c r="K74" s="28">
        <f t="shared" si="29"/>
        <v>96681</v>
      </c>
      <c r="M74" s="25">
        <f>IF(ISNUMBER(FIND(","&amp;RIGHT(K74,4)&amp;",",J74,1)),R74*S74,0)</f>
        <v>0</v>
      </c>
      <c r="N74" s="25">
        <f t="shared" ref="N74:N75" si="30">M74/S74/R74</f>
        <v>0</v>
      </c>
      <c r="O74" s="19" t="str">
        <f>SUBSTITUTE(TRIM(IF(LEN($J74)=0,"-",SUBSTITUTE($J74,","," ")))," ",",")</f>
        <v>1158</v>
      </c>
      <c r="P74" s="25">
        <f>Q74*R74*2</f>
        <v>4</v>
      </c>
      <c r="Q74" s="25">
        <f>FINDNUMBER($J$74,4)</f>
        <v>1</v>
      </c>
      <c r="R74" s="22">
        <v>2</v>
      </c>
      <c r="S74" s="22">
        <f>SSC!Y59</f>
        <v>19300</v>
      </c>
    </row>
    <row r="75" spans="1:23" ht="20.100000000000001" customHeight="1" x14ac:dyDescent="0.15">
      <c r="A75" s="57"/>
      <c r="B75" s="2" t="s">
        <v>172</v>
      </c>
      <c r="C75" s="16">
        <f t="shared" si="21"/>
        <v>0</v>
      </c>
      <c r="D75" s="16">
        <f t="shared" si="22"/>
        <v>0</v>
      </c>
      <c r="E75" s="16">
        <f t="shared" si="23"/>
        <v>0</v>
      </c>
      <c r="F75" s="1">
        <v>1</v>
      </c>
      <c r="H75" s="6" t="s">
        <v>42</v>
      </c>
      <c r="I75" s="6" t="s">
        <v>42</v>
      </c>
      <c r="J75" s="20" t="s">
        <v>264</v>
      </c>
      <c r="K75" s="28">
        <f t="shared" si="29"/>
        <v>96681</v>
      </c>
      <c r="L75" s="26" t="s">
        <v>332</v>
      </c>
      <c r="M75" s="25">
        <f>IF(N(L76)=1,0,
 IF(AND(ISNUMBER(FIND(MID(K75,2,1),J75,1)),ISNUMBER(FIND(MID(K75,3,1),J75,1)),ISNUMBER(FIND(MID(K75,4,1),J75,1)),ISNUMBER(FIND(MID(K75,5,1),J75,1))),R75*S75,0))</f>
        <v>4020.7249999999999</v>
      </c>
      <c r="N75" s="25">
        <f t="shared" si="30"/>
        <v>1</v>
      </c>
      <c r="O75" s="19" t="str">
        <f t="shared" ref="O75" si="31">TRIM(IF(LEN($J75)=0,"-",SUBSTITUTE($J75,","," ")))</f>
        <v>0 1 2 4 5 6 8 9</v>
      </c>
      <c r="P75" s="25">
        <f>Q75*R75*2</f>
        <v>700</v>
      </c>
      <c r="Q75" s="25">
        <f>COMBIN(LEN(SUBSTITUTE(J75,",",)),4)</f>
        <v>70</v>
      </c>
      <c r="R75" s="22">
        <v>5</v>
      </c>
      <c r="S75" s="22">
        <f>SSC!Y60</f>
        <v>804.14499999999998</v>
      </c>
    </row>
    <row r="76" spans="1:23" ht="20.100000000000001" customHeight="1" x14ac:dyDescent="0.15">
      <c r="A76" s="57" t="s">
        <v>121</v>
      </c>
      <c r="B76" s="2" t="s">
        <v>162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57" t="s">
        <v>185</v>
      </c>
      <c r="I76" s="6" t="s">
        <v>43</v>
      </c>
      <c r="J76" s="20" t="s">
        <v>265</v>
      </c>
      <c r="K76" s="28">
        <f t="shared" si="29"/>
        <v>96681</v>
      </c>
      <c r="L76" s="7">
        <f>_xlfn.MODE.SNGL(INT(MID(K78,2,1)),INT(MID(K78,3,1)),INT(MID(K78,4,1)),INT(MID(K78,5,1)))</f>
        <v>6</v>
      </c>
      <c r="M76" s="56">
        <f>IF(N(ISNUMBER(L76))+N(LEFT(L77,1)=RIGHT(L77,1))=1,
 IF(AND(ISNUMBER(FIND(L76,J76,1)),
   ISNUMBER(FIND(LEFT(L77,1),J77,1)),
   ISNUMBER(FIND(RIGHT(L77,1),J77,1))
  ),R76*S76,0
 ),0
)</f>
        <v>6433.16</v>
      </c>
      <c r="N76" s="56">
        <f>M76/S76/R76</f>
        <v>1</v>
      </c>
      <c r="O76" s="58" t="str">
        <f>TRIM(IF(LEN($J76)=0,"-",SUBSTITUTE($J76,","," ")))&amp;","&amp;TRIM(IF(LEN($J77)=0,"-",SUBSTITUTE($J77,","," ")))</f>
        <v>0 1 2 6 7 8 9,0 1 2 3 4 5 8 9</v>
      </c>
      <c r="P76" s="56">
        <f>Q76*R76*2</f>
        <v>1288</v>
      </c>
      <c r="Q76" s="56">
        <f>LEN(SUBSTITUTE(J76,",",))*COMBIN(LEN(SUBSTITUTE(J77,",",)),2)-T76*(LEN(SUBSTITUTE(J77,",",))-1)</f>
        <v>161</v>
      </c>
      <c r="R76" s="56">
        <v>4</v>
      </c>
      <c r="S76" s="56">
        <f>SSC!Y61</f>
        <v>1608.29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3" ht="20.100000000000001" customHeight="1" x14ac:dyDescent="0.15">
      <c r="A77" s="57"/>
      <c r="B77" s="2" t="s">
        <v>144</v>
      </c>
      <c r="C77" s="16">
        <f t="shared" ref="C77:C85" si="32">IF(ISNUMBER(FIND($B77,$J$30,1)),$F77,0)</f>
        <v>0</v>
      </c>
      <c r="D77" s="16">
        <f t="shared" ref="D77:D85" si="33">IF(ISNUMBER(FIND($B77,$J$45,1)),$F77,0)</f>
        <v>54</v>
      </c>
      <c r="E77" s="16">
        <f t="shared" ref="E77:E85" si="34">IF(ISNUMBER(FIND($B77,$J$60,1)),$F77,0)</f>
        <v>54</v>
      </c>
      <c r="F77" s="1">
        <v>54</v>
      </c>
      <c r="H77" s="56"/>
      <c r="I77" s="6" t="s">
        <v>44</v>
      </c>
      <c r="J77" s="20" t="s">
        <v>330</v>
      </c>
      <c r="K77" s="28">
        <f t="shared" si="29"/>
        <v>96681</v>
      </c>
      <c r="L77" s="7" t="str">
        <f>SUBSTITUTE(RIGHT(K78,4),_xlfn.MODE.SNGL(INT(MID(K78,2,1)),INT(MID(K78,3,1)),INT(MID(K78,4,1)),INT(MID(K78,5,1))),)</f>
        <v>81</v>
      </c>
      <c r="M77" s="56"/>
      <c r="N77" s="56"/>
      <c r="O77" s="58"/>
      <c r="P77" s="56"/>
      <c r="Q77" s="56"/>
      <c r="R77" s="56"/>
      <c r="S77" s="56"/>
    </row>
    <row r="78" spans="1:23" ht="20.100000000000001" customHeight="1" x14ac:dyDescent="0.15">
      <c r="A78" s="57"/>
      <c r="B78" s="2" t="s">
        <v>145</v>
      </c>
      <c r="C78" s="16">
        <f t="shared" si="32"/>
        <v>0</v>
      </c>
      <c r="D78" s="16">
        <f t="shared" si="33"/>
        <v>96</v>
      </c>
      <c r="E78" s="16">
        <f t="shared" si="34"/>
        <v>0</v>
      </c>
      <c r="F78" s="1">
        <v>96</v>
      </c>
      <c r="H78" s="8" t="s">
        <v>45</v>
      </c>
      <c r="I78" s="6" t="s">
        <v>43</v>
      </c>
      <c r="J78" s="20" t="s">
        <v>331</v>
      </c>
      <c r="K78" s="28">
        <f t="shared" si="29"/>
        <v>96681</v>
      </c>
      <c r="L78" s="7" t="e">
        <f>_xlfn.MODE.SNGL(INT(LEFT(L77,1)),INT(RIGHT(L77,1)))</f>
        <v>#N/A</v>
      </c>
      <c r="M78" s="25">
        <f>IF(N(ISNUMBER(L76))+N(LEFT(L77,1)=MID(L77,2,1))=2,IF(AND(ISNUMBER(FIND(L76,J78,1)),ISNUMBER(FIND(L78,J78,1))),R78*S78,0),0)</f>
        <v>0</v>
      </c>
      <c r="N78" s="25">
        <f t="shared" ref="N78" si="35">M78/S78/R78</f>
        <v>0</v>
      </c>
      <c r="O78" s="19" t="str">
        <f>TRIM(IF(LEN($J78)=0,"-",SUBSTITUTE($J78,","," ")))</f>
        <v>1 4 5 6 7 8 9</v>
      </c>
      <c r="P78" s="25">
        <f>Q78*R78*2</f>
        <v>42</v>
      </c>
      <c r="Q78" s="22">
        <f>COMBIN(LEN(SUBSTITUTE(J78,",",)),2)</f>
        <v>21</v>
      </c>
      <c r="R78" s="22">
        <v>1</v>
      </c>
      <c r="S78" s="22">
        <f>SSC!Y62</f>
        <v>3216.645</v>
      </c>
    </row>
    <row r="79" spans="1:23" ht="20.100000000000001" customHeight="1" x14ac:dyDescent="0.15">
      <c r="A79" s="57"/>
      <c r="B79" s="2" t="s">
        <v>146</v>
      </c>
      <c r="C79" s="16">
        <f t="shared" si="32"/>
        <v>126</v>
      </c>
      <c r="D79" s="16">
        <f t="shared" si="33"/>
        <v>0</v>
      </c>
      <c r="E79" s="16">
        <f t="shared" si="34"/>
        <v>126</v>
      </c>
      <c r="F79" s="1">
        <v>126</v>
      </c>
      <c r="H79" s="57" t="s">
        <v>186</v>
      </c>
      <c r="I79" s="6" t="s">
        <v>48</v>
      </c>
      <c r="J79" s="20" t="s">
        <v>333</v>
      </c>
      <c r="K79" s="28">
        <f t="shared" si="29"/>
        <v>96681</v>
      </c>
      <c r="L79" s="7">
        <f>N(ISNUMBER(L76))+N(ISNUMBER(INT(LEFT(L77,1))))+N(ISNUMBER(INT(MID(L77,2,1))))</f>
        <v>3</v>
      </c>
      <c r="M79" s="56">
        <f>IF(L79=2,IF(SUM(N(ISNUMBER(FIND(L76,J79,1))),N(ISNUMBER(FIND(L77,J80,1))))=2,R79*S79,0),0)</f>
        <v>0</v>
      </c>
      <c r="N79" s="56">
        <f>M79/S79/R79</f>
        <v>0</v>
      </c>
      <c r="O79" s="58" t="str">
        <f>TRIM(IF(LEN($J79)=0,"-",SUBSTITUTE($J79,","," ")))&amp;","&amp;TRIM(IF(LEN($J80)=0,"-",SUBSTITUTE($J80,","," ")))</f>
        <v>0 1 2 5 6 7 8,0 1 2 7 8 9</v>
      </c>
      <c r="P79" s="56">
        <f>Q79*R79*2</f>
        <v>148</v>
      </c>
      <c r="Q79" s="56">
        <f>LEN(SUBSTITUTE(J79,",",))*LEN(SUBSTITUTE(J80,",",))-T79</f>
        <v>37</v>
      </c>
      <c r="R79" s="56">
        <v>2</v>
      </c>
      <c r="S79" s="56">
        <f>SSC!Y63</f>
        <v>4825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3" ht="20.100000000000001" customHeight="1" x14ac:dyDescent="0.15">
      <c r="A80" s="57"/>
      <c r="B80" s="2" t="s">
        <v>147</v>
      </c>
      <c r="C80" s="16">
        <f t="shared" si="32"/>
        <v>144</v>
      </c>
      <c r="D80" s="16">
        <f t="shared" si="33"/>
        <v>144</v>
      </c>
      <c r="E80" s="16">
        <f t="shared" si="34"/>
        <v>0</v>
      </c>
      <c r="F80" s="1">
        <v>144</v>
      </c>
      <c r="H80" s="56"/>
      <c r="I80" s="6" t="s">
        <v>47</v>
      </c>
      <c r="J80" s="20" t="s">
        <v>266</v>
      </c>
      <c r="K80" s="28">
        <f t="shared" si="29"/>
        <v>96681</v>
      </c>
      <c r="M80" s="56"/>
      <c r="N80" s="56"/>
      <c r="O80" s="58"/>
      <c r="P80" s="56"/>
      <c r="Q80" s="56"/>
      <c r="R80" s="56"/>
      <c r="S80" s="56"/>
    </row>
    <row r="81" spans="1:20" ht="20.100000000000001" customHeight="1" x14ac:dyDescent="0.15">
      <c r="A81" s="57"/>
      <c r="B81" s="2" t="s">
        <v>148</v>
      </c>
      <c r="C81" s="16">
        <f t="shared" si="32"/>
        <v>150</v>
      </c>
      <c r="D81" s="16">
        <f t="shared" si="33"/>
        <v>0</v>
      </c>
      <c r="E81" s="16">
        <f t="shared" si="34"/>
        <v>150</v>
      </c>
      <c r="F81" s="1">
        <v>150</v>
      </c>
      <c r="H81" s="6" t="s">
        <v>50</v>
      </c>
      <c r="I81" s="6" t="s">
        <v>52</v>
      </c>
      <c r="J81" s="20" t="s">
        <v>334</v>
      </c>
      <c r="K81" s="28">
        <f t="shared" si="29"/>
        <v>96681</v>
      </c>
      <c r="M81" s="25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49.994999999999997</v>
      </c>
      <c r="N81" s="25">
        <f t="shared" ref="N81:N82" si="36">M81/S81/R81</f>
        <v>3</v>
      </c>
      <c r="O81" s="19" t="str">
        <f t="shared" ref="O81:O82" si="37">TRIM(IF(LEN($J81)=0,"-",SUBSTITUTE($J81,","," ")))</f>
        <v>0 1 2 5 6 7 8 9</v>
      </c>
      <c r="P81" s="25">
        <f>Q81*R81*2</f>
        <v>48</v>
      </c>
      <c r="Q81" s="22">
        <f>LEN(SUBSTITUTE(J81,",",))</f>
        <v>8</v>
      </c>
      <c r="R81" s="22">
        <v>3</v>
      </c>
      <c r="S81" s="22">
        <f>SSC!Y64</f>
        <v>5.5549999999999997</v>
      </c>
    </row>
    <row r="82" spans="1:20" ht="20.100000000000001" customHeight="1" x14ac:dyDescent="0.15">
      <c r="A82" s="57"/>
      <c r="B82" s="2" t="s">
        <v>149</v>
      </c>
      <c r="C82" s="16">
        <f t="shared" si="32"/>
        <v>144</v>
      </c>
      <c r="D82" s="16">
        <f t="shared" si="33"/>
        <v>0</v>
      </c>
      <c r="E82" s="16">
        <f t="shared" si="34"/>
        <v>144</v>
      </c>
      <c r="F82" s="1">
        <v>144</v>
      </c>
      <c r="H82" s="6" t="s">
        <v>51</v>
      </c>
      <c r="I82" s="6" t="s">
        <v>49</v>
      </c>
      <c r="J82" s="27" t="s">
        <v>335</v>
      </c>
      <c r="K82" s="28">
        <f t="shared" si="29"/>
        <v>96681</v>
      </c>
      <c r="L82" s="26">
        <f>COMBIN(SUM(N(ISNUMBER(FIND(MID(K82,2,1),J82,1))),N(ISNUMBER(FIND(MID(K82,3,1),J82,1))),N(ISNUMBER(FIND(MID(K82,4,1),J82,1))),N(ISNUMBER(FIND(MID(K82,5,1),J82,1)))),2)</f>
        <v>6</v>
      </c>
      <c r="M82" s="25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59.34</v>
      </c>
      <c r="N82" s="25">
        <f t="shared" si="36"/>
        <v>3</v>
      </c>
      <c r="O82" s="19" t="str">
        <f t="shared" si="37"/>
        <v>1 0 2 6 7 8 9</v>
      </c>
      <c r="P82" s="25">
        <f>Q82*R82*2</f>
        <v>42</v>
      </c>
      <c r="Q82" s="22">
        <f>COMBIN(LEN(SUBSTITUTE(J82,",",)),2)</f>
        <v>21</v>
      </c>
      <c r="R82" s="22">
        <v>1</v>
      </c>
      <c r="S82" s="22">
        <f>SSC!Y65</f>
        <v>19.78</v>
      </c>
    </row>
    <row r="83" spans="1:20" ht="20.100000000000001" customHeight="1" x14ac:dyDescent="0.15">
      <c r="A83" s="57"/>
      <c r="B83" s="2" t="s">
        <v>150</v>
      </c>
      <c r="C83" s="16">
        <f t="shared" si="32"/>
        <v>126</v>
      </c>
      <c r="D83" s="16">
        <f t="shared" si="33"/>
        <v>126</v>
      </c>
      <c r="E83" s="16">
        <f t="shared" si="34"/>
        <v>126</v>
      </c>
      <c r="F83" s="1">
        <v>126</v>
      </c>
      <c r="G83" s="6" t="s">
        <v>53</v>
      </c>
      <c r="H83" s="56" t="s">
        <v>54</v>
      </c>
      <c r="I83" s="6" t="s">
        <v>6</v>
      </c>
      <c r="J83" s="20" t="s">
        <v>337</v>
      </c>
      <c r="K83" s="28">
        <f t="shared" si="29"/>
        <v>96681</v>
      </c>
      <c r="M83" s="56">
        <f>IF(AND(ISNUMBER(FIND(LEFT(K83,1),J83,1)),ISNUMBER(FIND(MID(K83,2,1),J84,1)),ISNUMBER(FIND(MID(K83,3,1),J85,1)),ISNUMBER(FIND(MID(K83,4,1),J86,1)),ISNUMBER(FIND(RIGHT(K83,1),J87,1))),R83*S83,0)</f>
        <v>0</v>
      </c>
      <c r="N83" s="56">
        <f>M83/S83/R83</f>
        <v>0</v>
      </c>
      <c r="O83" s="58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6">
        <f>Q83*R83*2</f>
        <v>31104</v>
      </c>
      <c r="Q83" s="56">
        <f>LEN(SUBSTITUTE($J83,",",))*LEN(SUBSTITUTE($J84,",",))*LEN(SUBSTITUTE($J85,",",))*LEN(SUBSTITUTE($J86,",",))*LEN(SUBSTITUTE($J87,",",))</f>
        <v>7776</v>
      </c>
      <c r="R83" s="56">
        <v>2</v>
      </c>
      <c r="S83" s="56">
        <f>SSC!Y66</f>
        <v>193000</v>
      </c>
    </row>
    <row r="84" spans="1:20" ht="20.100000000000001" customHeight="1" x14ac:dyDescent="0.15">
      <c r="A84" s="57"/>
      <c r="B84" s="2" t="s">
        <v>151</v>
      </c>
      <c r="C84" s="16">
        <f t="shared" si="32"/>
        <v>0</v>
      </c>
      <c r="D84" s="16">
        <f t="shared" si="33"/>
        <v>96</v>
      </c>
      <c r="E84" s="16">
        <f t="shared" si="34"/>
        <v>0</v>
      </c>
      <c r="F84" s="1">
        <v>96</v>
      </c>
      <c r="H84" s="56"/>
      <c r="I84" s="6" t="s">
        <v>7</v>
      </c>
      <c r="J84" s="20" t="s">
        <v>336</v>
      </c>
      <c r="K84" s="28">
        <f t="shared" si="29"/>
        <v>96681</v>
      </c>
      <c r="M84" s="56"/>
      <c r="N84" s="56"/>
      <c r="O84" s="58"/>
      <c r="P84" s="56"/>
      <c r="Q84" s="56"/>
      <c r="R84" s="56"/>
      <c r="S84" s="56"/>
    </row>
    <row r="85" spans="1:20" ht="20.100000000000001" customHeight="1" x14ac:dyDescent="0.15">
      <c r="A85" s="57"/>
      <c r="B85" s="2" t="s">
        <v>152</v>
      </c>
      <c r="C85" s="16">
        <f t="shared" si="32"/>
        <v>54</v>
      </c>
      <c r="D85" s="16">
        <f t="shared" si="33"/>
        <v>54</v>
      </c>
      <c r="E85" s="16">
        <f t="shared" si="34"/>
        <v>54</v>
      </c>
      <c r="F85" s="1">
        <v>54</v>
      </c>
      <c r="H85" s="56"/>
      <c r="I85" s="6" t="s">
        <v>8</v>
      </c>
      <c r="J85" s="17" t="s">
        <v>174</v>
      </c>
      <c r="K85" s="28">
        <f t="shared" si="29"/>
        <v>96681</v>
      </c>
      <c r="M85" s="56"/>
      <c r="N85" s="56"/>
      <c r="O85" s="58"/>
      <c r="P85" s="56"/>
      <c r="Q85" s="56"/>
      <c r="R85" s="56"/>
      <c r="S85" s="56"/>
    </row>
    <row r="86" spans="1:20" ht="20.100000000000001" customHeight="1" x14ac:dyDescent="0.15">
      <c r="A86" s="57" t="s">
        <v>122</v>
      </c>
      <c r="B86" s="2" t="s">
        <v>173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56"/>
      <c r="I86" s="6" t="s">
        <v>10</v>
      </c>
      <c r="J86" s="20" t="s">
        <v>338</v>
      </c>
      <c r="K86" s="28">
        <f t="shared" si="29"/>
        <v>96681</v>
      </c>
      <c r="M86" s="56"/>
      <c r="N86" s="56"/>
      <c r="O86" s="58"/>
      <c r="P86" s="56"/>
      <c r="Q86" s="56"/>
      <c r="R86" s="56"/>
      <c r="S86" s="56"/>
    </row>
    <row r="87" spans="1:20" ht="20.100000000000001" customHeight="1" x14ac:dyDescent="0.15">
      <c r="A87" s="57"/>
      <c r="B87" s="2" t="s">
        <v>145</v>
      </c>
      <c r="C87" s="16">
        <f t="shared" ref="C87:C111" si="38">IF(ISNUMBER(FIND($B87,$J$31,1)),$F87,0)</f>
        <v>0</v>
      </c>
      <c r="D87" s="16">
        <f t="shared" ref="D87:D111" si="39">IF(ISNUMBER(FIND($B87,$J$46,1)),$F87,0)</f>
        <v>0</v>
      </c>
      <c r="E87" s="16">
        <f t="shared" ref="E87:E111" si="40">IF(ISNUMBER(FIND($B87,$J$61,1)),$F87,0)</f>
        <v>2</v>
      </c>
      <c r="F87" s="1">
        <v>2</v>
      </c>
      <c r="H87" s="56"/>
      <c r="I87" s="6" t="s">
        <v>11</v>
      </c>
      <c r="J87" s="17" t="s">
        <v>339</v>
      </c>
      <c r="K87" s="28">
        <f t="shared" si="29"/>
        <v>96681</v>
      </c>
      <c r="M87" s="56"/>
      <c r="N87" s="56"/>
      <c r="O87" s="58"/>
      <c r="P87" s="56"/>
      <c r="Q87" s="56"/>
      <c r="R87" s="56"/>
      <c r="S87" s="56"/>
    </row>
    <row r="88" spans="1:20" ht="20.100000000000001" customHeight="1" x14ac:dyDescent="0.15">
      <c r="A88" s="57"/>
      <c r="B88" s="2" t="s">
        <v>146</v>
      </c>
      <c r="C88" s="16">
        <f t="shared" si="38"/>
        <v>2</v>
      </c>
      <c r="D88" s="16">
        <f t="shared" si="39"/>
        <v>0</v>
      </c>
      <c r="E88" s="16">
        <f t="shared" si="40"/>
        <v>0</v>
      </c>
      <c r="F88" s="1">
        <v>2</v>
      </c>
      <c r="H88" s="6" t="s">
        <v>55</v>
      </c>
      <c r="I88" s="6" t="s">
        <v>56</v>
      </c>
      <c r="J88" s="27" t="s">
        <v>340</v>
      </c>
      <c r="K88" s="28">
        <f>K87</f>
        <v>96681</v>
      </c>
      <c r="L88" s="7">
        <f>LOOKUP(SUM(LEN(SUBSTITUTE(K88,MID(K88,{1,2,3,4,5},1),))),{8,12,14,16,18,20;5,10,20,30,60,120})</f>
        <v>60</v>
      </c>
      <c r="M88" s="25">
        <f>IF(ISNUMBER(FIND(","&amp;K88&amp;",",J88,1)),R88*S88,0)</f>
        <v>0</v>
      </c>
      <c r="N88" s="25">
        <f t="shared" ref="N88:N90" si="41">M88/S88/R88</f>
        <v>0</v>
      </c>
      <c r="O88" s="19" t="str">
        <f>SUBSTITUTE(TRIM(IF(LEN($J88)=0,"-",SUBSTITUTE($J88,","," ")))," ",",")</f>
        <v>12212,85118,81158</v>
      </c>
      <c r="P88" s="25">
        <f>Q88*R88*2</f>
        <v>18</v>
      </c>
      <c r="Q88" s="22">
        <f>FINDNUMBER(J88,5)</f>
        <v>3</v>
      </c>
      <c r="R88" s="22">
        <v>3</v>
      </c>
      <c r="S88" s="22">
        <f>SSC!Y67</f>
        <v>193000</v>
      </c>
    </row>
    <row r="89" spans="1:20" ht="20.100000000000001" customHeight="1" x14ac:dyDescent="0.15">
      <c r="A89" s="57"/>
      <c r="B89" s="2" t="s">
        <v>147</v>
      </c>
      <c r="C89" s="16">
        <f t="shared" si="38"/>
        <v>4</v>
      </c>
      <c r="D89" s="16">
        <f t="shared" si="39"/>
        <v>0</v>
      </c>
      <c r="E89" s="16">
        <f t="shared" si="40"/>
        <v>0</v>
      </c>
      <c r="F89" s="1">
        <v>4</v>
      </c>
      <c r="H89" s="6" t="s">
        <v>57</v>
      </c>
      <c r="I89" s="6" t="s">
        <v>60</v>
      </c>
      <c r="J89" s="20" t="s">
        <v>341</v>
      </c>
      <c r="K89" s="28">
        <f>K88</f>
        <v>96681</v>
      </c>
      <c r="L89" s="7">
        <f>_xlfn.MODE.SNGL(INT(LEFT(K89,1)),INT(MID(K89,2,1)),INT(MID(K89,3,1)),INT(MID(K89,4,1)),INT(MID(K89,5,1)))</f>
        <v>6</v>
      </c>
      <c r="M89" s="25">
        <f>IF(L88=120,IF(AND(ISNUMBER(FIND(LEFT(K89,1),J89,1)),ISNUMBER(FIND(MID(K89,2,1),J89,1)),ISNUMBER(FIND(MID(K89,3,1),J89,1)),ISNUMBER(FIND(MID(K89,4,1),J89,1)),ISNUMBER(FIND(MID(K89,5,1),J89,1))),R89*S89,0),0)</f>
        <v>0</v>
      </c>
      <c r="N89" s="25">
        <f t="shared" si="41"/>
        <v>0</v>
      </c>
      <c r="O89" s="19" t="str">
        <f t="shared" ref="O89" si="42">TRIM(IF(LEN($J89)=0,"-",SUBSTITUTE($J89,","," ")))</f>
        <v>0 1 2 3 4 6 7 8 9</v>
      </c>
      <c r="P89" s="25">
        <f>Q89*R89*2</f>
        <v>252</v>
      </c>
      <c r="Q89" s="22">
        <f>COMBIN(LEN(SUBSTITUTE(J89,",",)),5)</f>
        <v>126</v>
      </c>
      <c r="R89" s="22">
        <v>1</v>
      </c>
      <c r="S89" s="22">
        <f>SSC!Y68</f>
        <v>1608.29</v>
      </c>
    </row>
    <row r="90" spans="1:20" ht="20.100000000000001" customHeight="1" x14ac:dyDescent="0.15">
      <c r="A90" s="57"/>
      <c r="B90" s="2" t="s">
        <v>148</v>
      </c>
      <c r="C90" s="16">
        <f t="shared" si="38"/>
        <v>0</v>
      </c>
      <c r="D90" s="16">
        <f t="shared" si="39"/>
        <v>0</v>
      </c>
      <c r="E90" s="16">
        <f t="shared" si="40"/>
        <v>0</v>
      </c>
      <c r="F90" s="1">
        <v>5</v>
      </c>
      <c r="H90" s="56" t="s">
        <v>176</v>
      </c>
      <c r="I90" s="6" t="s">
        <v>61</v>
      </c>
      <c r="J90" s="20" t="s">
        <v>344</v>
      </c>
      <c r="K90" s="28">
        <f t="shared" si="29"/>
        <v>96681</v>
      </c>
      <c r="L90" s="26" t="e">
        <f>_xlfn.MODE.SNGL(INT(LEFT(SUBSTITUTE(K88,L89,),1)),
         INT(MID(SUBSTITUTE(K88,L89,),2,1)),
         INT(MID(SUBSTITUTE(K88,L89,),3,1)))</f>
        <v>#N/A</v>
      </c>
      <c r="M90" s="56">
        <f>IF(AND(L88=60,
 ISNUMBER(FIND(MID(SUBSTITUTE(K90,L89,),1,1),J91,1)),
 ISNUMBER(FIND(MID(SUBSTITUTE(K90,L89,),2,1),J91,1)),
 ISNUMBER(FIND(MID(SUBSTITUTE(K90,L89,),3,1),J91,1)),
 ISNUMBER(FIND(L89,J90,1))),R90*S90,0
)</f>
        <v>6433.29</v>
      </c>
      <c r="N90" s="56">
        <f t="shared" si="41"/>
        <v>1</v>
      </c>
      <c r="O90" s="58" t="str">
        <f>TRIM(IF(LEN($J90)=0,"-",SUBSTITUTE($J90,","," ")))&amp;","&amp;TRIM(IF(LEN($J91)=0,"-",SUBSTITUTE($J91,","," ")))</f>
        <v>0 1 5 7 9 6,0 1 4 5 6 8 9</v>
      </c>
      <c r="P90" s="56">
        <f>Q90*R90*2</f>
        <v>540</v>
      </c>
      <c r="Q90" s="56">
        <f>LEN(SUBSTITUTE(J90,",",))*COMBIN(LEN(SUBSTITUTE(J91,",",)),3)-T90*COMBIN(LEN(SUBSTITUTE(J91,",",))-1,2)</f>
        <v>135</v>
      </c>
      <c r="R90" s="56">
        <v>2</v>
      </c>
      <c r="S90" s="56">
        <f>SSC!Y69</f>
        <v>3216.645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7"/>
      <c r="B91" s="2" t="s">
        <v>149</v>
      </c>
      <c r="C91" s="16">
        <f t="shared" si="38"/>
        <v>6</v>
      </c>
      <c r="D91" s="16">
        <f t="shared" si="39"/>
        <v>0</v>
      </c>
      <c r="E91" s="16">
        <f t="shared" si="40"/>
        <v>6</v>
      </c>
      <c r="F91" s="1">
        <v>6</v>
      </c>
      <c r="H91" s="56"/>
      <c r="I91" s="6" t="s">
        <v>44</v>
      </c>
      <c r="J91" s="20" t="s">
        <v>343</v>
      </c>
      <c r="K91" s="28">
        <f t="shared" si="29"/>
        <v>96681</v>
      </c>
      <c r="L91" s="7" t="e">
        <f>_xlfn.MODE.SNGL(INT(LEFT(SUBSTITUTE(K88,L89,),1)),
         INT(MID(SUBSTITUTE(K88,L89,),2,1)))</f>
        <v>#N/A</v>
      </c>
      <c r="M91" s="56"/>
      <c r="N91" s="56"/>
      <c r="O91" s="58"/>
      <c r="P91" s="56"/>
      <c r="Q91" s="56"/>
      <c r="R91" s="56"/>
      <c r="S91" s="56"/>
    </row>
    <row r="92" spans="1:20" ht="20.100000000000001" customHeight="1" x14ac:dyDescent="0.15">
      <c r="A92" s="57"/>
      <c r="B92" s="2" t="s">
        <v>150</v>
      </c>
      <c r="C92" s="16">
        <f t="shared" si="38"/>
        <v>0</v>
      </c>
      <c r="D92" s="16">
        <f t="shared" si="39"/>
        <v>8</v>
      </c>
      <c r="E92" s="16">
        <f t="shared" si="40"/>
        <v>0</v>
      </c>
      <c r="F92" s="1">
        <v>8</v>
      </c>
      <c r="H92" s="56" t="s">
        <v>58</v>
      </c>
      <c r="I92" s="6" t="s">
        <v>61</v>
      </c>
      <c r="J92" s="20" t="s">
        <v>342</v>
      </c>
      <c r="K92" s="28">
        <f t="shared" si="29"/>
        <v>96681</v>
      </c>
      <c r="M92" s="56">
        <f>IF(L88=30,
 IF(AND(ISNUMBER(FIND(L89,J92,1)),ISNUMBER(FIND(L90,J92,1)),ISNUMBER(FIND(SUBSTITUTE(SUBSTITUTE(K2,L89,),L90,),J93,1))
  ),R92*S92,0),0)</f>
        <v>0</v>
      </c>
      <c r="N92" s="56">
        <f t="shared" ref="N92" si="43">M92/S92/R92</f>
        <v>0</v>
      </c>
      <c r="O92" s="58" t="str">
        <f t="shared" ref="O92" si="44">TRIM(IF(LEN($J92)=0,"-",SUBSTITUTE($J92,","," ")))&amp;","&amp;TRIM(IF(LEN($J93)=0,"-",SUBSTITUTE($J93,","," ")))</f>
        <v>0 1 2 7 8,1 3 4 5 6 7</v>
      </c>
      <c r="P92" s="56">
        <f t="shared" ref="P92" si="45">Q92*R92*2</f>
        <v>104</v>
      </c>
      <c r="Q92" s="56">
        <f>COMBIN(LEN(SUBSTITUTE(J92,",",)),2)*LEN(SUBSTITUTE(J93,",",))-T92*(LEN(SUBSTITUTE(J92,",",))-1)</f>
        <v>52</v>
      </c>
      <c r="R92" s="56">
        <v>1</v>
      </c>
      <c r="S92" s="56">
        <f>SSC!Y70</f>
        <v>6433.29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7"/>
      <c r="B93" s="2" t="s">
        <v>151</v>
      </c>
      <c r="C93" s="16">
        <f t="shared" si="38"/>
        <v>0</v>
      </c>
      <c r="D93" s="16">
        <f t="shared" si="39"/>
        <v>10</v>
      </c>
      <c r="E93" s="16">
        <f t="shared" si="40"/>
        <v>0</v>
      </c>
      <c r="F93" s="1">
        <v>10</v>
      </c>
      <c r="H93" s="56"/>
      <c r="I93" s="6" t="s">
        <v>44</v>
      </c>
      <c r="J93" s="20" t="s">
        <v>317</v>
      </c>
      <c r="K93" s="28">
        <f t="shared" si="29"/>
        <v>96681</v>
      </c>
      <c r="M93" s="56"/>
      <c r="N93" s="56"/>
      <c r="O93" s="58"/>
      <c r="P93" s="56"/>
      <c r="Q93" s="56"/>
      <c r="R93" s="56"/>
      <c r="S93" s="56"/>
    </row>
    <row r="94" spans="1:20" ht="20.100000000000001" customHeight="1" x14ac:dyDescent="0.15">
      <c r="A94" s="57"/>
      <c r="B94" s="2" t="s">
        <v>152</v>
      </c>
      <c r="C94" s="16">
        <f t="shared" si="38"/>
        <v>0</v>
      </c>
      <c r="D94" s="16">
        <f t="shared" si="39"/>
        <v>0</v>
      </c>
      <c r="E94" s="16">
        <f t="shared" si="40"/>
        <v>0</v>
      </c>
      <c r="F94" s="1">
        <v>11</v>
      </c>
      <c r="H94" s="56" t="s">
        <v>177</v>
      </c>
      <c r="I94" s="6" t="s">
        <v>62</v>
      </c>
      <c r="J94" s="27" t="s">
        <v>346</v>
      </c>
      <c r="K94" s="28">
        <f t="shared" si="29"/>
        <v>96681</v>
      </c>
      <c r="M94" s="56">
        <f>IF(L88=20,
 IF(AND(ISNUMBER(FIND(L89,J94,1)),ISNUMBER(FIND(LEFT(SUBSTITUTE(K94,L89,),1),J95,1)),ISNUMBER(FIND(RIGHT(SUBSTITUTE(K94,L89,),1),J95,1))),R94*S94,0),0)</f>
        <v>0</v>
      </c>
      <c r="N94" s="56">
        <f t="shared" ref="N94" si="46">M94/S94/R94</f>
        <v>0</v>
      </c>
      <c r="O94" s="58" t="str">
        <f t="shared" ref="O94" si="47">TRIM(IF(LEN($J94)=0,"-",SUBSTITUTE($J94,","," ")))&amp;","&amp;TRIM(IF(LEN($J95)=0,"-",SUBSTITUTE($J95,","," ")))</f>
        <v>0 1 2 7,0 1 8 9</v>
      </c>
      <c r="P94" s="56">
        <f t="shared" ref="P94" si="48">Q94*R94*2</f>
        <v>108</v>
      </c>
      <c r="Q94" s="56">
        <f>LEN(SUBSTITUTE(J94,",",))*COMBIN(LEN(SUBSTITUTE(J95,",",)),2)-T94*(LEN(SUBSTITUTE(J95,",",))-1)</f>
        <v>18</v>
      </c>
      <c r="R94" s="56">
        <v>3</v>
      </c>
      <c r="S94" s="56">
        <f>SSC!Y71</f>
        <v>9650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7"/>
      <c r="B95" s="2" t="s">
        <v>154</v>
      </c>
      <c r="C95" s="16">
        <f t="shared" si="38"/>
        <v>13</v>
      </c>
      <c r="D95" s="16">
        <f t="shared" si="39"/>
        <v>0</v>
      </c>
      <c r="E95" s="16">
        <f t="shared" si="40"/>
        <v>0</v>
      </c>
      <c r="F95" s="1">
        <v>13</v>
      </c>
      <c r="H95" s="56"/>
      <c r="I95" s="6" t="s">
        <v>44</v>
      </c>
      <c r="J95" s="17" t="s">
        <v>345</v>
      </c>
      <c r="K95" s="28">
        <f t="shared" si="29"/>
        <v>96681</v>
      </c>
      <c r="M95" s="56"/>
      <c r="N95" s="56"/>
      <c r="O95" s="58"/>
      <c r="P95" s="56"/>
      <c r="Q95" s="56"/>
      <c r="R95" s="56"/>
      <c r="S95" s="56"/>
    </row>
    <row r="96" spans="1:20" ht="20.100000000000001" customHeight="1" x14ac:dyDescent="0.15">
      <c r="A96" s="57"/>
      <c r="B96" s="2" t="s">
        <v>155</v>
      </c>
      <c r="C96" s="16">
        <f t="shared" si="38"/>
        <v>0</v>
      </c>
      <c r="D96" s="16">
        <f t="shared" si="39"/>
        <v>0</v>
      </c>
      <c r="E96" s="16">
        <f t="shared" si="40"/>
        <v>0</v>
      </c>
      <c r="F96" s="1">
        <v>14</v>
      </c>
      <c r="H96" s="56" t="s">
        <v>178</v>
      </c>
      <c r="I96" s="6" t="s">
        <v>63</v>
      </c>
      <c r="J96" s="17" t="s">
        <v>347</v>
      </c>
      <c r="K96" s="28">
        <f t="shared" si="29"/>
        <v>96681</v>
      </c>
      <c r="M96" s="56">
        <f>IF(L88=10,IF(AND(ISNUMBER(FIND(L89,J96,1)),ISNUMBER(FIND(L91,J97,1))),R96*S96,0),0)</f>
        <v>0</v>
      </c>
      <c r="N96" s="56">
        <f t="shared" ref="N96" si="49">M96/S96/R96</f>
        <v>0</v>
      </c>
      <c r="O96" s="58" t="str">
        <f t="shared" ref="O96" si="50">TRIM(IF(LEN($J96)=0,"-",SUBSTITUTE($J96,","," ")))&amp;","&amp;TRIM(IF(LEN($J97)=0,"-",SUBSTITUTE($J97,","," ")))</f>
        <v>0 1 4,0 1 8</v>
      </c>
      <c r="P96" s="56">
        <f t="shared" ref="P96" si="51">Q96*R96*2</f>
        <v>28</v>
      </c>
      <c r="Q96" s="56">
        <f>LEN(SUBSTITUTE(J96,",",))*LEN(SUBSTITUTE(J97,",",))-T96</f>
        <v>7</v>
      </c>
      <c r="R96" s="56">
        <v>2</v>
      </c>
      <c r="S96" s="56">
        <f>SSC!Y72</f>
        <v>19300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6" ht="20.100000000000001" customHeight="1" x14ac:dyDescent="0.15">
      <c r="A97" s="57"/>
      <c r="B97" s="2" t="s">
        <v>156</v>
      </c>
      <c r="C97" s="16">
        <f t="shared" si="38"/>
        <v>0</v>
      </c>
      <c r="D97" s="16">
        <f t="shared" si="39"/>
        <v>0</v>
      </c>
      <c r="E97" s="16">
        <f t="shared" si="40"/>
        <v>0</v>
      </c>
      <c r="F97" s="1">
        <v>14</v>
      </c>
      <c r="H97" s="56"/>
      <c r="I97" s="6" t="s">
        <v>112</v>
      </c>
      <c r="J97" s="17" t="s">
        <v>348</v>
      </c>
      <c r="K97" s="28">
        <f t="shared" si="29"/>
        <v>96681</v>
      </c>
      <c r="M97" s="56"/>
      <c r="N97" s="56"/>
      <c r="O97" s="58"/>
      <c r="P97" s="56"/>
      <c r="Q97" s="56"/>
      <c r="R97" s="56"/>
      <c r="S97" s="56"/>
    </row>
    <row r="98" spans="1:26" ht="20.100000000000001" customHeight="1" x14ac:dyDescent="0.15">
      <c r="A98" s="57"/>
      <c r="B98" s="2" t="s">
        <v>157</v>
      </c>
      <c r="C98" s="16">
        <f t="shared" si="38"/>
        <v>0</v>
      </c>
      <c r="D98" s="16">
        <f t="shared" si="39"/>
        <v>15</v>
      </c>
      <c r="E98" s="16">
        <f t="shared" si="40"/>
        <v>0</v>
      </c>
      <c r="F98" s="1">
        <v>15</v>
      </c>
      <c r="H98" s="56" t="s">
        <v>59</v>
      </c>
      <c r="I98" s="6" t="s">
        <v>64</v>
      </c>
      <c r="J98" s="17" t="s">
        <v>270</v>
      </c>
      <c r="K98" s="28">
        <f t="shared" si="29"/>
        <v>96681</v>
      </c>
      <c r="M98" s="56">
        <f>IF(L88=5,IF(AND(
   ISNUMBER(FIND(L89,J98,1)),
   ISNUMBER(FIND(SUBSTITUTE(K98,L89,),J99,1))
  ),R98*S98,0
 ),0
)</f>
        <v>0</v>
      </c>
      <c r="N98" s="56">
        <f t="shared" ref="N98" si="52">M98/S98/R98</f>
        <v>0</v>
      </c>
      <c r="O98" s="58" t="str">
        <f t="shared" ref="O98" si="53">TRIM(IF(LEN($J98)=0,"-",SUBSTITUTE($J98,","," ")))&amp;","&amp;TRIM(IF(LEN($J99)=0,"-",SUBSTITUTE($J99,","," ")))</f>
        <v>4 1 5,1 2 3</v>
      </c>
      <c r="P98" s="56">
        <f t="shared" ref="P98" si="54">Q98*R98*2</f>
        <v>48</v>
      </c>
      <c r="Q98" s="56">
        <f>LEN(SUBSTITUTE(J98,",",))*LEN(SUBSTITUTE(J99,",",))-T98</f>
        <v>8</v>
      </c>
      <c r="R98" s="56">
        <v>3</v>
      </c>
      <c r="S98" s="56">
        <f>SSC!Y73</f>
        <v>38600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6" ht="20.100000000000001" customHeight="1" x14ac:dyDescent="0.15">
      <c r="A99" s="57"/>
      <c r="B99" s="2" t="s">
        <v>158</v>
      </c>
      <c r="C99" s="16">
        <f t="shared" si="38"/>
        <v>0</v>
      </c>
      <c r="D99" s="16">
        <f t="shared" si="39"/>
        <v>0</v>
      </c>
      <c r="E99" s="16">
        <f t="shared" si="40"/>
        <v>15</v>
      </c>
      <c r="F99" s="1">
        <v>15</v>
      </c>
      <c r="H99" s="56"/>
      <c r="I99" s="6" t="s">
        <v>65</v>
      </c>
      <c r="J99" s="17" t="s">
        <v>271</v>
      </c>
      <c r="K99" s="28">
        <f t="shared" si="29"/>
        <v>96681</v>
      </c>
      <c r="M99" s="56"/>
      <c r="N99" s="56"/>
      <c r="O99" s="58"/>
      <c r="P99" s="56"/>
      <c r="Q99" s="56"/>
      <c r="R99" s="56"/>
      <c r="S99" s="56"/>
      <c r="T99" s="55" t="s">
        <v>552</v>
      </c>
      <c r="U99">
        <f>IF(U101&lt;&gt;120,_xlfn.MODE.SNGL(INT(LEFT(K88,1)),INT(MID(K88,2,1)),INT(MID(K88,3,1)),INT(MID(K88,4,1)),INT(MID(K88,5,1))),FALSE)</f>
        <v>6</v>
      </c>
      <c r="V99" s="1" t="str">
        <f>SUBSTITUTE(K88,U99,)</f>
        <v>981</v>
      </c>
      <c r="W99" t="b">
        <f>IF(U101=30,_xlfn.MODE.SNGL(INT(LEFT(V99,1)),INT(MID(V99,2,1)),INT(MID(V99,3,1))),IF(U101=10,_xlfn.MODE.SNGL(INT(LEFT(V99,1)),INT(RIGHT(V99,1))),FALSE))</f>
        <v>0</v>
      </c>
      <c r="X99" s="1" t="b">
        <f>IF(ISNUMBER(W99),SUBSTITUTE(W99,V99,),FALSE)</f>
        <v>0</v>
      </c>
    </row>
    <row r="100" spans="1:26" ht="20.100000000000001" customHeight="1" x14ac:dyDescent="0.15">
      <c r="A100" s="57"/>
      <c r="B100" s="2" t="s">
        <v>159</v>
      </c>
      <c r="C100" s="16">
        <f t="shared" si="38"/>
        <v>14</v>
      </c>
      <c r="D100" s="16">
        <f t="shared" si="39"/>
        <v>0</v>
      </c>
      <c r="E100" s="16">
        <f t="shared" si="40"/>
        <v>0</v>
      </c>
      <c r="F100" s="1">
        <v>14</v>
      </c>
      <c r="H100" s="6" t="s">
        <v>66</v>
      </c>
      <c r="I100" s="6" t="s">
        <v>69</v>
      </c>
      <c r="J100" s="20" t="s">
        <v>269</v>
      </c>
      <c r="K100" s="28">
        <f t="shared" si="29"/>
        <v>96681</v>
      </c>
      <c r="M100" s="29">
        <f>IF(U$101=120,U100*S100*R100,IF(U$101=60,V100*R100*S100,IF(U$101=30,W100*S100*R100,IF(U$101=20,X100*S100*R100,IF(U$101=10,Y100*S100*R100,Z100*S100*R100)))))</f>
        <v>18.600000000000001</v>
      </c>
      <c r="N100" s="25">
        <f t="shared" ref="N100:N109" si="55">M100/S100/R100</f>
        <v>2</v>
      </c>
      <c r="O100" s="19" t="str">
        <f t="shared" ref="O100:O106" si="56">TRIM(IF(LEN($J100)=0,"-",SUBSTITUTE($J100,","," ")))</f>
        <v>0 1 2 3 4 5 6</v>
      </c>
      <c r="P100" s="25">
        <f t="shared" ref="P100:P106" si="57">Q100*R100*2</f>
        <v>28</v>
      </c>
      <c r="Q100" s="25">
        <f>LEN(SUBSTITUTE(J100,",",))</f>
        <v>7</v>
      </c>
      <c r="R100" s="22">
        <v>2</v>
      </c>
      <c r="S100" s="22">
        <f>SSC!Y74</f>
        <v>4.6500000000000004</v>
      </c>
      <c r="T100" s="55" t="s">
        <v>552</v>
      </c>
      <c r="U100" s="50">
        <f>SUM(N(ISNUMBER(FIND(LEFT(K100,1),J100,1))),N(ISNUMBER(FIND(MID(K100,2,1),J100,1))),N(ISNUMBER(FIND(MID(K100,3,1),J100,1))),N(ISNUMBER(FIND(MID(K100,4,1),J100,1))),N(ISNUMBER(FIND(RIGHT(K100,1),J100,1))))</f>
        <v>3</v>
      </c>
      <c r="V100" s="50">
        <f>SUM(N(ISNUMBER(FIND(U$99,J100,1))),N(ISNUMBER(FIND(LEFT(V$99,1),J100,1))),N(ISNUMBER(FIND(MID(V$99,2,1),J100,1))),N(ISNUMBER(FIND(RIGHT(V$99,1),J100,1))))</f>
        <v>2</v>
      </c>
      <c r="W100" s="50">
        <f>SUM(N(ISNUMBER(FIND(U$99,J100,1))),N(ISNUMBER(FIND(X$99,J100,1))),N(ISNUMBER(FIND(W$99,J100,1))))</f>
        <v>1</v>
      </c>
      <c r="X100" s="51">
        <f>SUM(N(ISNUMBER(FIND(U$99,J100,1))),N(ISNUMBER(FIND(LEFT(V$99,1),J100,1))),N(ISNUMBER(FIND(RIGHT(V$99,1),J100,1))))</f>
        <v>2</v>
      </c>
      <c r="Y100" s="50">
        <f>SUM(N(ISNUMBER(FIND(U$99,J100,1))),N(ISNUMBER(FIND(W$99,J100,1))))</f>
        <v>1</v>
      </c>
      <c r="Z100" s="50">
        <f>SUM(N(ISNUMBER(FIND(U$99,J100,1))),N(ISNUMBER(FIND(V$99,J100,1))))</f>
        <v>1</v>
      </c>
    </row>
    <row r="101" spans="1:26" ht="20.100000000000001" customHeight="1" x14ac:dyDescent="0.15">
      <c r="A101" s="57"/>
      <c r="B101" s="2" t="s">
        <v>160</v>
      </c>
      <c r="C101" s="16">
        <f t="shared" si="38"/>
        <v>14</v>
      </c>
      <c r="D101" s="16">
        <f t="shared" si="39"/>
        <v>0</v>
      </c>
      <c r="E101" s="16">
        <f t="shared" si="40"/>
        <v>0</v>
      </c>
      <c r="F101" s="1">
        <v>14</v>
      </c>
      <c r="H101" s="6" t="s">
        <v>67</v>
      </c>
      <c r="I101" s="6" t="s">
        <v>69</v>
      </c>
      <c r="J101" s="17" t="s">
        <v>237</v>
      </c>
      <c r="K101" s="28">
        <f t="shared" si="29"/>
        <v>96681</v>
      </c>
      <c r="M101" s="29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52.42</v>
      </c>
      <c r="N101" s="25">
        <f t="shared" si="55"/>
        <v>1</v>
      </c>
      <c r="O101" s="19" t="str">
        <f t="shared" si="56"/>
        <v>0 1 2 3 4 5 6</v>
      </c>
      <c r="P101" s="25">
        <f t="shared" si="57"/>
        <v>168</v>
      </c>
      <c r="Q101" s="22">
        <f>COMBIN(LEN(SUBSTITUTE(J101,",",)),2)</f>
        <v>21</v>
      </c>
      <c r="R101" s="22">
        <v>4</v>
      </c>
      <c r="S101" s="22">
        <f>SSC!Y75</f>
        <v>13.105</v>
      </c>
      <c r="T101" s="55" t="s">
        <v>552</v>
      </c>
      <c r="U101">
        <f>LOOKUP(SUM(LEN(SUBSTITUTE(K88,MID(K88,{1,2,3,4,5},1),))),{8,12,14,16,18,20;5,10,20,30,60,120})</f>
        <v>60</v>
      </c>
      <c r="V101" s="50"/>
      <c r="W101" s="50"/>
      <c r="X101" s="51"/>
      <c r="Y101" s="50"/>
      <c r="Z101" s="50"/>
    </row>
    <row r="102" spans="1:26" ht="20.100000000000001" customHeight="1" x14ac:dyDescent="0.15">
      <c r="A102" s="57"/>
      <c r="B102" s="2" t="s">
        <v>161</v>
      </c>
      <c r="C102" s="16">
        <f t="shared" si="38"/>
        <v>0</v>
      </c>
      <c r="D102" s="16">
        <f t="shared" si="39"/>
        <v>0</v>
      </c>
      <c r="E102" s="16">
        <f t="shared" si="40"/>
        <v>0</v>
      </c>
      <c r="F102" s="1">
        <v>13</v>
      </c>
      <c r="H102" s="6" t="s">
        <v>68</v>
      </c>
      <c r="I102" s="6" t="s">
        <v>69</v>
      </c>
      <c r="J102" s="20" t="s">
        <v>390</v>
      </c>
      <c r="K102" s="28">
        <f t="shared" si="29"/>
        <v>96681</v>
      </c>
      <c r="M102" s="25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133.07999999999998</v>
      </c>
      <c r="N102" s="25">
        <f t="shared" si="55"/>
        <v>0.99999999999999989</v>
      </c>
      <c r="O102" s="19" t="str">
        <f t="shared" si="56"/>
        <v>0 1 2 5 8 9</v>
      </c>
      <c r="P102" s="25">
        <f t="shared" si="57"/>
        <v>120</v>
      </c>
      <c r="Q102" s="25">
        <f>COMBIN(LEN(SUBSTITUTE(J102,",",)),3)</f>
        <v>20</v>
      </c>
      <c r="R102" s="22">
        <v>3</v>
      </c>
      <c r="S102" s="22">
        <f>SSC!Y76</f>
        <v>44.36</v>
      </c>
      <c r="U102" s="50"/>
      <c r="V102" s="50"/>
      <c r="W102" s="50"/>
      <c r="X102" s="51"/>
      <c r="Y102" s="50"/>
      <c r="Z102" s="50"/>
    </row>
    <row r="103" spans="1:26" ht="20.100000000000001" customHeight="1" x14ac:dyDescent="0.15">
      <c r="A103" s="57"/>
      <c r="B103" s="2" t="s">
        <v>163</v>
      </c>
      <c r="C103" s="16">
        <f t="shared" si="38"/>
        <v>0</v>
      </c>
      <c r="D103" s="16">
        <f t="shared" si="39"/>
        <v>11</v>
      </c>
      <c r="E103" s="16">
        <f t="shared" si="40"/>
        <v>0</v>
      </c>
      <c r="F103" s="1">
        <v>11</v>
      </c>
      <c r="H103" s="6" t="s">
        <v>70</v>
      </c>
      <c r="I103" s="6" t="s">
        <v>70</v>
      </c>
      <c r="J103" s="20" t="s">
        <v>267</v>
      </c>
      <c r="K103" s="28">
        <f t="shared" si="29"/>
        <v>96681</v>
      </c>
      <c r="M103" s="29">
        <f>IF(U$101=120,U103*S103*R103,IF(U$101=60,V103*R103*S103,IF(U$101=30,W103*S103*R103,IF(U$101=20,X103*S103*R103,IF(U$101=10,Y103*S103*R103,Z103*S103*R103)))))</f>
        <v>74.400000000000006</v>
      </c>
      <c r="N103" s="25">
        <f t="shared" si="55"/>
        <v>4</v>
      </c>
      <c r="O103" s="19" t="str">
        <f t="shared" si="56"/>
        <v>0 1 2 3 4 5 6 7 8 9</v>
      </c>
      <c r="P103" s="25">
        <f t="shared" si="57"/>
        <v>80</v>
      </c>
      <c r="Q103" s="25">
        <f>LEN(SUBSTITUTE(J103,",",))</f>
        <v>10</v>
      </c>
      <c r="R103" s="22">
        <v>4</v>
      </c>
      <c r="S103" s="22">
        <f>SSC!Y77</f>
        <v>4.6500000000000004</v>
      </c>
      <c r="T103" s="55" t="s">
        <v>552</v>
      </c>
      <c r="U103" s="1">
        <f>SUM(N(ISNUMBER(FIND(MID(K103,1,1),J103,1))),N(ISNUMBER(FIND(MID(K103,2,1),J103,1))),N(ISNUMBER(FIND(MID(K103,3,1),J103,1))),N(ISNUMBER(FIND(MID(K103,4,1),J103,1))),N(ISNUMBER(FIND(MID(K103,5,1),J103,1))))</f>
        <v>5</v>
      </c>
      <c r="V103" s="1">
        <f>SUM(N(ISNUMBER(FIND(U$99,J103,1))),N(ISNUMBER(FIND(LEFT(V$99,1),J103,1))),N(ISNUMBER(FIND(MID(V$99,2,1),J103,1))),N(ISNUMBER(FIND(RIGHT(V$99,1),J103,1))))</f>
        <v>4</v>
      </c>
      <c r="W103" s="1">
        <f>SUM(N(ISNUMBER(FIND(U$99,J103,1))),N(ISNUMBER(FIND(X$99,J103,1))),N(ISNUMBER(FIND(W$99,J103,1))))</f>
        <v>1</v>
      </c>
      <c r="X103" s="51">
        <f>SUM(N(ISNUMBER(FIND(U$99,J103,1))),N(ISNUMBER(FIND(LEFT(V$99,1),J103,1))),N(ISNUMBER(FIND(RIGHT(V$99,1),J103,1))))</f>
        <v>3</v>
      </c>
      <c r="Y103" s="1">
        <f>SUM(N(ISNUMBER(FIND(U$99,J103,1))),N(ISNUMBER(FIND(W$99,J103,1))))</f>
        <v>1</v>
      </c>
      <c r="Z103" s="1">
        <f>SUM(N(ISNUMBER(FIND(U$99,J103,1))),N(ISNUMBER(FIND(V$99,J103,1))))</f>
        <v>1</v>
      </c>
    </row>
    <row r="104" spans="1:26" ht="20.100000000000001" customHeight="1" x14ac:dyDescent="0.15">
      <c r="A104" s="57"/>
      <c r="B104" s="2" t="s">
        <v>164</v>
      </c>
      <c r="C104" s="16">
        <f t="shared" si="38"/>
        <v>0</v>
      </c>
      <c r="D104" s="16">
        <f t="shared" si="39"/>
        <v>0</v>
      </c>
      <c r="E104" s="16">
        <f t="shared" si="40"/>
        <v>0</v>
      </c>
      <c r="F104" s="1">
        <v>10</v>
      </c>
      <c r="H104" s="6" t="s">
        <v>71</v>
      </c>
      <c r="I104" s="6" t="s">
        <v>71</v>
      </c>
      <c r="J104" s="20" t="s">
        <v>349</v>
      </c>
      <c r="K104" s="28">
        <f t="shared" si="29"/>
        <v>96681</v>
      </c>
      <c r="M104" s="25">
        <f>IF(AND(L88=60,ISNUMBER(FIND(L89,J104,1))),R104*S104,
 IF(L88=30,SUM(N(ISNUMBER(FIND(L89,J104,1))),N(ISNUMBER(FIND(L90,J104,1))))*R104*S104,
  IF(AND(L88=10,ISNUMBER(FIND(L91,J104,1))),R104*S104,0)))</f>
        <v>0</v>
      </c>
      <c r="N104" s="25">
        <f t="shared" si="55"/>
        <v>0</v>
      </c>
      <c r="O104" s="19" t="str">
        <f t="shared" si="56"/>
        <v>0 1 2 5 7 8</v>
      </c>
      <c r="P104" s="25">
        <f t="shared" si="57"/>
        <v>24</v>
      </c>
      <c r="Q104" s="25">
        <f>LEN(SUBSTITUTE(J104,",",))</f>
        <v>6</v>
      </c>
      <c r="R104" s="22">
        <v>2</v>
      </c>
      <c r="S104" s="22">
        <f>SSC!Y78</f>
        <v>23.65</v>
      </c>
    </row>
    <row r="105" spans="1:26" ht="20.100000000000001" customHeight="1" x14ac:dyDescent="0.15">
      <c r="A105" s="57"/>
      <c r="B105" s="2" t="s">
        <v>165</v>
      </c>
      <c r="C105" s="16">
        <f t="shared" si="38"/>
        <v>0</v>
      </c>
      <c r="D105" s="16">
        <f t="shared" si="39"/>
        <v>8</v>
      </c>
      <c r="E105" s="16">
        <f t="shared" si="40"/>
        <v>0</v>
      </c>
      <c r="F105" s="1">
        <v>8</v>
      </c>
      <c r="H105" s="6" t="s">
        <v>72</v>
      </c>
      <c r="I105" s="6" t="s">
        <v>72</v>
      </c>
      <c r="J105" s="20" t="s">
        <v>272</v>
      </c>
      <c r="K105" s="28">
        <f t="shared" si="29"/>
        <v>96681</v>
      </c>
      <c r="M105" s="25">
        <f>IF(OR(L88=20,L88=10),IF(ISNUMBER(FIND(L89,J105,1)),R105*S105,0),0)</f>
        <v>0</v>
      </c>
      <c r="N105" s="25">
        <f t="shared" si="55"/>
        <v>0</v>
      </c>
      <c r="O105" s="19" t="str">
        <f t="shared" si="56"/>
        <v>1 2</v>
      </c>
      <c r="P105" s="25">
        <f t="shared" si="57"/>
        <v>16</v>
      </c>
      <c r="Q105" s="25">
        <f>LEN(SUBSTITUTE(J105,",",))</f>
        <v>2</v>
      </c>
      <c r="R105" s="22">
        <v>4</v>
      </c>
      <c r="S105" s="22">
        <f>SSC!Y79</f>
        <v>225.42500000000001</v>
      </c>
    </row>
    <row r="106" spans="1:26" ht="20.100000000000001" customHeight="1" x14ac:dyDescent="0.15">
      <c r="A106" s="57"/>
      <c r="B106" s="2" t="s">
        <v>166</v>
      </c>
      <c r="C106" s="16">
        <f t="shared" si="38"/>
        <v>0</v>
      </c>
      <c r="D106" s="16">
        <f t="shared" si="39"/>
        <v>0</v>
      </c>
      <c r="E106" s="16">
        <f t="shared" si="40"/>
        <v>0</v>
      </c>
      <c r="F106" s="1">
        <v>6</v>
      </c>
      <c r="H106" s="6" t="s">
        <v>73</v>
      </c>
      <c r="I106" s="6" t="s">
        <v>73</v>
      </c>
      <c r="J106" s="20" t="s">
        <v>268</v>
      </c>
      <c r="K106" s="28">
        <f t="shared" si="29"/>
        <v>96681</v>
      </c>
      <c r="M106" s="25">
        <f>IF(L88=5,IF(ISNUMBER(FIND(L89,J106,1)),R105*I106,0),0)</f>
        <v>0</v>
      </c>
      <c r="N106" s="25">
        <f t="shared" si="55"/>
        <v>0</v>
      </c>
      <c r="O106" s="19" t="str">
        <f t="shared" si="56"/>
        <v>0 1 2 3 4 5 6 7 8 9</v>
      </c>
      <c r="P106" s="25">
        <f t="shared" si="57"/>
        <v>60</v>
      </c>
      <c r="Q106" s="25">
        <f>LEN(SUBSTITUTE(J106,",",))</f>
        <v>10</v>
      </c>
      <c r="R106" s="22">
        <v>3</v>
      </c>
      <c r="S106" s="22">
        <f>SSC!Y80</f>
        <v>4195.5950000000003</v>
      </c>
    </row>
    <row r="107" spans="1:26" ht="20.100000000000001" customHeight="1" x14ac:dyDescent="0.15">
      <c r="A107" s="57"/>
      <c r="B107" s="2" t="s">
        <v>167</v>
      </c>
      <c r="C107" s="16">
        <f t="shared" si="38"/>
        <v>0</v>
      </c>
      <c r="D107" s="16">
        <f t="shared" si="39"/>
        <v>0</v>
      </c>
      <c r="E107" s="16">
        <f t="shared" si="40"/>
        <v>0</v>
      </c>
      <c r="F107" s="1">
        <v>5</v>
      </c>
      <c r="G107" s="6" t="s">
        <v>74</v>
      </c>
      <c r="H107" s="56" t="s">
        <v>75</v>
      </c>
      <c r="I107" s="6" t="s">
        <v>76</v>
      </c>
      <c r="J107" s="17" t="s">
        <v>529</v>
      </c>
      <c r="K107" s="28">
        <f t="shared" si="29"/>
        <v>96681</v>
      </c>
      <c r="M107" s="56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154.4</v>
      </c>
      <c r="N107" s="56">
        <f t="shared" si="55"/>
        <v>4</v>
      </c>
      <c r="O107" s="58" t="str">
        <f t="shared" ref="O107:O109" si="58">TRIM(IF(LEN($J107)=0,"-",SUBSTITUTE($J107,","," ")))&amp;","&amp;TRIM(IF(LEN($J108)=0,"-",SUBSTITUTE($J108,","," ")))</f>
        <v>大 小 单 双,大 小 单 双</v>
      </c>
      <c r="P107" s="56">
        <f>Q107*R107*2</f>
        <v>160</v>
      </c>
      <c r="Q107" s="56">
        <f>LEN(SUBSTITUTE(J107,",",))*LEN(SUBSTITUTE(J108,",",))</f>
        <v>16</v>
      </c>
      <c r="R107" s="56">
        <v>5</v>
      </c>
      <c r="S107" s="56">
        <f>SSC!Y81</f>
        <v>7.72</v>
      </c>
    </row>
    <row r="108" spans="1:26" ht="20.100000000000001" customHeight="1" x14ac:dyDescent="0.15">
      <c r="A108" s="57"/>
      <c r="B108" s="2" t="s">
        <v>168</v>
      </c>
      <c r="C108" s="16">
        <f t="shared" si="38"/>
        <v>0</v>
      </c>
      <c r="D108" s="16">
        <f t="shared" si="39"/>
        <v>0</v>
      </c>
      <c r="E108" s="16">
        <f t="shared" si="40"/>
        <v>0</v>
      </c>
      <c r="F108" s="1">
        <v>4</v>
      </c>
      <c r="H108" s="56"/>
      <c r="I108" s="6" t="s">
        <v>77</v>
      </c>
      <c r="J108" s="20" t="s">
        <v>273</v>
      </c>
      <c r="K108" s="28">
        <f t="shared" si="29"/>
        <v>96681</v>
      </c>
      <c r="M108" s="56"/>
      <c r="N108" s="56"/>
      <c r="O108" s="58"/>
      <c r="P108" s="56"/>
      <c r="Q108" s="56"/>
      <c r="R108" s="56"/>
      <c r="S108" s="56"/>
    </row>
    <row r="109" spans="1:26" ht="20.100000000000001" customHeight="1" x14ac:dyDescent="0.15">
      <c r="A109" s="57"/>
      <c r="B109" s="2" t="s">
        <v>169</v>
      </c>
      <c r="C109" s="16">
        <f t="shared" si="38"/>
        <v>2</v>
      </c>
      <c r="D109" s="16">
        <f t="shared" si="39"/>
        <v>0</v>
      </c>
      <c r="E109" s="16">
        <f t="shared" si="40"/>
        <v>0</v>
      </c>
      <c r="F109" s="1">
        <v>2</v>
      </c>
      <c r="H109" s="56" t="s">
        <v>78</v>
      </c>
      <c r="I109" s="6" t="s">
        <v>79</v>
      </c>
      <c r="J109" s="20" t="s">
        <v>274</v>
      </c>
      <c r="K109" s="28">
        <f t="shared" si="29"/>
        <v>96681</v>
      </c>
      <c r="M109" s="56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30.88</v>
      </c>
      <c r="N109" s="56">
        <f t="shared" si="55"/>
        <v>4</v>
      </c>
      <c r="O109" s="58" t="str">
        <f t="shared" si="58"/>
        <v>大 小 单 双,大 小 单 双</v>
      </c>
      <c r="P109" s="56">
        <f t="shared" ref="P109" si="59">Q109*R109*2</f>
        <v>32</v>
      </c>
      <c r="Q109" s="56">
        <f>LEN(SUBSTITUTE(J109,",",))*LEN(SUBSTITUTE(J110,",",))</f>
        <v>16</v>
      </c>
      <c r="R109" s="56">
        <v>1</v>
      </c>
      <c r="S109" s="56">
        <f>SSC!Y82</f>
        <v>7.72</v>
      </c>
    </row>
    <row r="110" spans="1:26" ht="20.100000000000001" customHeight="1" x14ac:dyDescent="0.15">
      <c r="A110" s="57"/>
      <c r="B110" s="2" t="s">
        <v>170</v>
      </c>
      <c r="C110" s="16">
        <f t="shared" si="38"/>
        <v>2</v>
      </c>
      <c r="D110" s="16">
        <f t="shared" si="39"/>
        <v>0</v>
      </c>
      <c r="E110" s="16">
        <f t="shared" si="40"/>
        <v>2</v>
      </c>
      <c r="F110" s="1">
        <v>2</v>
      </c>
      <c r="H110" s="56"/>
      <c r="I110" s="6" t="s">
        <v>80</v>
      </c>
      <c r="J110" s="20" t="s">
        <v>243</v>
      </c>
      <c r="K110" s="28">
        <f t="shared" si="29"/>
        <v>96681</v>
      </c>
      <c r="M110" s="56"/>
      <c r="N110" s="56"/>
      <c r="O110" s="58"/>
      <c r="P110" s="56"/>
      <c r="Q110" s="56"/>
      <c r="R110" s="56"/>
      <c r="S110" s="56"/>
    </row>
    <row r="111" spans="1:26" ht="20.100000000000001" customHeight="1" x14ac:dyDescent="0.15">
      <c r="A111" s="57"/>
      <c r="B111" s="2" t="s">
        <v>171</v>
      </c>
      <c r="C111" s="16">
        <f t="shared" si="38"/>
        <v>1</v>
      </c>
      <c r="D111" s="16">
        <f t="shared" si="39"/>
        <v>1</v>
      </c>
      <c r="E111" s="16">
        <f t="shared" si="40"/>
        <v>1</v>
      </c>
      <c r="F111" s="1">
        <v>1</v>
      </c>
      <c r="H111" s="56" t="s">
        <v>81</v>
      </c>
      <c r="I111" s="6" t="s">
        <v>82</v>
      </c>
      <c r="J111" s="20" t="s">
        <v>243</v>
      </c>
      <c r="K111" s="28">
        <f t="shared" si="29"/>
        <v>96681</v>
      </c>
      <c r="M111" s="56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247.04</v>
      </c>
      <c r="N111" s="56">
        <f t="shared" ref="N111" si="60">M111/S111/R111</f>
        <v>8</v>
      </c>
      <c r="O111" s="58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6">
        <f t="shared" ref="P111" si="61">R111*Q111*2</f>
        <v>256</v>
      </c>
      <c r="Q111" s="56">
        <f>LEN(SUBSTITUTE(J111,",",))*LEN(SUBSTITUTE(J112,",",))*LEN(SUBSTITUTE(J113,",",))</f>
        <v>64</v>
      </c>
      <c r="R111" s="56">
        <v>2</v>
      </c>
      <c r="S111" s="56">
        <f>SSC!Y83</f>
        <v>15.44</v>
      </c>
    </row>
    <row r="112" spans="1:26" ht="20.100000000000001" customHeight="1" x14ac:dyDescent="0.15">
      <c r="H112" s="56"/>
      <c r="I112" s="6" t="s">
        <v>83</v>
      </c>
      <c r="J112" s="20" t="s">
        <v>243</v>
      </c>
      <c r="K112" s="28">
        <f t="shared" si="29"/>
        <v>96681</v>
      </c>
      <c r="M112" s="56"/>
      <c r="N112" s="56"/>
      <c r="O112" s="58"/>
      <c r="P112" s="56"/>
      <c r="Q112" s="56"/>
      <c r="R112" s="56"/>
      <c r="S112" s="56"/>
    </row>
    <row r="113" spans="7:19" ht="20.100000000000001" customHeight="1" x14ac:dyDescent="0.15">
      <c r="H113" s="56"/>
      <c r="I113" s="6" t="s">
        <v>84</v>
      </c>
      <c r="J113" s="20" t="s">
        <v>243</v>
      </c>
      <c r="K113" s="28">
        <f t="shared" si="29"/>
        <v>96681</v>
      </c>
      <c r="M113" s="56"/>
      <c r="N113" s="56"/>
      <c r="O113" s="58"/>
      <c r="P113" s="56"/>
      <c r="Q113" s="56"/>
      <c r="R113" s="56"/>
      <c r="S113" s="56"/>
    </row>
    <row r="114" spans="7:19" ht="20.100000000000001" customHeight="1" x14ac:dyDescent="0.15">
      <c r="H114" s="56" t="s">
        <v>37</v>
      </c>
      <c r="I114" s="6" t="s">
        <v>84</v>
      </c>
      <c r="J114" s="20" t="s">
        <v>243</v>
      </c>
      <c r="K114" s="28">
        <f t="shared" si="29"/>
        <v>96681</v>
      </c>
      <c r="M114" s="56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370.56</v>
      </c>
      <c r="N114" s="56">
        <f t="shared" ref="N114" si="62">M114/S114/R114</f>
        <v>8</v>
      </c>
      <c r="O114" s="58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6">
        <f t="shared" ref="P114" si="63">R114*Q114*2</f>
        <v>384</v>
      </c>
      <c r="Q114" s="56">
        <f>LEN(SUBSTITUTE(J114,",",))*LEN(SUBSTITUTE(J115,",",))*LEN(SUBSTITUTE(J116,",",))</f>
        <v>64</v>
      </c>
      <c r="R114" s="56">
        <v>3</v>
      </c>
      <c r="S114" s="56">
        <f>SSC!Y84</f>
        <v>15.44</v>
      </c>
    </row>
    <row r="115" spans="7:19" ht="20.100000000000001" customHeight="1" x14ac:dyDescent="0.15">
      <c r="H115" s="56"/>
      <c r="I115" s="6" t="s">
        <v>85</v>
      </c>
      <c r="J115" s="20" t="s">
        <v>243</v>
      </c>
      <c r="K115" s="28">
        <f t="shared" si="29"/>
        <v>96681</v>
      </c>
      <c r="M115" s="56"/>
      <c r="N115" s="56"/>
      <c r="O115" s="58"/>
      <c r="P115" s="56"/>
      <c r="Q115" s="56"/>
      <c r="R115" s="56"/>
      <c r="S115" s="56"/>
    </row>
    <row r="116" spans="7:19" ht="20.100000000000001" customHeight="1" x14ac:dyDescent="0.15">
      <c r="H116" s="56"/>
      <c r="I116" s="6" t="s">
        <v>80</v>
      </c>
      <c r="J116" s="20" t="s">
        <v>244</v>
      </c>
      <c r="K116" s="28">
        <f t="shared" si="29"/>
        <v>96681</v>
      </c>
      <c r="M116" s="56"/>
      <c r="N116" s="56"/>
      <c r="O116" s="58"/>
      <c r="P116" s="56"/>
      <c r="Q116" s="56"/>
      <c r="R116" s="56"/>
      <c r="S116" s="56"/>
    </row>
    <row r="117" spans="7:19" ht="20.100000000000001" customHeight="1" x14ac:dyDescent="0.15">
      <c r="G117" s="6" t="s">
        <v>86</v>
      </c>
      <c r="H117" s="56" t="s">
        <v>86</v>
      </c>
      <c r="I117" s="6" t="s">
        <v>87</v>
      </c>
      <c r="J117" s="20" t="s">
        <v>245</v>
      </c>
      <c r="K117" s="28">
        <f t="shared" si="29"/>
        <v>96681</v>
      </c>
      <c r="L117" s="25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6">
        <f>IF(SUM(L117:L122)&gt;0,SUM(L117:L122)*R117*S117,0)</f>
        <v>32.81</v>
      </c>
      <c r="N117" s="56">
        <f>M117/S117/R117</f>
        <v>17</v>
      </c>
      <c r="O117" s="58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6">
        <f>R117*Q117</f>
        <v>34</v>
      </c>
      <c r="Q117" s="56">
        <f>LEN(SUBSTITUTE(J117,",",))/2+LEN(SUBSTITUTE(J118,",",))+LEN(SUBSTITUTE(J119,",",))+LEN(SUBSTITUTE(J120,",",))+LEN(SUBSTITUTE(J121,",",))+LEN(SUBSTITUTE(J122,",",))</f>
        <v>34</v>
      </c>
      <c r="R117" s="56">
        <v>1</v>
      </c>
      <c r="S117" s="56">
        <f>SSC!Y85</f>
        <v>1.93</v>
      </c>
    </row>
    <row r="118" spans="7:19" ht="20.100000000000001" customHeight="1" x14ac:dyDescent="0.15">
      <c r="H118" s="56"/>
      <c r="I118" s="6" t="s">
        <v>6</v>
      </c>
      <c r="J118" s="20" t="s">
        <v>246</v>
      </c>
      <c r="K118" s="28">
        <f t="shared" si="29"/>
        <v>96681</v>
      </c>
      <c r="L118" s="48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6"/>
      <c r="N118" s="56"/>
      <c r="O118" s="58"/>
      <c r="P118" s="56"/>
      <c r="Q118" s="56"/>
      <c r="R118" s="56"/>
      <c r="S118" s="56"/>
    </row>
    <row r="119" spans="7:19" ht="20.100000000000001" customHeight="1" x14ac:dyDescent="0.15">
      <c r="H119" s="56"/>
      <c r="I119" s="6" t="s">
        <v>7</v>
      </c>
      <c r="J119" s="20" t="s">
        <v>247</v>
      </c>
      <c r="K119" s="28">
        <f t="shared" si="29"/>
        <v>96681</v>
      </c>
      <c r="L119" s="48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6"/>
      <c r="N119" s="56"/>
      <c r="O119" s="58"/>
      <c r="P119" s="56"/>
      <c r="Q119" s="56"/>
      <c r="R119" s="56"/>
      <c r="S119" s="56"/>
    </row>
    <row r="120" spans="7:19" ht="20.100000000000001" customHeight="1" x14ac:dyDescent="0.15">
      <c r="H120" s="56"/>
      <c r="I120" s="6" t="s">
        <v>8</v>
      </c>
      <c r="J120" s="20" t="s">
        <v>248</v>
      </c>
      <c r="K120" s="28">
        <f t="shared" si="29"/>
        <v>96681</v>
      </c>
      <c r="L120" s="48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6"/>
      <c r="N120" s="56"/>
      <c r="O120" s="58"/>
      <c r="P120" s="56"/>
      <c r="Q120" s="56"/>
      <c r="R120" s="56"/>
      <c r="S120" s="56"/>
    </row>
    <row r="121" spans="7:19" ht="20.100000000000001" customHeight="1" x14ac:dyDescent="0.15">
      <c r="H121" s="56"/>
      <c r="I121" s="6" t="s">
        <v>10</v>
      </c>
      <c r="J121" s="20" t="s">
        <v>249</v>
      </c>
      <c r="K121" s="28">
        <f t="shared" si="29"/>
        <v>96681</v>
      </c>
      <c r="L121" s="48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6"/>
      <c r="N121" s="56"/>
      <c r="O121" s="58"/>
      <c r="P121" s="56"/>
      <c r="Q121" s="56"/>
      <c r="R121" s="56"/>
      <c r="S121" s="56"/>
    </row>
    <row r="122" spans="7:19" ht="20.100000000000001" customHeight="1" x14ac:dyDescent="0.15">
      <c r="H122" s="56"/>
      <c r="I122" s="6" t="s">
        <v>11</v>
      </c>
      <c r="J122" s="20" t="s">
        <v>250</v>
      </c>
      <c r="K122" s="28">
        <f t="shared" si="29"/>
        <v>96681</v>
      </c>
      <c r="L122" s="48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6"/>
      <c r="N122" s="56"/>
      <c r="O122" s="58"/>
      <c r="P122" s="56"/>
      <c r="Q122" s="56"/>
      <c r="R122" s="56"/>
      <c r="S122" s="56"/>
    </row>
    <row r="123" spans="7:19" ht="20.100000000000001" customHeight="1" x14ac:dyDescent="0.15">
      <c r="G123" s="6" t="s">
        <v>88</v>
      </c>
      <c r="H123" s="56" t="s">
        <v>89</v>
      </c>
      <c r="I123" s="6" t="s">
        <v>90</v>
      </c>
      <c r="J123" s="20" t="s">
        <v>204</v>
      </c>
      <c r="K123" s="28">
        <f t="shared" si="29"/>
        <v>96681</v>
      </c>
      <c r="L123" s="25">
        <f>IF(LEFT(K123,1)=MID(K123,2,1),N(ISNUMBER(FIND("和",J123,1)))*100,IF(LEFT(K123,1)&gt;MID(K123,2,1),N(ISNUMBER(FIND("龙",J123,1))),N(ISNUMBER(FIND("虎",J123,1)))))</f>
        <v>1</v>
      </c>
      <c r="M123" s="56">
        <f>IF(SUM(L123:L132)&gt;0,IF(SUM(L123:L132)=1000,0,IF(SUM(L123:L132)&gt;=100,RIGHT(SUM(L123:L132),1)*R123*S123,SUM(L123:L132)*S123*R123)),0)</f>
        <v>38.339999999999996</v>
      </c>
      <c r="N123" s="56" t="str">
        <f>IF(SUM(L123:L132)&gt;0,IF(SUM(L123:L132)&gt;=100,RIGHT(SUM(L123:L132),1),SUM(L123:L132)),0)</f>
        <v>9</v>
      </c>
      <c r="O123" s="58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6">
        <f>R123*Q123</f>
        <v>60</v>
      </c>
      <c r="Q123" s="56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6">
        <v>2</v>
      </c>
      <c r="S123" s="56">
        <f>SSC!Y86</f>
        <v>2.13</v>
      </c>
    </row>
    <row r="124" spans="7:19" ht="20.100000000000001" customHeight="1" x14ac:dyDescent="0.15">
      <c r="H124" s="56"/>
      <c r="I124" s="6" t="s">
        <v>91</v>
      </c>
      <c r="J124" s="20" t="s">
        <v>252</v>
      </c>
      <c r="K124" s="28">
        <f t="shared" si="29"/>
        <v>96681</v>
      </c>
      <c r="L124" s="36">
        <f>IF(LEFT(K124,1)=MID(K124,3,1),N(ISNUMBER(FIND("和",J124,1)))*100,IF(LEFT(K124,1)&gt;MID(K124,3,1),N(ISNUMBER(FIND("龙",J124,1))),N(ISNUMBER(FIND("虎",J124,1)))))</f>
        <v>1</v>
      </c>
      <c r="M124" s="56"/>
      <c r="N124" s="56"/>
      <c r="O124" s="58"/>
      <c r="P124" s="56"/>
      <c r="Q124" s="56"/>
      <c r="R124" s="56"/>
      <c r="S124" s="56"/>
    </row>
    <row r="125" spans="7:19" ht="20.100000000000001" customHeight="1" x14ac:dyDescent="0.15">
      <c r="H125" s="56"/>
      <c r="I125" s="6" t="s">
        <v>92</v>
      </c>
      <c r="J125" s="20" t="s">
        <v>253</v>
      </c>
      <c r="K125" s="28">
        <f t="shared" si="29"/>
        <v>96681</v>
      </c>
      <c r="L125" s="36">
        <f>IF(LEFT(K125,1)=MID(K125,4,1),N(ISNUMBER(FIND("和",J125,1)))*100,IF(LEFT(K125,1)&gt;MID(K125,4,1),N(ISNUMBER(FIND("龙",J125,1))),N(ISNUMBER(FIND("虎",J125,1)))))</f>
        <v>1</v>
      </c>
      <c r="M125" s="56"/>
      <c r="N125" s="56"/>
      <c r="O125" s="58"/>
      <c r="P125" s="56"/>
      <c r="Q125" s="56"/>
      <c r="R125" s="56"/>
      <c r="S125" s="56"/>
    </row>
    <row r="126" spans="7:19" ht="20.100000000000001" customHeight="1" x14ac:dyDescent="0.15">
      <c r="H126" s="56"/>
      <c r="I126" s="6" t="s">
        <v>93</v>
      </c>
      <c r="J126" s="20" t="s">
        <v>253</v>
      </c>
      <c r="K126" s="28">
        <f t="shared" si="29"/>
        <v>96681</v>
      </c>
      <c r="L126" s="36">
        <f>IF(LEFT(K126,1)=MID(K126,5,1),N(ISNUMBER(FIND("和",J126,1)))*100,IF(LEFT(K126,1)&gt;MID(K126,5,1),N(ISNUMBER(FIND("龙",J126,1))),N(ISNUMBER(FIND("虎",J126,1)))))</f>
        <v>1</v>
      </c>
      <c r="M126" s="56"/>
      <c r="N126" s="56"/>
      <c r="O126" s="58"/>
      <c r="P126" s="56"/>
      <c r="Q126" s="56"/>
      <c r="R126" s="56"/>
      <c r="S126" s="56"/>
    </row>
    <row r="127" spans="7:19" ht="20.100000000000001" customHeight="1" x14ac:dyDescent="0.15">
      <c r="H127" s="56"/>
      <c r="I127" s="6" t="s">
        <v>94</v>
      </c>
      <c r="J127" s="20" t="s">
        <v>252</v>
      </c>
      <c r="K127" s="28">
        <f t="shared" si="29"/>
        <v>96681</v>
      </c>
      <c r="L127" s="36">
        <f>IF(MID(K127,2,1)=MID(K127,3,1),N(ISNUMBER(FIND("和",J127,1)))*100,IF(MID(K127,2,1)&gt;MID(K127,3,1),N(ISNUMBER(FIND("龙",J127,1))),N(ISNUMBER(FIND("虎",J127,1)))))</f>
        <v>100</v>
      </c>
      <c r="M127" s="56"/>
      <c r="N127" s="56"/>
      <c r="O127" s="58"/>
      <c r="P127" s="56"/>
      <c r="Q127" s="56"/>
      <c r="R127" s="56"/>
      <c r="S127" s="56"/>
    </row>
    <row r="128" spans="7:19" ht="20.100000000000001" customHeight="1" x14ac:dyDescent="0.15">
      <c r="H128" s="56"/>
      <c r="I128" s="6" t="s">
        <v>95</v>
      </c>
      <c r="J128" s="20" t="s">
        <v>254</v>
      </c>
      <c r="K128" s="28">
        <f t="shared" si="29"/>
        <v>96681</v>
      </c>
      <c r="L128" s="36">
        <f>IF(MID(K127,2,1)=MID(K128,4,1),N(ISNUMBER(FIND("和",J128,1)))*100,IF(MID(K127,2,1)&gt;MID(K128,4,1),N(ISNUMBER(FIND("龙",J128,1))),N(ISNUMBER(FIND("虎",J128,1)))))</f>
        <v>1</v>
      </c>
      <c r="M128" s="56">
        <f>IF(SUM(L123:L132)&gt;0,IF(SUM(L123:L132)=1000,R123*S128*10,IF(SUM(L123:L132)&gt;=100,LEFT(SUM(L123:L132),1)*R123*S128,0)),0)</f>
        <v>19.600000000000001</v>
      </c>
      <c r="N128" s="56" t="str">
        <f>IF(SUM(L123:L132)&gt;0,IF(SUM(L123:L132)=1000,10,IF(SUM(L123:L132)&gt;=100,LEFT(SUM(L123:L132),1),0)),0)</f>
        <v>1</v>
      </c>
      <c r="O128" s="58"/>
      <c r="P128" s="56"/>
      <c r="Q128" s="56"/>
      <c r="R128" s="56"/>
      <c r="S128" s="56">
        <v>9.8000000000000007</v>
      </c>
    </row>
    <row r="129" spans="7:19" ht="20.100000000000001" customHeight="1" x14ac:dyDescent="0.15">
      <c r="H129" s="56"/>
      <c r="I129" s="6" t="s">
        <v>96</v>
      </c>
      <c r="J129" s="20" t="s">
        <v>251</v>
      </c>
      <c r="K129" s="28">
        <f t="shared" si="29"/>
        <v>96681</v>
      </c>
      <c r="L129" s="36">
        <f>IF(MID(K127,2,1)=MID(K129,5,1),N(ISNUMBER(FIND("和",J129,1)))*100,IF(MID(K127,2,1)&gt;MID(K129,5,1),N(ISNUMBER(FIND("龙",J129,1))),N(ISNUMBER(FIND("虎",J129,1)))))</f>
        <v>1</v>
      </c>
      <c r="M129" s="56"/>
      <c r="N129" s="56"/>
      <c r="O129" s="58"/>
      <c r="P129" s="56"/>
      <c r="Q129" s="56"/>
      <c r="R129" s="56"/>
      <c r="S129" s="56"/>
    </row>
    <row r="130" spans="7:19" ht="20.100000000000001" customHeight="1" x14ac:dyDescent="0.15">
      <c r="H130" s="56"/>
      <c r="I130" s="6" t="s">
        <v>97</v>
      </c>
      <c r="J130" s="20" t="s">
        <v>255</v>
      </c>
      <c r="K130" s="28">
        <f t="shared" si="29"/>
        <v>96681</v>
      </c>
      <c r="L130" s="36">
        <f>IF(MID(K127,3,1)=MID(K130,4,1),N(ISNUMBER(FIND("和",J130,1)))*100,IF(MID(K127,3,1)&gt;MID(K130,4,1),N(ISNUMBER(FIND("龙",J130,1))),N(ISNUMBER(FIND("虎",J130,1)))))</f>
        <v>1</v>
      </c>
      <c r="M130" s="56"/>
      <c r="N130" s="56"/>
      <c r="O130" s="58"/>
      <c r="P130" s="56"/>
      <c r="Q130" s="56"/>
      <c r="R130" s="56"/>
      <c r="S130" s="56"/>
    </row>
    <row r="131" spans="7:19" ht="20.100000000000001" customHeight="1" x14ac:dyDescent="0.15">
      <c r="H131" s="56"/>
      <c r="I131" s="6" t="s">
        <v>98</v>
      </c>
      <c r="J131" s="20" t="s">
        <v>252</v>
      </c>
      <c r="K131" s="28">
        <f t="shared" si="29"/>
        <v>96681</v>
      </c>
      <c r="L131" s="36">
        <f>IF(MID(K127,3,1)=MID(K131,5,1),N(ISNUMBER(FIND("和",J131,1)))*100,IF(MID(K127,3,1)&gt;MID(K131,5,1),N(ISNUMBER(FIND("龙",J131,1))),N(ISNUMBER(FIND("虎",J131,1)))))</f>
        <v>1</v>
      </c>
      <c r="M131" s="56"/>
      <c r="N131" s="56"/>
      <c r="O131" s="58"/>
      <c r="P131" s="56"/>
      <c r="Q131" s="56"/>
      <c r="R131" s="56"/>
      <c r="S131" s="56"/>
    </row>
    <row r="132" spans="7:19" ht="20.100000000000001" customHeight="1" x14ac:dyDescent="0.15">
      <c r="H132" s="56"/>
      <c r="I132" s="6" t="s">
        <v>99</v>
      </c>
      <c r="J132" s="17" t="s">
        <v>204</v>
      </c>
      <c r="K132" s="28">
        <f t="shared" ref="K132:K133" si="64">K131</f>
        <v>96681</v>
      </c>
      <c r="L132" s="36">
        <f>IF(MID(K127,4,1)=MID(K132,5,1),N(ISNUMBER(FIND("和",J132,1)))*100,IF(MID(K127,4,1)&gt;MID(K132,5,1),N(ISNUMBER(FIND("龙",J132,1))),N(ISNUMBER(FIND("虎",J132,1)))))</f>
        <v>1</v>
      </c>
      <c r="M132" s="56"/>
      <c r="N132" s="56"/>
      <c r="O132" s="58"/>
      <c r="P132" s="56"/>
      <c r="Q132" s="56"/>
      <c r="R132" s="56"/>
      <c r="S132" s="56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28">
        <f t="shared" si="64"/>
        <v>96681</v>
      </c>
      <c r="M133" s="25">
        <f>IF(SUM(LEFT(K133,1),MID(K133,2,1),MID(K133,3,1),MID(K133,4,1),MID(K133,5,1))=LEFT(K133,1)*5,R133*S133,0)</f>
        <v>0</v>
      </c>
      <c r="N133" s="25">
        <f>M133/S133/R133</f>
        <v>0</v>
      </c>
      <c r="O133" s="19" t="str">
        <f t="shared" ref="O133" si="65">TRIM(IF(LEN($J133)=0,"-",SUBSTITUTE($J133,","," ")))</f>
        <v>0 1 2 3 4 5 6 7 8 9</v>
      </c>
      <c r="P133" s="25">
        <f t="shared" ref="P133" si="66">Q133*R133*2</f>
        <v>60</v>
      </c>
      <c r="Q133" s="1">
        <f>LEN(SUBSTITUTE(J133,",",))</f>
        <v>10</v>
      </c>
      <c r="R133" s="22">
        <v>3</v>
      </c>
      <c r="S133" s="22">
        <f>SSC!Y88</f>
        <v>96500</v>
      </c>
    </row>
    <row r="134" spans="7:19" ht="20.100000000000001" customHeight="1" x14ac:dyDescent="0.15">
      <c r="M134" s="25">
        <f>IF(SUM(L123:L132)&gt;0,IF(SUM(L123:L132)=1000,R123*S128*10,IF(SUM(L123:L132)&gt;=100,LEFT(SUM(L123:L132),1)*R123*S128+RIGHT(SUM(L123:L132),1)*R123*S123,SUM(L123:L132)*S123*R123)),0)</f>
        <v>57.94</v>
      </c>
    </row>
    <row r="137" spans="7:19" ht="20.100000000000001" customHeight="1" x14ac:dyDescent="0.15">
      <c r="O137" s="9">
        <f>R123*S123*9</f>
        <v>38.339999999999996</v>
      </c>
    </row>
    <row r="138" spans="7:19" ht="20.100000000000001" customHeight="1" x14ac:dyDescent="0.15">
      <c r="O138" s="9">
        <f>R123*S128*1</f>
        <v>19.600000000000001</v>
      </c>
    </row>
    <row r="139" spans="7:19" ht="20.100000000000001" customHeight="1" x14ac:dyDescent="0.15">
      <c r="O139" s="9">
        <f>O137+O138</f>
        <v>57.94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topLeftCell="C10" zoomScaleNormal="100" workbookViewId="0">
      <selection activeCell="P25" sqref="P25"/>
    </sheetView>
  </sheetViews>
  <sheetFormatPr defaultColWidth="9" defaultRowHeight="13.5" x14ac:dyDescent="0.15"/>
  <cols>
    <col min="1" max="1" width="6.375" style="30" customWidth="1"/>
    <col min="2" max="2" width="6.125" style="30" customWidth="1"/>
    <col min="3" max="3" width="6.5" style="31" customWidth="1"/>
    <col min="4" max="4" width="6.875" style="30" customWidth="1"/>
    <col min="5" max="6" width="7.25" style="30" customWidth="1"/>
    <col min="7" max="7" width="7" style="30" customWidth="1"/>
    <col min="8" max="8" width="7.125" style="30" customWidth="1"/>
    <col min="9" max="9" width="5.375" style="30" customWidth="1"/>
    <col min="10" max="10" width="10.375" style="30" customWidth="1"/>
    <col min="11" max="11" width="4.75" style="30" customWidth="1"/>
    <col min="12" max="12" width="17.875" style="30" customWidth="1"/>
    <col min="13" max="13" width="12.875" style="30" customWidth="1"/>
    <col min="14" max="14" width="13.25" style="30" customWidth="1"/>
    <col min="15" max="15" width="14.625" style="30" customWidth="1"/>
    <col min="16" max="16" width="12.875" style="30" customWidth="1"/>
    <col min="17" max="17" width="11" style="30" customWidth="1"/>
    <col min="18" max="19" width="11.25" style="30" customWidth="1"/>
    <col min="20" max="20" width="13.25" style="30" customWidth="1"/>
    <col min="21" max="21" width="9" style="30"/>
    <col min="22" max="22" width="11.125" style="30" customWidth="1"/>
    <col min="23" max="23" width="9" style="30"/>
    <col min="24" max="24" width="10.875" style="30" customWidth="1"/>
    <col min="25" max="16384" width="9" style="30"/>
  </cols>
  <sheetData>
    <row r="1" spans="1:25" x14ac:dyDescent="0.15">
      <c r="A1" s="32" t="s">
        <v>380</v>
      </c>
      <c r="B1" s="34" t="s">
        <v>379</v>
      </c>
      <c r="C1" s="34" t="s">
        <v>378</v>
      </c>
      <c r="D1" s="60" t="s">
        <v>377</v>
      </c>
      <c r="E1" s="60"/>
      <c r="F1" s="60" t="s">
        <v>376</v>
      </c>
      <c r="G1" s="60"/>
      <c r="H1" s="60" t="s">
        <v>375</v>
      </c>
      <c r="I1" s="60"/>
      <c r="J1" s="32" t="s">
        <v>374</v>
      </c>
      <c r="K1" s="32"/>
      <c r="Q1" s="40" t="s">
        <v>380</v>
      </c>
      <c r="R1" s="34" t="s">
        <v>379</v>
      </c>
      <c r="S1" s="34" t="s">
        <v>378</v>
      </c>
      <c r="T1" s="60" t="s">
        <v>377</v>
      </c>
      <c r="U1" s="60"/>
      <c r="V1" s="60" t="s">
        <v>376</v>
      </c>
      <c r="W1" s="60"/>
      <c r="X1" s="60" t="s">
        <v>497</v>
      </c>
      <c r="Y1" s="60"/>
    </row>
    <row r="2" spans="1:25" x14ac:dyDescent="0.15">
      <c r="A2" s="30">
        <v>1</v>
      </c>
      <c r="B2" s="30">
        <v>9.9</v>
      </c>
      <c r="C2" s="31">
        <v>9.9</v>
      </c>
      <c r="D2" s="32">
        <v>7001</v>
      </c>
      <c r="E2" s="30">
        <f t="shared" ref="E2:E65" si="0">C2</f>
        <v>9.9</v>
      </c>
      <c r="F2" s="32">
        <v>8001</v>
      </c>
      <c r="G2" s="30">
        <f t="shared" ref="G2:G65" si="1">$E2-0.1</f>
        <v>9.8000000000000007</v>
      </c>
      <c r="H2" s="32">
        <v>9001</v>
      </c>
      <c r="I2" s="30">
        <f t="shared" ref="I2:I65" si="2">$E2-0.2</f>
        <v>9.7000000000000011</v>
      </c>
      <c r="J2" s="41">
        <v>151</v>
      </c>
      <c r="L2" s="32" t="s">
        <v>373</v>
      </c>
      <c r="P2" s="41">
        <v>15196685175</v>
      </c>
      <c r="Q2" s="41">
        <v>82</v>
      </c>
      <c r="R2" s="41" t="s">
        <v>541</v>
      </c>
      <c r="S2" s="41">
        <v>9.9</v>
      </c>
      <c r="T2" s="33">
        <v>1697265</v>
      </c>
      <c r="U2" s="41">
        <f>S2</f>
        <v>9.9</v>
      </c>
      <c r="V2" s="33">
        <v>1170912</v>
      </c>
      <c r="W2" s="41">
        <f>U2-0.3</f>
        <v>9.6</v>
      </c>
      <c r="X2" s="33">
        <v>1171951</v>
      </c>
      <c r="Y2" s="41">
        <f>U2-0.5</f>
        <v>9.4</v>
      </c>
    </row>
    <row r="3" spans="1:25" x14ac:dyDescent="0.15">
      <c r="A3" s="30">
        <v>2</v>
      </c>
      <c r="B3" s="30">
        <f>F2</f>
        <v>8001</v>
      </c>
      <c r="C3" s="31">
        <f>G2</f>
        <v>9.8000000000000007</v>
      </c>
      <c r="D3" s="32">
        <v>7002</v>
      </c>
      <c r="E3" s="30">
        <f t="shared" si="0"/>
        <v>9.8000000000000007</v>
      </c>
      <c r="F3" s="32">
        <v>8002</v>
      </c>
      <c r="G3" s="30">
        <f t="shared" si="1"/>
        <v>9.7000000000000011</v>
      </c>
      <c r="H3" s="32">
        <v>9002</v>
      </c>
      <c r="I3" s="30">
        <f t="shared" si="2"/>
        <v>9.6000000000000014</v>
      </c>
      <c r="L3" s="32">
        <f>INDEX(Q$2:Y$48,MATCH(J2,Q:Q)-1,3)</f>
        <v>6.5</v>
      </c>
      <c r="P3" s="41" t="s">
        <v>542</v>
      </c>
      <c r="Q3" s="41">
        <v>140</v>
      </c>
      <c r="R3" s="41">
        <f>V2</f>
        <v>1170912</v>
      </c>
      <c r="S3" s="41">
        <f>W2</f>
        <v>9.6</v>
      </c>
      <c r="T3" s="33">
        <v>1172987</v>
      </c>
      <c r="U3" s="41">
        <f>S3</f>
        <v>9.6</v>
      </c>
      <c r="V3" s="33">
        <v>1176952</v>
      </c>
      <c r="W3" s="41">
        <f>U3-0.4</f>
        <v>9.1999999999999993</v>
      </c>
      <c r="X3" s="33"/>
      <c r="Y3" s="41">
        <f>U3-0.3</f>
        <v>9.2999999999999989</v>
      </c>
    </row>
    <row r="4" spans="1:25" x14ac:dyDescent="0.15">
      <c r="A4" s="30">
        <v>3</v>
      </c>
      <c r="B4" s="30">
        <f>H2</f>
        <v>9001</v>
      </c>
      <c r="C4" s="31">
        <f>I2</f>
        <v>9.7000000000000011</v>
      </c>
      <c r="D4" s="32">
        <v>7003</v>
      </c>
      <c r="E4" s="30">
        <f t="shared" si="0"/>
        <v>9.7000000000000011</v>
      </c>
      <c r="F4" s="32">
        <v>8003</v>
      </c>
      <c r="G4" s="30">
        <f t="shared" si="1"/>
        <v>9.6000000000000014</v>
      </c>
      <c r="H4" s="32">
        <v>9003</v>
      </c>
      <c r="I4" s="30">
        <f t="shared" si="2"/>
        <v>9.5000000000000018</v>
      </c>
      <c r="P4" s="41" t="s">
        <v>543</v>
      </c>
      <c r="Q4" s="41">
        <v>143</v>
      </c>
      <c r="R4" s="41">
        <f t="shared" ref="R4:S12" si="3">V3</f>
        <v>1176952</v>
      </c>
      <c r="S4" s="41">
        <f t="shared" si="3"/>
        <v>9.1999999999999993</v>
      </c>
      <c r="T4" s="33"/>
      <c r="U4" s="41">
        <f>S4</f>
        <v>9.1999999999999993</v>
      </c>
      <c r="V4" s="33">
        <v>1200960</v>
      </c>
      <c r="W4" s="41">
        <f>U4-0.3</f>
        <v>8.8999999999999986</v>
      </c>
      <c r="X4" s="33"/>
      <c r="Y4" s="41">
        <f>U4-0.3</f>
        <v>8.8999999999999986</v>
      </c>
    </row>
    <row r="5" spans="1:25" x14ac:dyDescent="0.15">
      <c r="A5" s="30">
        <v>4</v>
      </c>
      <c r="B5" s="30">
        <f>F3</f>
        <v>8002</v>
      </c>
      <c r="C5" s="31">
        <f>G3</f>
        <v>9.7000000000000011</v>
      </c>
      <c r="D5" s="32">
        <v>7004</v>
      </c>
      <c r="E5" s="30">
        <f t="shared" si="0"/>
        <v>9.7000000000000011</v>
      </c>
      <c r="F5" s="32">
        <v>8004</v>
      </c>
      <c r="G5" s="30">
        <f t="shared" si="1"/>
        <v>9.6000000000000014</v>
      </c>
      <c r="H5" s="32">
        <v>9004</v>
      </c>
      <c r="I5" s="30">
        <f t="shared" si="2"/>
        <v>9.5000000000000018</v>
      </c>
      <c r="L5" s="32" t="s">
        <v>372</v>
      </c>
      <c r="M5" s="32" t="s">
        <v>371</v>
      </c>
      <c r="N5" s="32" t="s">
        <v>350</v>
      </c>
      <c r="O5" s="32" t="s">
        <v>370</v>
      </c>
      <c r="P5" s="41" t="s">
        <v>544</v>
      </c>
      <c r="Q5" s="41">
        <v>144</v>
      </c>
      <c r="R5" s="41">
        <f t="shared" si="3"/>
        <v>1200960</v>
      </c>
      <c r="S5" s="41">
        <f t="shared" si="3"/>
        <v>8.8999999999999986</v>
      </c>
      <c r="T5" s="33"/>
      <c r="U5" s="41">
        <f t="shared" ref="U5:U12" si="4">S5</f>
        <v>8.8999999999999986</v>
      </c>
      <c r="V5" s="33">
        <v>1202928</v>
      </c>
      <c r="W5" s="41">
        <f>U5-0.7</f>
        <v>8.1999999999999993</v>
      </c>
      <c r="X5" s="33"/>
      <c r="Y5" s="41">
        <f>U5-0.5</f>
        <v>8.3999999999999986</v>
      </c>
    </row>
    <row r="6" spans="1:25" x14ac:dyDescent="0.15">
      <c r="A6" s="30">
        <v>5</v>
      </c>
      <c r="B6" s="30">
        <f>H3</f>
        <v>9002</v>
      </c>
      <c r="C6" s="31">
        <f>I3</f>
        <v>9.6000000000000014</v>
      </c>
      <c r="D6" s="32">
        <v>7005</v>
      </c>
      <c r="E6" s="30">
        <f t="shared" si="0"/>
        <v>9.6000000000000014</v>
      </c>
      <c r="F6" s="32">
        <v>8005</v>
      </c>
      <c r="G6" s="30">
        <f t="shared" si="1"/>
        <v>9.5000000000000018</v>
      </c>
      <c r="H6" s="32">
        <v>9005</v>
      </c>
      <c r="I6" s="30">
        <f t="shared" si="2"/>
        <v>9.4000000000000021</v>
      </c>
      <c r="L6" s="30">
        <f>IF(ISNUMBER(INDEX(Q$2:Y$48,MATCH(J2,Q:Q)-1,2)),INDEX(Q$2:Y$48,MATCH(J2,Q:Q)-1,2),"没有上级")</f>
        <v>1216992</v>
      </c>
      <c r="M6" s="33">
        <f>IF(ISNUMBER(INT(L6)),IF(AND(J2&lt;152,J2&gt;82),INDEX(Q$2:Y$48,MATCH(L6,V:V,0)-1,1),IF(J2=82,"没有上级",INDEX(Q$2:Y$48,MATCH(L6,X:X,0)-1,1))),"没有上级")</f>
        <v>150</v>
      </c>
      <c r="N6" s="30">
        <f>IF(ISNUMBER(INDEX(Q$2:Y$48,MATCH(M6,$Q:$Q)-1,3)),INDEX(Q$2:Y$48,MATCH(M6,$Q:$Q)-1,3),"没有上级")</f>
        <v>6.6</v>
      </c>
      <c r="O6" s="30">
        <f>IF(ISNUMBER(N6-L3),ROUND((N6-L3)*10,0),"没有上级")</f>
        <v>1</v>
      </c>
      <c r="P6" s="41" t="s">
        <v>545</v>
      </c>
      <c r="Q6" s="41">
        <v>145</v>
      </c>
      <c r="R6" s="41">
        <f t="shared" si="3"/>
        <v>1202928</v>
      </c>
      <c r="S6" s="41">
        <f t="shared" si="3"/>
        <v>8.1999999999999993</v>
      </c>
      <c r="T6" s="33"/>
      <c r="U6" s="41">
        <f t="shared" si="4"/>
        <v>8.1999999999999993</v>
      </c>
      <c r="V6" s="33">
        <v>1204995</v>
      </c>
      <c r="W6" s="41">
        <f>U6-0.1</f>
        <v>8.1</v>
      </c>
      <c r="X6" s="33"/>
      <c r="Y6" s="41">
        <f>U6-0.3</f>
        <v>7.8999999999999995</v>
      </c>
    </row>
    <row r="7" spans="1:25" x14ac:dyDescent="0.15">
      <c r="A7" s="30">
        <v>6</v>
      </c>
      <c r="B7" s="30">
        <f>F4</f>
        <v>8003</v>
      </c>
      <c r="C7" s="31">
        <f>G4</f>
        <v>9.6000000000000014</v>
      </c>
      <c r="D7" s="32">
        <v>7006</v>
      </c>
      <c r="E7" s="30">
        <f t="shared" si="0"/>
        <v>9.6000000000000014</v>
      </c>
      <c r="F7" s="32">
        <v>8006</v>
      </c>
      <c r="G7" s="30">
        <f t="shared" si="1"/>
        <v>9.5000000000000018</v>
      </c>
      <c r="H7" s="32">
        <v>9006</v>
      </c>
      <c r="I7" s="30">
        <f t="shared" si="2"/>
        <v>9.4000000000000021</v>
      </c>
      <c r="P7" s="41" t="s">
        <v>546</v>
      </c>
      <c r="Q7" s="41">
        <v>146</v>
      </c>
      <c r="R7" s="41">
        <f t="shared" si="3"/>
        <v>1204995</v>
      </c>
      <c r="S7" s="41">
        <f t="shared" si="3"/>
        <v>8.1</v>
      </c>
      <c r="T7" s="33"/>
      <c r="U7" s="41">
        <f t="shared" si="4"/>
        <v>8.1</v>
      </c>
      <c r="V7" s="33">
        <v>1206981</v>
      </c>
      <c r="W7" s="41">
        <f>U7-0.3</f>
        <v>7.8</v>
      </c>
      <c r="X7" s="33"/>
      <c r="Y7" s="41">
        <f>U7-0.4</f>
        <v>7.6999999999999993</v>
      </c>
    </row>
    <row r="8" spans="1:25" x14ac:dyDescent="0.15">
      <c r="A8" s="30">
        <v>7</v>
      </c>
      <c r="B8" s="30">
        <f>F5</f>
        <v>8004</v>
      </c>
      <c r="C8" s="31">
        <f>G5</f>
        <v>9.6000000000000014</v>
      </c>
      <c r="D8" s="32">
        <v>7007</v>
      </c>
      <c r="E8" s="30">
        <f t="shared" si="0"/>
        <v>9.6000000000000014</v>
      </c>
      <c r="F8" s="32">
        <v>8007</v>
      </c>
      <c r="G8" s="30">
        <f t="shared" si="1"/>
        <v>9.5000000000000018</v>
      </c>
      <c r="H8" s="32">
        <v>9007</v>
      </c>
      <c r="I8" s="30">
        <f t="shared" si="2"/>
        <v>9.4000000000000021</v>
      </c>
      <c r="L8" s="32" t="s">
        <v>369</v>
      </c>
      <c r="M8" s="32" t="s">
        <v>368</v>
      </c>
      <c r="N8" s="32" t="s">
        <v>367</v>
      </c>
      <c r="O8" s="30" t="s">
        <v>466</v>
      </c>
      <c r="P8" s="41" t="s">
        <v>547</v>
      </c>
      <c r="Q8" s="41">
        <v>147</v>
      </c>
      <c r="R8" s="41">
        <f t="shared" si="3"/>
        <v>1206981</v>
      </c>
      <c r="S8" s="41">
        <f t="shared" si="3"/>
        <v>7.8</v>
      </c>
      <c r="T8" s="33"/>
      <c r="U8" s="41">
        <f t="shared" si="4"/>
        <v>7.8</v>
      </c>
      <c r="V8" s="33">
        <v>1210988</v>
      </c>
      <c r="W8" s="41">
        <f>U8-0.4</f>
        <v>7.3999999999999995</v>
      </c>
      <c r="X8" s="33"/>
      <c r="Y8" s="41">
        <f>U8-0.2</f>
        <v>7.6</v>
      </c>
    </row>
    <row r="9" spans="1:25" x14ac:dyDescent="0.15">
      <c r="A9" s="30">
        <v>8</v>
      </c>
      <c r="B9" s="30">
        <f>H5</f>
        <v>9004</v>
      </c>
      <c r="C9" s="31">
        <f>I5</f>
        <v>9.5000000000000018</v>
      </c>
      <c r="D9" s="32">
        <v>7008</v>
      </c>
      <c r="E9" s="30">
        <f t="shared" si="0"/>
        <v>9.5000000000000018</v>
      </c>
      <c r="F9" s="32">
        <v>8008</v>
      </c>
      <c r="G9" s="30">
        <f t="shared" si="1"/>
        <v>9.4000000000000021</v>
      </c>
      <c r="H9" s="32">
        <v>9008</v>
      </c>
      <c r="I9" s="30">
        <f t="shared" si="2"/>
        <v>9.3000000000000025</v>
      </c>
      <c r="L9" s="41">
        <f>IF(ISNUMBER(INDEX(Q$2:Y$48,MATCH(M6,Q:Q)-1,2)),INDEX(Q$2:Y$48,MATCH(M6,Q:Q)-1,2),"没有上级")</f>
        <v>1214993</v>
      </c>
      <c r="M9" s="33">
        <f>IF(ISNUMBER(INT(L9)),IF(OR(AND(M6&lt;152,M6&gt;82),AND(M6&lt;395,M6&gt;385)),INDEX(Q$2:Y$48,MATCH(L9,V:V,0)-1,1),IF(OR(M6=82,M6=385),"没有上级",INDEX(Q$2:Y$48,MATCH(L9,X:X,0)-1,1))),"没有上级")</f>
        <v>149</v>
      </c>
      <c r="N9" s="41">
        <f>IF(ISNUMBER(INDEX(Q$2:Y$48,MATCH(M9,$Q:$Q)-1,3)),INDEX(Q$2:Y$48,MATCH(M9,$Q:$Q)-1,3),"没有上级")</f>
        <v>7.1999999999999993</v>
      </c>
      <c r="O9" s="41">
        <f>IF(ISNUMBER(N9-N6),ROUND((N9-N6)*10,0),"没有上级")</f>
        <v>6</v>
      </c>
      <c r="P9" s="41" t="s">
        <v>548</v>
      </c>
      <c r="Q9" s="41">
        <v>148</v>
      </c>
      <c r="R9" s="41">
        <f t="shared" si="3"/>
        <v>1210988</v>
      </c>
      <c r="S9" s="41">
        <f t="shared" si="3"/>
        <v>7.3999999999999995</v>
      </c>
      <c r="T9" s="33"/>
      <c r="U9" s="41">
        <f t="shared" si="4"/>
        <v>7.3999999999999995</v>
      </c>
      <c r="V9" s="33">
        <v>1212942</v>
      </c>
      <c r="W9" s="41">
        <f>U9-0.2</f>
        <v>7.1999999999999993</v>
      </c>
      <c r="X9" s="33"/>
      <c r="Y9" s="41">
        <f>U9-0.1</f>
        <v>7.3</v>
      </c>
    </row>
    <row r="10" spans="1:25" x14ac:dyDescent="0.15">
      <c r="A10" s="30">
        <v>9</v>
      </c>
      <c r="B10" s="30">
        <f>F6</f>
        <v>8005</v>
      </c>
      <c r="C10" s="31">
        <f>G6</f>
        <v>9.5000000000000018</v>
      </c>
      <c r="D10" s="32">
        <v>7009</v>
      </c>
      <c r="E10" s="30">
        <f t="shared" si="0"/>
        <v>9.5000000000000018</v>
      </c>
      <c r="F10" s="32">
        <v>8009</v>
      </c>
      <c r="G10" s="30">
        <f t="shared" si="1"/>
        <v>9.4000000000000021</v>
      </c>
      <c r="H10" s="32">
        <v>9009</v>
      </c>
      <c r="I10" s="30">
        <f t="shared" si="2"/>
        <v>9.3000000000000025</v>
      </c>
      <c r="P10" s="41" t="s">
        <v>549</v>
      </c>
      <c r="Q10" s="41">
        <v>149</v>
      </c>
      <c r="R10" s="41">
        <f t="shared" si="3"/>
        <v>1212942</v>
      </c>
      <c r="S10" s="41">
        <f t="shared" si="3"/>
        <v>7.1999999999999993</v>
      </c>
      <c r="T10" s="33"/>
      <c r="U10" s="41">
        <f t="shared" si="4"/>
        <v>7.1999999999999993</v>
      </c>
      <c r="V10" s="33">
        <v>1214993</v>
      </c>
      <c r="W10" s="41">
        <f>U10-0.6</f>
        <v>6.6</v>
      </c>
      <c r="X10" s="33"/>
      <c r="Y10" s="41">
        <f>U10-0.2</f>
        <v>6.9999999999999991</v>
      </c>
    </row>
    <row r="11" spans="1:25" x14ac:dyDescent="0.15">
      <c r="A11" s="30">
        <v>10</v>
      </c>
      <c r="B11" s="30">
        <f>D7</f>
        <v>7006</v>
      </c>
      <c r="C11" s="31">
        <f>E7</f>
        <v>9.6000000000000014</v>
      </c>
      <c r="D11" s="32">
        <v>7010</v>
      </c>
      <c r="E11" s="30">
        <f t="shared" si="0"/>
        <v>9.6000000000000014</v>
      </c>
      <c r="F11" s="32">
        <v>8010</v>
      </c>
      <c r="G11" s="30">
        <f t="shared" si="1"/>
        <v>9.5000000000000018</v>
      </c>
      <c r="H11" s="32">
        <v>9010</v>
      </c>
      <c r="I11" s="30">
        <f t="shared" si="2"/>
        <v>9.4000000000000021</v>
      </c>
      <c r="L11" s="32" t="s">
        <v>366</v>
      </c>
      <c r="M11" s="32" t="s">
        <v>365</v>
      </c>
      <c r="N11" s="32" t="s">
        <v>381</v>
      </c>
      <c r="O11" s="30" t="s">
        <v>467</v>
      </c>
      <c r="P11" s="41" t="s">
        <v>550</v>
      </c>
      <c r="Q11" s="41">
        <v>150</v>
      </c>
      <c r="R11" s="41">
        <f t="shared" si="3"/>
        <v>1214993</v>
      </c>
      <c r="S11" s="41">
        <f t="shared" si="3"/>
        <v>6.6</v>
      </c>
      <c r="T11" s="33"/>
      <c r="U11" s="41">
        <f t="shared" si="4"/>
        <v>6.6</v>
      </c>
      <c r="V11" s="33">
        <v>1216992</v>
      </c>
      <c r="W11" s="41">
        <f>U11-0.1</f>
        <v>6.5</v>
      </c>
      <c r="X11" s="33"/>
      <c r="Y11" s="41">
        <f>U11-0.3</f>
        <v>6.3</v>
      </c>
    </row>
    <row r="12" spans="1:25" x14ac:dyDescent="0.15">
      <c r="A12" s="30">
        <v>11</v>
      </c>
      <c r="B12" s="30">
        <f>F7</f>
        <v>8006</v>
      </c>
      <c r="C12" s="31">
        <f>G7</f>
        <v>9.5000000000000018</v>
      </c>
      <c r="D12" s="32">
        <v>7011</v>
      </c>
      <c r="E12" s="30">
        <f t="shared" si="0"/>
        <v>9.5000000000000018</v>
      </c>
      <c r="F12" s="32">
        <v>8011</v>
      </c>
      <c r="G12" s="30">
        <f t="shared" si="1"/>
        <v>9.4000000000000021</v>
      </c>
      <c r="H12" s="32">
        <v>9011</v>
      </c>
      <c r="I12" s="30">
        <f t="shared" si="2"/>
        <v>9.3000000000000025</v>
      </c>
      <c r="L12" s="41">
        <f>IF(ISNUMBER(INDEX(Q$2:Y$48,MATCH(M9,Q:Q)-1,2)),INDEX(Q$2:Y$48,MATCH(M9,Q:Q)-1,2),"没有上级")</f>
        <v>1212942</v>
      </c>
      <c r="M12" s="33">
        <f>IF(ISNUMBER(INT(L12)),IF(OR(AND(M9&lt;152,M9&gt;82),AND(M9&lt;395,M9&gt;385)),INDEX(Q$2:Y$48,MATCH(L12,V:V,0)-1,1),IF(OR(M9=82,M9=385),"没有上级",INDEX(Q$2:Y$48,MATCH(L12,X:X,0)-1,1))),"没有上级")</f>
        <v>148</v>
      </c>
      <c r="N12" s="41">
        <f>IF(ISNUMBER(INDEX(Q$2:Y$48,MATCH(M12,$Q:$Q)-1,3)),INDEX(Q$2:Y$48,MATCH(M12,$Q:$Q)-1,3),"没有上级")</f>
        <v>7.3999999999999995</v>
      </c>
      <c r="O12" s="41">
        <f>IF(ISNUMBER(N12-N9),ROUND((N12-N9)*10,0),"没有上级")</f>
        <v>2</v>
      </c>
      <c r="P12" s="41" t="s">
        <v>551</v>
      </c>
      <c r="Q12" s="41">
        <v>151</v>
      </c>
      <c r="R12" s="41">
        <f t="shared" si="3"/>
        <v>1216992</v>
      </c>
      <c r="S12" s="41">
        <f t="shared" si="3"/>
        <v>6.5</v>
      </c>
      <c r="T12" s="33"/>
      <c r="U12" s="41">
        <f t="shared" si="4"/>
        <v>6.5</v>
      </c>
      <c r="V12" s="33"/>
      <c r="W12" s="41">
        <f>U12-0.4</f>
        <v>6.1</v>
      </c>
      <c r="X12" s="33"/>
      <c r="Y12" s="41">
        <f>U12-0.4</f>
        <v>6.1</v>
      </c>
    </row>
    <row r="13" spans="1:25" x14ac:dyDescent="0.15">
      <c r="A13" s="30">
        <v>12</v>
      </c>
      <c r="B13" s="30">
        <f>H7</f>
        <v>9006</v>
      </c>
      <c r="C13" s="31">
        <f>I7</f>
        <v>9.4000000000000021</v>
      </c>
      <c r="D13" s="32">
        <v>7012</v>
      </c>
      <c r="E13" s="30">
        <f t="shared" si="0"/>
        <v>9.4000000000000021</v>
      </c>
      <c r="F13" s="32">
        <v>8012</v>
      </c>
      <c r="G13" s="30">
        <f t="shared" si="1"/>
        <v>9.3000000000000025</v>
      </c>
      <c r="H13" s="32">
        <v>9012</v>
      </c>
      <c r="I13" s="30">
        <f t="shared" si="2"/>
        <v>9.2000000000000028</v>
      </c>
      <c r="P13" s="41"/>
      <c r="Q13" s="41"/>
      <c r="R13" s="41"/>
      <c r="S13" s="41"/>
      <c r="T13" s="33"/>
      <c r="U13" s="41"/>
      <c r="V13" s="33"/>
      <c r="X13" s="33"/>
    </row>
    <row r="14" spans="1:25" x14ac:dyDescent="0.15">
      <c r="A14" s="30">
        <v>13</v>
      </c>
      <c r="B14" s="30">
        <f>F8</f>
        <v>8007</v>
      </c>
      <c r="C14" s="31">
        <f>G8</f>
        <v>9.5000000000000018</v>
      </c>
      <c r="D14" s="32">
        <v>7013</v>
      </c>
      <c r="E14" s="30">
        <f t="shared" si="0"/>
        <v>9.5000000000000018</v>
      </c>
      <c r="F14" s="32">
        <v>8013</v>
      </c>
      <c r="G14" s="30">
        <f t="shared" si="1"/>
        <v>9.4000000000000021</v>
      </c>
      <c r="H14" s="32">
        <v>9013</v>
      </c>
      <c r="I14" s="30">
        <f t="shared" si="2"/>
        <v>9.3000000000000025</v>
      </c>
      <c r="L14" s="32" t="s">
        <v>364</v>
      </c>
      <c r="M14" s="32" t="s">
        <v>363</v>
      </c>
      <c r="N14" s="32" t="s">
        <v>382</v>
      </c>
      <c r="O14" s="30" t="s">
        <v>468</v>
      </c>
      <c r="P14" s="41"/>
      <c r="Q14" s="41"/>
      <c r="R14" s="41"/>
      <c r="S14" s="41"/>
      <c r="T14" s="33"/>
      <c r="U14" s="41"/>
      <c r="V14" s="33"/>
      <c r="X14" s="33"/>
    </row>
    <row r="15" spans="1:25" x14ac:dyDescent="0.15">
      <c r="A15" s="30">
        <v>14</v>
      </c>
      <c r="B15" s="30">
        <f>H8</f>
        <v>9007</v>
      </c>
      <c r="C15" s="31">
        <f>I8</f>
        <v>9.4000000000000021</v>
      </c>
      <c r="D15" s="32">
        <v>7014</v>
      </c>
      <c r="E15" s="30">
        <f t="shared" si="0"/>
        <v>9.4000000000000021</v>
      </c>
      <c r="F15" s="32">
        <v>8014</v>
      </c>
      <c r="G15" s="30">
        <f t="shared" si="1"/>
        <v>9.3000000000000025</v>
      </c>
      <c r="H15" s="32">
        <v>9014</v>
      </c>
      <c r="I15" s="30">
        <f t="shared" si="2"/>
        <v>9.2000000000000028</v>
      </c>
      <c r="L15" s="41">
        <f>IF(ISNUMBER(INDEX(Q$2:Y$48,MATCH(M12,Q:Q)-1,2)),INDEX(Q$2:Y$48,MATCH(M12,Q:Q)-1,2),"没有上级")</f>
        <v>1210988</v>
      </c>
      <c r="M15" s="33">
        <f>IF(ISNUMBER(INT(L15)),IF(OR(AND(M12&lt;152,M12&gt;82),AND(M12&lt;395,M12&gt;385)),INDEX(Q$2:Y$48,MATCH(L15,V:V,0)-1,1),IF(OR(M12=82,M12=385),"没有上级",INDEX(Q$2:Y$48,MATCH(L15,X:X,0)-1,1))),"没有上级")</f>
        <v>147</v>
      </c>
      <c r="N15" s="41">
        <f>IF(ISNUMBER(INDEX(Q$2:Y$48,MATCH(M15,$Q:$Q)-1,3)),INDEX(Q$2:Y$48,MATCH(M15,$Q:$Q)-1,3),"没有上级")</f>
        <v>7.8</v>
      </c>
      <c r="O15" s="41">
        <f>IF(ISNUMBER(N15-N12),ROUND((N15-N12)*10,0),"没有上级")</f>
        <v>4</v>
      </c>
      <c r="P15" s="41"/>
      <c r="Q15" s="41"/>
    </row>
    <row r="16" spans="1:25" x14ac:dyDescent="0.15">
      <c r="A16" s="30">
        <v>15</v>
      </c>
      <c r="B16" s="30">
        <f>F9</f>
        <v>8008</v>
      </c>
      <c r="C16" s="31">
        <f>G9</f>
        <v>9.4000000000000021</v>
      </c>
      <c r="D16" s="32">
        <v>7015</v>
      </c>
      <c r="E16" s="30">
        <f t="shared" si="0"/>
        <v>9.4000000000000021</v>
      </c>
      <c r="F16" s="32">
        <v>8015</v>
      </c>
      <c r="G16" s="30">
        <f t="shared" si="1"/>
        <v>9.3000000000000025</v>
      </c>
      <c r="H16" s="32">
        <v>9015</v>
      </c>
      <c r="I16" s="30">
        <f t="shared" si="2"/>
        <v>9.2000000000000028</v>
      </c>
      <c r="P16" s="41"/>
      <c r="Q16" s="41"/>
      <c r="R16" s="41"/>
      <c r="S16" s="41"/>
      <c r="U16" s="41"/>
    </row>
    <row r="17" spans="1:26" x14ac:dyDescent="0.15">
      <c r="A17" s="30">
        <v>16</v>
      </c>
      <c r="B17" s="30">
        <f>D10</f>
        <v>7009</v>
      </c>
      <c r="C17" s="31">
        <f>E10</f>
        <v>9.5000000000000018</v>
      </c>
      <c r="D17" s="32">
        <v>7016</v>
      </c>
      <c r="E17" s="30">
        <f t="shared" si="0"/>
        <v>9.5000000000000018</v>
      </c>
      <c r="F17" s="32">
        <v>8016</v>
      </c>
      <c r="G17" s="30">
        <f t="shared" si="1"/>
        <v>9.4000000000000021</v>
      </c>
      <c r="H17" s="32">
        <v>9016</v>
      </c>
      <c r="I17" s="30">
        <f t="shared" si="2"/>
        <v>9.3000000000000025</v>
      </c>
      <c r="L17" s="32" t="s">
        <v>362</v>
      </c>
      <c r="M17" s="32" t="s">
        <v>361</v>
      </c>
      <c r="N17" s="32" t="s">
        <v>383</v>
      </c>
      <c r="O17" s="30" t="s">
        <v>469</v>
      </c>
      <c r="P17" s="41"/>
      <c r="Q17" s="41"/>
      <c r="R17" s="41"/>
      <c r="S17" s="41"/>
      <c r="U17" s="41"/>
    </row>
    <row r="18" spans="1:26" x14ac:dyDescent="0.15">
      <c r="A18" s="30">
        <v>17</v>
      </c>
      <c r="B18" s="30">
        <f>F10</f>
        <v>8009</v>
      </c>
      <c r="C18" s="31">
        <f>G10</f>
        <v>9.4000000000000021</v>
      </c>
      <c r="D18" s="32">
        <v>7017</v>
      </c>
      <c r="E18" s="30">
        <f t="shared" si="0"/>
        <v>9.4000000000000021</v>
      </c>
      <c r="F18" s="32">
        <v>8017</v>
      </c>
      <c r="G18" s="30">
        <f t="shared" si="1"/>
        <v>9.3000000000000025</v>
      </c>
      <c r="H18" s="32">
        <v>9017</v>
      </c>
      <c r="I18" s="30">
        <f t="shared" si="2"/>
        <v>9.2000000000000028</v>
      </c>
      <c r="L18" s="41">
        <f>IF(ISNUMBER(INDEX(Q$2:Y$48,MATCH(M15,Q:Q)-1,2)),INDEX(Q$2:Y$48,MATCH(M15,Q:Q)-1,2),"没有上级")</f>
        <v>1206981</v>
      </c>
      <c r="M18" s="33">
        <f>IF(ISNUMBER(INT(L18)),IF(OR(AND(M15&lt;152,M15&gt;82),AND(M15&lt;395,M15&gt;385)),INDEX(Q$2:Y$48,MATCH(L18,V:V,0)-1,1),IF(OR(M15=82,M15=385),"没有上级",INDEX(Q$2:Y$48,MATCH(L18,X:X,0)-1,1))),"没有上级")</f>
        <v>146</v>
      </c>
      <c r="N18" s="41">
        <f>IF(ISNUMBER(INDEX(Q$2:Y$48,MATCH(M18,$Q:$Q)-1,3)),INDEX(Q$2:Y$48,MATCH(M18,$Q:$Q)-1,3),"没有上级")</f>
        <v>8.1</v>
      </c>
      <c r="O18" s="41">
        <f>IF(ISNUMBER(N18-N15),ROUND((N18-N15)*10,0),"没有上级")</f>
        <v>3</v>
      </c>
      <c r="P18" s="41"/>
      <c r="Q18" s="41"/>
      <c r="R18" s="41"/>
      <c r="S18" s="41"/>
      <c r="U18" s="41"/>
    </row>
    <row r="19" spans="1:26" x14ac:dyDescent="0.15">
      <c r="A19" s="30">
        <v>18</v>
      </c>
      <c r="B19" s="30">
        <f>H10</f>
        <v>9009</v>
      </c>
      <c r="C19" s="31">
        <f>I10</f>
        <v>9.3000000000000025</v>
      </c>
      <c r="D19" s="32">
        <v>7018</v>
      </c>
      <c r="E19" s="30">
        <f t="shared" si="0"/>
        <v>9.3000000000000025</v>
      </c>
      <c r="F19" s="32">
        <v>8018</v>
      </c>
      <c r="G19" s="30">
        <f t="shared" si="1"/>
        <v>9.2000000000000028</v>
      </c>
      <c r="H19" s="32">
        <v>9018</v>
      </c>
      <c r="I19" s="30">
        <f t="shared" si="2"/>
        <v>9.1000000000000032</v>
      </c>
      <c r="P19" s="41"/>
      <c r="Q19" s="41"/>
      <c r="R19" s="41"/>
      <c r="S19" s="41"/>
      <c r="U19" s="41"/>
    </row>
    <row r="20" spans="1:26" x14ac:dyDescent="0.15">
      <c r="A20" s="30">
        <v>19</v>
      </c>
      <c r="B20" s="30">
        <f>F11</f>
        <v>8010</v>
      </c>
      <c r="C20" s="31">
        <f>G11</f>
        <v>9.5000000000000018</v>
      </c>
      <c r="D20" s="32">
        <v>7019</v>
      </c>
      <c r="E20" s="30">
        <f t="shared" si="0"/>
        <v>9.5000000000000018</v>
      </c>
      <c r="F20" s="32">
        <v>8019</v>
      </c>
      <c r="G20" s="30">
        <f t="shared" si="1"/>
        <v>9.4000000000000021</v>
      </c>
      <c r="H20" s="32">
        <v>9019</v>
      </c>
      <c r="I20" s="30">
        <f t="shared" si="2"/>
        <v>9.3000000000000025</v>
      </c>
      <c r="L20" s="32" t="s">
        <v>360</v>
      </c>
      <c r="M20" s="32" t="s">
        <v>359</v>
      </c>
      <c r="N20" s="32" t="s">
        <v>384</v>
      </c>
      <c r="O20" s="30" t="s">
        <v>470</v>
      </c>
      <c r="P20" s="41"/>
      <c r="Q20" s="41"/>
      <c r="R20" s="41"/>
      <c r="S20" s="41"/>
      <c r="U20" s="41"/>
    </row>
    <row r="21" spans="1:26" x14ac:dyDescent="0.15">
      <c r="A21" s="30">
        <v>20</v>
      </c>
      <c r="B21" s="30">
        <f>H11</f>
        <v>9010</v>
      </c>
      <c r="C21" s="31">
        <f>I11</f>
        <v>9.4000000000000021</v>
      </c>
      <c r="D21" s="32">
        <v>7020</v>
      </c>
      <c r="E21" s="30">
        <f t="shared" si="0"/>
        <v>9.4000000000000021</v>
      </c>
      <c r="F21" s="32">
        <v>8020</v>
      </c>
      <c r="G21" s="30">
        <f t="shared" si="1"/>
        <v>9.3000000000000025</v>
      </c>
      <c r="H21" s="32">
        <v>9020</v>
      </c>
      <c r="I21" s="30">
        <f t="shared" si="2"/>
        <v>9.2000000000000028</v>
      </c>
      <c r="L21" s="41">
        <f>IF(ISNUMBER(INDEX(Q$2:Y$48,MATCH(M18,Q:Q)-1,2)),INDEX(Q$2:Y$48,MATCH(M18,Q:Q)-1,2),"没有上级")</f>
        <v>1204995</v>
      </c>
      <c r="M21" s="33">
        <f>IF(ISNUMBER(INT(L21)),IF(OR(AND(M18&lt;152,M18&gt;82),AND(M18&lt;395,M18&gt;385)),INDEX(Q$2:Y$48,MATCH(L21,V:V,0)-1,1),IF(OR(M18=82,M18=385),"没有上级",INDEX(Q$2:Y$48,MATCH(L21,X:X,0)-1,1))),"没有上级")</f>
        <v>145</v>
      </c>
      <c r="N21" s="41">
        <f>IF(ISNUMBER(INDEX(Q$2:Y$48,MATCH(M21,$Q:$Q)-1,3)),INDEX(Q$2:Y$48,MATCH(M21,$Q:$Q)-1,3),"没有上级")</f>
        <v>8.1999999999999993</v>
      </c>
      <c r="O21" s="41">
        <f>IF(ISNUMBER(N21-N18),ROUND((N21-N18)*10,0),"没有上级")</f>
        <v>1</v>
      </c>
      <c r="P21" s="41"/>
      <c r="Q21" s="41"/>
      <c r="R21" s="41"/>
      <c r="S21" s="41"/>
      <c r="U21" s="41"/>
    </row>
    <row r="22" spans="1:26" x14ac:dyDescent="0.15">
      <c r="A22" s="30">
        <v>21</v>
      </c>
      <c r="B22" s="30">
        <f>H12</f>
        <v>9011</v>
      </c>
      <c r="C22" s="31">
        <f>I12</f>
        <v>9.3000000000000025</v>
      </c>
      <c r="D22" s="32">
        <v>7021</v>
      </c>
      <c r="E22" s="30">
        <f t="shared" si="0"/>
        <v>9.3000000000000025</v>
      </c>
      <c r="F22" s="32">
        <v>8021</v>
      </c>
      <c r="G22" s="30">
        <f t="shared" si="1"/>
        <v>9.2000000000000028</v>
      </c>
      <c r="H22" s="32">
        <v>9021</v>
      </c>
      <c r="I22" s="30">
        <f t="shared" si="2"/>
        <v>9.1000000000000032</v>
      </c>
      <c r="P22" s="41"/>
      <c r="Q22" s="41"/>
      <c r="R22" s="41"/>
      <c r="S22" s="41"/>
      <c r="U22" s="41"/>
    </row>
    <row r="23" spans="1:26" x14ac:dyDescent="0.15">
      <c r="A23" s="30">
        <v>22</v>
      </c>
      <c r="B23" s="30">
        <f>F13</f>
        <v>8012</v>
      </c>
      <c r="C23" s="31">
        <f>G13</f>
        <v>9.3000000000000025</v>
      </c>
      <c r="D23" s="32">
        <v>7022</v>
      </c>
      <c r="E23" s="30">
        <f t="shared" si="0"/>
        <v>9.3000000000000025</v>
      </c>
      <c r="F23" s="32">
        <v>8022</v>
      </c>
      <c r="G23" s="30">
        <f t="shared" si="1"/>
        <v>9.2000000000000028</v>
      </c>
      <c r="H23" s="32">
        <v>9022</v>
      </c>
      <c r="I23" s="30">
        <f t="shared" si="2"/>
        <v>9.1000000000000032</v>
      </c>
      <c r="L23" s="32" t="s">
        <v>358</v>
      </c>
      <c r="M23" s="32" t="s">
        <v>357</v>
      </c>
      <c r="N23" s="32" t="s">
        <v>385</v>
      </c>
      <c r="O23" s="30" t="s">
        <v>471</v>
      </c>
      <c r="P23" s="41"/>
      <c r="Q23" s="41"/>
      <c r="R23" s="41"/>
      <c r="S23" s="41"/>
      <c r="U23" s="41"/>
    </row>
    <row r="24" spans="1:26" x14ac:dyDescent="0.15">
      <c r="A24" s="30">
        <v>23</v>
      </c>
      <c r="B24" s="30">
        <f>H13</f>
        <v>9012</v>
      </c>
      <c r="C24" s="31">
        <f>I13</f>
        <v>9.2000000000000028</v>
      </c>
      <c r="D24" s="32">
        <v>7023</v>
      </c>
      <c r="E24" s="30">
        <f t="shared" si="0"/>
        <v>9.2000000000000028</v>
      </c>
      <c r="F24" s="32">
        <v>8023</v>
      </c>
      <c r="G24" s="30">
        <f t="shared" si="1"/>
        <v>9.1000000000000032</v>
      </c>
      <c r="H24" s="32">
        <v>9023</v>
      </c>
      <c r="I24" s="30">
        <f t="shared" si="2"/>
        <v>9.0000000000000036</v>
      </c>
      <c r="L24" s="41">
        <f>IF(ISNUMBER(INDEX(Q$2:Y$48,MATCH(M21,Q:Q)-1,2)),INDEX(Q$2:Y$48,MATCH(M21,Q:Q)-1,2),"没有上级")</f>
        <v>1202928</v>
      </c>
      <c r="M24" s="33">
        <f>IF(ISNUMBER(INT(L24)),IF(OR(AND(M21&lt;152,M21&gt;82),AND(M21&lt;395,M21&gt;385)),INDEX(Q$2:Y$48,MATCH(L24,V:V,0)-1,1),IF(OR(M21=82,M21=385),"没有上级",INDEX(Q$2:Y$48,MATCH(L24,X:X,0)-1,1))),"没有上级")</f>
        <v>144</v>
      </c>
      <c r="N24" s="41">
        <f>IF(ISNUMBER(INDEX(Q$2:Y$48,MATCH(M24,$Q:$Q)-1,3)),INDEX(Q$2:Y$48,MATCH(M24,$Q:$Q)-1,3),"没有上级")</f>
        <v>8.8999999999999986</v>
      </c>
      <c r="O24" s="41">
        <f>IF(ISNUMBER(N24-N21),ROUND((N24-N21)*10,0),"没有上级")</f>
        <v>7</v>
      </c>
      <c r="P24" s="41"/>
      <c r="Q24" s="41"/>
      <c r="R24" s="41"/>
      <c r="S24" s="41"/>
      <c r="U24" s="41"/>
    </row>
    <row r="25" spans="1:26" x14ac:dyDescent="0.15">
      <c r="A25" s="30">
        <v>24</v>
      </c>
      <c r="B25" s="30">
        <f>F14</f>
        <v>8013</v>
      </c>
      <c r="C25" s="31">
        <f>G14</f>
        <v>9.4000000000000021</v>
      </c>
      <c r="D25" s="32">
        <v>7024</v>
      </c>
      <c r="E25" s="30">
        <f t="shared" si="0"/>
        <v>9.4000000000000021</v>
      </c>
      <c r="F25" s="32">
        <v>8024</v>
      </c>
      <c r="G25" s="30">
        <f t="shared" si="1"/>
        <v>9.3000000000000025</v>
      </c>
      <c r="H25" s="32">
        <v>9024</v>
      </c>
      <c r="I25" s="30">
        <f t="shared" si="2"/>
        <v>9.2000000000000028</v>
      </c>
      <c r="P25" s="41"/>
      <c r="Q25" s="41"/>
      <c r="R25" s="41"/>
      <c r="S25" s="41"/>
      <c r="U25" s="41"/>
    </row>
    <row r="26" spans="1:26" x14ac:dyDescent="0.15">
      <c r="A26" s="30">
        <v>25</v>
      </c>
      <c r="B26" s="30">
        <f>H14</f>
        <v>9013</v>
      </c>
      <c r="C26" s="31">
        <f>I14</f>
        <v>9.3000000000000025</v>
      </c>
      <c r="D26" s="32">
        <v>7025</v>
      </c>
      <c r="E26" s="30">
        <f t="shared" si="0"/>
        <v>9.3000000000000025</v>
      </c>
      <c r="F26" s="32">
        <v>8025</v>
      </c>
      <c r="G26" s="30">
        <f t="shared" si="1"/>
        <v>9.2000000000000028</v>
      </c>
      <c r="H26" s="32">
        <v>9025</v>
      </c>
      <c r="I26" s="30">
        <f t="shared" si="2"/>
        <v>9.1000000000000032</v>
      </c>
      <c r="L26" s="32" t="s">
        <v>356</v>
      </c>
      <c r="M26" s="32" t="s">
        <v>355</v>
      </c>
      <c r="N26" s="32" t="s">
        <v>386</v>
      </c>
      <c r="O26" s="30" t="s">
        <v>472</v>
      </c>
      <c r="P26" s="41"/>
      <c r="Q26" s="41"/>
      <c r="R26" s="41"/>
      <c r="S26" s="41"/>
      <c r="U26" s="41"/>
    </row>
    <row r="27" spans="1:26" x14ac:dyDescent="0.15">
      <c r="A27" s="30">
        <v>26</v>
      </c>
      <c r="B27" s="30">
        <f>F15</f>
        <v>8014</v>
      </c>
      <c r="C27" s="31">
        <f>G15</f>
        <v>9.3000000000000025</v>
      </c>
      <c r="D27" s="32">
        <v>7026</v>
      </c>
      <c r="E27" s="30">
        <f t="shared" si="0"/>
        <v>9.3000000000000025</v>
      </c>
      <c r="F27" s="32">
        <v>8026</v>
      </c>
      <c r="G27" s="30">
        <f t="shared" si="1"/>
        <v>9.2000000000000028</v>
      </c>
      <c r="H27" s="32">
        <v>9026</v>
      </c>
      <c r="I27" s="30">
        <f t="shared" si="2"/>
        <v>9.1000000000000032</v>
      </c>
      <c r="L27" s="41">
        <f>IF(ISNUMBER(INDEX(Q$2:Y$48,MATCH(M24,Q:Q)-1,2)),INDEX(Q$2:Y$48,MATCH(M24,Q:Q)-1,2),"没有上级")</f>
        <v>1200960</v>
      </c>
      <c r="M27" s="33">
        <f>IF(ISNUMBER(INT(L27)),IF(OR(AND(M24&lt;152,M24&gt;82),AND(M24&lt;395,M24&gt;385)),INDEX(Q$2:Y$48,MATCH(L27,V:V,0)-1,1),IF(OR(M24=82,M24=385),"没有上级",INDEX(Q$2:Y$48,MATCH(L27,X:X,0)-1,1))),"没有上级")</f>
        <v>143</v>
      </c>
      <c r="N27" s="41">
        <f>IF(ISNUMBER(INDEX(Q$2:Y$48,MATCH(M27,$Q:$Q)-1,3)),INDEX(Q$2:Y$48,MATCH(M27,$Q:$Q)-1,3),"没有上级")</f>
        <v>9.1999999999999993</v>
      </c>
      <c r="O27" s="41">
        <f>IF(ISNUMBER(N27-N24),ROUND((N27-N24)*10,0),"没有上级")</f>
        <v>3</v>
      </c>
      <c r="P27" s="41"/>
      <c r="Q27" s="41"/>
      <c r="R27" s="41"/>
      <c r="S27" s="41"/>
      <c r="U27" s="41"/>
    </row>
    <row r="28" spans="1:26" x14ac:dyDescent="0.15">
      <c r="A28" s="30">
        <v>27</v>
      </c>
      <c r="B28" s="30">
        <f>H15</f>
        <v>9014</v>
      </c>
      <c r="C28" s="31">
        <f>I15</f>
        <v>9.2000000000000028</v>
      </c>
      <c r="D28" s="32">
        <v>7027</v>
      </c>
      <c r="E28" s="30">
        <f t="shared" si="0"/>
        <v>9.2000000000000028</v>
      </c>
      <c r="F28" s="32">
        <v>8027</v>
      </c>
      <c r="G28" s="30">
        <f t="shared" si="1"/>
        <v>9.1000000000000032</v>
      </c>
      <c r="H28" s="32">
        <v>9027</v>
      </c>
      <c r="I28" s="30">
        <f t="shared" si="2"/>
        <v>9.0000000000000036</v>
      </c>
      <c r="P28" s="30" t="s">
        <v>518</v>
      </c>
      <c r="Q28" s="41" t="s">
        <v>518</v>
      </c>
      <c r="R28" s="41" t="s">
        <v>518</v>
      </c>
      <c r="S28" s="41" t="s">
        <v>518</v>
      </c>
      <c r="T28" s="41" t="s">
        <v>518</v>
      </c>
      <c r="U28" s="41" t="s">
        <v>518</v>
      </c>
      <c r="V28" s="41" t="s">
        <v>518</v>
      </c>
      <c r="W28" s="41" t="s">
        <v>518</v>
      </c>
      <c r="X28" s="41" t="s">
        <v>518</v>
      </c>
      <c r="Y28" s="41" t="s">
        <v>518</v>
      </c>
      <c r="Z28" s="41" t="s">
        <v>518</v>
      </c>
    </row>
    <row r="29" spans="1:26" x14ac:dyDescent="0.15">
      <c r="A29" s="30">
        <v>28</v>
      </c>
      <c r="B29" s="30">
        <f>H16</f>
        <v>9015</v>
      </c>
      <c r="C29" s="31">
        <f>I16</f>
        <v>9.2000000000000028</v>
      </c>
      <c r="D29" s="32">
        <v>7028</v>
      </c>
      <c r="E29" s="30">
        <f t="shared" si="0"/>
        <v>9.2000000000000028</v>
      </c>
      <c r="F29" s="32">
        <v>8028</v>
      </c>
      <c r="G29" s="30">
        <f t="shared" si="1"/>
        <v>9.1000000000000032</v>
      </c>
      <c r="H29" s="32">
        <v>9028</v>
      </c>
      <c r="I29" s="30">
        <f t="shared" si="2"/>
        <v>9.0000000000000036</v>
      </c>
      <c r="L29" s="32" t="s">
        <v>354</v>
      </c>
      <c r="M29" s="32" t="s">
        <v>353</v>
      </c>
      <c r="N29" s="32" t="s">
        <v>387</v>
      </c>
      <c r="O29" s="30" t="s">
        <v>473</v>
      </c>
      <c r="P29" s="30">
        <v>15196685175</v>
      </c>
      <c r="Q29" s="30">
        <v>385</v>
      </c>
      <c r="S29" s="30">
        <v>9.9</v>
      </c>
      <c r="T29" s="41">
        <v>9192825</v>
      </c>
      <c r="U29" s="41">
        <f>S29</f>
        <v>9.9</v>
      </c>
      <c r="V29" s="41">
        <v>9294847</v>
      </c>
      <c r="W29" s="30">
        <f>U29-0.4</f>
        <v>9.5</v>
      </c>
      <c r="X29" s="41">
        <v>9399595</v>
      </c>
      <c r="Y29" s="30">
        <f>U29-0.6</f>
        <v>9.3000000000000007</v>
      </c>
    </row>
    <row r="30" spans="1:26" x14ac:dyDescent="0.15">
      <c r="A30" s="30">
        <v>29</v>
      </c>
      <c r="B30" s="30">
        <f>F16</f>
        <v>8015</v>
      </c>
      <c r="C30" s="30">
        <f>G16</f>
        <v>9.3000000000000025</v>
      </c>
      <c r="D30" s="32">
        <v>7029</v>
      </c>
      <c r="E30" s="30">
        <f t="shared" si="0"/>
        <v>9.3000000000000025</v>
      </c>
      <c r="F30" s="32">
        <v>8029</v>
      </c>
      <c r="G30" s="30">
        <f t="shared" si="1"/>
        <v>9.2000000000000028</v>
      </c>
      <c r="H30" s="32">
        <v>9029</v>
      </c>
      <c r="I30" s="30">
        <f t="shared" si="2"/>
        <v>9.1000000000000032</v>
      </c>
      <c r="L30" s="41">
        <f>IF(ISNUMBER(INDEX(Q$2:Y$48,MATCH(M27,Q:Q)-1,2)),INDEX(Q$2:Y$48,MATCH(M27,Q:Q)-1,2),"没有上级")</f>
        <v>1176952</v>
      </c>
      <c r="M30" s="33">
        <f>IF(ISNUMBER(INT(L30)),IF(OR(AND(M27&lt;152,M27&gt;82),AND(M27&lt;395,M27&gt;385)),INDEX(Q$2:Y$48,MATCH(L30,V:V,0)-1,1),IF(OR(M27=82,M27=385),"没有上级",INDEX(Q$2:Y$48,MATCH(L30,X:X,0)-1,1))),"没有上级")</f>
        <v>140</v>
      </c>
      <c r="N30" s="41">
        <f>IF(ISNUMBER(INDEX(Q$2:Y$48,MATCH(M30,$Q:$Q)-1,3)),INDEX(Q$2:Y$48,MATCH(M30,$Q:$Q)-1,3),"没有上级")</f>
        <v>9.6</v>
      </c>
      <c r="O30" s="41">
        <f>IF(ISNUMBER(N30-N27),ROUND((N30-N27)*10,0),"没有上级")</f>
        <v>4</v>
      </c>
      <c r="P30" s="41">
        <v>15196685176</v>
      </c>
      <c r="Q30" s="30">
        <v>386</v>
      </c>
      <c r="R30" s="30">
        <f>V29</f>
        <v>9294847</v>
      </c>
      <c r="S30" s="41">
        <f>W29</f>
        <v>9.5</v>
      </c>
      <c r="T30" s="41">
        <v>9494382</v>
      </c>
      <c r="U30" s="41">
        <f>S30</f>
        <v>9.5</v>
      </c>
      <c r="V30" s="41">
        <v>9599291</v>
      </c>
      <c r="W30" s="41">
        <f>U30-0.4</f>
        <v>9.1</v>
      </c>
      <c r="X30" s="41">
        <v>9691349</v>
      </c>
      <c r="Y30" s="41">
        <f t="shared" ref="Y30:Y38" si="5">U30-0.6</f>
        <v>8.9</v>
      </c>
    </row>
    <row r="31" spans="1:26" x14ac:dyDescent="0.15">
      <c r="A31" s="30">
        <v>30</v>
      </c>
      <c r="B31" s="30">
        <f>D17</f>
        <v>7016</v>
      </c>
      <c r="C31" s="30">
        <f>E17</f>
        <v>9.5000000000000018</v>
      </c>
      <c r="D31" s="32">
        <v>7030</v>
      </c>
      <c r="E31" s="30">
        <f t="shared" si="0"/>
        <v>9.5000000000000018</v>
      </c>
      <c r="F31" s="32">
        <v>8030</v>
      </c>
      <c r="G31" s="30">
        <f t="shared" si="1"/>
        <v>9.4000000000000021</v>
      </c>
      <c r="H31" s="32">
        <v>9030</v>
      </c>
      <c r="I31" s="30">
        <f t="shared" si="2"/>
        <v>9.3000000000000025</v>
      </c>
      <c r="P31" s="41">
        <v>15196685177</v>
      </c>
      <c r="Q31" s="41">
        <v>387</v>
      </c>
      <c r="R31" s="41">
        <f t="shared" ref="R31:R38" si="6">V30</f>
        <v>9599291</v>
      </c>
      <c r="S31" s="41">
        <f t="shared" ref="S31:S38" si="7">W30</f>
        <v>9.1</v>
      </c>
      <c r="T31" s="41">
        <v>9799453</v>
      </c>
      <c r="U31" s="41">
        <f>S31</f>
        <v>9.1</v>
      </c>
      <c r="V31" s="41">
        <v>9109707</v>
      </c>
      <c r="W31" s="41">
        <f>U31-0.4</f>
        <v>8.6999999999999993</v>
      </c>
      <c r="X31" s="41">
        <v>9119480</v>
      </c>
      <c r="Y31" s="41">
        <f t="shared" si="5"/>
        <v>8.5</v>
      </c>
    </row>
    <row r="32" spans="1:26" x14ac:dyDescent="0.15">
      <c r="A32" s="30">
        <v>31</v>
      </c>
      <c r="B32" s="30">
        <f>F18</f>
        <v>8017</v>
      </c>
      <c r="C32" s="30">
        <f>G18</f>
        <v>9.3000000000000025</v>
      </c>
      <c r="D32" s="32">
        <v>7031</v>
      </c>
      <c r="E32" s="30">
        <f t="shared" si="0"/>
        <v>9.3000000000000025</v>
      </c>
      <c r="F32" s="32">
        <v>8031</v>
      </c>
      <c r="G32" s="30">
        <f t="shared" si="1"/>
        <v>9.2000000000000028</v>
      </c>
      <c r="H32" s="32">
        <v>9031</v>
      </c>
      <c r="I32" s="30">
        <f t="shared" si="2"/>
        <v>9.1000000000000032</v>
      </c>
      <c r="L32" s="32" t="s">
        <v>352</v>
      </c>
      <c r="M32" s="32" t="s">
        <v>351</v>
      </c>
      <c r="N32" s="32" t="s">
        <v>388</v>
      </c>
      <c r="O32" s="30" t="s">
        <v>474</v>
      </c>
      <c r="P32" s="41">
        <v>15196685178</v>
      </c>
      <c r="Q32" s="41">
        <v>388</v>
      </c>
      <c r="R32" s="41">
        <f t="shared" si="6"/>
        <v>9109707</v>
      </c>
      <c r="S32" s="41">
        <f t="shared" si="7"/>
        <v>8.6999999999999993</v>
      </c>
      <c r="T32" s="41">
        <v>9129097</v>
      </c>
      <c r="U32" s="41">
        <f t="shared" ref="U32:U38" si="8">S32</f>
        <v>8.6999999999999993</v>
      </c>
      <c r="V32" s="41">
        <v>9139804</v>
      </c>
      <c r="W32" s="41">
        <f t="shared" ref="W32:W38" si="9">U32-0.4</f>
        <v>8.2999999999999989</v>
      </c>
      <c r="X32" s="41">
        <v>9149136</v>
      </c>
      <c r="Y32" s="41">
        <f t="shared" si="5"/>
        <v>8.1</v>
      </c>
    </row>
    <row r="33" spans="1:25" x14ac:dyDescent="0.15">
      <c r="A33" s="30">
        <v>32</v>
      </c>
      <c r="B33" s="30">
        <f>H18</f>
        <v>9017</v>
      </c>
      <c r="C33" s="30">
        <f>I18</f>
        <v>9.2000000000000028</v>
      </c>
      <c r="D33" s="32">
        <v>7032</v>
      </c>
      <c r="E33" s="30">
        <f t="shared" si="0"/>
        <v>9.2000000000000028</v>
      </c>
      <c r="F33" s="32">
        <v>8032</v>
      </c>
      <c r="G33" s="30">
        <f t="shared" si="1"/>
        <v>9.1000000000000032</v>
      </c>
      <c r="H33" s="32">
        <v>9032</v>
      </c>
      <c r="I33" s="30">
        <f t="shared" si="2"/>
        <v>9.0000000000000036</v>
      </c>
      <c r="L33" s="41">
        <f>IF(ISNUMBER(INDEX(Q$2:Y$48,MATCH(M30,Q:Q)-1,2)),INDEX(Q$2:Y$48,MATCH(M30,Q:Q)-1,2),"没有上级")</f>
        <v>1170912</v>
      </c>
      <c r="M33" s="33">
        <f>IF(ISNUMBER(INT(L33)),IF(OR(AND(M30&lt;152,M30&gt;82),AND(M30&lt;395,M30&gt;385)),INDEX(Q$2:Y$48,MATCH(L33,V:V,0)-1,1),IF(OR(M30=82,M30=385),"没有上级",INDEX(Q$2:Y$48,MATCH(L33,X:X,0)-1,1))),"没有上级")</f>
        <v>82</v>
      </c>
      <c r="N33" s="41">
        <f>IF(ISNUMBER(INDEX(Q$2:Y$48,MATCH(M33,$Q:$Q)-1,3)),INDEX(Q$2:Y$48,MATCH(M33,$Q:$Q)-1,3),"没有上级")</f>
        <v>9.9</v>
      </c>
      <c r="O33" s="41">
        <f>IF(ISNUMBER(N33-N30),ROUND((N33-N30)*10,0),"没有上级")</f>
        <v>3</v>
      </c>
      <c r="P33" s="41">
        <v>15196685179</v>
      </c>
      <c r="Q33" s="41">
        <v>389</v>
      </c>
      <c r="R33" s="41">
        <f t="shared" si="6"/>
        <v>9139804</v>
      </c>
      <c r="S33" s="41">
        <f t="shared" si="7"/>
        <v>8.2999999999999989</v>
      </c>
      <c r="T33" s="41">
        <v>9159567</v>
      </c>
      <c r="U33" s="41">
        <f t="shared" si="8"/>
        <v>8.2999999999999989</v>
      </c>
      <c r="V33" s="41">
        <v>9169676</v>
      </c>
      <c r="W33" s="41">
        <f t="shared" si="9"/>
        <v>7.8999999999999986</v>
      </c>
      <c r="X33" s="41">
        <v>9179244</v>
      </c>
      <c r="Y33" s="41">
        <f t="shared" si="5"/>
        <v>7.6999999999999993</v>
      </c>
    </row>
    <row r="34" spans="1:25" x14ac:dyDescent="0.15">
      <c r="A34" s="30">
        <v>33</v>
      </c>
      <c r="B34" s="30">
        <f>F19</f>
        <v>8018</v>
      </c>
      <c r="C34" s="30">
        <f>G19</f>
        <v>9.2000000000000028</v>
      </c>
      <c r="D34" s="32">
        <v>7033</v>
      </c>
      <c r="E34" s="30">
        <f t="shared" si="0"/>
        <v>9.2000000000000028</v>
      </c>
      <c r="F34" s="32">
        <v>8033</v>
      </c>
      <c r="G34" s="30">
        <f t="shared" si="1"/>
        <v>9.1000000000000032</v>
      </c>
      <c r="H34" s="32">
        <v>9033</v>
      </c>
      <c r="I34" s="30">
        <f t="shared" si="2"/>
        <v>9.0000000000000036</v>
      </c>
      <c r="P34" s="41">
        <v>15196685180</v>
      </c>
      <c r="Q34" s="41">
        <v>390</v>
      </c>
      <c r="R34" s="41">
        <f t="shared" si="6"/>
        <v>9169676</v>
      </c>
      <c r="S34" s="41">
        <f t="shared" si="7"/>
        <v>7.8999999999999986</v>
      </c>
      <c r="T34" s="41">
        <v>9209134</v>
      </c>
      <c r="U34" s="41">
        <f t="shared" si="8"/>
        <v>7.8999999999999986</v>
      </c>
      <c r="V34" s="41">
        <v>9219221</v>
      </c>
      <c r="W34" s="41">
        <f t="shared" si="9"/>
        <v>7.4999999999999982</v>
      </c>
      <c r="X34" s="41">
        <v>9229188</v>
      </c>
      <c r="Y34" s="41">
        <f t="shared" si="5"/>
        <v>7.2999999999999989</v>
      </c>
    </row>
    <row r="35" spans="1:25" x14ac:dyDescent="0.15">
      <c r="A35" s="30">
        <v>34</v>
      </c>
      <c r="B35" s="30">
        <f>H19</f>
        <v>9018</v>
      </c>
      <c r="C35" s="30">
        <f>I19</f>
        <v>9.1000000000000032</v>
      </c>
      <c r="D35" s="32">
        <v>7034</v>
      </c>
      <c r="E35" s="30">
        <f t="shared" si="0"/>
        <v>9.1000000000000032</v>
      </c>
      <c r="F35" s="32">
        <v>8034</v>
      </c>
      <c r="G35" s="30">
        <f t="shared" si="1"/>
        <v>9.0000000000000036</v>
      </c>
      <c r="H35" s="32">
        <v>9034</v>
      </c>
      <c r="I35" s="30">
        <f t="shared" si="2"/>
        <v>8.9000000000000039</v>
      </c>
      <c r="L35" s="42" t="s">
        <v>501</v>
      </c>
      <c r="M35" s="42" t="s">
        <v>500</v>
      </c>
      <c r="N35" s="42" t="s">
        <v>499</v>
      </c>
      <c r="O35" s="41" t="s">
        <v>498</v>
      </c>
      <c r="P35" s="41">
        <v>15196685181</v>
      </c>
      <c r="Q35" s="41">
        <v>391</v>
      </c>
      <c r="R35" s="41">
        <f t="shared" si="6"/>
        <v>9219221</v>
      </c>
      <c r="S35" s="41">
        <f t="shared" si="7"/>
        <v>7.4999999999999982</v>
      </c>
      <c r="T35" s="41">
        <v>9239564</v>
      </c>
      <c r="U35" s="41">
        <f t="shared" si="8"/>
        <v>7.4999999999999982</v>
      </c>
      <c r="V35" s="41">
        <v>9249541</v>
      </c>
      <c r="W35" s="41">
        <f t="shared" si="9"/>
        <v>7.0999999999999979</v>
      </c>
      <c r="X35" s="41">
        <v>9259651</v>
      </c>
      <c r="Y35" s="41">
        <f t="shared" si="5"/>
        <v>6.8999999999999986</v>
      </c>
    </row>
    <row r="36" spans="1:25" x14ac:dyDescent="0.15">
      <c r="A36" s="30">
        <v>35</v>
      </c>
      <c r="B36" s="30">
        <f>D20</f>
        <v>7019</v>
      </c>
      <c r="C36" s="30">
        <f>E20</f>
        <v>9.5000000000000018</v>
      </c>
      <c r="D36" s="32">
        <v>7035</v>
      </c>
      <c r="E36" s="30">
        <f t="shared" si="0"/>
        <v>9.5000000000000018</v>
      </c>
      <c r="F36" s="32">
        <v>8035</v>
      </c>
      <c r="G36" s="30">
        <f t="shared" si="1"/>
        <v>9.4000000000000021</v>
      </c>
      <c r="H36" s="32">
        <v>9035</v>
      </c>
      <c r="I36" s="30">
        <f t="shared" si="2"/>
        <v>9.3000000000000025</v>
      </c>
      <c r="L36" s="41" t="str">
        <f>IF(ISNUMBER(INDEX(Q$2:Y$48,MATCH(M33,Q:Q)-1,2)),INDEX(Q$2:Y$48,MATCH(M33,Q:Q)-1,2),"没有上级")</f>
        <v>没有上级</v>
      </c>
      <c r="M36" s="33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1" t="str">
        <f>IF(ISNUMBER(INDEX(Q$2:Y$48,MATCH(M36,$Q:$Q)-1,3)),INDEX(Q$2:Y$48,MATCH(M36,$Q:$Q)-1,3),"没有上级")</f>
        <v>没有上级</v>
      </c>
      <c r="O36" s="41" t="str">
        <f>IF(ISNUMBER(N36-N33),ROUND((N36-N33)*10,0),"没有上级")</f>
        <v>没有上级</v>
      </c>
      <c r="P36" s="41">
        <v>15196685182</v>
      </c>
      <c r="Q36" s="41">
        <v>392</v>
      </c>
      <c r="R36" s="41">
        <f t="shared" si="6"/>
        <v>9249541</v>
      </c>
      <c r="S36" s="41">
        <f t="shared" si="7"/>
        <v>7.0999999999999979</v>
      </c>
      <c r="T36" s="41">
        <v>9269437</v>
      </c>
      <c r="U36" s="41">
        <f t="shared" si="8"/>
        <v>7.0999999999999979</v>
      </c>
      <c r="V36" s="41">
        <v>9279092</v>
      </c>
      <c r="W36" s="41">
        <f t="shared" si="9"/>
        <v>6.6999999999999975</v>
      </c>
      <c r="X36" s="41">
        <v>9309446</v>
      </c>
      <c r="Y36" s="41">
        <f t="shared" si="5"/>
        <v>6.4999999999999982</v>
      </c>
    </row>
    <row r="37" spans="1:25" x14ac:dyDescent="0.15">
      <c r="A37" s="30">
        <v>36</v>
      </c>
      <c r="B37" s="30">
        <f>H20</f>
        <v>9019</v>
      </c>
      <c r="C37" s="30">
        <f>I20</f>
        <v>9.3000000000000025</v>
      </c>
      <c r="D37" s="32">
        <v>7036</v>
      </c>
      <c r="E37" s="30">
        <f t="shared" si="0"/>
        <v>9.3000000000000025</v>
      </c>
      <c r="F37" s="32">
        <v>8036</v>
      </c>
      <c r="G37" s="30">
        <f t="shared" si="1"/>
        <v>9.2000000000000028</v>
      </c>
      <c r="H37" s="32">
        <v>9036</v>
      </c>
      <c r="I37" s="30">
        <f t="shared" si="2"/>
        <v>9.1000000000000032</v>
      </c>
      <c r="P37" s="41">
        <v>15196685183</v>
      </c>
      <c r="Q37" s="41">
        <v>393</v>
      </c>
      <c r="R37" s="41">
        <f t="shared" si="6"/>
        <v>9279092</v>
      </c>
      <c r="S37" s="41">
        <f t="shared" si="7"/>
        <v>6.6999999999999975</v>
      </c>
      <c r="T37" s="41">
        <v>9319387</v>
      </c>
      <c r="U37" s="41">
        <f t="shared" si="8"/>
        <v>6.6999999999999975</v>
      </c>
      <c r="V37" s="41">
        <v>9329417</v>
      </c>
      <c r="W37" s="41">
        <f t="shared" si="9"/>
        <v>6.2999999999999972</v>
      </c>
      <c r="X37" s="41">
        <v>9339250</v>
      </c>
      <c r="Y37" s="41">
        <f t="shared" si="5"/>
        <v>6.0999999999999979</v>
      </c>
    </row>
    <row r="38" spans="1:25" x14ac:dyDescent="0.15">
      <c r="A38" s="30">
        <v>37</v>
      </c>
      <c r="B38" s="30">
        <f>F22</f>
        <v>8021</v>
      </c>
      <c r="C38" s="30">
        <f>G22</f>
        <v>9.2000000000000028</v>
      </c>
      <c r="D38" s="32">
        <v>7037</v>
      </c>
      <c r="E38" s="30">
        <f t="shared" si="0"/>
        <v>9.2000000000000028</v>
      </c>
      <c r="F38" s="32">
        <v>8037</v>
      </c>
      <c r="G38" s="30">
        <f t="shared" si="1"/>
        <v>9.1000000000000032</v>
      </c>
      <c r="H38" s="32">
        <v>9037</v>
      </c>
      <c r="I38" s="30">
        <f t="shared" si="2"/>
        <v>9.0000000000000036</v>
      </c>
      <c r="L38" s="42" t="s">
        <v>502</v>
      </c>
      <c r="M38" s="42" t="s">
        <v>503</v>
      </c>
      <c r="N38" s="42" t="s">
        <v>504</v>
      </c>
      <c r="O38" s="41" t="s">
        <v>505</v>
      </c>
      <c r="P38" s="41">
        <v>15196685184</v>
      </c>
      <c r="Q38" s="41">
        <v>394</v>
      </c>
      <c r="R38" s="41">
        <f t="shared" si="6"/>
        <v>9329417</v>
      </c>
      <c r="S38" s="41">
        <f t="shared" si="7"/>
        <v>6.2999999999999972</v>
      </c>
      <c r="T38" s="41">
        <v>9349700</v>
      </c>
      <c r="U38" s="41">
        <f t="shared" si="8"/>
        <v>6.2999999999999972</v>
      </c>
      <c r="V38" s="41">
        <v>9359770</v>
      </c>
      <c r="W38" s="41">
        <f t="shared" si="9"/>
        <v>5.8999999999999968</v>
      </c>
      <c r="X38" s="41">
        <v>9369917</v>
      </c>
      <c r="Y38" s="41">
        <f t="shared" si="5"/>
        <v>5.6999999999999975</v>
      </c>
    </row>
    <row r="39" spans="1:25" x14ac:dyDescent="0.15">
      <c r="A39" s="30">
        <v>38</v>
      </c>
      <c r="B39" s="30">
        <f>H22</f>
        <v>9021</v>
      </c>
      <c r="C39" s="30">
        <f>I22</f>
        <v>9.1000000000000032</v>
      </c>
      <c r="D39" s="32">
        <v>7038</v>
      </c>
      <c r="E39" s="30">
        <f t="shared" si="0"/>
        <v>9.1000000000000032</v>
      </c>
      <c r="F39" s="32">
        <v>8038</v>
      </c>
      <c r="G39" s="30">
        <f t="shared" si="1"/>
        <v>9.0000000000000036</v>
      </c>
      <c r="H39" s="32">
        <v>9038</v>
      </c>
      <c r="I39" s="30">
        <f t="shared" si="2"/>
        <v>8.9000000000000039</v>
      </c>
      <c r="L39" s="41" t="str">
        <f>IF(ISNUMBER(INDEX(Q$2:Y$48,MATCH(M36,Q:Q)-1,2)),INDEX(Q$2:Y$48,MATCH(M36,Q:Q)-1,2),"没有上级")</f>
        <v>没有上级</v>
      </c>
      <c r="M39" s="33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1" t="str">
        <f>IF(ISNUMBER(INDEX(Q$2:Y$48,MATCH(M39,$Q:$Q)-1,3)),INDEX(Q$2:Y$48,MATCH(M39,$Q:$Q)-1,3),"没有上级")</f>
        <v>没有上级</v>
      </c>
      <c r="O39" s="41" t="str">
        <f>IF(ISNUMBER(N39-N36),ROUND((N39-N36)*10,0),"没有上级")</f>
        <v>没有上级</v>
      </c>
      <c r="P39" s="41">
        <v>15196685185</v>
      </c>
      <c r="Q39" s="41">
        <v>395</v>
      </c>
      <c r="R39" s="30">
        <f>X29</f>
        <v>9399595</v>
      </c>
      <c r="S39" s="41">
        <f>Y29</f>
        <v>9.3000000000000007</v>
      </c>
      <c r="U39" s="41"/>
      <c r="W39" s="41"/>
    </row>
    <row r="40" spans="1:25" x14ac:dyDescent="0.15">
      <c r="A40" s="30">
        <v>39</v>
      </c>
      <c r="B40" s="30">
        <f>F23</f>
        <v>8022</v>
      </c>
      <c r="C40" s="30">
        <f>G23</f>
        <v>9.2000000000000028</v>
      </c>
      <c r="D40" s="32">
        <v>7039</v>
      </c>
      <c r="E40" s="30">
        <f t="shared" si="0"/>
        <v>9.2000000000000028</v>
      </c>
      <c r="F40" s="32">
        <v>8039</v>
      </c>
      <c r="G40" s="30">
        <f t="shared" si="1"/>
        <v>9.1000000000000032</v>
      </c>
      <c r="H40" s="32">
        <v>9039</v>
      </c>
      <c r="I40" s="30">
        <f t="shared" si="2"/>
        <v>9.0000000000000036</v>
      </c>
      <c r="O40" s="41"/>
      <c r="P40" s="41">
        <v>15196685186</v>
      </c>
      <c r="Q40" s="41">
        <v>396</v>
      </c>
      <c r="R40" s="41">
        <f t="shared" ref="R40:R48" si="10">X30</f>
        <v>9691349</v>
      </c>
      <c r="S40" s="41">
        <f t="shared" ref="S40:S48" si="11">Y30</f>
        <v>8.9</v>
      </c>
      <c r="T40" s="41"/>
      <c r="U40" s="41"/>
      <c r="W40" s="41"/>
    </row>
    <row r="41" spans="1:25" x14ac:dyDescent="0.15">
      <c r="A41" s="30">
        <v>40</v>
      </c>
      <c r="B41" s="30">
        <f>F25</f>
        <v>8024</v>
      </c>
      <c r="C41" s="30">
        <f>G25</f>
        <v>9.3000000000000025</v>
      </c>
      <c r="D41" s="32">
        <v>7040</v>
      </c>
      <c r="E41" s="30">
        <f t="shared" si="0"/>
        <v>9.3000000000000025</v>
      </c>
      <c r="F41" s="32">
        <v>8040</v>
      </c>
      <c r="G41" s="30">
        <f t="shared" si="1"/>
        <v>9.2000000000000028</v>
      </c>
      <c r="H41" s="32">
        <v>9040</v>
      </c>
      <c r="I41" s="30">
        <f t="shared" si="2"/>
        <v>9.1000000000000032</v>
      </c>
      <c r="L41" s="42" t="s">
        <v>509</v>
      </c>
      <c r="M41" s="42" t="s">
        <v>508</v>
      </c>
      <c r="N41" s="42" t="s">
        <v>507</v>
      </c>
      <c r="O41" s="41" t="s">
        <v>506</v>
      </c>
      <c r="P41" s="41">
        <v>15196685187</v>
      </c>
      <c r="Q41" s="41">
        <v>397</v>
      </c>
      <c r="R41" s="41">
        <f t="shared" si="10"/>
        <v>9119480</v>
      </c>
      <c r="S41" s="41">
        <f t="shared" si="11"/>
        <v>8.5</v>
      </c>
      <c r="V41" s="41"/>
    </row>
    <row r="42" spans="1:25" x14ac:dyDescent="0.15">
      <c r="A42" s="30">
        <v>41</v>
      </c>
      <c r="B42" s="30">
        <f>H25</f>
        <v>9024</v>
      </c>
      <c r="C42" s="30">
        <f>I25</f>
        <v>9.2000000000000028</v>
      </c>
      <c r="D42" s="32">
        <v>7041</v>
      </c>
      <c r="E42" s="30">
        <f t="shared" si="0"/>
        <v>9.2000000000000028</v>
      </c>
      <c r="F42" s="32">
        <v>8041</v>
      </c>
      <c r="G42" s="30">
        <f t="shared" si="1"/>
        <v>9.1000000000000032</v>
      </c>
      <c r="H42" s="32">
        <v>9041</v>
      </c>
      <c r="I42" s="30">
        <f t="shared" si="2"/>
        <v>9.0000000000000036</v>
      </c>
      <c r="L42" s="41" t="str">
        <f>IF(ISNUMBER(INDEX(Q$2:Y$48,MATCH(M39,Q:Q)-1,2)),INDEX(Q$2:Y$48,MATCH(M39,Q:Q)-1,2),"没有上级")</f>
        <v>没有上级</v>
      </c>
      <c r="M42" s="33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1" t="str">
        <f>IF(ISNUMBER(INDEX(Q$2:Y$48,MATCH(M42,$Q:$Q)-1,3)),INDEX(Q$2:Y$48,MATCH(M42,$Q:$Q)-1,3),"没有上级")</f>
        <v>没有上级</v>
      </c>
      <c r="O42" s="41" t="str">
        <f>IF(ISNUMBER(N42-N39),ROUND((N42-N39)*10,0),"没有上级")</f>
        <v>没有上级</v>
      </c>
      <c r="P42" s="41">
        <v>15196685188</v>
      </c>
      <c r="Q42" s="41">
        <v>398</v>
      </c>
      <c r="R42" s="41">
        <f t="shared" si="10"/>
        <v>9149136</v>
      </c>
      <c r="S42" s="41">
        <f t="shared" si="11"/>
        <v>8.1</v>
      </c>
    </row>
    <row r="43" spans="1:25" x14ac:dyDescent="0.15">
      <c r="A43" s="30">
        <v>42</v>
      </c>
      <c r="B43" s="30">
        <f>H26</f>
        <v>9025</v>
      </c>
      <c r="C43" s="30">
        <f>I26</f>
        <v>9.1000000000000032</v>
      </c>
      <c r="D43" s="32">
        <v>7042</v>
      </c>
      <c r="E43" s="30">
        <f t="shared" si="0"/>
        <v>9.1000000000000032</v>
      </c>
      <c r="F43" s="32">
        <v>8042</v>
      </c>
      <c r="G43" s="30">
        <f t="shared" si="1"/>
        <v>9.0000000000000036</v>
      </c>
      <c r="H43" s="32">
        <v>9042</v>
      </c>
      <c r="I43" s="30">
        <f t="shared" si="2"/>
        <v>8.9000000000000039</v>
      </c>
      <c r="P43" s="41">
        <v>15196685189</v>
      </c>
      <c r="Q43" s="41">
        <v>399</v>
      </c>
      <c r="R43" s="41">
        <f t="shared" si="10"/>
        <v>9179244</v>
      </c>
      <c r="S43" s="41">
        <f t="shared" si="11"/>
        <v>7.6999999999999993</v>
      </c>
    </row>
    <row r="44" spans="1:25" x14ac:dyDescent="0.15">
      <c r="A44" s="30">
        <v>43</v>
      </c>
      <c r="B44" s="30">
        <f>F26</f>
        <v>8025</v>
      </c>
      <c r="C44" s="30">
        <f>G26</f>
        <v>9.2000000000000028</v>
      </c>
      <c r="D44" s="32">
        <v>7043</v>
      </c>
      <c r="E44" s="30">
        <f t="shared" si="0"/>
        <v>9.2000000000000028</v>
      </c>
      <c r="F44" s="32">
        <v>8043</v>
      </c>
      <c r="G44" s="30">
        <f t="shared" si="1"/>
        <v>9.1000000000000032</v>
      </c>
      <c r="H44" s="32">
        <v>9043</v>
      </c>
      <c r="I44" s="30">
        <f t="shared" si="2"/>
        <v>9.0000000000000036</v>
      </c>
      <c r="L44" s="42" t="s">
        <v>510</v>
      </c>
      <c r="M44" s="42" t="s">
        <v>512</v>
      </c>
      <c r="N44" s="42" t="s">
        <v>513</v>
      </c>
      <c r="O44" s="41" t="s">
        <v>514</v>
      </c>
      <c r="P44" s="41">
        <v>15196685190</v>
      </c>
      <c r="Q44" s="41">
        <v>400</v>
      </c>
      <c r="R44" s="41">
        <f t="shared" si="10"/>
        <v>9229188</v>
      </c>
      <c r="S44" s="41">
        <f t="shared" si="11"/>
        <v>7.2999999999999989</v>
      </c>
    </row>
    <row r="45" spans="1:25" x14ac:dyDescent="0.15">
      <c r="A45" s="30">
        <v>44</v>
      </c>
      <c r="B45" s="30">
        <f>D27</f>
        <v>7026</v>
      </c>
      <c r="C45" s="30">
        <f>E27</f>
        <v>9.3000000000000025</v>
      </c>
      <c r="D45" s="32">
        <v>7044</v>
      </c>
      <c r="E45" s="30">
        <f t="shared" si="0"/>
        <v>9.3000000000000025</v>
      </c>
      <c r="F45" s="32">
        <v>8044</v>
      </c>
      <c r="G45" s="30">
        <f t="shared" si="1"/>
        <v>9.2000000000000028</v>
      </c>
      <c r="H45" s="32">
        <v>9044</v>
      </c>
      <c r="I45" s="30">
        <f t="shared" si="2"/>
        <v>9.1000000000000032</v>
      </c>
      <c r="L45" s="41" t="str">
        <f>IF(ISNUMBER(INDEX(Q$2:Y$48,MATCH(M42,Q:Q)-1,2)),INDEX(Q$2:Y$48,MATCH(M42,Q:Q)-1,2),"没有上级")</f>
        <v>没有上级</v>
      </c>
      <c r="M45" s="33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1" t="str">
        <f>IF(ISNUMBER(INDEX(Q$2:Y$48,MATCH(M45,$Q:$Q)-1,3)),INDEX(Q$2:Y$48,MATCH(M45,$Q:$Q)-1,3),"没有上级")</f>
        <v>没有上级</v>
      </c>
      <c r="O45" s="41" t="str">
        <f>IF(ISNUMBER(N45-N42),ROUND((N45-N42)*10,0),"没有上级")</f>
        <v>没有上级</v>
      </c>
      <c r="P45" s="41">
        <v>15196685191</v>
      </c>
      <c r="Q45" s="41">
        <v>401</v>
      </c>
      <c r="R45" s="41">
        <f t="shared" si="10"/>
        <v>9259651</v>
      </c>
      <c r="S45" s="41">
        <f t="shared" si="11"/>
        <v>6.8999999999999986</v>
      </c>
    </row>
    <row r="46" spans="1:25" x14ac:dyDescent="0.15">
      <c r="A46" s="30">
        <v>45</v>
      </c>
      <c r="B46" s="30">
        <f>H28</f>
        <v>9027</v>
      </c>
      <c r="C46" s="30">
        <f>I28</f>
        <v>9.0000000000000036</v>
      </c>
      <c r="D46" s="32">
        <v>7045</v>
      </c>
      <c r="E46" s="30">
        <f t="shared" si="0"/>
        <v>9.0000000000000036</v>
      </c>
      <c r="F46" s="32">
        <v>8045</v>
      </c>
      <c r="G46" s="30">
        <f t="shared" si="1"/>
        <v>8.9000000000000039</v>
      </c>
      <c r="H46" s="32">
        <v>9045</v>
      </c>
      <c r="I46" s="30">
        <f t="shared" si="2"/>
        <v>8.8000000000000043</v>
      </c>
      <c r="P46" s="41">
        <v>15196685192</v>
      </c>
      <c r="Q46" s="41">
        <v>402</v>
      </c>
      <c r="R46" s="41">
        <f t="shared" si="10"/>
        <v>9309446</v>
      </c>
      <c r="S46" s="41">
        <f t="shared" si="11"/>
        <v>6.4999999999999982</v>
      </c>
    </row>
    <row r="47" spans="1:25" x14ac:dyDescent="0.15">
      <c r="A47" s="30">
        <v>46</v>
      </c>
      <c r="B47" s="30">
        <f>H29</f>
        <v>9028</v>
      </c>
      <c r="C47" s="30">
        <f>I29</f>
        <v>9.0000000000000036</v>
      </c>
      <c r="D47" s="32">
        <v>7046</v>
      </c>
      <c r="E47" s="30">
        <f t="shared" si="0"/>
        <v>9.0000000000000036</v>
      </c>
      <c r="F47" s="32">
        <v>8046</v>
      </c>
      <c r="G47" s="30">
        <f t="shared" si="1"/>
        <v>8.9000000000000039</v>
      </c>
      <c r="H47" s="32">
        <v>9046</v>
      </c>
      <c r="I47" s="30">
        <f t="shared" si="2"/>
        <v>8.8000000000000043</v>
      </c>
      <c r="L47" s="42" t="s">
        <v>511</v>
      </c>
      <c r="M47" s="42" t="s">
        <v>515</v>
      </c>
      <c r="N47" s="42" t="s">
        <v>516</v>
      </c>
      <c r="O47" s="41" t="s">
        <v>517</v>
      </c>
      <c r="P47" s="41">
        <v>15196685193</v>
      </c>
      <c r="Q47" s="41">
        <v>403</v>
      </c>
      <c r="R47" s="41">
        <f t="shared" si="10"/>
        <v>9339250</v>
      </c>
      <c r="S47" s="41">
        <f t="shared" si="11"/>
        <v>6.0999999999999979</v>
      </c>
    </row>
    <row r="48" spans="1:25" x14ac:dyDescent="0.15">
      <c r="A48" s="30">
        <v>47</v>
      </c>
      <c r="B48" s="30">
        <f>F29</f>
        <v>8028</v>
      </c>
      <c r="C48" s="30">
        <f>G29</f>
        <v>9.1000000000000032</v>
      </c>
      <c r="D48" s="32">
        <v>7047</v>
      </c>
      <c r="E48" s="30">
        <f t="shared" si="0"/>
        <v>9.1000000000000032</v>
      </c>
      <c r="F48" s="32">
        <v>8047</v>
      </c>
      <c r="G48" s="30">
        <f t="shared" si="1"/>
        <v>9.0000000000000036</v>
      </c>
      <c r="H48" s="32">
        <v>9047</v>
      </c>
      <c r="I48" s="30">
        <f t="shared" si="2"/>
        <v>8.9000000000000039</v>
      </c>
      <c r="L48" s="41" t="str">
        <f>IF(ISNUMBER(INDEX(Q$2:Y$48,MATCH(M45,Q:Q)-1,2)),INDEX(Q$2:Y$48,MATCH(M45,Q:Q)-1,2),"没有上级")</f>
        <v>没有上级</v>
      </c>
      <c r="M48" s="33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1" t="str">
        <f>IF(ISNUMBER(INDEX(Q$2:Y$48,MATCH(M48,$Q:$Q)-1,3)),INDEX(Q$2:Y$48,MATCH(M48,$Q:$Q)-1,3),"没有上级")</f>
        <v>没有上级</v>
      </c>
      <c r="O48" s="41" t="str">
        <f>IF(ISNUMBER(N48-N45),ROUND((N48-N45)*10,0),"没有上级")</f>
        <v>没有上级</v>
      </c>
      <c r="P48" s="41">
        <v>15196685194</v>
      </c>
      <c r="Q48" s="41">
        <v>404</v>
      </c>
      <c r="R48" s="41">
        <f t="shared" si="10"/>
        <v>9369917</v>
      </c>
      <c r="S48" s="41">
        <f t="shared" si="11"/>
        <v>5.6999999999999975</v>
      </c>
    </row>
    <row r="49" spans="1:9" x14ac:dyDescent="0.15">
      <c r="A49" s="30">
        <v>48</v>
      </c>
      <c r="B49" s="30">
        <f>F30</f>
        <v>8029</v>
      </c>
      <c r="C49" s="30">
        <f>G30</f>
        <v>9.2000000000000028</v>
      </c>
      <c r="D49" s="32">
        <v>7048</v>
      </c>
      <c r="E49" s="30">
        <f t="shared" si="0"/>
        <v>9.2000000000000028</v>
      </c>
      <c r="F49" s="32">
        <v>8048</v>
      </c>
      <c r="G49" s="30">
        <f t="shared" si="1"/>
        <v>9.1000000000000032</v>
      </c>
      <c r="H49" s="32">
        <v>9048</v>
      </c>
      <c r="I49" s="30">
        <f t="shared" si="2"/>
        <v>9.0000000000000036</v>
      </c>
    </row>
    <row r="50" spans="1:9" x14ac:dyDescent="0.15">
      <c r="A50" s="30">
        <v>49</v>
      </c>
      <c r="B50" s="30">
        <f>H31</f>
        <v>9030</v>
      </c>
      <c r="C50" s="30">
        <f>I31</f>
        <v>9.3000000000000025</v>
      </c>
      <c r="D50" s="32">
        <v>7049</v>
      </c>
      <c r="E50" s="30">
        <f t="shared" si="0"/>
        <v>9.3000000000000025</v>
      </c>
      <c r="F50" s="32">
        <v>8049</v>
      </c>
      <c r="G50" s="30">
        <f t="shared" si="1"/>
        <v>9.2000000000000028</v>
      </c>
      <c r="H50" s="32">
        <v>9049</v>
      </c>
      <c r="I50" s="30">
        <f t="shared" si="2"/>
        <v>9.1000000000000032</v>
      </c>
    </row>
    <row r="51" spans="1:9" x14ac:dyDescent="0.15">
      <c r="A51" s="30">
        <v>50</v>
      </c>
      <c r="B51" s="30">
        <f>H32</f>
        <v>9031</v>
      </c>
      <c r="C51" s="30">
        <f>I32</f>
        <v>9.1000000000000032</v>
      </c>
      <c r="D51" s="32">
        <v>7050</v>
      </c>
      <c r="E51" s="30">
        <f t="shared" si="0"/>
        <v>9.1000000000000032</v>
      </c>
      <c r="F51" s="32">
        <v>8050</v>
      </c>
      <c r="G51" s="30">
        <f t="shared" si="1"/>
        <v>9.0000000000000036</v>
      </c>
      <c r="H51" s="32">
        <v>9050</v>
      </c>
      <c r="I51" s="30">
        <f t="shared" si="2"/>
        <v>8.9000000000000039</v>
      </c>
    </row>
    <row r="52" spans="1:9" x14ac:dyDescent="0.15">
      <c r="A52" s="30">
        <v>51</v>
      </c>
      <c r="B52" s="30">
        <f>F32</f>
        <v>8031</v>
      </c>
      <c r="C52" s="30">
        <f>G32</f>
        <v>9.2000000000000028</v>
      </c>
      <c r="D52" s="32">
        <v>7051</v>
      </c>
      <c r="E52" s="30">
        <f t="shared" si="0"/>
        <v>9.2000000000000028</v>
      </c>
      <c r="F52" s="32">
        <v>8051</v>
      </c>
      <c r="G52" s="30">
        <f t="shared" si="1"/>
        <v>9.1000000000000032</v>
      </c>
      <c r="H52" s="32">
        <v>9051</v>
      </c>
      <c r="I52" s="30">
        <f t="shared" si="2"/>
        <v>9.0000000000000036</v>
      </c>
    </row>
    <row r="53" spans="1:9" x14ac:dyDescent="0.15">
      <c r="A53" s="30">
        <v>52</v>
      </c>
      <c r="B53" s="30">
        <f>F33</f>
        <v>8032</v>
      </c>
      <c r="C53" s="30">
        <f>G33</f>
        <v>9.1000000000000032</v>
      </c>
      <c r="D53" s="32">
        <v>7052</v>
      </c>
      <c r="E53" s="30">
        <f t="shared" si="0"/>
        <v>9.1000000000000032</v>
      </c>
      <c r="F53" s="32">
        <v>8052</v>
      </c>
      <c r="G53" s="30">
        <f t="shared" si="1"/>
        <v>9.0000000000000036</v>
      </c>
      <c r="H53" s="32">
        <v>9052</v>
      </c>
      <c r="I53" s="30">
        <f t="shared" si="2"/>
        <v>8.9000000000000039</v>
      </c>
    </row>
    <row r="54" spans="1:9" x14ac:dyDescent="0.15">
      <c r="A54" s="30">
        <v>53</v>
      </c>
      <c r="B54" s="30">
        <f>H33</f>
        <v>9032</v>
      </c>
      <c r="C54" s="30">
        <f>I33</f>
        <v>9.0000000000000036</v>
      </c>
      <c r="D54" s="32">
        <v>7053</v>
      </c>
      <c r="E54" s="30">
        <f t="shared" si="0"/>
        <v>9.0000000000000036</v>
      </c>
      <c r="F54" s="32">
        <v>8053</v>
      </c>
      <c r="G54" s="30">
        <f t="shared" si="1"/>
        <v>8.9000000000000039</v>
      </c>
      <c r="H54" s="32">
        <v>9053</v>
      </c>
      <c r="I54" s="30">
        <f t="shared" si="2"/>
        <v>8.8000000000000043</v>
      </c>
    </row>
    <row r="55" spans="1:9" x14ac:dyDescent="0.15">
      <c r="A55" s="30">
        <v>54</v>
      </c>
      <c r="B55" s="30">
        <f>F34</f>
        <v>8033</v>
      </c>
      <c r="C55" s="30">
        <f>G34</f>
        <v>9.1000000000000032</v>
      </c>
      <c r="D55" s="32">
        <v>7054</v>
      </c>
      <c r="E55" s="30">
        <f t="shared" si="0"/>
        <v>9.1000000000000032</v>
      </c>
      <c r="F55" s="32">
        <v>8054</v>
      </c>
      <c r="G55" s="30">
        <f t="shared" si="1"/>
        <v>9.0000000000000036</v>
      </c>
      <c r="H55" s="32">
        <v>9054</v>
      </c>
      <c r="I55" s="30">
        <f t="shared" si="2"/>
        <v>8.9000000000000039</v>
      </c>
    </row>
    <row r="56" spans="1:9" x14ac:dyDescent="0.15">
      <c r="A56" s="30">
        <v>55</v>
      </c>
      <c r="B56" s="30">
        <f>H34</f>
        <v>9033</v>
      </c>
      <c r="C56" s="30">
        <f>I34</f>
        <v>9.0000000000000036</v>
      </c>
      <c r="D56" s="32">
        <v>7055</v>
      </c>
      <c r="E56" s="30">
        <f t="shared" si="0"/>
        <v>9.0000000000000036</v>
      </c>
      <c r="F56" s="32">
        <v>8055</v>
      </c>
      <c r="G56" s="30">
        <f t="shared" si="1"/>
        <v>8.9000000000000039</v>
      </c>
      <c r="H56" s="32">
        <v>9055</v>
      </c>
      <c r="I56" s="30">
        <f t="shared" si="2"/>
        <v>8.8000000000000043</v>
      </c>
    </row>
    <row r="57" spans="1:9" x14ac:dyDescent="0.15">
      <c r="A57" s="30">
        <v>56</v>
      </c>
      <c r="B57" s="30">
        <f>H35</f>
        <v>9034</v>
      </c>
      <c r="C57" s="30">
        <f>I35</f>
        <v>8.9000000000000039</v>
      </c>
      <c r="D57" s="32">
        <v>7056</v>
      </c>
      <c r="E57" s="30">
        <f t="shared" si="0"/>
        <v>8.9000000000000039</v>
      </c>
      <c r="F57" s="32">
        <v>8056</v>
      </c>
      <c r="G57" s="30">
        <f t="shared" si="1"/>
        <v>8.8000000000000043</v>
      </c>
      <c r="H57" s="32">
        <v>9056</v>
      </c>
      <c r="I57" s="30">
        <f t="shared" si="2"/>
        <v>8.7000000000000046</v>
      </c>
    </row>
    <row r="58" spans="1:9" x14ac:dyDescent="0.15">
      <c r="A58" s="30">
        <v>57</v>
      </c>
      <c r="B58" s="30">
        <f>H39</f>
        <v>9038</v>
      </c>
      <c r="C58" s="30">
        <f>I39</f>
        <v>8.9000000000000039</v>
      </c>
      <c r="D58" s="32">
        <v>7057</v>
      </c>
      <c r="E58" s="30">
        <f t="shared" si="0"/>
        <v>8.9000000000000039</v>
      </c>
      <c r="F58" s="32">
        <v>8057</v>
      </c>
      <c r="G58" s="30">
        <f t="shared" si="1"/>
        <v>8.8000000000000043</v>
      </c>
      <c r="H58" s="32">
        <v>9057</v>
      </c>
      <c r="I58" s="30">
        <f t="shared" si="2"/>
        <v>8.7000000000000046</v>
      </c>
    </row>
    <row r="59" spans="1:9" x14ac:dyDescent="0.15">
      <c r="A59" s="30">
        <v>58</v>
      </c>
      <c r="B59" s="30">
        <f>H40</f>
        <v>9039</v>
      </c>
      <c r="C59" s="30">
        <f>I40</f>
        <v>9.0000000000000036</v>
      </c>
      <c r="D59" s="32">
        <v>7058</v>
      </c>
      <c r="E59" s="30">
        <f t="shared" si="0"/>
        <v>9.0000000000000036</v>
      </c>
      <c r="F59" s="32">
        <v>8058</v>
      </c>
      <c r="G59" s="30">
        <f t="shared" si="1"/>
        <v>8.9000000000000039</v>
      </c>
      <c r="H59" s="32">
        <v>9058</v>
      </c>
      <c r="I59" s="30">
        <f t="shared" si="2"/>
        <v>8.8000000000000043</v>
      </c>
    </row>
    <row r="60" spans="1:9" x14ac:dyDescent="0.15">
      <c r="A60" s="30">
        <v>59</v>
      </c>
      <c r="B60" s="30">
        <f>F41</f>
        <v>8040</v>
      </c>
      <c r="C60" s="30">
        <f>G41</f>
        <v>9.2000000000000028</v>
      </c>
      <c r="D60" s="32">
        <v>7059</v>
      </c>
      <c r="E60" s="30">
        <f t="shared" si="0"/>
        <v>9.2000000000000028</v>
      </c>
      <c r="F60" s="32">
        <v>8059</v>
      </c>
      <c r="G60" s="30">
        <f t="shared" si="1"/>
        <v>9.1000000000000032</v>
      </c>
      <c r="H60" s="32">
        <v>9059</v>
      </c>
      <c r="I60" s="30">
        <f t="shared" si="2"/>
        <v>9.0000000000000036</v>
      </c>
    </row>
    <row r="61" spans="1:9" x14ac:dyDescent="0.15">
      <c r="A61" s="30">
        <v>60</v>
      </c>
      <c r="B61" s="30">
        <f>H41</f>
        <v>9040</v>
      </c>
      <c r="C61" s="30">
        <f>I41</f>
        <v>9.1000000000000032</v>
      </c>
      <c r="D61" s="32">
        <v>7060</v>
      </c>
      <c r="E61" s="30">
        <f t="shared" si="0"/>
        <v>9.1000000000000032</v>
      </c>
      <c r="F61" s="32">
        <v>8060</v>
      </c>
      <c r="G61" s="30">
        <f t="shared" si="1"/>
        <v>9.0000000000000036</v>
      </c>
      <c r="H61" s="32">
        <v>9060</v>
      </c>
      <c r="I61" s="30">
        <f t="shared" si="2"/>
        <v>8.9000000000000039</v>
      </c>
    </row>
    <row r="62" spans="1:9" x14ac:dyDescent="0.15">
      <c r="A62" s="30">
        <v>61</v>
      </c>
      <c r="B62" s="30">
        <f>H42</f>
        <v>9041</v>
      </c>
      <c r="C62" s="30">
        <f>I42</f>
        <v>9.0000000000000036</v>
      </c>
      <c r="D62" s="32">
        <v>7061</v>
      </c>
      <c r="E62" s="30">
        <f t="shared" si="0"/>
        <v>9.0000000000000036</v>
      </c>
      <c r="F62" s="32">
        <v>8061</v>
      </c>
      <c r="G62" s="30">
        <f t="shared" si="1"/>
        <v>8.9000000000000039</v>
      </c>
      <c r="H62" s="32">
        <v>9061</v>
      </c>
      <c r="I62" s="30">
        <f t="shared" si="2"/>
        <v>8.8000000000000043</v>
      </c>
    </row>
    <row r="63" spans="1:9" x14ac:dyDescent="0.15">
      <c r="A63" s="30">
        <v>62</v>
      </c>
      <c r="B63" s="30">
        <f>F42</f>
        <v>8041</v>
      </c>
      <c r="C63" s="30">
        <f>G42</f>
        <v>9.1000000000000032</v>
      </c>
      <c r="D63" s="32">
        <v>7062</v>
      </c>
      <c r="E63" s="30">
        <f t="shared" si="0"/>
        <v>9.1000000000000032</v>
      </c>
      <c r="F63" s="32">
        <v>8062</v>
      </c>
      <c r="G63" s="30">
        <f t="shared" si="1"/>
        <v>9.0000000000000036</v>
      </c>
      <c r="H63" s="32">
        <v>9062</v>
      </c>
      <c r="I63" s="30">
        <f t="shared" si="2"/>
        <v>8.9000000000000039</v>
      </c>
    </row>
    <row r="64" spans="1:9" x14ac:dyDescent="0.15">
      <c r="A64" s="30">
        <v>63</v>
      </c>
      <c r="B64" s="30">
        <f>F43</f>
        <v>8042</v>
      </c>
      <c r="C64" s="30">
        <f>G43</f>
        <v>9.0000000000000036</v>
      </c>
      <c r="D64" s="32">
        <v>7063</v>
      </c>
      <c r="E64" s="30">
        <f t="shared" si="0"/>
        <v>9.0000000000000036</v>
      </c>
      <c r="F64" s="32">
        <v>8063</v>
      </c>
      <c r="G64" s="30">
        <f t="shared" si="1"/>
        <v>8.9000000000000039</v>
      </c>
      <c r="H64" s="32">
        <v>9063</v>
      </c>
      <c r="I64" s="30">
        <f t="shared" si="2"/>
        <v>8.8000000000000043</v>
      </c>
    </row>
    <row r="65" spans="1:9" x14ac:dyDescent="0.15">
      <c r="A65" s="30">
        <v>64</v>
      </c>
      <c r="B65" s="30">
        <f>H43</f>
        <v>9042</v>
      </c>
      <c r="C65" s="30">
        <f>I43</f>
        <v>8.9000000000000039</v>
      </c>
      <c r="D65" s="32">
        <v>7064</v>
      </c>
      <c r="E65" s="30">
        <f t="shared" si="0"/>
        <v>8.9000000000000039</v>
      </c>
      <c r="F65" s="32">
        <v>8064</v>
      </c>
      <c r="G65" s="30">
        <f t="shared" si="1"/>
        <v>8.8000000000000043</v>
      </c>
      <c r="H65" s="32">
        <v>9064</v>
      </c>
      <c r="I65" s="30">
        <f t="shared" si="2"/>
        <v>8.7000000000000046</v>
      </c>
    </row>
    <row r="66" spans="1:9" x14ac:dyDescent="0.15">
      <c r="A66" s="30">
        <v>65</v>
      </c>
      <c r="B66" s="30">
        <f>H44</f>
        <v>9043</v>
      </c>
      <c r="C66" s="30">
        <f>I44</f>
        <v>9.0000000000000036</v>
      </c>
      <c r="D66" s="32">
        <v>7065</v>
      </c>
      <c r="E66" s="30">
        <f t="shared" ref="E66:E129" si="12">C66</f>
        <v>9.0000000000000036</v>
      </c>
      <c r="F66" s="32">
        <v>8065</v>
      </c>
      <c r="G66" s="30">
        <f t="shared" ref="G66:G129" si="13">$E66-0.1</f>
        <v>8.9000000000000039</v>
      </c>
      <c r="H66" s="32">
        <v>9065</v>
      </c>
      <c r="I66" s="30">
        <f t="shared" ref="I66:I129" si="14">$E66-0.2</f>
        <v>8.8000000000000043</v>
      </c>
    </row>
    <row r="67" spans="1:9" x14ac:dyDescent="0.15">
      <c r="A67" s="30">
        <v>66</v>
      </c>
      <c r="B67" s="30">
        <f>F44</f>
        <v>8043</v>
      </c>
      <c r="C67" s="30">
        <f>G44</f>
        <v>9.1000000000000032</v>
      </c>
      <c r="D67" s="32">
        <v>7066</v>
      </c>
      <c r="E67" s="30">
        <f t="shared" si="12"/>
        <v>9.1000000000000032</v>
      </c>
      <c r="F67" s="32">
        <v>8066</v>
      </c>
      <c r="G67" s="30">
        <f t="shared" si="13"/>
        <v>9.0000000000000036</v>
      </c>
      <c r="H67" s="32">
        <v>9066</v>
      </c>
      <c r="I67" s="30">
        <f t="shared" si="14"/>
        <v>8.9000000000000039</v>
      </c>
    </row>
    <row r="68" spans="1:9" x14ac:dyDescent="0.15">
      <c r="A68" s="30">
        <v>67</v>
      </c>
      <c r="B68" s="30">
        <f>F45</f>
        <v>8044</v>
      </c>
      <c r="C68" s="30">
        <f>G45</f>
        <v>9.2000000000000028</v>
      </c>
      <c r="D68" s="32">
        <v>7067</v>
      </c>
      <c r="E68" s="30">
        <f t="shared" si="12"/>
        <v>9.2000000000000028</v>
      </c>
      <c r="F68" s="32">
        <v>8067</v>
      </c>
      <c r="G68" s="30">
        <f t="shared" si="13"/>
        <v>9.1000000000000032</v>
      </c>
      <c r="H68" s="32">
        <v>9067</v>
      </c>
      <c r="I68" s="30">
        <f t="shared" si="14"/>
        <v>9.0000000000000036</v>
      </c>
    </row>
    <row r="69" spans="1:9" x14ac:dyDescent="0.15">
      <c r="A69" s="30">
        <v>68</v>
      </c>
      <c r="B69" s="30">
        <f>H45</f>
        <v>9044</v>
      </c>
      <c r="C69" s="30">
        <f>I45</f>
        <v>9.1000000000000032</v>
      </c>
      <c r="D69" s="32">
        <v>7068</v>
      </c>
      <c r="E69" s="30">
        <f t="shared" si="12"/>
        <v>9.1000000000000032</v>
      </c>
      <c r="F69" s="32">
        <v>8068</v>
      </c>
      <c r="G69" s="30">
        <f t="shared" si="13"/>
        <v>9.0000000000000036</v>
      </c>
      <c r="H69" s="32">
        <v>9068</v>
      </c>
      <c r="I69" s="30">
        <f t="shared" si="14"/>
        <v>8.9000000000000039</v>
      </c>
    </row>
    <row r="70" spans="1:9" x14ac:dyDescent="0.15">
      <c r="A70" s="30">
        <v>69</v>
      </c>
      <c r="B70" s="30">
        <f>F46</f>
        <v>8045</v>
      </c>
      <c r="C70" s="30">
        <f>G46</f>
        <v>8.9000000000000039</v>
      </c>
      <c r="D70" s="32">
        <v>7069</v>
      </c>
      <c r="E70" s="30">
        <f t="shared" si="12"/>
        <v>8.9000000000000039</v>
      </c>
      <c r="F70" s="32">
        <v>8069</v>
      </c>
      <c r="G70" s="30">
        <f t="shared" si="13"/>
        <v>8.8000000000000043</v>
      </c>
      <c r="H70" s="32">
        <v>9069</v>
      </c>
      <c r="I70" s="30">
        <f t="shared" si="14"/>
        <v>8.7000000000000046</v>
      </c>
    </row>
    <row r="71" spans="1:9" x14ac:dyDescent="0.15">
      <c r="A71" s="30">
        <v>70</v>
      </c>
      <c r="B71" s="30">
        <f>H46</f>
        <v>9045</v>
      </c>
      <c r="C71" s="30">
        <f>I46</f>
        <v>8.8000000000000043</v>
      </c>
      <c r="D71" s="32">
        <v>7070</v>
      </c>
      <c r="E71" s="30">
        <f t="shared" si="12"/>
        <v>8.8000000000000043</v>
      </c>
      <c r="F71" s="32">
        <v>8070</v>
      </c>
      <c r="G71" s="30">
        <f t="shared" si="13"/>
        <v>8.7000000000000046</v>
      </c>
      <c r="H71" s="32">
        <v>9070</v>
      </c>
      <c r="I71" s="30">
        <f t="shared" si="14"/>
        <v>8.600000000000005</v>
      </c>
    </row>
    <row r="72" spans="1:9" x14ac:dyDescent="0.15">
      <c r="A72" s="30">
        <v>71</v>
      </c>
      <c r="B72" s="30">
        <f>H47</f>
        <v>9046</v>
      </c>
      <c r="C72" s="30">
        <f>I47</f>
        <v>8.8000000000000043</v>
      </c>
      <c r="D72" s="32">
        <v>7071</v>
      </c>
      <c r="E72" s="30">
        <f t="shared" si="12"/>
        <v>8.8000000000000043</v>
      </c>
      <c r="F72" s="32">
        <v>8071</v>
      </c>
      <c r="G72" s="30">
        <f t="shared" si="13"/>
        <v>8.7000000000000046</v>
      </c>
      <c r="H72" s="32">
        <v>9071</v>
      </c>
      <c r="I72" s="30">
        <f t="shared" si="14"/>
        <v>8.600000000000005</v>
      </c>
    </row>
    <row r="73" spans="1:9" x14ac:dyDescent="0.15">
      <c r="A73" s="30">
        <v>72</v>
      </c>
      <c r="B73" s="30">
        <f>F49</f>
        <v>8048</v>
      </c>
      <c r="C73" s="30">
        <f>G49</f>
        <v>9.1000000000000032</v>
      </c>
      <c r="D73" s="32">
        <v>7072</v>
      </c>
      <c r="E73" s="30">
        <f t="shared" si="12"/>
        <v>9.1000000000000032</v>
      </c>
      <c r="F73" s="32">
        <v>8072</v>
      </c>
      <c r="G73" s="30">
        <f t="shared" si="13"/>
        <v>9.0000000000000036</v>
      </c>
      <c r="H73" s="32">
        <v>9072</v>
      </c>
      <c r="I73" s="30">
        <f t="shared" si="14"/>
        <v>8.9000000000000039</v>
      </c>
    </row>
    <row r="74" spans="1:9" x14ac:dyDescent="0.15">
      <c r="A74" s="30">
        <v>73</v>
      </c>
      <c r="B74" s="30">
        <f>H49</f>
        <v>9048</v>
      </c>
      <c r="C74" s="30">
        <f>I49</f>
        <v>9.0000000000000036</v>
      </c>
      <c r="D74" s="32">
        <v>7073</v>
      </c>
      <c r="E74" s="30">
        <f t="shared" si="12"/>
        <v>9.0000000000000036</v>
      </c>
      <c r="F74" s="32">
        <v>8073</v>
      </c>
      <c r="G74" s="30">
        <f t="shared" si="13"/>
        <v>8.9000000000000039</v>
      </c>
      <c r="H74" s="32">
        <v>9073</v>
      </c>
      <c r="I74" s="30">
        <f t="shared" si="14"/>
        <v>8.8000000000000043</v>
      </c>
    </row>
    <row r="75" spans="1:9" x14ac:dyDescent="0.15">
      <c r="A75" s="30">
        <v>74</v>
      </c>
      <c r="B75" s="30">
        <f>H50</f>
        <v>9049</v>
      </c>
      <c r="C75" s="30">
        <f>I50</f>
        <v>9.1000000000000032</v>
      </c>
      <c r="D75" s="32">
        <v>7074</v>
      </c>
      <c r="E75" s="30">
        <f t="shared" si="12"/>
        <v>9.1000000000000032</v>
      </c>
      <c r="F75" s="32">
        <v>8074</v>
      </c>
      <c r="G75" s="30">
        <f t="shared" si="13"/>
        <v>9.0000000000000036</v>
      </c>
      <c r="H75" s="32">
        <v>9074</v>
      </c>
      <c r="I75" s="30">
        <f t="shared" si="14"/>
        <v>8.9000000000000039</v>
      </c>
    </row>
    <row r="76" spans="1:9" x14ac:dyDescent="0.15">
      <c r="A76" s="30">
        <v>75</v>
      </c>
      <c r="B76" s="30">
        <f>F50</f>
        <v>8049</v>
      </c>
      <c r="C76" s="30">
        <f>G50</f>
        <v>9.2000000000000028</v>
      </c>
      <c r="D76" s="32">
        <v>7075</v>
      </c>
      <c r="E76" s="30">
        <f t="shared" si="12"/>
        <v>9.2000000000000028</v>
      </c>
      <c r="F76" s="32">
        <v>8075</v>
      </c>
      <c r="G76" s="30">
        <f t="shared" si="13"/>
        <v>9.1000000000000032</v>
      </c>
      <c r="H76" s="32">
        <v>9075</v>
      </c>
      <c r="I76" s="30">
        <f t="shared" si="14"/>
        <v>9.0000000000000036</v>
      </c>
    </row>
    <row r="77" spans="1:9" x14ac:dyDescent="0.15">
      <c r="A77" s="30">
        <v>76</v>
      </c>
      <c r="B77" s="30">
        <f>H51</f>
        <v>9050</v>
      </c>
      <c r="C77" s="30">
        <f>I51</f>
        <v>8.9000000000000039</v>
      </c>
      <c r="D77" s="32">
        <v>7076</v>
      </c>
      <c r="E77" s="30">
        <f t="shared" si="12"/>
        <v>8.9000000000000039</v>
      </c>
      <c r="F77" s="32">
        <v>8076</v>
      </c>
      <c r="G77" s="30">
        <f t="shared" si="13"/>
        <v>8.8000000000000043</v>
      </c>
      <c r="H77" s="32">
        <v>9076</v>
      </c>
      <c r="I77" s="30">
        <f t="shared" si="14"/>
        <v>8.7000000000000046</v>
      </c>
    </row>
    <row r="78" spans="1:9" x14ac:dyDescent="0.15">
      <c r="A78" s="30">
        <v>77</v>
      </c>
      <c r="B78" s="30">
        <f>F51</f>
        <v>8050</v>
      </c>
      <c r="C78" s="30">
        <f>G51</f>
        <v>9.0000000000000036</v>
      </c>
      <c r="D78" s="32">
        <v>7077</v>
      </c>
      <c r="E78" s="30">
        <f t="shared" si="12"/>
        <v>9.0000000000000036</v>
      </c>
      <c r="F78" s="32">
        <v>8077</v>
      </c>
      <c r="G78" s="30">
        <f t="shared" si="13"/>
        <v>8.9000000000000039</v>
      </c>
      <c r="H78" s="32">
        <v>9077</v>
      </c>
      <c r="I78" s="30">
        <f t="shared" si="14"/>
        <v>8.8000000000000043</v>
      </c>
    </row>
    <row r="79" spans="1:9" x14ac:dyDescent="0.15">
      <c r="A79" s="30">
        <v>78</v>
      </c>
      <c r="B79" s="30">
        <f>F53</f>
        <v>8052</v>
      </c>
      <c r="C79" s="30">
        <f>G53</f>
        <v>9.0000000000000036</v>
      </c>
      <c r="D79" s="32">
        <v>7078</v>
      </c>
      <c r="E79" s="30">
        <f t="shared" si="12"/>
        <v>9.0000000000000036</v>
      </c>
      <c r="F79" s="32">
        <v>8078</v>
      </c>
      <c r="G79" s="30">
        <f t="shared" si="13"/>
        <v>8.9000000000000039</v>
      </c>
      <c r="H79" s="32">
        <v>9078</v>
      </c>
      <c r="I79" s="30">
        <f t="shared" si="14"/>
        <v>8.8000000000000043</v>
      </c>
    </row>
    <row r="80" spans="1:9" x14ac:dyDescent="0.15">
      <c r="A80" s="30">
        <v>79</v>
      </c>
      <c r="B80" s="30">
        <f>H53</f>
        <v>9052</v>
      </c>
      <c r="C80" s="30">
        <f>I53</f>
        <v>8.9000000000000039</v>
      </c>
      <c r="D80" s="32">
        <v>7079</v>
      </c>
      <c r="E80" s="30">
        <f t="shared" si="12"/>
        <v>8.9000000000000039</v>
      </c>
      <c r="F80" s="32">
        <v>8079</v>
      </c>
      <c r="G80" s="30">
        <f t="shared" si="13"/>
        <v>8.8000000000000043</v>
      </c>
      <c r="H80" s="32">
        <v>9079</v>
      </c>
      <c r="I80" s="30">
        <f t="shared" si="14"/>
        <v>8.7000000000000046</v>
      </c>
    </row>
    <row r="81" spans="1:9" x14ac:dyDescent="0.15">
      <c r="A81" s="30">
        <v>80</v>
      </c>
      <c r="B81" s="30">
        <f>F56</f>
        <v>8055</v>
      </c>
      <c r="C81" s="30">
        <f>G56</f>
        <v>8.9000000000000039</v>
      </c>
      <c r="D81" s="32">
        <v>7080</v>
      </c>
      <c r="E81" s="30">
        <f t="shared" si="12"/>
        <v>8.9000000000000039</v>
      </c>
      <c r="F81" s="32">
        <v>8080</v>
      </c>
      <c r="G81" s="30">
        <f t="shared" si="13"/>
        <v>8.8000000000000043</v>
      </c>
      <c r="H81" s="32">
        <v>9080</v>
      </c>
      <c r="I81" s="30">
        <f t="shared" si="14"/>
        <v>8.7000000000000046</v>
      </c>
    </row>
    <row r="82" spans="1:9" x14ac:dyDescent="0.15">
      <c r="A82" s="30">
        <v>81</v>
      </c>
      <c r="B82" s="30">
        <f>H56</f>
        <v>9055</v>
      </c>
      <c r="C82" s="30">
        <f>I56</f>
        <v>8.8000000000000043</v>
      </c>
      <c r="D82" s="32">
        <v>7081</v>
      </c>
      <c r="E82" s="30">
        <f t="shared" si="12"/>
        <v>8.8000000000000043</v>
      </c>
      <c r="F82" s="32">
        <v>8081</v>
      </c>
      <c r="G82" s="30">
        <f t="shared" si="13"/>
        <v>8.7000000000000046</v>
      </c>
      <c r="H82" s="32">
        <v>9081</v>
      </c>
      <c r="I82" s="30">
        <f t="shared" si="14"/>
        <v>8.600000000000005</v>
      </c>
    </row>
    <row r="83" spans="1:9" x14ac:dyDescent="0.15">
      <c r="A83" s="30">
        <v>82</v>
      </c>
      <c r="B83" s="30">
        <f>D57</f>
        <v>7056</v>
      </c>
      <c r="C83" s="30">
        <f>E57</f>
        <v>8.9000000000000039</v>
      </c>
      <c r="D83" s="32">
        <v>7082</v>
      </c>
      <c r="E83" s="30">
        <f t="shared" si="12"/>
        <v>8.9000000000000039</v>
      </c>
      <c r="F83" s="32">
        <v>8082</v>
      </c>
      <c r="G83" s="30">
        <f t="shared" si="13"/>
        <v>8.8000000000000043</v>
      </c>
      <c r="H83" s="32">
        <v>9082</v>
      </c>
      <c r="I83" s="30">
        <f t="shared" si="14"/>
        <v>8.7000000000000046</v>
      </c>
    </row>
    <row r="84" spans="1:9" x14ac:dyDescent="0.15">
      <c r="A84" s="30">
        <v>83</v>
      </c>
      <c r="B84" s="30">
        <f>D58</f>
        <v>7057</v>
      </c>
      <c r="C84" s="30">
        <f>E58</f>
        <v>8.9000000000000039</v>
      </c>
      <c r="D84" s="32">
        <v>7083</v>
      </c>
      <c r="E84" s="30">
        <f t="shared" si="12"/>
        <v>8.9000000000000039</v>
      </c>
      <c r="F84" s="32">
        <v>8083</v>
      </c>
      <c r="G84" s="30">
        <f t="shared" si="13"/>
        <v>8.8000000000000043</v>
      </c>
      <c r="H84" s="32">
        <v>9083</v>
      </c>
      <c r="I84" s="30">
        <f t="shared" si="14"/>
        <v>8.7000000000000046</v>
      </c>
    </row>
    <row r="85" spans="1:9" x14ac:dyDescent="0.15">
      <c r="A85" s="30">
        <v>84</v>
      </c>
      <c r="B85" s="30">
        <f>F58</f>
        <v>8057</v>
      </c>
      <c r="C85" s="30">
        <f>G58</f>
        <v>8.8000000000000043</v>
      </c>
      <c r="D85" s="32">
        <v>7084</v>
      </c>
      <c r="E85" s="30">
        <f t="shared" si="12"/>
        <v>8.8000000000000043</v>
      </c>
      <c r="F85" s="32">
        <v>8084</v>
      </c>
      <c r="G85" s="30">
        <f t="shared" si="13"/>
        <v>8.7000000000000046</v>
      </c>
      <c r="H85" s="32">
        <v>9084</v>
      </c>
      <c r="I85" s="30">
        <f t="shared" si="14"/>
        <v>8.600000000000005</v>
      </c>
    </row>
    <row r="86" spans="1:9" x14ac:dyDescent="0.15">
      <c r="A86" s="30">
        <v>85</v>
      </c>
      <c r="B86" s="30">
        <f>H58</f>
        <v>9057</v>
      </c>
      <c r="C86" s="30">
        <f>I58</f>
        <v>8.7000000000000046</v>
      </c>
      <c r="D86" s="32">
        <v>7085</v>
      </c>
      <c r="E86" s="30">
        <f t="shared" si="12"/>
        <v>8.7000000000000046</v>
      </c>
      <c r="F86" s="32">
        <v>8085</v>
      </c>
      <c r="G86" s="30">
        <f t="shared" si="13"/>
        <v>8.600000000000005</v>
      </c>
      <c r="H86" s="32">
        <v>9085</v>
      </c>
      <c r="I86" s="30">
        <f t="shared" si="14"/>
        <v>8.5000000000000053</v>
      </c>
    </row>
    <row r="87" spans="1:9" x14ac:dyDescent="0.15">
      <c r="A87" s="30">
        <v>86</v>
      </c>
      <c r="B87" s="30">
        <f>F59</f>
        <v>8058</v>
      </c>
      <c r="C87" s="30">
        <f>G59</f>
        <v>8.9000000000000039</v>
      </c>
      <c r="D87" s="32">
        <v>7086</v>
      </c>
      <c r="E87" s="30">
        <f t="shared" si="12"/>
        <v>8.9000000000000039</v>
      </c>
      <c r="F87" s="32">
        <v>8086</v>
      </c>
      <c r="G87" s="30">
        <f t="shared" si="13"/>
        <v>8.8000000000000043</v>
      </c>
      <c r="H87" s="32">
        <v>9086</v>
      </c>
      <c r="I87" s="30">
        <f t="shared" si="14"/>
        <v>8.7000000000000046</v>
      </c>
    </row>
    <row r="88" spans="1:9" x14ac:dyDescent="0.15">
      <c r="A88" s="30">
        <v>87</v>
      </c>
      <c r="B88" s="30">
        <f>H59</f>
        <v>9058</v>
      </c>
      <c r="C88" s="30">
        <f>I59</f>
        <v>8.8000000000000043</v>
      </c>
      <c r="D88" s="32">
        <v>7087</v>
      </c>
      <c r="E88" s="30">
        <f t="shared" si="12"/>
        <v>8.8000000000000043</v>
      </c>
      <c r="F88" s="32">
        <v>8087</v>
      </c>
      <c r="G88" s="30">
        <f t="shared" si="13"/>
        <v>8.7000000000000046</v>
      </c>
      <c r="H88" s="32">
        <v>9087</v>
      </c>
      <c r="I88" s="30">
        <f t="shared" si="14"/>
        <v>8.600000000000005</v>
      </c>
    </row>
    <row r="89" spans="1:9" x14ac:dyDescent="0.15">
      <c r="A89" s="30">
        <v>88</v>
      </c>
      <c r="B89" s="30">
        <f>H60</f>
        <v>9059</v>
      </c>
      <c r="C89" s="30">
        <f>I60</f>
        <v>9.0000000000000036</v>
      </c>
      <c r="D89" s="32">
        <v>7088</v>
      </c>
      <c r="E89" s="30">
        <f t="shared" si="12"/>
        <v>9.0000000000000036</v>
      </c>
      <c r="F89" s="32">
        <v>8088</v>
      </c>
      <c r="G89" s="30">
        <f t="shared" si="13"/>
        <v>8.9000000000000039</v>
      </c>
      <c r="H89" s="32">
        <v>9088</v>
      </c>
      <c r="I89" s="30">
        <f t="shared" si="14"/>
        <v>8.8000000000000043</v>
      </c>
    </row>
    <row r="90" spans="1:9" x14ac:dyDescent="0.15">
      <c r="A90" s="30">
        <v>89</v>
      </c>
      <c r="B90" s="30">
        <f>F60</f>
        <v>8059</v>
      </c>
      <c r="C90" s="30">
        <f>G60</f>
        <v>9.1000000000000032</v>
      </c>
      <c r="D90" s="32">
        <v>7089</v>
      </c>
      <c r="E90" s="30">
        <f t="shared" si="12"/>
        <v>9.1000000000000032</v>
      </c>
      <c r="F90" s="32">
        <v>8089</v>
      </c>
      <c r="G90" s="30">
        <f t="shared" si="13"/>
        <v>9.0000000000000036</v>
      </c>
      <c r="H90" s="32">
        <v>9089</v>
      </c>
      <c r="I90" s="30">
        <f t="shared" si="14"/>
        <v>8.9000000000000039</v>
      </c>
    </row>
    <row r="91" spans="1:9" x14ac:dyDescent="0.15">
      <c r="A91" s="30">
        <v>90</v>
      </c>
      <c r="B91" s="30">
        <f>F61</f>
        <v>8060</v>
      </c>
      <c r="C91" s="30">
        <f>G61</f>
        <v>9.0000000000000036</v>
      </c>
      <c r="D91" s="32">
        <v>7090</v>
      </c>
      <c r="E91" s="30">
        <f t="shared" si="12"/>
        <v>9.0000000000000036</v>
      </c>
      <c r="F91" s="32">
        <v>8090</v>
      </c>
      <c r="G91" s="30">
        <f t="shared" si="13"/>
        <v>8.9000000000000039</v>
      </c>
      <c r="H91" s="32">
        <v>9090</v>
      </c>
      <c r="I91" s="30">
        <f t="shared" si="14"/>
        <v>8.8000000000000043</v>
      </c>
    </row>
    <row r="92" spans="1:9" x14ac:dyDescent="0.15">
      <c r="A92" s="30">
        <v>91</v>
      </c>
      <c r="B92" s="30">
        <f>H61</f>
        <v>9060</v>
      </c>
      <c r="C92" s="30">
        <f>I61</f>
        <v>8.9000000000000039</v>
      </c>
      <c r="D92" s="32">
        <v>7091</v>
      </c>
      <c r="E92" s="30">
        <f t="shared" si="12"/>
        <v>8.9000000000000039</v>
      </c>
      <c r="F92" s="32">
        <v>8091</v>
      </c>
      <c r="G92" s="30">
        <f t="shared" si="13"/>
        <v>8.8000000000000043</v>
      </c>
      <c r="H92" s="32">
        <v>9091</v>
      </c>
      <c r="I92" s="30">
        <f t="shared" si="14"/>
        <v>8.7000000000000046</v>
      </c>
    </row>
    <row r="93" spans="1:9" x14ac:dyDescent="0.15">
      <c r="A93" s="30">
        <v>92</v>
      </c>
      <c r="B93" s="30">
        <f>F62</f>
        <v>8061</v>
      </c>
      <c r="C93" s="30">
        <f>G62</f>
        <v>8.9000000000000039</v>
      </c>
      <c r="D93" s="32">
        <v>7092</v>
      </c>
      <c r="E93" s="30">
        <f t="shared" si="12"/>
        <v>8.9000000000000039</v>
      </c>
      <c r="F93" s="32">
        <v>8092</v>
      </c>
      <c r="G93" s="30">
        <f t="shared" si="13"/>
        <v>8.8000000000000043</v>
      </c>
      <c r="H93" s="32">
        <v>9092</v>
      </c>
      <c r="I93" s="30">
        <f t="shared" si="14"/>
        <v>8.7000000000000046</v>
      </c>
    </row>
    <row r="94" spans="1:9" x14ac:dyDescent="0.15">
      <c r="A94" s="30">
        <v>93</v>
      </c>
      <c r="B94" s="30">
        <f>H62</f>
        <v>9061</v>
      </c>
      <c r="C94" s="30">
        <f>I62</f>
        <v>8.8000000000000043</v>
      </c>
      <c r="D94" s="32">
        <v>7093</v>
      </c>
      <c r="E94" s="30">
        <f t="shared" si="12"/>
        <v>8.8000000000000043</v>
      </c>
      <c r="F94" s="32">
        <v>8093</v>
      </c>
      <c r="G94" s="30">
        <f t="shared" si="13"/>
        <v>8.7000000000000046</v>
      </c>
      <c r="H94" s="32">
        <v>9093</v>
      </c>
      <c r="I94" s="30">
        <f t="shared" si="14"/>
        <v>8.600000000000005</v>
      </c>
    </row>
    <row r="95" spans="1:9" x14ac:dyDescent="0.15">
      <c r="A95" s="30">
        <v>94</v>
      </c>
      <c r="B95" s="30">
        <f>H63</f>
        <v>9062</v>
      </c>
      <c r="C95" s="30">
        <f>I63</f>
        <v>8.9000000000000039</v>
      </c>
      <c r="D95" s="32">
        <v>7094</v>
      </c>
      <c r="E95" s="30">
        <f t="shared" si="12"/>
        <v>8.9000000000000039</v>
      </c>
      <c r="F95" s="32">
        <v>8094</v>
      </c>
      <c r="G95" s="30">
        <f t="shared" si="13"/>
        <v>8.8000000000000043</v>
      </c>
      <c r="H95" s="32">
        <v>9094</v>
      </c>
      <c r="I95" s="30">
        <f t="shared" si="14"/>
        <v>8.7000000000000046</v>
      </c>
    </row>
    <row r="96" spans="1:9" x14ac:dyDescent="0.15">
      <c r="A96" s="30">
        <v>95</v>
      </c>
      <c r="B96" s="30">
        <f>F63</f>
        <v>8062</v>
      </c>
      <c r="C96" s="30">
        <f>G63</f>
        <v>9.0000000000000036</v>
      </c>
      <c r="D96" s="32">
        <v>7095</v>
      </c>
      <c r="E96" s="30">
        <f t="shared" si="12"/>
        <v>9.0000000000000036</v>
      </c>
      <c r="F96" s="32">
        <v>8095</v>
      </c>
      <c r="G96" s="30">
        <f t="shared" si="13"/>
        <v>8.9000000000000039</v>
      </c>
      <c r="H96" s="32">
        <v>9095</v>
      </c>
      <c r="I96" s="30">
        <f t="shared" si="14"/>
        <v>8.8000000000000043</v>
      </c>
    </row>
    <row r="97" spans="1:9" x14ac:dyDescent="0.15">
      <c r="A97" s="30">
        <v>96</v>
      </c>
      <c r="B97" s="30">
        <f>F64</f>
        <v>8063</v>
      </c>
      <c r="C97" s="30">
        <f>G64</f>
        <v>8.9000000000000039</v>
      </c>
      <c r="D97" s="32">
        <v>7096</v>
      </c>
      <c r="E97" s="30">
        <f t="shared" si="12"/>
        <v>8.9000000000000039</v>
      </c>
      <c r="F97" s="32">
        <v>8096</v>
      </c>
      <c r="G97" s="30">
        <f t="shared" si="13"/>
        <v>8.8000000000000043</v>
      </c>
      <c r="H97" s="32">
        <v>9096</v>
      </c>
      <c r="I97" s="30">
        <f t="shared" si="14"/>
        <v>8.7000000000000046</v>
      </c>
    </row>
    <row r="98" spans="1:9" x14ac:dyDescent="0.15">
      <c r="A98" s="30">
        <v>97</v>
      </c>
      <c r="B98" s="30">
        <f>H64</f>
        <v>9063</v>
      </c>
      <c r="C98" s="30">
        <f>I64</f>
        <v>8.8000000000000043</v>
      </c>
      <c r="D98" s="32">
        <v>7097</v>
      </c>
      <c r="E98" s="30">
        <f t="shared" si="12"/>
        <v>8.8000000000000043</v>
      </c>
      <c r="F98" s="32">
        <v>8097</v>
      </c>
      <c r="G98" s="30">
        <f t="shared" si="13"/>
        <v>8.7000000000000046</v>
      </c>
      <c r="H98" s="32">
        <v>9097</v>
      </c>
      <c r="I98" s="30">
        <f t="shared" si="14"/>
        <v>8.600000000000005</v>
      </c>
    </row>
    <row r="99" spans="1:9" x14ac:dyDescent="0.15">
      <c r="A99" s="30">
        <v>98</v>
      </c>
      <c r="B99" s="30">
        <f>H65</f>
        <v>9064</v>
      </c>
      <c r="C99" s="30">
        <f>I65</f>
        <v>8.7000000000000046</v>
      </c>
      <c r="D99" s="32">
        <v>7098</v>
      </c>
      <c r="E99" s="30">
        <f t="shared" si="12"/>
        <v>8.7000000000000046</v>
      </c>
      <c r="F99" s="32">
        <v>8098</v>
      </c>
      <c r="G99" s="30">
        <f t="shared" si="13"/>
        <v>8.600000000000005</v>
      </c>
      <c r="H99" s="32">
        <v>9098</v>
      </c>
      <c r="I99" s="30">
        <f t="shared" si="14"/>
        <v>8.5000000000000053</v>
      </c>
    </row>
    <row r="100" spans="1:9" x14ac:dyDescent="0.15">
      <c r="A100" s="30">
        <v>99</v>
      </c>
      <c r="B100" s="30">
        <f>F65</f>
        <v>8064</v>
      </c>
      <c r="C100" s="30">
        <f>G65</f>
        <v>8.8000000000000043</v>
      </c>
      <c r="D100" s="32">
        <v>7099</v>
      </c>
      <c r="E100" s="30">
        <f t="shared" si="12"/>
        <v>8.8000000000000043</v>
      </c>
      <c r="F100" s="32">
        <v>8099</v>
      </c>
      <c r="G100" s="30">
        <f t="shared" si="13"/>
        <v>8.7000000000000046</v>
      </c>
      <c r="H100" s="32">
        <v>9099</v>
      </c>
      <c r="I100" s="30">
        <f t="shared" si="14"/>
        <v>8.600000000000005</v>
      </c>
    </row>
    <row r="101" spans="1:9" x14ac:dyDescent="0.15">
      <c r="A101" s="30">
        <v>100</v>
      </c>
      <c r="B101" s="30">
        <f>F68</f>
        <v>8067</v>
      </c>
      <c r="C101" s="30">
        <f>G68</f>
        <v>9.1000000000000032</v>
      </c>
      <c r="D101" s="32">
        <v>7100</v>
      </c>
      <c r="E101" s="30">
        <f t="shared" si="12"/>
        <v>9.1000000000000032</v>
      </c>
      <c r="F101" s="32">
        <v>8100</v>
      </c>
      <c r="G101" s="30">
        <f t="shared" si="13"/>
        <v>9.0000000000000036</v>
      </c>
      <c r="H101" s="32">
        <v>9100</v>
      </c>
      <c r="I101" s="30">
        <f t="shared" si="14"/>
        <v>8.9000000000000039</v>
      </c>
    </row>
    <row r="102" spans="1:9" x14ac:dyDescent="0.15">
      <c r="A102" s="30">
        <v>101</v>
      </c>
      <c r="B102" s="30">
        <f>H68</f>
        <v>9067</v>
      </c>
      <c r="C102" s="30">
        <f>I68</f>
        <v>9.0000000000000036</v>
      </c>
      <c r="D102" s="32">
        <v>7101</v>
      </c>
      <c r="E102" s="30">
        <f t="shared" si="12"/>
        <v>9.0000000000000036</v>
      </c>
      <c r="F102" s="32">
        <v>8101</v>
      </c>
      <c r="G102" s="30">
        <f t="shared" si="13"/>
        <v>8.9000000000000039</v>
      </c>
      <c r="H102" s="32">
        <v>9101</v>
      </c>
      <c r="I102" s="30">
        <f t="shared" si="14"/>
        <v>8.8000000000000043</v>
      </c>
    </row>
    <row r="103" spans="1:9" x14ac:dyDescent="0.15">
      <c r="A103" s="30">
        <v>102</v>
      </c>
      <c r="B103" s="30">
        <f>F69</f>
        <v>8068</v>
      </c>
      <c r="C103" s="30">
        <f>G69</f>
        <v>9.0000000000000036</v>
      </c>
      <c r="D103" s="32">
        <v>7102</v>
      </c>
      <c r="E103" s="30">
        <f t="shared" si="12"/>
        <v>9.0000000000000036</v>
      </c>
      <c r="F103" s="32">
        <v>8102</v>
      </c>
      <c r="G103" s="30">
        <f t="shared" si="13"/>
        <v>8.9000000000000039</v>
      </c>
      <c r="H103" s="32">
        <v>9102</v>
      </c>
      <c r="I103" s="30">
        <f t="shared" si="14"/>
        <v>8.8000000000000043</v>
      </c>
    </row>
    <row r="104" spans="1:9" x14ac:dyDescent="0.15">
      <c r="A104" s="30">
        <v>103</v>
      </c>
      <c r="B104" s="30">
        <f>H69</f>
        <v>9068</v>
      </c>
      <c r="C104" s="30">
        <f>I69</f>
        <v>8.9000000000000039</v>
      </c>
      <c r="D104" s="32">
        <v>7103</v>
      </c>
      <c r="E104" s="30">
        <f t="shared" si="12"/>
        <v>8.9000000000000039</v>
      </c>
      <c r="F104" s="32">
        <v>8103</v>
      </c>
      <c r="G104" s="30">
        <f t="shared" si="13"/>
        <v>8.8000000000000043</v>
      </c>
      <c r="H104" s="32">
        <v>9103</v>
      </c>
      <c r="I104" s="30">
        <f t="shared" si="14"/>
        <v>8.7000000000000046</v>
      </c>
    </row>
    <row r="105" spans="1:9" x14ac:dyDescent="0.15">
      <c r="A105" s="30">
        <v>104</v>
      </c>
      <c r="B105" s="30">
        <f>D70</f>
        <v>7069</v>
      </c>
      <c r="C105" s="30">
        <f>E70</f>
        <v>8.9000000000000039</v>
      </c>
      <c r="D105" s="32">
        <v>7104</v>
      </c>
      <c r="E105" s="30">
        <f t="shared" si="12"/>
        <v>8.9000000000000039</v>
      </c>
      <c r="F105" s="32">
        <v>8104</v>
      </c>
      <c r="G105" s="30">
        <f t="shared" si="13"/>
        <v>8.8000000000000043</v>
      </c>
      <c r="H105" s="32">
        <v>9104</v>
      </c>
      <c r="I105" s="30">
        <f t="shared" si="14"/>
        <v>8.7000000000000046</v>
      </c>
    </row>
    <row r="106" spans="1:9" x14ac:dyDescent="0.15">
      <c r="A106" s="30">
        <v>105</v>
      </c>
      <c r="B106" s="30">
        <f>H70</f>
        <v>9069</v>
      </c>
      <c r="C106" s="30">
        <f>I70</f>
        <v>8.7000000000000046</v>
      </c>
      <c r="D106" s="32">
        <v>7105</v>
      </c>
      <c r="E106" s="30">
        <f t="shared" si="12"/>
        <v>8.7000000000000046</v>
      </c>
      <c r="F106" s="32">
        <v>8105</v>
      </c>
      <c r="G106" s="30">
        <f t="shared" si="13"/>
        <v>8.600000000000005</v>
      </c>
      <c r="H106" s="32">
        <v>9105</v>
      </c>
      <c r="I106" s="30">
        <f t="shared" si="14"/>
        <v>8.5000000000000053</v>
      </c>
    </row>
    <row r="107" spans="1:9" x14ac:dyDescent="0.15">
      <c r="A107" s="30">
        <v>106</v>
      </c>
      <c r="B107" s="30">
        <f>H71</f>
        <v>9070</v>
      </c>
      <c r="C107" s="30">
        <f>I71</f>
        <v>8.600000000000005</v>
      </c>
      <c r="D107" s="32">
        <v>7106</v>
      </c>
      <c r="E107" s="30">
        <f t="shared" si="12"/>
        <v>8.600000000000005</v>
      </c>
      <c r="F107" s="32">
        <v>8106</v>
      </c>
      <c r="G107" s="30">
        <f t="shared" si="13"/>
        <v>8.5000000000000053</v>
      </c>
      <c r="H107" s="32">
        <v>9106</v>
      </c>
      <c r="I107" s="30">
        <f t="shared" si="14"/>
        <v>8.4000000000000057</v>
      </c>
    </row>
    <row r="108" spans="1:9" x14ac:dyDescent="0.15">
      <c r="A108" s="30">
        <v>107</v>
      </c>
      <c r="B108" s="30">
        <f>F71</f>
        <v>8070</v>
      </c>
      <c r="C108" s="30">
        <f>G71</f>
        <v>8.7000000000000046</v>
      </c>
      <c r="D108" s="32">
        <v>7107</v>
      </c>
      <c r="E108" s="30">
        <f t="shared" si="12"/>
        <v>8.7000000000000046</v>
      </c>
      <c r="F108" s="32">
        <v>8107</v>
      </c>
      <c r="G108" s="30">
        <f t="shared" si="13"/>
        <v>8.600000000000005</v>
      </c>
      <c r="H108" s="32">
        <v>9107</v>
      </c>
      <c r="I108" s="30">
        <f t="shared" si="14"/>
        <v>8.5000000000000053</v>
      </c>
    </row>
    <row r="109" spans="1:9" x14ac:dyDescent="0.15">
      <c r="A109" s="30">
        <v>108</v>
      </c>
      <c r="B109" s="30">
        <f>F72</f>
        <v>8071</v>
      </c>
      <c r="C109" s="30">
        <f>G72</f>
        <v>8.7000000000000046</v>
      </c>
      <c r="D109" s="32">
        <v>7108</v>
      </c>
      <c r="E109" s="30">
        <f t="shared" si="12"/>
        <v>8.7000000000000046</v>
      </c>
      <c r="F109" s="32">
        <v>8108</v>
      </c>
      <c r="G109" s="30">
        <f t="shared" si="13"/>
        <v>8.600000000000005</v>
      </c>
      <c r="H109" s="32">
        <v>9108</v>
      </c>
      <c r="I109" s="30">
        <f t="shared" si="14"/>
        <v>8.5000000000000053</v>
      </c>
    </row>
    <row r="110" spans="1:9" x14ac:dyDescent="0.15">
      <c r="A110" s="30">
        <v>109</v>
      </c>
      <c r="B110" s="30">
        <f>H72</f>
        <v>9071</v>
      </c>
      <c r="C110" s="30">
        <f>I72</f>
        <v>8.600000000000005</v>
      </c>
      <c r="D110" s="32">
        <v>7109</v>
      </c>
      <c r="E110" s="30">
        <f t="shared" si="12"/>
        <v>8.600000000000005</v>
      </c>
      <c r="F110" s="32">
        <v>8109</v>
      </c>
      <c r="G110" s="30">
        <f t="shared" si="13"/>
        <v>8.5000000000000053</v>
      </c>
      <c r="H110" s="32">
        <v>9109</v>
      </c>
      <c r="I110" s="30">
        <f t="shared" si="14"/>
        <v>8.4000000000000057</v>
      </c>
    </row>
    <row r="111" spans="1:9" x14ac:dyDescent="0.15">
      <c r="A111" s="30">
        <v>110</v>
      </c>
      <c r="B111" s="30">
        <f>H48</f>
        <v>9047</v>
      </c>
      <c r="C111" s="30">
        <f>I48</f>
        <v>8.9000000000000039</v>
      </c>
      <c r="D111" s="32">
        <v>7110</v>
      </c>
      <c r="E111" s="30">
        <f t="shared" si="12"/>
        <v>8.9000000000000039</v>
      </c>
      <c r="F111" s="32">
        <v>8110</v>
      </c>
      <c r="G111" s="30">
        <f t="shared" si="13"/>
        <v>8.8000000000000043</v>
      </c>
      <c r="H111" s="32">
        <v>9110</v>
      </c>
      <c r="I111" s="30">
        <f t="shared" si="14"/>
        <v>8.7000000000000046</v>
      </c>
    </row>
    <row r="112" spans="1:9" x14ac:dyDescent="0.15">
      <c r="A112" s="30">
        <v>111</v>
      </c>
      <c r="B112" s="30">
        <f>D73</f>
        <v>7072</v>
      </c>
      <c r="C112" s="30">
        <f>E73</f>
        <v>9.1000000000000032</v>
      </c>
      <c r="D112" s="32">
        <v>7111</v>
      </c>
      <c r="E112" s="30">
        <f t="shared" si="12"/>
        <v>9.1000000000000032</v>
      </c>
      <c r="F112" s="32">
        <v>8111</v>
      </c>
      <c r="G112" s="30">
        <f t="shared" si="13"/>
        <v>9.0000000000000036</v>
      </c>
      <c r="H112" s="32">
        <v>9111</v>
      </c>
      <c r="I112" s="30">
        <f t="shared" si="14"/>
        <v>8.9000000000000039</v>
      </c>
    </row>
    <row r="113" spans="1:9" x14ac:dyDescent="0.15">
      <c r="A113" s="30">
        <v>112</v>
      </c>
      <c r="B113" s="30">
        <f>H73</f>
        <v>9072</v>
      </c>
      <c r="C113" s="30">
        <f>I73</f>
        <v>8.9000000000000039</v>
      </c>
      <c r="D113" s="32">
        <v>7112</v>
      </c>
      <c r="E113" s="30">
        <f t="shared" si="12"/>
        <v>8.9000000000000039</v>
      </c>
      <c r="F113" s="32">
        <v>8112</v>
      </c>
      <c r="G113" s="30">
        <f t="shared" si="13"/>
        <v>8.8000000000000043</v>
      </c>
      <c r="H113" s="32">
        <v>9112</v>
      </c>
      <c r="I113" s="30">
        <f t="shared" si="14"/>
        <v>8.7000000000000046</v>
      </c>
    </row>
    <row r="114" spans="1:9" x14ac:dyDescent="0.15">
      <c r="A114" s="30">
        <v>113</v>
      </c>
      <c r="B114" s="30">
        <f>F74</f>
        <v>8073</v>
      </c>
      <c r="C114" s="30">
        <f>G74</f>
        <v>8.9000000000000039</v>
      </c>
      <c r="D114" s="32">
        <v>7113</v>
      </c>
      <c r="E114" s="30">
        <f t="shared" si="12"/>
        <v>8.9000000000000039</v>
      </c>
      <c r="F114" s="32">
        <v>8113</v>
      </c>
      <c r="G114" s="30">
        <f t="shared" si="13"/>
        <v>8.8000000000000043</v>
      </c>
      <c r="H114" s="32">
        <v>9113</v>
      </c>
      <c r="I114" s="30">
        <f t="shared" si="14"/>
        <v>8.7000000000000046</v>
      </c>
    </row>
    <row r="115" spans="1:9" x14ac:dyDescent="0.15">
      <c r="A115" s="30">
        <v>114</v>
      </c>
      <c r="B115" s="30">
        <f>H74</f>
        <v>9073</v>
      </c>
      <c r="C115" s="30">
        <f>I74</f>
        <v>8.8000000000000043</v>
      </c>
      <c r="D115" s="32">
        <v>7114</v>
      </c>
      <c r="E115" s="30">
        <f t="shared" si="12"/>
        <v>8.8000000000000043</v>
      </c>
      <c r="F115" s="32">
        <v>8114</v>
      </c>
      <c r="G115" s="30">
        <f t="shared" si="13"/>
        <v>8.7000000000000046</v>
      </c>
      <c r="H115" s="32">
        <v>9114</v>
      </c>
      <c r="I115" s="30">
        <f t="shared" si="14"/>
        <v>8.600000000000005</v>
      </c>
    </row>
    <row r="116" spans="1:9" x14ac:dyDescent="0.15">
      <c r="A116" s="30">
        <v>115</v>
      </c>
      <c r="B116" s="30">
        <f>H75</f>
        <v>9074</v>
      </c>
      <c r="C116" s="30">
        <f>I75</f>
        <v>8.9000000000000039</v>
      </c>
      <c r="D116" s="32">
        <v>7115</v>
      </c>
      <c r="E116" s="30">
        <f t="shared" si="12"/>
        <v>8.9000000000000039</v>
      </c>
      <c r="F116" s="32">
        <v>8115</v>
      </c>
      <c r="G116" s="30">
        <f t="shared" si="13"/>
        <v>8.8000000000000043</v>
      </c>
      <c r="H116" s="32">
        <v>9115</v>
      </c>
      <c r="I116" s="30">
        <f t="shared" si="14"/>
        <v>8.7000000000000046</v>
      </c>
    </row>
    <row r="117" spans="1:9" x14ac:dyDescent="0.15">
      <c r="A117" s="30">
        <v>116</v>
      </c>
      <c r="B117" s="30">
        <f>F75</f>
        <v>8074</v>
      </c>
      <c r="C117" s="30">
        <f>G75</f>
        <v>9.0000000000000036</v>
      </c>
      <c r="D117" s="32">
        <v>7116</v>
      </c>
      <c r="E117" s="30">
        <f t="shared" si="12"/>
        <v>9.0000000000000036</v>
      </c>
      <c r="F117" s="32">
        <v>8116</v>
      </c>
      <c r="G117" s="30">
        <f t="shared" si="13"/>
        <v>8.9000000000000039</v>
      </c>
      <c r="H117" s="32">
        <v>9116</v>
      </c>
      <c r="I117" s="30">
        <f t="shared" si="14"/>
        <v>8.8000000000000043</v>
      </c>
    </row>
    <row r="118" spans="1:9" x14ac:dyDescent="0.15">
      <c r="A118" s="30">
        <v>117</v>
      </c>
      <c r="B118" s="30">
        <f>F76</f>
        <v>8075</v>
      </c>
      <c r="C118" s="30">
        <f>G76</f>
        <v>9.1000000000000032</v>
      </c>
      <c r="D118" s="32">
        <v>7117</v>
      </c>
      <c r="E118" s="30">
        <f t="shared" si="12"/>
        <v>9.1000000000000032</v>
      </c>
      <c r="F118" s="32">
        <v>8117</v>
      </c>
      <c r="G118" s="30">
        <f t="shared" si="13"/>
        <v>9.0000000000000036</v>
      </c>
      <c r="H118" s="32">
        <v>9117</v>
      </c>
      <c r="I118" s="30">
        <f t="shared" si="14"/>
        <v>8.9000000000000039</v>
      </c>
    </row>
    <row r="119" spans="1:9" x14ac:dyDescent="0.15">
      <c r="A119" s="30">
        <v>118</v>
      </c>
      <c r="B119" s="30">
        <f>H76</f>
        <v>9075</v>
      </c>
      <c r="C119" s="30">
        <f>I76</f>
        <v>9.0000000000000036</v>
      </c>
      <c r="D119" s="32">
        <v>7118</v>
      </c>
      <c r="E119" s="30">
        <f t="shared" si="12"/>
        <v>9.0000000000000036</v>
      </c>
      <c r="F119" s="32">
        <v>8118</v>
      </c>
      <c r="G119" s="30">
        <f t="shared" si="13"/>
        <v>8.9000000000000039</v>
      </c>
      <c r="H119" s="32">
        <v>9118</v>
      </c>
      <c r="I119" s="30">
        <f t="shared" si="14"/>
        <v>8.8000000000000043</v>
      </c>
    </row>
    <row r="120" spans="1:9" x14ac:dyDescent="0.15">
      <c r="A120" s="30">
        <v>119</v>
      </c>
      <c r="B120" s="30">
        <f>F81</f>
        <v>8080</v>
      </c>
      <c r="C120" s="30">
        <f>G81</f>
        <v>8.8000000000000043</v>
      </c>
      <c r="D120" s="32">
        <v>7119</v>
      </c>
      <c r="E120" s="30">
        <f t="shared" si="12"/>
        <v>8.8000000000000043</v>
      </c>
      <c r="F120" s="32">
        <v>8119</v>
      </c>
      <c r="G120" s="30">
        <f t="shared" si="13"/>
        <v>8.7000000000000046</v>
      </c>
      <c r="H120" s="32">
        <v>9119</v>
      </c>
      <c r="I120" s="30">
        <f t="shared" si="14"/>
        <v>8.600000000000005</v>
      </c>
    </row>
    <row r="121" spans="1:9" x14ac:dyDescent="0.15">
      <c r="A121" s="30">
        <v>120</v>
      </c>
      <c r="B121" s="30">
        <f>H83</f>
        <v>9082</v>
      </c>
      <c r="C121" s="30">
        <f>I83</f>
        <v>8.7000000000000046</v>
      </c>
      <c r="D121" s="32">
        <v>7120</v>
      </c>
      <c r="E121" s="30">
        <f t="shared" si="12"/>
        <v>8.7000000000000046</v>
      </c>
      <c r="F121" s="32">
        <v>8120</v>
      </c>
      <c r="G121" s="30">
        <f t="shared" si="13"/>
        <v>8.600000000000005</v>
      </c>
      <c r="H121" s="32">
        <v>9120</v>
      </c>
      <c r="I121" s="30">
        <f t="shared" si="14"/>
        <v>8.5000000000000053</v>
      </c>
    </row>
    <row r="122" spans="1:9" x14ac:dyDescent="0.15">
      <c r="A122" s="30">
        <v>121</v>
      </c>
      <c r="B122" s="30">
        <f>F83</f>
        <v>8082</v>
      </c>
      <c r="C122" s="30">
        <f>G83</f>
        <v>8.8000000000000043</v>
      </c>
      <c r="D122" s="32">
        <v>7121</v>
      </c>
      <c r="E122" s="30">
        <f t="shared" si="12"/>
        <v>8.8000000000000043</v>
      </c>
      <c r="F122" s="32">
        <v>8121</v>
      </c>
      <c r="G122" s="30">
        <f t="shared" si="13"/>
        <v>8.7000000000000046</v>
      </c>
      <c r="H122" s="32">
        <v>9121</v>
      </c>
      <c r="I122" s="30">
        <f t="shared" si="14"/>
        <v>8.600000000000005</v>
      </c>
    </row>
    <row r="123" spans="1:9" x14ac:dyDescent="0.15">
      <c r="A123" s="30">
        <v>122</v>
      </c>
      <c r="B123" s="30">
        <f>H87</f>
        <v>9086</v>
      </c>
      <c r="C123" s="30">
        <f>I87</f>
        <v>8.7000000000000046</v>
      </c>
      <c r="D123" s="32">
        <v>7122</v>
      </c>
      <c r="E123" s="30">
        <f t="shared" si="12"/>
        <v>8.7000000000000046</v>
      </c>
      <c r="F123" s="32">
        <v>8122</v>
      </c>
      <c r="G123" s="30">
        <f t="shared" si="13"/>
        <v>8.600000000000005</v>
      </c>
      <c r="H123" s="32">
        <v>9122</v>
      </c>
      <c r="I123" s="30">
        <f t="shared" si="14"/>
        <v>8.5000000000000053</v>
      </c>
    </row>
    <row r="124" spans="1:9" x14ac:dyDescent="0.15">
      <c r="A124" s="30">
        <v>123</v>
      </c>
      <c r="B124" s="30">
        <f>H89</f>
        <v>9088</v>
      </c>
      <c r="C124" s="30">
        <f>I89</f>
        <v>8.8000000000000043</v>
      </c>
      <c r="D124" s="32">
        <v>7123</v>
      </c>
      <c r="E124" s="30">
        <f t="shared" si="12"/>
        <v>8.8000000000000043</v>
      </c>
      <c r="F124" s="32">
        <v>8123</v>
      </c>
      <c r="G124" s="30">
        <f t="shared" si="13"/>
        <v>8.7000000000000046</v>
      </c>
      <c r="H124" s="32">
        <v>9123</v>
      </c>
      <c r="I124" s="30">
        <f t="shared" si="14"/>
        <v>8.600000000000005</v>
      </c>
    </row>
    <row r="125" spans="1:9" x14ac:dyDescent="0.15">
      <c r="A125" s="30">
        <v>124</v>
      </c>
      <c r="B125" s="30">
        <f>F89</f>
        <v>8088</v>
      </c>
      <c r="C125" s="30">
        <f>G89</f>
        <v>8.9000000000000039</v>
      </c>
      <c r="D125" s="32">
        <v>7124</v>
      </c>
      <c r="E125" s="30">
        <f t="shared" si="12"/>
        <v>8.9000000000000039</v>
      </c>
      <c r="F125" s="32">
        <v>8124</v>
      </c>
      <c r="G125" s="30">
        <f t="shared" si="13"/>
        <v>8.8000000000000043</v>
      </c>
      <c r="H125" s="32">
        <v>9124</v>
      </c>
      <c r="I125" s="30">
        <f t="shared" si="14"/>
        <v>8.7000000000000046</v>
      </c>
    </row>
    <row r="126" spans="1:9" x14ac:dyDescent="0.15">
      <c r="A126" s="30">
        <v>125</v>
      </c>
      <c r="B126" s="30">
        <f>F92</f>
        <v>8091</v>
      </c>
      <c r="C126" s="30">
        <f>G92</f>
        <v>8.8000000000000043</v>
      </c>
      <c r="D126" s="32">
        <v>7125</v>
      </c>
      <c r="E126" s="30">
        <f t="shared" si="12"/>
        <v>8.8000000000000043</v>
      </c>
      <c r="F126" s="32">
        <v>8125</v>
      </c>
      <c r="G126" s="30">
        <f t="shared" si="13"/>
        <v>8.7000000000000046</v>
      </c>
      <c r="H126" s="32">
        <v>9125</v>
      </c>
      <c r="I126" s="30">
        <f t="shared" si="14"/>
        <v>8.600000000000005</v>
      </c>
    </row>
    <row r="127" spans="1:9" x14ac:dyDescent="0.15">
      <c r="A127" s="30">
        <v>126</v>
      </c>
      <c r="B127" s="30">
        <f>H92</f>
        <v>9091</v>
      </c>
      <c r="C127" s="30">
        <f>I92</f>
        <v>8.7000000000000046</v>
      </c>
      <c r="D127" s="32">
        <v>7126</v>
      </c>
      <c r="E127" s="30">
        <f t="shared" si="12"/>
        <v>8.7000000000000046</v>
      </c>
      <c r="F127" s="32">
        <v>8126</v>
      </c>
      <c r="G127" s="30">
        <f t="shared" si="13"/>
        <v>8.600000000000005</v>
      </c>
      <c r="H127" s="32">
        <v>9126</v>
      </c>
      <c r="I127" s="30">
        <f t="shared" si="14"/>
        <v>8.5000000000000053</v>
      </c>
    </row>
    <row r="128" spans="1:9" x14ac:dyDescent="0.15">
      <c r="A128" s="30">
        <v>127</v>
      </c>
      <c r="B128" s="30">
        <f>D93</f>
        <v>7092</v>
      </c>
      <c r="C128" s="30">
        <f>E93</f>
        <v>8.9000000000000039</v>
      </c>
      <c r="D128" s="32">
        <v>7127</v>
      </c>
      <c r="E128" s="30">
        <f t="shared" si="12"/>
        <v>8.9000000000000039</v>
      </c>
      <c r="F128" s="32">
        <v>8127</v>
      </c>
      <c r="G128" s="30">
        <f t="shared" si="13"/>
        <v>8.8000000000000043</v>
      </c>
      <c r="H128" s="32">
        <v>9127</v>
      </c>
      <c r="I128" s="30">
        <f t="shared" si="14"/>
        <v>8.7000000000000046</v>
      </c>
    </row>
    <row r="129" spans="1:9" x14ac:dyDescent="0.15">
      <c r="A129" s="30">
        <v>128</v>
      </c>
      <c r="B129" s="30">
        <f>F93</f>
        <v>8092</v>
      </c>
      <c r="C129" s="30">
        <f>G93</f>
        <v>8.8000000000000043</v>
      </c>
      <c r="D129" s="32">
        <v>7128</v>
      </c>
      <c r="E129" s="30">
        <f t="shared" si="12"/>
        <v>8.8000000000000043</v>
      </c>
      <c r="F129" s="32">
        <v>8128</v>
      </c>
      <c r="G129" s="30">
        <f t="shared" si="13"/>
        <v>8.7000000000000046</v>
      </c>
      <c r="H129" s="32">
        <v>9128</v>
      </c>
      <c r="I129" s="30">
        <f t="shared" si="14"/>
        <v>8.600000000000005</v>
      </c>
    </row>
    <row r="130" spans="1:9" x14ac:dyDescent="0.15">
      <c r="A130" s="30">
        <v>129</v>
      </c>
      <c r="B130" s="30">
        <f>H93</f>
        <v>9092</v>
      </c>
      <c r="C130" s="30">
        <f>I93</f>
        <v>8.7000000000000046</v>
      </c>
      <c r="D130" s="32">
        <v>7129</v>
      </c>
      <c r="E130" s="30">
        <f t="shared" ref="E130:E193" si="15">C130</f>
        <v>8.7000000000000046</v>
      </c>
      <c r="F130" s="32">
        <v>8129</v>
      </c>
      <c r="G130" s="30">
        <f t="shared" ref="G130:G193" si="16">$E130-0.1</f>
        <v>8.600000000000005</v>
      </c>
      <c r="H130" s="32">
        <v>9129</v>
      </c>
      <c r="I130" s="30">
        <f t="shared" ref="I130:I193" si="17">$E130-0.2</f>
        <v>8.5000000000000053</v>
      </c>
    </row>
    <row r="131" spans="1:9" x14ac:dyDescent="0.15">
      <c r="A131" s="30">
        <v>130</v>
      </c>
      <c r="B131" s="30">
        <f>H93</f>
        <v>9092</v>
      </c>
      <c r="C131" s="30">
        <f>I93</f>
        <v>8.7000000000000046</v>
      </c>
      <c r="D131" s="32">
        <v>7130</v>
      </c>
      <c r="E131" s="30">
        <f t="shared" si="15"/>
        <v>8.7000000000000046</v>
      </c>
      <c r="F131" s="32">
        <v>8130</v>
      </c>
      <c r="G131" s="30">
        <f t="shared" si="16"/>
        <v>8.600000000000005</v>
      </c>
      <c r="H131" s="32">
        <v>9130</v>
      </c>
      <c r="I131" s="30">
        <f t="shared" si="17"/>
        <v>8.5000000000000053</v>
      </c>
    </row>
    <row r="132" spans="1:9" x14ac:dyDescent="0.15">
      <c r="A132" s="30">
        <v>131</v>
      </c>
      <c r="B132" s="30">
        <f>H95</f>
        <v>9094</v>
      </c>
      <c r="C132" s="30">
        <f>I95</f>
        <v>8.7000000000000046</v>
      </c>
      <c r="D132" s="32">
        <v>7131</v>
      </c>
      <c r="E132" s="30">
        <f t="shared" si="15"/>
        <v>8.7000000000000046</v>
      </c>
      <c r="F132" s="32">
        <v>8131</v>
      </c>
      <c r="G132" s="30">
        <f t="shared" si="16"/>
        <v>8.600000000000005</v>
      </c>
      <c r="H132" s="32">
        <v>9131</v>
      </c>
      <c r="I132" s="30">
        <f t="shared" si="17"/>
        <v>8.5000000000000053</v>
      </c>
    </row>
    <row r="133" spans="1:9" x14ac:dyDescent="0.15">
      <c r="A133" s="30">
        <v>132</v>
      </c>
      <c r="B133" s="30">
        <f>F95</f>
        <v>8094</v>
      </c>
      <c r="C133" s="30">
        <f>G95</f>
        <v>8.8000000000000043</v>
      </c>
      <c r="D133" s="32">
        <v>7132</v>
      </c>
      <c r="E133" s="30">
        <f t="shared" si="15"/>
        <v>8.8000000000000043</v>
      </c>
      <c r="F133" s="32">
        <v>8132</v>
      </c>
      <c r="G133" s="30">
        <f t="shared" si="16"/>
        <v>8.7000000000000046</v>
      </c>
      <c r="H133" s="32">
        <v>9132</v>
      </c>
      <c r="I133" s="30">
        <f t="shared" si="17"/>
        <v>8.600000000000005</v>
      </c>
    </row>
    <row r="134" spans="1:9" x14ac:dyDescent="0.15">
      <c r="A134" s="30">
        <v>133</v>
      </c>
      <c r="B134" s="30">
        <f>F97</f>
        <v>8096</v>
      </c>
      <c r="C134" s="30">
        <f>G97</f>
        <v>8.8000000000000043</v>
      </c>
      <c r="D134" s="32">
        <v>7133</v>
      </c>
      <c r="E134" s="30">
        <f t="shared" si="15"/>
        <v>8.8000000000000043</v>
      </c>
      <c r="F134" s="32">
        <v>8133</v>
      </c>
      <c r="G134" s="30">
        <f t="shared" si="16"/>
        <v>8.7000000000000046</v>
      </c>
      <c r="H134" s="32">
        <v>9133</v>
      </c>
      <c r="I134" s="30">
        <f t="shared" si="17"/>
        <v>8.600000000000005</v>
      </c>
    </row>
    <row r="135" spans="1:9" x14ac:dyDescent="0.15">
      <c r="A135" s="30">
        <v>134</v>
      </c>
      <c r="B135" s="30">
        <f>H97</f>
        <v>9096</v>
      </c>
      <c r="C135" s="30">
        <f>I97</f>
        <v>8.7000000000000046</v>
      </c>
      <c r="D135" s="32">
        <v>7134</v>
      </c>
      <c r="E135" s="30">
        <f t="shared" si="15"/>
        <v>8.7000000000000046</v>
      </c>
      <c r="F135" s="32">
        <v>8134</v>
      </c>
      <c r="G135" s="30">
        <f t="shared" si="16"/>
        <v>8.600000000000005</v>
      </c>
      <c r="H135" s="32">
        <v>9134</v>
      </c>
      <c r="I135" s="30">
        <f t="shared" si="17"/>
        <v>8.5000000000000053</v>
      </c>
    </row>
    <row r="136" spans="1:9" x14ac:dyDescent="0.15">
      <c r="A136" s="30">
        <v>135</v>
      </c>
      <c r="B136" s="30">
        <f>F99</f>
        <v>8098</v>
      </c>
      <c r="C136" s="30">
        <f>G99</f>
        <v>8.600000000000005</v>
      </c>
      <c r="D136" s="32">
        <v>7135</v>
      </c>
      <c r="E136" s="30">
        <f t="shared" si="15"/>
        <v>8.600000000000005</v>
      </c>
      <c r="F136" s="32">
        <v>8135</v>
      </c>
      <c r="G136" s="30">
        <f t="shared" si="16"/>
        <v>8.5000000000000053</v>
      </c>
      <c r="H136" s="32">
        <v>9135</v>
      </c>
      <c r="I136" s="30">
        <f t="shared" si="17"/>
        <v>8.4000000000000057</v>
      </c>
    </row>
    <row r="137" spans="1:9" x14ac:dyDescent="0.15">
      <c r="A137" s="30">
        <v>136</v>
      </c>
      <c r="B137" s="30">
        <f>H99</f>
        <v>9098</v>
      </c>
      <c r="C137" s="30">
        <f>I99</f>
        <v>8.5000000000000053</v>
      </c>
      <c r="D137" s="32">
        <v>7136</v>
      </c>
      <c r="E137" s="30">
        <f t="shared" si="15"/>
        <v>8.5000000000000053</v>
      </c>
      <c r="F137" s="32">
        <v>8136</v>
      </c>
      <c r="G137" s="30">
        <f t="shared" si="16"/>
        <v>8.4000000000000057</v>
      </c>
      <c r="H137" s="32">
        <v>9136</v>
      </c>
      <c r="I137" s="30">
        <f t="shared" si="17"/>
        <v>8.300000000000006</v>
      </c>
    </row>
    <row r="138" spans="1:9" x14ac:dyDescent="0.15">
      <c r="A138" s="30">
        <v>137</v>
      </c>
      <c r="B138" s="30">
        <f>H100</f>
        <v>9099</v>
      </c>
      <c r="C138" s="30">
        <f>I100</f>
        <v>8.600000000000005</v>
      </c>
      <c r="D138" s="32">
        <v>7137</v>
      </c>
      <c r="E138" s="30">
        <f t="shared" si="15"/>
        <v>8.600000000000005</v>
      </c>
      <c r="F138" s="32">
        <v>8137</v>
      </c>
      <c r="G138" s="30">
        <f t="shared" si="16"/>
        <v>8.5000000000000053</v>
      </c>
      <c r="H138" s="32">
        <v>9137</v>
      </c>
      <c r="I138" s="30">
        <f t="shared" si="17"/>
        <v>8.4000000000000057</v>
      </c>
    </row>
    <row r="139" spans="1:9" x14ac:dyDescent="0.15">
      <c r="A139" s="30">
        <v>138</v>
      </c>
      <c r="B139" s="30">
        <f>F100</f>
        <v>8099</v>
      </c>
      <c r="C139" s="30">
        <f>G100</f>
        <v>8.7000000000000046</v>
      </c>
      <c r="D139" s="32">
        <v>7138</v>
      </c>
      <c r="E139" s="30">
        <f t="shared" si="15"/>
        <v>8.7000000000000046</v>
      </c>
      <c r="F139" s="32">
        <v>8138</v>
      </c>
      <c r="G139" s="30">
        <f t="shared" si="16"/>
        <v>8.600000000000005</v>
      </c>
      <c r="H139" s="32">
        <v>9138</v>
      </c>
      <c r="I139" s="30">
        <f t="shared" si="17"/>
        <v>8.5000000000000053</v>
      </c>
    </row>
    <row r="140" spans="1:9" x14ac:dyDescent="0.15">
      <c r="A140" s="30">
        <v>139</v>
      </c>
      <c r="B140" s="30">
        <f>F101</f>
        <v>8100</v>
      </c>
      <c r="C140" s="30">
        <f>G101</f>
        <v>9.0000000000000036</v>
      </c>
      <c r="D140" s="32">
        <v>7139</v>
      </c>
      <c r="E140" s="30">
        <f t="shared" si="15"/>
        <v>9.0000000000000036</v>
      </c>
      <c r="F140" s="32">
        <v>8139</v>
      </c>
      <c r="G140" s="30">
        <f t="shared" si="16"/>
        <v>8.9000000000000039</v>
      </c>
      <c r="H140" s="32">
        <v>9139</v>
      </c>
      <c r="I140" s="30">
        <f t="shared" si="17"/>
        <v>8.8000000000000043</v>
      </c>
    </row>
    <row r="141" spans="1:9" x14ac:dyDescent="0.15">
      <c r="A141" s="30">
        <v>140</v>
      </c>
      <c r="B141" s="30">
        <f>H101</f>
        <v>9100</v>
      </c>
      <c r="C141" s="30">
        <f>I101</f>
        <v>8.9000000000000039</v>
      </c>
      <c r="D141" s="32">
        <v>7140</v>
      </c>
      <c r="E141" s="30">
        <f t="shared" si="15"/>
        <v>8.9000000000000039</v>
      </c>
      <c r="F141" s="32">
        <v>8140</v>
      </c>
      <c r="G141" s="30">
        <f t="shared" si="16"/>
        <v>8.8000000000000043</v>
      </c>
      <c r="H141" s="32">
        <v>9140</v>
      </c>
      <c r="I141" s="30">
        <f t="shared" si="17"/>
        <v>8.7000000000000046</v>
      </c>
    </row>
    <row r="142" spans="1:9" x14ac:dyDescent="0.15">
      <c r="A142" s="30">
        <v>141</v>
      </c>
      <c r="B142" s="30">
        <f>F104</f>
        <v>8103</v>
      </c>
      <c r="C142" s="30">
        <f>G104</f>
        <v>8.8000000000000043</v>
      </c>
      <c r="D142" s="32">
        <v>7141</v>
      </c>
      <c r="E142" s="30">
        <f t="shared" si="15"/>
        <v>8.8000000000000043</v>
      </c>
      <c r="F142" s="32">
        <v>8141</v>
      </c>
      <c r="G142" s="30">
        <f t="shared" si="16"/>
        <v>8.7000000000000046</v>
      </c>
      <c r="H142" s="32">
        <v>9141</v>
      </c>
      <c r="I142" s="30">
        <f t="shared" si="17"/>
        <v>8.600000000000005</v>
      </c>
    </row>
    <row r="143" spans="1:9" x14ac:dyDescent="0.15">
      <c r="A143" s="30">
        <v>142</v>
      </c>
      <c r="B143" s="30">
        <f>H104</f>
        <v>9103</v>
      </c>
      <c r="C143" s="30">
        <f>I104</f>
        <v>8.7000000000000046</v>
      </c>
      <c r="D143" s="32">
        <v>7142</v>
      </c>
      <c r="E143" s="30">
        <f t="shared" si="15"/>
        <v>8.7000000000000046</v>
      </c>
      <c r="F143" s="32">
        <v>8142</v>
      </c>
      <c r="G143" s="30">
        <f t="shared" si="16"/>
        <v>8.600000000000005</v>
      </c>
      <c r="H143" s="32">
        <v>9142</v>
      </c>
      <c r="I143" s="30">
        <f t="shared" si="17"/>
        <v>8.5000000000000053</v>
      </c>
    </row>
    <row r="144" spans="1:9" x14ac:dyDescent="0.15">
      <c r="A144" s="30">
        <v>143</v>
      </c>
      <c r="B144" s="30">
        <f>H105</f>
        <v>9104</v>
      </c>
      <c r="C144" s="30">
        <f>I105</f>
        <v>8.7000000000000046</v>
      </c>
      <c r="D144" s="32">
        <v>7143</v>
      </c>
      <c r="E144" s="30">
        <f t="shared" si="15"/>
        <v>8.7000000000000046</v>
      </c>
      <c r="F144" s="32">
        <v>8143</v>
      </c>
      <c r="G144" s="30">
        <f t="shared" si="16"/>
        <v>8.600000000000005</v>
      </c>
      <c r="H144" s="32">
        <v>9143</v>
      </c>
      <c r="I144" s="30">
        <f t="shared" si="17"/>
        <v>8.5000000000000053</v>
      </c>
    </row>
    <row r="145" spans="1:9" x14ac:dyDescent="0.15">
      <c r="A145" s="30">
        <v>144</v>
      </c>
      <c r="B145" s="30">
        <f>F105</f>
        <v>8104</v>
      </c>
      <c r="C145" s="30">
        <f>G105</f>
        <v>8.8000000000000043</v>
      </c>
      <c r="D145" s="32">
        <v>7144</v>
      </c>
      <c r="E145" s="30">
        <f t="shared" si="15"/>
        <v>8.8000000000000043</v>
      </c>
      <c r="F145" s="32">
        <v>8144</v>
      </c>
      <c r="G145" s="30">
        <f t="shared" si="16"/>
        <v>8.7000000000000046</v>
      </c>
      <c r="H145" s="32">
        <v>9144</v>
      </c>
      <c r="I145" s="30">
        <f t="shared" si="17"/>
        <v>8.600000000000005</v>
      </c>
    </row>
    <row r="146" spans="1:9" x14ac:dyDescent="0.15">
      <c r="A146" s="30">
        <v>145</v>
      </c>
      <c r="B146" s="30">
        <f>F105</f>
        <v>8104</v>
      </c>
      <c r="C146" s="30">
        <f>G105</f>
        <v>8.8000000000000043</v>
      </c>
      <c r="D146" s="32">
        <v>7145</v>
      </c>
      <c r="E146" s="30">
        <f t="shared" si="15"/>
        <v>8.8000000000000043</v>
      </c>
      <c r="F146" s="32">
        <v>8145</v>
      </c>
      <c r="G146" s="30">
        <f t="shared" si="16"/>
        <v>8.7000000000000046</v>
      </c>
      <c r="H146" s="32">
        <v>9145</v>
      </c>
      <c r="I146" s="30">
        <f t="shared" si="17"/>
        <v>8.600000000000005</v>
      </c>
    </row>
    <row r="147" spans="1:9" x14ac:dyDescent="0.15">
      <c r="A147" s="30">
        <v>146</v>
      </c>
      <c r="B147" s="30">
        <f>H105</f>
        <v>9104</v>
      </c>
      <c r="C147" s="30">
        <f>I105</f>
        <v>8.7000000000000046</v>
      </c>
      <c r="D147" s="32">
        <v>7146</v>
      </c>
      <c r="E147" s="30">
        <f t="shared" si="15"/>
        <v>8.7000000000000046</v>
      </c>
      <c r="F147" s="32">
        <v>8146</v>
      </c>
      <c r="G147" s="30">
        <f t="shared" si="16"/>
        <v>8.600000000000005</v>
      </c>
      <c r="H147" s="32">
        <v>9146</v>
      </c>
      <c r="I147" s="30">
        <f t="shared" si="17"/>
        <v>8.5000000000000053</v>
      </c>
    </row>
    <row r="148" spans="1:9" x14ac:dyDescent="0.15">
      <c r="A148" s="30">
        <v>147</v>
      </c>
      <c r="B148" s="30">
        <f>F107</f>
        <v>8106</v>
      </c>
      <c r="C148" s="30">
        <f>G107</f>
        <v>8.5000000000000053</v>
      </c>
      <c r="D148" s="32">
        <v>7147</v>
      </c>
      <c r="E148" s="30">
        <f t="shared" si="15"/>
        <v>8.5000000000000053</v>
      </c>
      <c r="F148" s="32">
        <v>8147</v>
      </c>
      <c r="G148" s="30">
        <f t="shared" si="16"/>
        <v>8.4000000000000057</v>
      </c>
      <c r="H148" s="32">
        <v>9147</v>
      </c>
      <c r="I148" s="30">
        <f t="shared" si="17"/>
        <v>8.300000000000006</v>
      </c>
    </row>
    <row r="149" spans="1:9" x14ac:dyDescent="0.15">
      <c r="A149" s="30">
        <v>148</v>
      </c>
      <c r="B149" s="30">
        <f>H107</f>
        <v>9106</v>
      </c>
      <c r="C149" s="30">
        <f>I107</f>
        <v>8.4000000000000057</v>
      </c>
      <c r="D149" s="32">
        <v>7148</v>
      </c>
      <c r="E149" s="30">
        <f t="shared" si="15"/>
        <v>8.4000000000000057</v>
      </c>
      <c r="F149" s="32">
        <v>8148</v>
      </c>
      <c r="G149" s="30">
        <f t="shared" si="16"/>
        <v>8.300000000000006</v>
      </c>
      <c r="H149" s="32">
        <v>9148</v>
      </c>
      <c r="I149" s="30">
        <f t="shared" si="17"/>
        <v>8.2000000000000064</v>
      </c>
    </row>
    <row r="150" spans="1:9" x14ac:dyDescent="0.15">
      <c r="A150" s="30">
        <v>149</v>
      </c>
      <c r="B150" s="30">
        <f>H109</f>
        <v>9108</v>
      </c>
      <c r="C150" s="30">
        <f>I109</f>
        <v>8.5000000000000053</v>
      </c>
      <c r="D150" s="32">
        <v>7149</v>
      </c>
      <c r="E150" s="30">
        <f t="shared" si="15"/>
        <v>8.5000000000000053</v>
      </c>
      <c r="F150" s="32">
        <v>8149</v>
      </c>
      <c r="G150" s="30">
        <f t="shared" si="16"/>
        <v>8.4000000000000057</v>
      </c>
      <c r="H150" s="32">
        <v>9149</v>
      </c>
      <c r="I150" s="30">
        <f t="shared" si="17"/>
        <v>8.300000000000006</v>
      </c>
    </row>
    <row r="151" spans="1:9" x14ac:dyDescent="0.15">
      <c r="A151" s="30">
        <v>150</v>
      </c>
      <c r="B151" s="30">
        <f>F109</f>
        <v>8108</v>
      </c>
      <c r="C151" s="30">
        <f>G109</f>
        <v>8.600000000000005</v>
      </c>
      <c r="D151" s="32">
        <v>7150</v>
      </c>
      <c r="E151" s="30">
        <f t="shared" si="15"/>
        <v>8.600000000000005</v>
      </c>
      <c r="F151" s="32">
        <v>8150</v>
      </c>
      <c r="G151" s="30">
        <f t="shared" si="16"/>
        <v>8.5000000000000053</v>
      </c>
      <c r="H151" s="32">
        <v>9150</v>
      </c>
      <c r="I151" s="30">
        <f t="shared" si="17"/>
        <v>8.4000000000000057</v>
      </c>
    </row>
    <row r="152" spans="1:9" x14ac:dyDescent="0.15">
      <c r="A152" s="30">
        <v>151</v>
      </c>
      <c r="B152" s="30">
        <f>F112</f>
        <v>8111</v>
      </c>
      <c r="C152" s="30">
        <f>G112</f>
        <v>9.0000000000000036</v>
      </c>
      <c r="D152" s="32">
        <v>7151</v>
      </c>
      <c r="E152" s="30">
        <f t="shared" si="15"/>
        <v>9.0000000000000036</v>
      </c>
      <c r="F152" s="32">
        <v>8151</v>
      </c>
      <c r="G152" s="30">
        <f t="shared" si="16"/>
        <v>8.9000000000000039</v>
      </c>
      <c r="H152" s="32">
        <v>9151</v>
      </c>
      <c r="I152" s="30">
        <f t="shared" si="17"/>
        <v>8.8000000000000043</v>
      </c>
    </row>
    <row r="153" spans="1:9" x14ac:dyDescent="0.15">
      <c r="A153" s="30">
        <v>152</v>
      </c>
      <c r="B153" s="30">
        <f>H112</f>
        <v>9111</v>
      </c>
      <c r="C153" s="30">
        <f>I112</f>
        <v>8.9000000000000039</v>
      </c>
      <c r="D153" s="32">
        <v>7152</v>
      </c>
      <c r="E153" s="30">
        <f t="shared" si="15"/>
        <v>8.9000000000000039</v>
      </c>
      <c r="F153" s="32">
        <v>8152</v>
      </c>
      <c r="G153" s="30">
        <f t="shared" si="16"/>
        <v>8.8000000000000043</v>
      </c>
      <c r="H153" s="32">
        <v>9152</v>
      </c>
      <c r="I153" s="30">
        <f t="shared" si="17"/>
        <v>8.7000000000000046</v>
      </c>
    </row>
    <row r="154" spans="1:9" x14ac:dyDescent="0.15">
      <c r="A154" s="30">
        <v>153</v>
      </c>
      <c r="B154" s="30">
        <f>H114</f>
        <v>9113</v>
      </c>
      <c r="C154" s="30">
        <f>I114</f>
        <v>8.7000000000000046</v>
      </c>
      <c r="D154" s="32">
        <v>7153</v>
      </c>
      <c r="E154" s="30">
        <f t="shared" si="15"/>
        <v>8.7000000000000046</v>
      </c>
      <c r="F154" s="32">
        <v>8153</v>
      </c>
      <c r="G154" s="30">
        <f t="shared" si="16"/>
        <v>8.600000000000005</v>
      </c>
      <c r="H154" s="32">
        <v>9153</v>
      </c>
      <c r="I154" s="30">
        <f t="shared" si="17"/>
        <v>8.5000000000000053</v>
      </c>
    </row>
    <row r="155" spans="1:9" x14ac:dyDescent="0.15">
      <c r="A155" s="30">
        <v>154</v>
      </c>
      <c r="B155" s="30">
        <f>F114</f>
        <v>8113</v>
      </c>
      <c r="C155" s="30">
        <f>G114</f>
        <v>8.8000000000000043</v>
      </c>
      <c r="D155" s="32">
        <v>7154</v>
      </c>
      <c r="E155" s="30">
        <f t="shared" si="15"/>
        <v>8.8000000000000043</v>
      </c>
      <c r="F155" s="32">
        <v>8154</v>
      </c>
      <c r="G155" s="30">
        <f t="shared" si="16"/>
        <v>8.7000000000000046</v>
      </c>
      <c r="H155" s="32">
        <v>9154</v>
      </c>
      <c r="I155" s="30">
        <f t="shared" si="17"/>
        <v>8.600000000000005</v>
      </c>
    </row>
    <row r="156" spans="1:9" x14ac:dyDescent="0.15">
      <c r="A156" s="30">
        <v>155</v>
      </c>
      <c r="B156" s="30">
        <f>F116</f>
        <v>8115</v>
      </c>
      <c r="C156" s="30">
        <f>G116</f>
        <v>8.8000000000000043</v>
      </c>
      <c r="D156" s="32">
        <v>7155</v>
      </c>
      <c r="E156" s="30">
        <f t="shared" si="15"/>
        <v>8.8000000000000043</v>
      </c>
      <c r="F156" s="32">
        <v>8155</v>
      </c>
      <c r="G156" s="30">
        <f t="shared" si="16"/>
        <v>8.7000000000000046</v>
      </c>
      <c r="H156" s="32">
        <v>9155</v>
      </c>
      <c r="I156" s="30">
        <f t="shared" si="17"/>
        <v>8.600000000000005</v>
      </c>
    </row>
    <row r="157" spans="1:9" x14ac:dyDescent="0.15">
      <c r="A157" s="30">
        <v>156</v>
      </c>
      <c r="B157" s="30">
        <f>H116</f>
        <v>9115</v>
      </c>
      <c r="C157" s="30">
        <f>I116</f>
        <v>8.7000000000000046</v>
      </c>
      <c r="D157" s="32">
        <v>7156</v>
      </c>
      <c r="E157" s="30">
        <f t="shared" si="15"/>
        <v>8.7000000000000046</v>
      </c>
      <c r="F157" s="32">
        <v>8156</v>
      </c>
      <c r="G157" s="30">
        <f t="shared" si="16"/>
        <v>8.600000000000005</v>
      </c>
      <c r="H157" s="32">
        <v>9156</v>
      </c>
      <c r="I157" s="30">
        <f t="shared" si="17"/>
        <v>8.5000000000000053</v>
      </c>
    </row>
    <row r="158" spans="1:9" x14ac:dyDescent="0.15">
      <c r="A158" s="30">
        <v>157</v>
      </c>
      <c r="B158" s="30">
        <f>F118</f>
        <v>8117</v>
      </c>
      <c r="C158" s="30">
        <f>G118</f>
        <v>9.0000000000000036</v>
      </c>
      <c r="D158" s="32">
        <v>7157</v>
      </c>
      <c r="E158" s="30">
        <f t="shared" si="15"/>
        <v>9.0000000000000036</v>
      </c>
      <c r="F158" s="32">
        <v>8157</v>
      </c>
      <c r="G158" s="30">
        <f t="shared" si="16"/>
        <v>8.9000000000000039</v>
      </c>
      <c r="H158" s="32">
        <v>9157</v>
      </c>
      <c r="I158" s="30">
        <f t="shared" si="17"/>
        <v>8.8000000000000043</v>
      </c>
    </row>
    <row r="159" spans="1:9" x14ac:dyDescent="0.15">
      <c r="A159" s="30">
        <v>158</v>
      </c>
      <c r="B159" s="30">
        <f>H118</f>
        <v>9117</v>
      </c>
      <c r="C159" s="30">
        <f>I118</f>
        <v>8.9000000000000039</v>
      </c>
      <c r="D159" s="32">
        <v>7158</v>
      </c>
      <c r="E159" s="30">
        <f t="shared" si="15"/>
        <v>8.9000000000000039</v>
      </c>
      <c r="F159" s="32">
        <v>8158</v>
      </c>
      <c r="G159" s="30">
        <f t="shared" si="16"/>
        <v>8.8000000000000043</v>
      </c>
      <c r="H159" s="32">
        <v>9158</v>
      </c>
      <c r="I159" s="30">
        <f t="shared" si="17"/>
        <v>8.7000000000000046</v>
      </c>
    </row>
    <row r="160" spans="1:9" x14ac:dyDescent="0.15">
      <c r="A160" s="30">
        <v>159</v>
      </c>
      <c r="B160" s="30">
        <f>H120</f>
        <v>9119</v>
      </c>
      <c r="C160" s="30">
        <f>I120</f>
        <v>8.600000000000005</v>
      </c>
      <c r="D160" s="32">
        <v>7159</v>
      </c>
      <c r="E160" s="30">
        <f t="shared" si="15"/>
        <v>8.600000000000005</v>
      </c>
      <c r="F160" s="32">
        <v>8159</v>
      </c>
      <c r="G160" s="30">
        <f t="shared" si="16"/>
        <v>8.5000000000000053</v>
      </c>
      <c r="H160" s="32">
        <v>9159</v>
      </c>
      <c r="I160" s="30">
        <f t="shared" si="17"/>
        <v>8.4000000000000057</v>
      </c>
    </row>
    <row r="161" spans="1:9" x14ac:dyDescent="0.15">
      <c r="A161" s="30">
        <v>160</v>
      </c>
      <c r="B161" s="30">
        <f>F120</f>
        <v>8119</v>
      </c>
      <c r="C161" s="30">
        <f>G120</f>
        <v>8.7000000000000046</v>
      </c>
      <c r="D161" s="32">
        <v>7160</v>
      </c>
      <c r="E161" s="30">
        <f t="shared" si="15"/>
        <v>8.7000000000000046</v>
      </c>
      <c r="F161" s="32">
        <v>8160</v>
      </c>
      <c r="G161" s="30">
        <f t="shared" si="16"/>
        <v>8.600000000000005</v>
      </c>
      <c r="H161" s="32">
        <v>9160</v>
      </c>
      <c r="I161" s="30">
        <f t="shared" si="17"/>
        <v>8.5000000000000053</v>
      </c>
    </row>
    <row r="162" spans="1:9" x14ac:dyDescent="0.15">
      <c r="A162" s="30">
        <v>161</v>
      </c>
      <c r="B162" s="30">
        <f>H123</f>
        <v>9122</v>
      </c>
      <c r="C162" s="30">
        <f>I123</f>
        <v>8.5000000000000053</v>
      </c>
      <c r="D162" s="32">
        <v>7161</v>
      </c>
      <c r="E162" s="30">
        <f t="shared" si="15"/>
        <v>8.5000000000000053</v>
      </c>
      <c r="F162" s="32">
        <v>8161</v>
      </c>
      <c r="G162" s="30">
        <f t="shared" si="16"/>
        <v>8.4000000000000057</v>
      </c>
      <c r="H162" s="32">
        <v>9161</v>
      </c>
      <c r="I162" s="30">
        <f t="shared" si="17"/>
        <v>8.300000000000006</v>
      </c>
    </row>
    <row r="163" spans="1:9" x14ac:dyDescent="0.15">
      <c r="A163" s="30">
        <v>162</v>
      </c>
      <c r="B163" s="30">
        <f>F123</f>
        <v>8122</v>
      </c>
      <c r="C163" s="30">
        <f>G123</f>
        <v>8.600000000000005</v>
      </c>
      <c r="D163" s="32">
        <v>7162</v>
      </c>
      <c r="E163" s="30">
        <f t="shared" si="15"/>
        <v>8.600000000000005</v>
      </c>
      <c r="F163" s="32">
        <v>8162</v>
      </c>
      <c r="G163" s="30">
        <f t="shared" si="16"/>
        <v>8.5000000000000053</v>
      </c>
      <c r="H163" s="32">
        <v>9162</v>
      </c>
      <c r="I163" s="30">
        <f t="shared" si="17"/>
        <v>8.4000000000000057</v>
      </c>
    </row>
    <row r="164" spans="1:9" x14ac:dyDescent="0.15">
      <c r="A164" s="30">
        <v>163</v>
      </c>
      <c r="B164" s="30">
        <f>D124</f>
        <v>7123</v>
      </c>
      <c r="C164" s="30">
        <f>E124</f>
        <v>8.8000000000000043</v>
      </c>
      <c r="D164" s="32">
        <v>7163</v>
      </c>
      <c r="E164" s="30">
        <f t="shared" si="15"/>
        <v>8.8000000000000043</v>
      </c>
      <c r="F164" s="32">
        <v>8163</v>
      </c>
      <c r="G164" s="30">
        <f t="shared" si="16"/>
        <v>8.7000000000000046</v>
      </c>
      <c r="H164" s="32">
        <v>9163</v>
      </c>
      <c r="I164" s="30">
        <f t="shared" si="17"/>
        <v>8.600000000000005</v>
      </c>
    </row>
    <row r="165" spans="1:9" x14ac:dyDescent="0.15">
      <c r="A165" s="30">
        <v>164</v>
      </c>
      <c r="B165" s="30">
        <f>F124</f>
        <v>8123</v>
      </c>
      <c r="C165" s="30">
        <f>G124</f>
        <v>8.7000000000000046</v>
      </c>
      <c r="D165" s="32">
        <v>7164</v>
      </c>
      <c r="E165" s="30">
        <f t="shared" si="15"/>
        <v>8.7000000000000046</v>
      </c>
      <c r="F165" s="32">
        <v>8164</v>
      </c>
      <c r="G165" s="30">
        <f t="shared" si="16"/>
        <v>8.600000000000005</v>
      </c>
      <c r="H165" s="32">
        <v>9164</v>
      </c>
      <c r="I165" s="30">
        <f t="shared" si="17"/>
        <v>8.5000000000000053</v>
      </c>
    </row>
    <row r="166" spans="1:9" x14ac:dyDescent="0.15">
      <c r="A166" s="30">
        <v>165</v>
      </c>
      <c r="B166" s="30">
        <f>H124</f>
        <v>9123</v>
      </c>
      <c r="C166" s="30">
        <f>I124</f>
        <v>8.600000000000005</v>
      </c>
      <c r="D166" s="32">
        <v>7165</v>
      </c>
      <c r="E166" s="30">
        <f t="shared" si="15"/>
        <v>8.600000000000005</v>
      </c>
      <c r="F166" s="32">
        <v>8165</v>
      </c>
      <c r="G166" s="30">
        <f t="shared" si="16"/>
        <v>8.5000000000000053</v>
      </c>
      <c r="H166" s="32">
        <v>9165</v>
      </c>
      <c r="I166" s="30">
        <f t="shared" si="17"/>
        <v>8.4000000000000057</v>
      </c>
    </row>
    <row r="167" spans="1:9" x14ac:dyDescent="0.15">
      <c r="A167" s="30">
        <v>166</v>
      </c>
      <c r="B167" s="30">
        <f>F125</f>
        <v>8124</v>
      </c>
      <c r="C167" s="30">
        <f>G125</f>
        <v>8.8000000000000043</v>
      </c>
      <c r="D167" s="32">
        <v>7166</v>
      </c>
      <c r="E167" s="30">
        <f t="shared" si="15"/>
        <v>8.8000000000000043</v>
      </c>
      <c r="F167" s="32">
        <v>8166</v>
      </c>
      <c r="G167" s="30">
        <f t="shared" si="16"/>
        <v>8.7000000000000046</v>
      </c>
      <c r="H167" s="32">
        <v>9166</v>
      </c>
      <c r="I167" s="30">
        <f t="shared" si="17"/>
        <v>8.600000000000005</v>
      </c>
    </row>
    <row r="168" spans="1:9" x14ac:dyDescent="0.15">
      <c r="A168" s="30">
        <v>167</v>
      </c>
      <c r="B168" s="30">
        <f>H125</f>
        <v>9124</v>
      </c>
      <c r="C168" s="30">
        <f>I125</f>
        <v>8.7000000000000046</v>
      </c>
      <c r="D168" s="32">
        <v>7167</v>
      </c>
      <c r="E168" s="30">
        <f t="shared" si="15"/>
        <v>8.7000000000000046</v>
      </c>
      <c r="F168" s="32">
        <v>8167</v>
      </c>
      <c r="G168" s="30">
        <f t="shared" si="16"/>
        <v>8.600000000000005</v>
      </c>
      <c r="H168" s="32">
        <v>9167</v>
      </c>
      <c r="I168" s="30">
        <f t="shared" si="17"/>
        <v>8.5000000000000053</v>
      </c>
    </row>
    <row r="169" spans="1:9" x14ac:dyDescent="0.15">
      <c r="A169" s="30">
        <v>168</v>
      </c>
      <c r="B169" s="30">
        <f>D128</f>
        <v>7127</v>
      </c>
      <c r="C169" s="30">
        <f>E128</f>
        <v>8.9000000000000039</v>
      </c>
      <c r="D169" s="32">
        <v>7168</v>
      </c>
      <c r="E169" s="30">
        <f t="shared" si="15"/>
        <v>8.9000000000000039</v>
      </c>
      <c r="F169" s="32">
        <v>8168</v>
      </c>
      <c r="G169" s="30">
        <f t="shared" si="16"/>
        <v>8.8000000000000043</v>
      </c>
      <c r="H169" s="32">
        <v>9168</v>
      </c>
      <c r="I169" s="30">
        <f t="shared" si="17"/>
        <v>8.7000000000000046</v>
      </c>
    </row>
    <row r="170" spans="1:9" x14ac:dyDescent="0.15">
      <c r="A170" s="30">
        <v>169</v>
      </c>
      <c r="B170" s="30">
        <f>F128</f>
        <v>8127</v>
      </c>
      <c r="C170" s="30">
        <f>G128</f>
        <v>8.8000000000000043</v>
      </c>
      <c r="D170" s="32">
        <v>7169</v>
      </c>
      <c r="E170" s="30">
        <f t="shared" si="15"/>
        <v>8.8000000000000043</v>
      </c>
      <c r="F170" s="32">
        <v>8169</v>
      </c>
      <c r="G170" s="30">
        <f t="shared" si="16"/>
        <v>8.7000000000000046</v>
      </c>
      <c r="H170" s="32">
        <v>9169</v>
      </c>
      <c r="I170" s="30">
        <f t="shared" si="17"/>
        <v>8.600000000000005</v>
      </c>
    </row>
    <row r="171" spans="1:9" x14ac:dyDescent="0.15">
      <c r="A171" s="30">
        <v>170</v>
      </c>
      <c r="B171" s="30">
        <f>H128</f>
        <v>9127</v>
      </c>
      <c r="C171" s="30">
        <f>I128</f>
        <v>8.7000000000000046</v>
      </c>
      <c r="D171" s="32">
        <v>7170</v>
      </c>
      <c r="E171" s="30">
        <f t="shared" si="15"/>
        <v>8.7000000000000046</v>
      </c>
      <c r="F171" s="32">
        <v>8170</v>
      </c>
      <c r="G171" s="30">
        <f t="shared" si="16"/>
        <v>8.600000000000005</v>
      </c>
      <c r="H171" s="32">
        <v>9170</v>
      </c>
      <c r="I171" s="30">
        <f t="shared" si="17"/>
        <v>8.5000000000000053</v>
      </c>
    </row>
    <row r="172" spans="1:9" x14ac:dyDescent="0.15">
      <c r="A172" s="30">
        <v>171</v>
      </c>
      <c r="B172" s="30">
        <f>H129</f>
        <v>9128</v>
      </c>
      <c r="C172" s="30">
        <f>I129</f>
        <v>8.600000000000005</v>
      </c>
      <c r="D172" s="32">
        <v>7171</v>
      </c>
      <c r="E172" s="30">
        <f t="shared" si="15"/>
        <v>8.600000000000005</v>
      </c>
      <c r="F172" s="32">
        <v>8171</v>
      </c>
      <c r="G172" s="30">
        <f t="shared" si="16"/>
        <v>8.5000000000000053</v>
      </c>
      <c r="H172" s="32">
        <v>9171</v>
      </c>
      <c r="I172" s="30">
        <f t="shared" si="17"/>
        <v>8.4000000000000057</v>
      </c>
    </row>
    <row r="173" spans="1:9" x14ac:dyDescent="0.15">
      <c r="A173" s="30">
        <v>172</v>
      </c>
      <c r="B173" s="30">
        <f>F129</f>
        <v>8128</v>
      </c>
      <c r="C173" s="30">
        <f>G129</f>
        <v>8.7000000000000046</v>
      </c>
      <c r="D173" s="32">
        <v>7172</v>
      </c>
      <c r="E173" s="30">
        <f t="shared" si="15"/>
        <v>8.7000000000000046</v>
      </c>
      <c r="F173" s="32">
        <v>8172</v>
      </c>
      <c r="G173" s="30">
        <f t="shared" si="16"/>
        <v>8.600000000000005</v>
      </c>
      <c r="H173" s="32">
        <v>9172</v>
      </c>
      <c r="I173" s="30">
        <f t="shared" si="17"/>
        <v>8.5000000000000053</v>
      </c>
    </row>
    <row r="174" spans="1:9" x14ac:dyDescent="0.15">
      <c r="A174" s="30">
        <v>173</v>
      </c>
      <c r="B174" s="30">
        <f>D130</f>
        <v>7129</v>
      </c>
      <c r="C174" s="30">
        <f>E130</f>
        <v>8.7000000000000046</v>
      </c>
      <c r="D174" s="32">
        <v>7173</v>
      </c>
      <c r="E174" s="30">
        <f t="shared" si="15"/>
        <v>8.7000000000000046</v>
      </c>
      <c r="F174" s="32">
        <v>8173</v>
      </c>
      <c r="G174" s="30">
        <f t="shared" si="16"/>
        <v>8.600000000000005</v>
      </c>
      <c r="H174" s="32">
        <v>9173</v>
      </c>
      <c r="I174" s="30">
        <f t="shared" si="17"/>
        <v>8.5000000000000053</v>
      </c>
    </row>
    <row r="175" spans="1:9" x14ac:dyDescent="0.15">
      <c r="A175" s="30">
        <v>174</v>
      </c>
      <c r="B175" s="30">
        <f>F130</f>
        <v>8129</v>
      </c>
      <c r="C175" s="30">
        <f>G130</f>
        <v>8.600000000000005</v>
      </c>
      <c r="D175" s="32">
        <v>7174</v>
      </c>
      <c r="E175" s="30">
        <f t="shared" si="15"/>
        <v>8.600000000000005</v>
      </c>
      <c r="F175" s="32">
        <v>8174</v>
      </c>
      <c r="G175" s="30">
        <f t="shared" si="16"/>
        <v>8.5000000000000053</v>
      </c>
      <c r="H175" s="32">
        <v>9174</v>
      </c>
      <c r="I175" s="30">
        <f t="shared" si="17"/>
        <v>8.4000000000000057</v>
      </c>
    </row>
    <row r="176" spans="1:9" x14ac:dyDescent="0.15">
      <c r="A176" s="30">
        <v>175</v>
      </c>
      <c r="B176" s="30">
        <f>H130</f>
        <v>9129</v>
      </c>
      <c r="C176" s="30">
        <f>I130</f>
        <v>8.5000000000000053</v>
      </c>
      <c r="D176" s="32">
        <v>7175</v>
      </c>
      <c r="E176" s="30">
        <f t="shared" si="15"/>
        <v>8.5000000000000053</v>
      </c>
      <c r="F176" s="32">
        <v>8175</v>
      </c>
      <c r="G176" s="30">
        <f t="shared" si="16"/>
        <v>8.4000000000000057</v>
      </c>
      <c r="H176" s="32">
        <v>9175</v>
      </c>
      <c r="I176" s="30">
        <f t="shared" si="17"/>
        <v>8.300000000000006</v>
      </c>
    </row>
    <row r="177" spans="1:9" x14ac:dyDescent="0.15">
      <c r="A177" s="30">
        <v>176</v>
      </c>
      <c r="B177" s="30">
        <f>H133</f>
        <v>9132</v>
      </c>
      <c r="C177" s="30">
        <f>I133</f>
        <v>8.600000000000005</v>
      </c>
      <c r="D177" s="32">
        <v>7176</v>
      </c>
      <c r="E177" s="30">
        <f t="shared" si="15"/>
        <v>8.600000000000005</v>
      </c>
      <c r="F177" s="32">
        <v>8176</v>
      </c>
      <c r="G177" s="30">
        <f t="shared" si="16"/>
        <v>8.5000000000000053</v>
      </c>
      <c r="H177" s="32">
        <v>9176</v>
      </c>
      <c r="I177" s="30">
        <f t="shared" si="17"/>
        <v>8.4000000000000057</v>
      </c>
    </row>
    <row r="178" spans="1:9" x14ac:dyDescent="0.15">
      <c r="A178" s="30">
        <v>177</v>
      </c>
      <c r="B178" s="30">
        <f>F133</f>
        <v>8132</v>
      </c>
      <c r="C178" s="30">
        <f>G133</f>
        <v>8.7000000000000046</v>
      </c>
      <c r="D178" s="32">
        <v>7177</v>
      </c>
      <c r="E178" s="30">
        <f t="shared" si="15"/>
        <v>8.7000000000000046</v>
      </c>
      <c r="F178" s="32">
        <v>8177</v>
      </c>
      <c r="G178" s="30">
        <f t="shared" si="16"/>
        <v>8.600000000000005</v>
      </c>
      <c r="H178" s="32">
        <v>9177</v>
      </c>
      <c r="I178" s="30">
        <f t="shared" si="17"/>
        <v>8.5000000000000053</v>
      </c>
    </row>
    <row r="179" spans="1:9" x14ac:dyDescent="0.15">
      <c r="A179" s="30">
        <v>178</v>
      </c>
      <c r="B179" s="30">
        <f>F135</f>
        <v>8134</v>
      </c>
      <c r="C179" s="30">
        <f>G135</f>
        <v>8.600000000000005</v>
      </c>
      <c r="D179" s="32">
        <v>7178</v>
      </c>
      <c r="E179" s="30">
        <f t="shared" si="15"/>
        <v>8.600000000000005</v>
      </c>
      <c r="F179" s="32">
        <v>8178</v>
      </c>
      <c r="G179" s="30">
        <f t="shared" si="16"/>
        <v>8.5000000000000053</v>
      </c>
      <c r="H179" s="32">
        <v>9178</v>
      </c>
      <c r="I179" s="30">
        <f t="shared" si="17"/>
        <v>8.4000000000000057</v>
      </c>
    </row>
    <row r="180" spans="1:9" x14ac:dyDescent="0.15">
      <c r="A180" s="30">
        <v>179</v>
      </c>
      <c r="B180" s="30">
        <f>H135</f>
        <v>9134</v>
      </c>
      <c r="C180" s="30">
        <f>I135</f>
        <v>8.5000000000000053</v>
      </c>
      <c r="D180" s="32">
        <v>7179</v>
      </c>
      <c r="E180" s="30">
        <f t="shared" si="15"/>
        <v>8.5000000000000053</v>
      </c>
      <c r="F180" s="32">
        <v>8179</v>
      </c>
      <c r="G180" s="30">
        <f t="shared" si="16"/>
        <v>8.4000000000000057</v>
      </c>
      <c r="H180" s="32">
        <v>9179</v>
      </c>
      <c r="I180" s="30">
        <f t="shared" si="17"/>
        <v>8.300000000000006</v>
      </c>
    </row>
    <row r="181" spans="1:9" x14ac:dyDescent="0.15">
      <c r="A181" s="30">
        <v>180</v>
      </c>
      <c r="B181" s="30">
        <f>F136</f>
        <v>8135</v>
      </c>
      <c r="C181" s="30">
        <f>G136</f>
        <v>8.5000000000000053</v>
      </c>
      <c r="D181" s="32">
        <v>7180</v>
      </c>
      <c r="E181" s="30">
        <f t="shared" si="15"/>
        <v>8.5000000000000053</v>
      </c>
      <c r="F181" s="32">
        <v>8180</v>
      </c>
      <c r="G181" s="30">
        <f t="shared" si="16"/>
        <v>8.4000000000000057</v>
      </c>
      <c r="H181" s="32">
        <v>9180</v>
      </c>
      <c r="I181" s="30">
        <f t="shared" si="17"/>
        <v>8.300000000000006</v>
      </c>
    </row>
    <row r="182" spans="1:9" x14ac:dyDescent="0.15">
      <c r="A182" s="30">
        <v>181</v>
      </c>
      <c r="B182" s="30">
        <f>H136</f>
        <v>9135</v>
      </c>
      <c r="C182" s="30">
        <f>I136</f>
        <v>8.4000000000000057</v>
      </c>
      <c r="D182" s="32">
        <v>7181</v>
      </c>
      <c r="E182" s="30">
        <f t="shared" si="15"/>
        <v>8.4000000000000057</v>
      </c>
      <c r="F182" s="32">
        <v>8181</v>
      </c>
      <c r="G182" s="30">
        <f t="shared" si="16"/>
        <v>8.300000000000006</v>
      </c>
      <c r="H182" s="32">
        <v>9181</v>
      </c>
      <c r="I182" s="30">
        <f t="shared" si="17"/>
        <v>8.2000000000000064</v>
      </c>
    </row>
    <row r="183" spans="1:9" x14ac:dyDescent="0.15">
      <c r="A183" s="30">
        <v>182</v>
      </c>
      <c r="B183" s="30">
        <f>D140</f>
        <v>7139</v>
      </c>
      <c r="C183" s="30">
        <f>E140</f>
        <v>9.0000000000000036</v>
      </c>
      <c r="D183" s="32">
        <v>7182</v>
      </c>
      <c r="E183" s="30">
        <f t="shared" si="15"/>
        <v>9.0000000000000036</v>
      </c>
      <c r="F183" s="32">
        <v>8182</v>
      </c>
      <c r="G183" s="30">
        <f t="shared" si="16"/>
        <v>8.9000000000000039</v>
      </c>
      <c r="H183" s="32">
        <v>9182</v>
      </c>
      <c r="I183" s="30">
        <f t="shared" si="17"/>
        <v>8.8000000000000043</v>
      </c>
    </row>
    <row r="184" spans="1:9" x14ac:dyDescent="0.15">
      <c r="A184" s="30">
        <v>183</v>
      </c>
      <c r="B184" s="30">
        <f>F140</f>
        <v>8139</v>
      </c>
      <c r="C184" s="30">
        <f>G140</f>
        <v>8.9000000000000039</v>
      </c>
      <c r="D184" s="32">
        <v>7183</v>
      </c>
      <c r="E184" s="30">
        <f t="shared" si="15"/>
        <v>8.9000000000000039</v>
      </c>
      <c r="F184" s="32">
        <v>8183</v>
      </c>
      <c r="G184" s="30">
        <f t="shared" si="16"/>
        <v>8.8000000000000043</v>
      </c>
      <c r="H184" s="32">
        <v>9183</v>
      </c>
      <c r="I184" s="30">
        <f t="shared" si="17"/>
        <v>8.7000000000000046</v>
      </c>
    </row>
    <row r="185" spans="1:9" x14ac:dyDescent="0.15">
      <c r="A185" s="30">
        <v>184</v>
      </c>
      <c r="B185" s="30">
        <f>H140</f>
        <v>9139</v>
      </c>
      <c r="C185" s="30">
        <f>I140</f>
        <v>8.8000000000000043</v>
      </c>
      <c r="D185" s="32">
        <v>7184</v>
      </c>
      <c r="E185" s="30">
        <f t="shared" si="15"/>
        <v>8.8000000000000043</v>
      </c>
      <c r="F185" s="32">
        <v>8184</v>
      </c>
      <c r="G185" s="30">
        <f t="shared" si="16"/>
        <v>8.7000000000000046</v>
      </c>
      <c r="H185" s="32">
        <v>9184</v>
      </c>
      <c r="I185" s="30">
        <f t="shared" si="17"/>
        <v>8.600000000000005</v>
      </c>
    </row>
    <row r="186" spans="1:9" x14ac:dyDescent="0.15">
      <c r="A186" s="30">
        <v>185</v>
      </c>
      <c r="B186" s="30">
        <f>H141</f>
        <v>9140</v>
      </c>
      <c r="C186" s="30">
        <f>I141</f>
        <v>8.7000000000000046</v>
      </c>
      <c r="D186" s="32">
        <v>7185</v>
      </c>
      <c r="E186" s="30">
        <f t="shared" si="15"/>
        <v>8.7000000000000046</v>
      </c>
      <c r="F186" s="32">
        <v>8185</v>
      </c>
      <c r="G186" s="30">
        <f t="shared" si="16"/>
        <v>8.600000000000005</v>
      </c>
      <c r="H186" s="32">
        <v>9185</v>
      </c>
      <c r="I186" s="30">
        <f t="shared" si="17"/>
        <v>8.5000000000000053</v>
      </c>
    </row>
    <row r="187" spans="1:9" x14ac:dyDescent="0.15">
      <c r="A187" s="30">
        <v>186</v>
      </c>
      <c r="B187" s="30">
        <f>F141</f>
        <v>8140</v>
      </c>
      <c r="C187" s="30">
        <f>G141</f>
        <v>8.8000000000000043</v>
      </c>
      <c r="D187" s="32">
        <v>7186</v>
      </c>
      <c r="E187" s="30">
        <f t="shared" si="15"/>
        <v>8.8000000000000043</v>
      </c>
      <c r="F187" s="32">
        <v>8186</v>
      </c>
      <c r="G187" s="30">
        <f t="shared" si="16"/>
        <v>8.7000000000000046</v>
      </c>
      <c r="H187" s="32">
        <v>9186</v>
      </c>
      <c r="I187" s="30">
        <f t="shared" si="17"/>
        <v>8.600000000000005</v>
      </c>
    </row>
    <row r="188" spans="1:9" x14ac:dyDescent="0.15">
      <c r="A188" s="30">
        <v>187</v>
      </c>
      <c r="B188" s="30">
        <f>D144</f>
        <v>7143</v>
      </c>
      <c r="C188" s="30">
        <f>E144</f>
        <v>8.7000000000000046</v>
      </c>
      <c r="D188" s="32">
        <v>7187</v>
      </c>
      <c r="E188" s="30">
        <f t="shared" si="15"/>
        <v>8.7000000000000046</v>
      </c>
      <c r="F188" s="32">
        <v>8187</v>
      </c>
      <c r="G188" s="30">
        <f t="shared" si="16"/>
        <v>8.600000000000005</v>
      </c>
      <c r="H188" s="32">
        <v>9187</v>
      </c>
      <c r="I188" s="30">
        <f t="shared" si="17"/>
        <v>8.5000000000000053</v>
      </c>
    </row>
    <row r="189" spans="1:9" x14ac:dyDescent="0.15">
      <c r="A189" s="30">
        <v>188</v>
      </c>
      <c r="B189" s="30">
        <f>F144</f>
        <v>8143</v>
      </c>
      <c r="C189" s="30">
        <f>G144</f>
        <v>8.600000000000005</v>
      </c>
      <c r="D189" s="32">
        <v>7188</v>
      </c>
      <c r="E189" s="30">
        <f t="shared" si="15"/>
        <v>8.600000000000005</v>
      </c>
      <c r="F189" s="32">
        <v>8188</v>
      </c>
      <c r="G189" s="30">
        <f t="shared" si="16"/>
        <v>8.5000000000000053</v>
      </c>
      <c r="H189" s="32">
        <v>9188</v>
      </c>
      <c r="I189" s="30">
        <f t="shared" si="17"/>
        <v>8.4000000000000057</v>
      </c>
    </row>
    <row r="190" spans="1:9" x14ac:dyDescent="0.15">
      <c r="A190" s="30">
        <v>189</v>
      </c>
      <c r="B190" s="30">
        <f>H144</f>
        <v>9143</v>
      </c>
      <c r="C190" s="30">
        <f>I144</f>
        <v>8.5000000000000053</v>
      </c>
      <c r="D190" s="32">
        <v>7189</v>
      </c>
      <c r="E190" s="30">
        <f t="shared" si="15"/>
        <v>8.5000000000000053</v>
      </c>
      <c r="F190" s="32">
        <v>8189</v>
      </c>
      <c r="G190" s="30">
        <f t="shared" si="16"/>
        <v>8.4000000000000057</v>
      </c>
      <c r="H190" s="32">
        <v>9189</v>
      </c>
      <c r="I190" s="30">
        <f t="shared" si="17"/>
        <v>8.300000000000006</v>
      </c>
    </row>
    <row r="191" spans="1:9" x14ac:dyDescent="0.15">
      <c r="A191" s="30">
        <v>190</v>
      </c>
      <c r="B191" s="32">
        <f>H145</f>
        <v>9144</v>
      </c>
      <c r="C191" s="32">
        <f>I145</f>
        <v>8.600000000000005</v>
      </c>
      <c r="D191" s="32">
        <v>7190</v>
      </c>
      <c r="E191" s="30">
        <f t="shared" si="15"/>
        <v>8.600000000000005</v>
      </c>
      <c r="F191" s="32">
        <v>8190</v>
      </c>
      <c r="G191" s="30">
        <f t="shared" si="16"/>
        <v>8.5000000000000053</v>
      </c>
      <c r="H191" s="32">
        <v>9190</v>
      </c>
      <c r="I191" s="30">
        <f t="shared" si="17"/>
        <v>8.4000000000000057</v>
      </c>
    </row>
    <row r="192" spans="1:9" x14ac:dyDescent="0.15">
      <c r="A192" s="30">
        <v>191</v>
      </c>
      <c r="B192" s="32">
        <f>F145</f>
        <v>8144</v>
      </c>
      <c r="C192" s="32">
        <f>G145</f>
        <v>8.7000000000000046</v>
      </c>
      <c r="D192" s="32">
        <v>7191</v>
      </c>
      <c r="E192" s="30">
        <f t="shared" si="15"/>
        <v>8.7000000000000046</v>
      </c>
      <c r="F192" s="32">
        <v>8191</v>
      </c>
      <c r="G192" s="30">
        <f t="shared" si="16"/>
        <v>8.600000000000005</v>
      </c>
      <c r="H192" s="32">
        <v>9191</v>
      </c>
      <c r="I192" s="30">
        <f t="shared" si="17"/>
        <v>8.5000000000000053</v>
      </c>
    </row>
    <row r="193" spans="1:9" x14ac:dyDescent="0.15">
      <c r="A193" s="30">
        <v>192</v>
      </c>
      <c r="B193" s="30">
        <f>D146</f>
        <v>7145</v>
      </c>
      <c r="C193" s="30">
        <f>E146</f>
        <v>8.8000000000000043</v>
      </c>
      <c r="D193" s="32">
        <v>7192</v>
      </c>
      <c r="E193" s="30">
        <f t="shared" si="15"/>
        <v>8.8000000000000043</v>
      </c>
      <c r="F193" s="32">
        <v>8192</v>
      </c>
      <c r="G193" s="30">
        <f t="shared" si="16"/>
        <v>8.7000000000000046</v>
      </c>
      <c r="H193" s="32">
        <v>9192</v>
      </c>
      <c r="I193" s="30">
        <f t="shared" si="17"/>
        <v>8.600000000000005</v>
      </c>
    </row>
    <row r="194" spans="1:9" x14ac:dyDescent="0.15">
      <c r="A194" s="30">
        <v>193</v>
      </c>
      <c r="B194" s="30">
        <f>F146</f>
        <v>8145</v>
      </c>
      <c r="C194" s="30">
        <f>G146</f>
        <v>8.7000000000000046</v>
      </c>
      <c r="D194" s="32">
        <v>7193</v>
      </c>
      <c r="E194" s="30">
        <f t="shared" ref="E194:E203" si="18">C194</f>
        <v>8.7000000000000046</v>
      </c>
      <c r="F194" s="32">
        <v>8193</v>
      </c>
      <c r="G194" s="30">
        <f t="shared" ref="G194:G203" si="19">$E194-0.1</f>
        <v>8.600000000000005</v>
      </c>
      <c r="H194" s="32">
        <v>9193</v>
      </c>
      <c r="I194" s="30">
        <f t="shared" ref="I194:I203" si="20">$E194-0.2</f>
        <v>8.5000000000000053</v>
      </c>
    </row>
    <row r="195" spans="1:9" x14ac:dyDescent="0.15">
      <c r="A195" s="30">
        <v>194</v>
      </c>
      <c r="B195" s="30">
        <f>H146</f>
        <v>9145</v>
      </c>
      <c r="C195" s="30">
        <f>I146</f>
        <v>8.600000000000005</v>
      </c>
      <c r="D195" s="32">
        <v>7194</v>
      </c>
      <c r="E195" s="30">
        <f t="shared" si="18"/>
        <v>8.600000000000005</v>
      </c>
      <c r="F195" s="32">
        <v>8194</v>
      </c>
      <c r="G195" s="30">
        <f t="shared" si="19"/>
        <v>8.5000000000000053</v>
      </c>
      <c r="H195" s="32">
        <v>9194</v>
      </c>
      <c r="I195" s="30">
        <f t="shared" si="20"/>
        <v>8.4000000000000057</v>
      </c>
    </row>
    <row r="196" spans="1:9" x14ac:dyDescent="0.15">
      <c r="A196" s="30">
        <v>195</v>
      </c>
      <c r="B196" s="30">
        <f>H149</f>
        <v>9148</v>
      </c>
      <c r="C196" s="30">
        <f>I149</f>
        <v>8.2000000000000064</v>
      </c>
      <c r="D196" s="32">
        <v>7195</v>
      </c>
      <c r="E196" s="30">
        <f t="shared" si="18"/>
        <v>8.2000000000000064</v>
      </c>
      <c r="F196" s="32">
        <v>8195</v>
      </c>
      <c r="G196" s="30">
        <f t="shared" si="19"/>
        <v>8.1000000000000068</v>
      </c>
      <c r="H196" s="32">
        <v>9195</v>
      </c>
      <c r="I196" s="30">
        <f t="shared" si="20"/>
        <v>8.0000000000000071</v>
      </c>
    </row>
    <row r="197" spans="1:9" x14ac:dyDescent="0.15">
      <c r="A197" s="30">
        <v>196</v>
      </c>
      <c r="B197" s="30">
        <f>F149</f>
        <v>8148</v>
      </c>
      <c r="C197" s="30">
        <f>G149</f>
        <v>8.300000000000006</v>
      </c>
      <c r="D197" s="32">
        <v>7196</v>
      </c>
      <c r="E197" s="30">
        <f t="shared" si="18"/>
        <v>8.300000000000006</v>
      </c>
      <c r="F197" s="32">
        <v>8196</v>
      </c>
      <c r="G197" s="30">
        <f t="shared" si="19"/>
        <v>8.2000000000000064</v>
      </c>
      <c r="H197" s="32">
        <v>9196</v>
      </c>
      <c r="I197" s="30">
        <f t="shared" si="20"/>
        <v>8.1000000000000068</v>
      </c>
    </row>
    <row r="198" spans="1:9" x14ac:dyDescent="0.15">
      <c r="A198" s="30">
        <v>197</v>
      </c>
      <c r="B198" s="30">
        <f>H155</f>
        <v>9154</v>
      </c>
      <c r="C198" s="30">
        <f>I155</f>
        <v>8.600000000000005</v>
      </c>
      <c r="D198" s="32">
        <v>7197</v>
      </c>
      <c r="E198" s="30">
        <f t="shared" si="18"/>
        <v>8.600000000000005</v>
      </c>
      <c r="F198" s="32">
        <v>8197</v>
      </c>
      <c r="G198" s="30">
        <f t="shared" si="19"/>
        <v>8.5000000000000053</v>
      </c>
      <c r="H198" s="32">
        <v>9197</v>
      </c>
      <c r="I198" s="30">
        <f t="shared" si="20"/>
        <v>8.4000000000000057</v>
      </c>
    </row>
    <row r="199" spans="1:9" x14ac:dyDescent="0.15">
      <c r="A199" s="30">
        <v>198</v>
      </c>
      <c r="B199" s="30">
        <f>F155</f>
        <v>8154</v>
      </c>
      <c r="C199" s="30">
        <f>G155</f>
        <v>8.7000000000000046</v>
      </c>
      <c r="D199" s="32">
        <v>7198</v>
      </c>
      <c r="E199" s="30">
        <f t="shared" si="18"/>
        <v>8.7000000000000046</v>
      </c>
      <c r="F199" s="32">
        <v>8198</v>
      </c>
      <c r="G199" s="30">
        <f t="shared" si="19"/>
        <v>8.600000000000005</v>
      </c>
      <c r="H199" s="32">
        <v>9198</v>
      </c>
      <c r="I199" s="30">
        <f t="shared" si="20"/>
        <v>8.5000000000000053</v>
      </c>
    </row>
    <row r="200" spans="1:9" x14ac:dyDescent="0.15">
      <c r="A200" s="30">
        <v>199</v>
      </c>
      <c r="B200" s="30">
        <f>H159</f>
        <v>9158</v>
      </c>
      <c r="C200" s="30">
        <f>I159</f>
        <v>8.7000000000000046</v>
      </c>
      <c r="D200" s="32">
        <v>7199</v>
      </c>
      <c r="E200" s="30">
        <f t="shared" si="18"/>
        <v>8.7000000000000046</v>
      </c>
      <c r="F200" s="32">
        <v>8199</v>
      </c>
      <c r="G200" s="30">
        <f t="shared" si="19"/>
        <v>8.600000000000005</v>
      </c>
      <c r="H200" s="32">
        <v>9199</v>
      </c>
      <c r="I200" s="30">
        <f t="shared" si="20"/>
        <v>8.5000000000000053</v>
      </c>
    </row>
    <row r="201" spans="1:9" x14ac:dyDescent="0.15">
      <c r="A201" s="30">
        <v>200</v>
      </c>
      <c r="B201" s="30">
        <f>F159</f>
        <v>8158</v>
      </c>
      <c r="C201" s="30">
        <f>G159</f>
        <v>8.8000000000000043</v>
      </c>
      <c r="D201" s="32">
        <v>7200</v>
      </c>
      <c r="E201" s="30">
        <f t="shared" si="18"/>
        <v>8.8000000000000043</v>
      </c>
      <c r="F201" s="32">
        <v>8200</v>
      </c>
      <c r="G201" s="30">
        <f t="shared" si="19"/>
        <v>8.7000000000000046</v>
      </c>
      <c r="H201" s="32">
        <v>9200</v>
      </c>
      <c r="I201" s="30">
        <f t="shared" si="20"/>
        <v>8.600000000000005</v>
      </c>
    </row>
    <row r="202" spans="1:9" x14ac:dyDescent="0.15">
      <c r="A202" s="30">
        <v>201</v>
      </c>
      <c r="B202" s="30">
        <f>F80</f>
        <v>8079</v>
      </c>
      <c r="C202" s="30">
        <f>G80</f>
        <v>8.8000000000000043</v>
      </c>
      <c r="D202" s="32">
        <v>7201</v>
      </c>
      <c r="E202" s="30">
        <f t="shared" si="18"/>
        <v>8.8000000000000043</v>
      </c>
      <c r="F202" s="32">
        <v>8201</v>
      </c>
      <c r="G202" s="30">
        <f t="shared" si="19"/>
        <v>8.7000000000000046</v>
      </c>
      <c r="H202" s="32">
        <v>9201</v>
      </c>
      <c r="I202" s="30">
        <f t="shared" si="20"/>
        <v>8.600000000000005</v>
      </c>
    </row>
    <row r="203" spans="1:9" x14ac:dyDescent="0.15">
      <c r="A203" s="30">
        <v>202</v>
      </c>
      <c r="B203" s="30">
        <f>H80</f>
        <v>9079</v>
      </c>
      <c r="C203" s="30">
        <f>I80</f>
        <v>8.7000000000000046</v>
      </c>
      <c r="D203" s="32">
        <v>7202</v>
      </c>
      <c r="E203" s="30">
        <f t="shared" si="18"/>
        <v>8.7000000000000046</v>
      </c>
      <c r="F203" s="32">
        <v>8202</v>
      </c>
      <c r="G203" s="30">
        <f t="shared" si="19"/>
        <v>8.600000000000005</v>
      </c>
      <c r="H203" s="32">
        <v>9202</v>
      </c>
      <c r="I203" s="30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0" customWidth="1"/>
    <col min="2" max="2" width="9" style="30" customWidth="1"/>
    <col min="3" max="3" width="6.75" style="30" customWidth="1"/>
    <col min="4" max="4" width="8.125" style="30" customWidth="1"/>
    <col min="5" max="5" width="9.75" style="30" customWidth="1"/>
    <col min="6" max="6" width="8" style="30" customWidth="1"/>
    <col min="7" max="7" width="9.75" style="30" customWidth="1"/>
    <col min="8" max="8" width="8.875" style="30" customWidth="1"/>
    <col min="9" max="9" width="9.875" style="30" customWidth="1"/>
    <col min="10" max="10" width="9.375" style="30" customWidth="1"/>
    <col min="11" max="11" width="10" style="30" customWidth="1"/>
    <col min="12" max="12" width="11.625" style="30" customWidth="1"/>
    <col min="13" max="13" width="9.5" style="30" bestFit="1" customWidth="1"/>
    <col min="14" max="14" width="11" style="30" bestFit="1" customWidth="1"/>
    <col min="15" max="15" width="116.25" style="30" bestFit="1" customWidth="1"/>
    <col min="16" max="16" width="9.5" style="30" bestFit="1" customWidth="1"/>
    <col min="17" max="17" width="7.5" style="30" bestFit="1" customWidth="1"/>
    <col min="18" max="18" width="6.5" style="30" bestFit="1" customWidth="1"/>
    <col min="19" max="19" width="13.875" style="30" bestFit="1" customWidth="1"/>
    <col min="20" max="21" width="12.75" style="30" bestFit="1" customWidth="1"/>
    <col min="22" max="30" width="10" style="30" bestFit="1" customWidth="1"/>
    <col min="31" max="31" width="11.125" style="30" bestFit="1" customWidth="1"/>
    <col min="32" max="32" width="13" style="30" bestFit="1" customWidth="1"/>
    <col min="33" max="33" width="8.5" style="30" bestFit="1" customWidth="1"/>
    <col min="34" max="16384" width="9" style="30"/>
  </cols>
  <sheetData>
    <row r="1" spans="1:33" x14ac:dyDescent="0.15">
      <c r="A1" s="61">
        <v>15196685175</v>
      </c>
      <c r="B1" s="35">
        <v>2</v>
      </c>
      <c r="C1" s="35">
        <v>4</v>
      </c>
      <c r="D1" s="35">
        <v>5</v>
      </c>
      <c r="E1" s="35">
        <v>6</v>
      </c>
      <c r="F1" s="35">
        <v>7</v>
      </c>
      <c r="G1" s="35">
        <v>8</v>
      </c>
      <c r="H1" s="35">
        <v>9</v>
      </c>
      <c r="I1" s="35">
        <v>10</v>
      </c>
      <c r="J1" s="35">
        <v>11</v>
      </c>
      <c r="K1" s="35"/>
      <c r="M1" s="30" t="s">
        <v>0</v>
      </c>
      <c r="N1" s="30" t="s">
        <v>1</v>
      </c>
      <c r="O1" s="30" t="s">
        <v>489</v>
      </c>
      <c r="P1" s="30" t="s">
        <v>9</v>
      </c>
      <c r="Q1" s="30" t="s">
        <v>490</v>
      </c>
      <c r="R1" s="30" t="s">
        <v>491</v>
      </c>
      <c r="S1" s="30" t="s">
        <v>492</v>
      </c>
      <c r="T1" s="30" t="s">
        <v>493</v>
      </c>
      <c r="U1" s="30" t="s">
        <v>494</v>
      </c>
      <c r="V1" s="30" t="s">
        <v>495</v>
      </c>
      <c r="W1" s="30" t="s">
        <v>454</v>
      </c>
      <c r="X1" s="30" t="s">
        <v>455</v>
      </c>
      <c r="Y1" s="30" t="s">
        <v>456</v>
      </c>
      <c r="Z1" s="30" t="s">
        <v>457</v>
      </c>
      <c r="AA1" s="30" t="s">
        <v>458</v>
      </c>
      <c r="AB1" s="30" t="s">
        <v>459</v>
      </c>
      <c r="AC1" s="30" t="s">
        <v>460</v>
      </c>
      <c r="AD1" s="30" t="s">
        <v>461</v>
      </c>
      <c r="AE1" s="30" t="s">
        <v>462</v>
      </c>
      <c r="AF1" s="30" t="s">
        <v>496</v>
      </c>
    </row>
    <row r="2" spans="1:33" x14ac:dyDescent="0.15">
      <c r="A2" s="61"/>
      <c r="B2" s="35">
        <v>3</v>
      </c>
      <c r="C2" s="35">
        <v>12</v>
      </c>
      <c r="D2" s="35">
        <v>13</v>
      </c>
      <c r="E2" s="35">
        <v>14</v>
      </c>
      <c r="F2" s="35">
        <v>15</v>
      </c>
      <c r="G2" s="35">
        <v>16</v>
      </c>
      <c r="H2" s="35">
        <v>17</v>
      </c>
      <c r="I2" s="35">
        <v>18</v>
      </c>
      <c r="J2" s="35">
        <v>19</v>
      </c>
      <c r="K2" s="35"/>
      <c r="M2" s="30" t="s">
        <v>4</v>
      </c>
      <c r="N2" s="30" t="s">
        <v>5</v>
      </c>
      <c r="O2" s="30" t="s">
        <v>236</v>
      </c>
      <c r="P2" s="30">
        <v>2</v>
      </c>
      <c r="Q2" s="30">
        <v>1</v>
      </c>
      <c r="R2" s="30">
        <v>52</v>
      </c>
      <c r="S2" s="30">
        <v>81158</v>
      </c>
      <c r="T2" s="30">
        <v>118.32</v>
      </c>
      <c r="U2" s="30">
        <v>1000066.32</v>
      </c>
      <c r="V2" s="30">
        <v>5.0000000000000001E-3</v>
      </c>
      <c r="W2" s="30">
        <v>1.2E-2</v>
      </c>
      <c r="X2" s="30">
        <v>1.2E-2</v>
      </c>
      <c r="Y2" s="30">
        <v>1.2E-2</v>
      </c>
      <c r="Z2" s="30">
        <v>5.0000000000000001E-3</v>
      </c>
      <c r="AA2" s="30">
        <v>1.2E-2</v>
      </c>
      <c r="AB2" s="30">
        <v>5.0000000000000001E-3</v>
      </c>
      <c r="AC2" s="30">
        <v>5.0000000000000001E-3</v>
      </c>
      <c r="AD2" s="30" t="s">
        <v>487</v>
      </c>
      <c r="AE2" s="30" t="s">
        <v>487</v>
      </c>
      <c r="AF2" s="30">
        <f>AG2</f>
        <v>6.8000000000000005E-2</v>
      </c>
      <c r="AG2" s="30">
        <f>SUM(V2:AE2)</f>
        <v>6.8000000000000005E-2</v>
      </c>
    </row>
    <row r="3" spans="1:33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M3" s="30" t="s">
        <v>12</v>
      </c>
      <c r="N3" s="30" t="s">
        <v>13</v>
      </c>
      <c r="O3" s="30" t="s">
        <v>391</v>
      </c>
      <c r="P3" s="30">
        <v>4</v>
      </c>
      <c r="Q3" s="30">
        <v>1</v>
      </c>
      <c r="R3" s="30">
        <v>160</v>
      </c>
      <c r="S3" s="30">
        <v>81158</v>
      </c>
      <c r="T3" s="30">
        <v>788.8</v>
      </c>
      <c r="U3" s="30">
        <v>1000695.12</v>
      </c>
      <c r="V3" s="30">
        <v>1.9E-2</v>
      </c>
      <c r="W3" s="30">
        <v>3.9E-2</v>
      </c>
      <c r="X3" s="30">
        <v>3.9E-2</v>
      </c>
      <c r="Y3" s="30">
        <v>3.9E-2</v>
      </c>
      <c r="Z3" s="30">
        <v>1.9E-2</v>
      </c>
      <c r="AA3" s="30">
        <v>3.9E-2</v>
      </c>
      <c r="AB3" s="30">
        <v>1.9E-2</v>
      </c>
      <c r="AC3" s="30">
        <v>1.9E-2</v>
      </c>
      <c r="AD3" s="30" t="s">
        <v>487</v>
      </c>
      <c r="AE3" s="30" t="s">
        <v>487</v>
      </c>
      <c r="AF3" s="38">
        <f t="shared" ref="AF3:AF66" si="0">AG3</f>
        <v>0.23199999999999998</v>
      </c>
      <c r="AG3" s="38">
        <f t="shared" ref="AG3:AG66" si="1">SUM(V3:AE3)</f>
        <v>0.23199999999999998</v>
      </c>
    </row>
    <row r="4" spans="1:33" x14ac:dyDescent="0.1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M4" s="30" t="s">
        <v>12</v>
      </c>
      <c r="N4" s="30" t="s">
        <v>14</v>
      </c>
      <c r="O4" s="30" t="s">
        <v>392</v>
      </c>
      <c r="P4" s="30">
        <v>2</v>
      </c>
      <c r="Q4" s="30">
        <v>1</v>
      </c>
      <c r="R4" s="30">
        <v>16</v>
      </c>
      <c r="S4" s="30">
        <v>81158</v>
      </c>
      <c r="T4" s="30">
        <v>394.4</v>
      </c>
      <c r="U4" s="30">
        <v>1001073.52</v>
      </c>
      <c r="V4" s="30">
        <v>1.9E-2</v>
      </c>
      <c r="W4" s="30">
        <v>3.9E-2</v>
      </c>
      <c r="X4" s="30">
        <v>3.9E-2</v>
      </c>
      <c r="Y4" s="30">
        <v>3.9E-2</v>
      </c>
      <c r="Z4" s="30">
        <v>1.9E-2</v>
      </c>
      <c r="AA4" s="30">
        <v>3.9E-2</v>
      </c>
      <c r="AB4" s="30">
        <v>1.9E-2</v>
      </c>
      <c r="AC4" s="30">
        <v>1.9E-2</v>
      </c>
      <c r="AD4" s="30" t="s">
        <v>487</v>
      </c>
      <c r="AE4" s="30" t="s">
        <v>487</v>
      </c>
      <c r="AF4" s="38">
        <f t="shared" si="0"/>
        <v>0.23199999999999998</v>
      </c>
      <c r="AG4" s="38">
        <f t="shared" si="1"/>
        <v>0.23199999999999998</v>
      </c>
    </row>
    <row r="5" spans="1:33" x14ac:dyDescent="0.1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M5" s="30" t="s">
        <v>12</v>
      </c>
      <c r="N5" s="30" t="s">
        <v>16</v>
      </c>
      <c r="O5" s="30" t="s">
        <v>393</v>
      </c>
      <c r="P5" s="30">
        <v>3</v>
      </c>
      <c r="Q5" s="30">
        <v>1</v>
      </c>
      <c r="R5" s="30">
        <v>132</v>
      </c>
      <c r="S5" s="30">
        <v>81158</v>
      </c>
      <c r="T5" s="30">
        <v>591.59999999999991</v>
      </c>
      <c r="U5" s="30">
        <v>1001533.12</v>
      </c>
      <c r="V5" s="30">
        <v>1.9E-2</v>
      </c>
      <c r="W5" s="30">
        <v>3.9E-2</v>
      </c>
      <c r="X5" s="30">
        <v>3.9E-2</v>
      </c>
      <c r="Y5" s="30">
        <v>3.9E-2</v>
      </c>
      <c r="Z5" s="30">
        <v>1.9E-2</v>
      </c>
      <c r="AA5" s="30">
        <v>3.9E-2</v>
      </c>
      <c r="AB5" s="30">
        <v>1.9E-2</v>
      </c>
      <c r="AC5" s="30">
        <v>1.9E-2</v>
      </c>
      <c r="AD5" s="30" t="s">
        <v>487</v>
      </c>
      <c r="AE5" s="30" t="s">
        <v>487</v>
      </c>
      <c r="AF5" s="38">
        <f t="shared" si="0"/>
        <v>0.23199999999999998</v>
      </c>
      <c r="AG5" s="38">
        <f t="shared" si="1"/>
        <v>0.23199999999999998</v>
      </c>
    </row>
    <row r="6" spans="1:33" x14ac:dyDescent="0.1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M6" s="30" t="s">
        <v>12</v>
      </c>
      <c r="N6" s="30" t="s">
        <v>18</v>
      </c>
      <c r="O6" s="30" t="s">
        <v>231</v>
      </c>
      <c r="P6" s="30">
        <v>3</v>
      </c>
      <c r="Q6" s="30">
        <v>1</v>
      </c>
      <c r="R6" s="30">
        <v>336</v>
      </c>
      <c r="S6" s="30">
        <v>81158</v>
      </c>
      <c r="T6" s="30">
        <v>591.59999999999991</v>
      </c>
      <c r="U6" s="30">
        <v>1001788.72</v>
      </c>
      <c r="V6" s="30">
        <v>1.9E-2</v>
      </c>
      <c r="W6" s="30">
        <v>3.9E-2</v>
      </c>
      <c r="X6" s="30">
        <v>3.9E-2</v>
      </c>
      <c r="Y6" s="30">
        <v>3.9E-2</v>
      </c>
      <c r="Z6" s="30">
        <v>1.9E-2</v>
      </c>
      <c r="AA6" s="30">
        <v>3.9E-2</v>
      </c>
      <c r="AB6" s="30">
        <v>1.9E-2</v>
      </c>
      <c r="AC6" s="30">
        <v>1.9E-2</v>
      </c>
      <c r="AD6" s="30" t="s">
        <v>487</v>
      </c>
      <c r="AE6" s="30" t="s">
        <v>487</v>
      </c>
      <c r="AF6" s="38">
        <f t="shared" si="0"/>
        <v>0.23199999999999998</v>
      </c>
      <c r="AG6" s="38">
        <f t="shared" si="1"/>
        <v>0.23199999999999998</v>
      </c>
    </row>
    <row r="7" spans="1:33" x14ac:dyDescent="0.1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M7" s="30" t="s">
        <v>12</v>
      </c>
      <c r="N7" s="30" t="s">
        <v>20</v>
      </c>
      <c r="O7" s="30" t="s">
        <v>231</v>
      </c>
      <c r="P7" s="30">
        <v>4</v>
      </c>
      <c r="Q7" s="30">
        <v>1</v>
      </c>
      <c r="R7" s="30">
        <v>120</v>
      </c>
      <c r="S7" s="30">
        <v>81158</v>
      </c>
      <c r="T7" s="30">
        <v>394.4</v>
      </c>
      <c r="U7" s="30">
        <v>1002063.12</v>
      </c>
      <c r="V7" s="30">
        <v>8.9999999999999993E-3</v>
      </c>
      <c r="W7" s="30">
        <v>1.9E-2</v>
      </c>
      <c r="X7" s="30">
        <v>1.9E-2</v>
      </c>
      <c r="Y7" s="30">
        <v>1.9E-2</v>
      </c>
      <c r="Z7" s="30">
        <v>8.9999999999999993E-3</v>
      </c>
      <c r="AA7" s="30">
        <v>1.9E-2</v>
      </c>
      <c r="AB7" s="30">
        <v>8.9999999999999993E-3</v>
      </c>
      <c r="AC7" s="30">
        <v>8.9999999999999993E-3</v>
      </c>
      <c r="AD7" s="30" t="s">
        <v>487</v>
      </c>
      <c r="AE7" s="30" t="s">
        <v>487</v>
      </c>
      <c r="AF7" s="38">
        <f t="shared" si="0"/>
        <v>0.11199999999999999</v>
      </c>
      <c r="AG7" s="38">
        <f t="shared" si="1"/>
        <v>0.11199999999999999</v>
      </c>
    </row>
    <row r="8" spans="1:33" x14ac:dyDescent="0.1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M8" s="30" t="s">
        <v>12</v>
      </c>
      <c r="N8" s="30" t="s">
        <v>21</v>
      </c>
      <c r="O8" s="30" t="s">
        <v>394</v>
      </c>
      <c r="P8" s="30">
        <v>2</v>
      </c>
      <c r="Q8" s="30">
        <v>1</v>
      </c>
      <c r="R8" s="30">
        <v>16</v>
      </c>
      <c r="S8" s="30">
        <v>81158</v>
      </c>
      <c r="T8" s="30">
        <v>197.2</v>
      </c>
      <c r="U8" s="30">
        <v>1002244.32</v>
      </c>
      <c r="V8" s="30">
        <v>8.9999999999999993E-3</v>
      </c>
      <c r="W8" s="30">
        <v>1.9E-2</v>
      </c>
      <c r="X8" s="30">
        <v>1.9E-2</v>
      </c>
      <c r="Y8" s="30">
        <v>1.9E-2</v>
      </c>
      <c r="Z8" s="30">
        <v>8.9999999999999993E-3</v>
      </c>
      <c r="AA8" s="30">
        <v>1.9E-2</v>
      </c>
      <c r="AB8" s="30">
        <v>8.9999999999999993E-3</v>
      </c>
      <c r="AC8" s="30">
        <v>8.9999999999999993E-3</v>
      </c>
      <c r="AD8" s="30" t="s">
        <v>487</v>
      </c>
      <c r="AE8" s="30" t="s">
        <v>487</v>
      </c>
      <c r="AF8" s="38">
        <f t="shared" si="0"/>
        <v>0.11199999999999999</v>
      </c>
      <c r="AG8" s="38">
        <f t="shared" si="1"/>
        <v>0.11199999999999999</v>
      </c>
    </row>
    <row r="9" spans="1:33" x14ac:dyDescent="0.1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M9" s="30" t="s">
        <v>12</v>
      </c>
      <c r="N9" s="30" t="s">
        <v>22</v>
      </c>
      <c r="O9" s="30" t="s">
        <v>395</v>
      </c>
      <c r="P9" s="30">
        <v>3</v>
      </c>
      <c r="Q9" s="30">
        <v>1</v>
      </c>
      <c r="R9" s="30">
        <v>102</v>
      </c>
      <c r="S9" s="30">
        <v>81158</v>
      </c>
      <c r="T9" s="30">
        <v>295.79999999999995</v>
      </c>
      <c r="U9" s="30">
        <v>1002438.12</v>
      </c>
      <c r="V9" s="30">
        <v>8.9999999999999993E-3</v>
      </c>
      <c r="W9" s="30">
        <v>1.9E-2</v>
      </c>
      <c r="X9" s="30">
        <v>1.9E-2</v>
      </c>
      <c r="Y9" s="30">
        <v>1.9E-2</v>
      </c>
      <c r="Z9" s="30">
        <v>8.9999999999999993E-3</v>
      </c>
      <c r="AA9" s="30">
        <v>1.9E-2</v>
      </c>
      <c r="AB9" s="30">
        <v>8.9999999999999993E-3</v>
      </c>
      <c r="AC9" s="30">
        <v>8.9999999999999993E-3</v>
      </c>
      <c r="AD9" s="30" t="s">
        <v>487</v>
      </c>
      <c r="AE9" s="30" t="s">
        <v>487</v>
      </c>
      <c r="AF9" s="38">
        <f t="shared" si="0"/>
        <v>0.11199999999999999</v>
      </c>
      <c r="AG9" s="38">
        <f t="shared" si="1"/>
        <v>0.11199999999999999</v>
      </c>
    </row>
    <row r="10" spans="1:33" x14ac:dyDescent="0.1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M10" s="30" t="s">
        <v>12</v>
      </c>
      <c r="N10" s="30" t="s">
        <v>23</v>
      </c>
      <c r="O10" s="30" t="s">
        <v>396</v>
      </c>
      <c r="P10" s="30">
        <v>4</v>
      </c>
      <c r="Q10" s="30">
        <v>1</v>
      </c>
      <c r="R10" s="30">
        <v>72</v>
      </c>
      <c r="S10" s="30">
        <v>81158</v>
      </c>
      <c r="T10" s="30">
        <v>394.4</v>
      </c>
      <c r="U10" s="30">
        <v>1002760.52</v>
      </c>
      <c r="V10" s="30">
        <v>8.9999999999999993E-3</v>
      </c>
      <c r="W10" s="30">
        <v>1.9E-2</v>
      </c>
      <c r="X10" s="30">
        <v>1.9E-2</v>
      </c>
      <c r="Y10" s="30">
        <v>1.9E-2</v>
      </c>
      <c r="Z10" s="30">
        <v>8.9999999999999993E-3</v>
      </c>
      <c r="AA10" s="30">
        <v>1.9E-2</v>
      </c>
      <c r="AB10" s="30">
        <v>8.9999999999999993E-3</v>
      </c>
      <c r="AC10" s="30">
        <v>8.9999999999999993E-3</v>
      </c>
      <c r="AD10" s="30" t="s">
        <v>487</v>
      </c>
      <c r="AE10" s="30" t="s">
        <v>487</v>
      </c>
      <c r="AF10" s="38">
        <f t="shared" si="0"/>
        <v>0.11199999999999999</v>
      </c>
      <c r="AG10" s="38">
        <f t="shared" si="1"/>
        <v>0.11199999999999999</v>
      </c>
    </row>
    <row r="11" spans="1:33" x14ac:dyDescent="0.1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M11" s="30" t="s">
        <v>25</v>
      </c>
      <c r="N11" s="30" t="s">
        <v>13</v>
      </c>
      <c r="O11" s="30" t="s">
        <v>397</v>
      </c>
      <c r="P11" s="30">
        <v>1</v>
      </c>
      <c r="Q11" s="30">
        <v>1</v>
      </c>
      <c r="R11" s="30">
        <v>32</v>
      </c>
      <c r="S11" s="30">
        <v>81158</v>
      </c>
      <c r="T11" s="30">
        <v>197.2</v>
      </c>
      <c r="U11" s="30">
        <v>1002925.72</v>
      </c>
      <c r="V11" s="30">
        <v>1.9E-2</v>
      </c>
      <c r="W11" s="30">
        <v>3.9E-2</v>
      </c>
      <c r="X11" s="30">
        <v>3.9E-2</v>
      </c>
      <c r="Y11" s="30">
        <v>3.9E-2</v>
      </c>
      <c r="Z11" s="30">
        <v>1.9E-2</v>
      </c>
      <c r="AA11" s="30">
        <v>3.9E-2</v>
      </c>
      <c r="AB11" s="30">
        <v>1.9E-2</v>
      </c>
      <c r="AC11" s="30">
        <v>1.9E-2</v>
      </c>
      <c r="AD11" s="30" t="s">
        <v>487</v>
      </c>
      <c r="AE11" s="30" t="s">
        <v>487</v>
      </c>
      <c r="AF11" s="38">
        <f t="shared" si="0"/>
        <v>0.23199999999999998</v>
      </c>
      <c r="AG11" s="38">
        <f t="shared" si="1"/>
        <v>0.23199999999999998</v>
      </c>
    </row>
    <row r="12" spans="1:33" x14ac:dyDescent="0.1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M12" s="30" t="s">
        <v>25</v>
      </c>
      <c r="N12" s="30" t="s">
        <v>14</v>
      </c>
      <c r="O12" s="30" t="s">
        <v>398</v>
      </c>
      <c r="P12" s="30">
        <v>3</v>
      </c>
      <c r="Q12" s="30">
        <v>1</v>
      </c>
      <c r="R12" s="30">
        <v>24</v>
      </c>
      <c r="S12" s="30">
        <v>81158</v>
      </c>
      <c r="T12" s="30">
        <v>591.59999999999991</v>
      </c>
      <c r="U12" s="30">
        <v>1003493.32</v>
      </c>
      <c r="V12" s="30">
        <v>1.9E-2</v>
      </c>
      <c r="W12" s="30">
        <v>3.9E-2</v>
      </c>
      <c r="X12" s="30">
        <v>3.9E-2</v>
      </c>
      <c r="Y12" s="30">
        <v>3.9E-2</v>
      </c>
      <c r="Z12" s="30">
        <v>1.9E-2</v>
      </c>
      <c r="AA12" s="30">
        <v>3.9E-2</v>
      </c>
      <c r="AB12" s="30">
        <v>1.9E-2</v>
      </c>
      <c r="AC12" s="30">
        <v>1.9E-2</v>
      </c>
      <c r="AD12" s="30" t="s">
        <v>487</v>
      </c>
      <c r="AE12" s="30" t="s">
        <v>487</v>
      </c>
      <c r="AF12" s="38">
        <f t="shared" si="0"/>
        <v>0.23199999999999998</v>
      </c>
      <c r="AG12" s="38">
        <f t="shared" si="1"/>
        <v>0.23199999999999998</v>
      </c>
    </row>
    <row r="13" spans="1:33" x14ac:dyDescent="0.1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M13" s="30" t="s">
        <v>25</v>
      </c>
      <c r="N13" s="30" t="s">
        <v>16</v>
      </c>
      <c r="O13" s="30" t="s">
        <v>399</v>
      </c>
      <c r="P13" s="30">
        <v>1</v>
      </c>
      <c r="Q13" s="30">
        <v>1</v>
      </c>
      <c r="R13" s="30">
        <v>94</v>
      </c>
      <c r="S13" s="30">
        <v>81158</v>
      </c>
      <c r="T13" s="30">
        <v>197.2</v>
      </c>
      <c r="U13" s="30">
        <v>1003596.5199999999</v>
      </c>
      <c r="V13" s="30">
        <v>1.9E-2</v>
      </c>
      <c r="W13" s="30">
        <v>3.9E-2</v>
      </c>
      <c r="X13" s="30">
        <v>3.9E-2</v>
      </c>
      <c r="Y13" s="30">
        <v>3.9E-2</v>
      </c>
      <c r="Z13" s="30">
        <v>1.9E-2</v>
      </c>
      <c r="AA13" s="30">
        <v>3.9E-2</v>
      </c>
      <c r="AB13" s="30">
        <v>1.9E-2</v>
      </c>
      <c r="AC13" s="30">
        <v>1.9E-2</v>
      </c>
      <c r="AD13" s="30" t="s">
        <v>487</v>
      </c>
      <c r="AE13" s="30" t="s">
        <v>487</v>
      </c>
      <c r="AF13" s="38">
        <f t="shared" si="0"/>
        <v>0.23199999999999998</v>
      </c>
      <c r="AG13" s="38">
        <f t="shared" si="1"/>
        <v>0.23199999999999998</v>
      </c>
    </row>
    <row r="14" spans="1:33" x14ac:dyDescent="0.1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M14" s="30" t="s">
        <v>25</v>
      </c>
      <c r="N14" s="30" t="s">
        <v>18</v>
      </c>
      <c r="O14" s="30" t="s">
        <v>232</v>
      </c>
      <c r="P14" s="30">
        <v>4</v>
      </c>
      <c r="Q14" s="30">
        <v>1</v>
      </c>
      <c r="R14" s="30">
        <v>528</v>
      </c>
      <c r="S14" s="30">
        <v>81158</v>
      </c>
      <c r="T14" s="30">
        <v>788.8</v>
      </c>
      <c r="U14" s="30">
        <v>1003857.32</v>
      </c>
      <c r="V14" s="30">
        <v>1.9E-2</v>
      </c>
      <c r="W14" s="30">
        <v>3.9E-2</v>
      </c>
      <c r="X14" s="30">
        <v>3.9E-2</v>
      </c>
      <c r="Y14" s="30">
        <v>3.9E-2</v>
      </c>
      <c r="Z14" s="30">
        <v>1.9E-2</v>
      </c>
      <c r="AA14" s="30">
        <v>3.9E-2</v>
      </c>
      <c r="AB14" s="30">
        <v>1.9E-2</v>
      </c>
      <c r="AC14" s="30">
        <v>1.9E-2</v>
      </c>
      <c r="AD14" s="30" t="s">
        <v>487</v>
      </c>
      <c r="AE14" s="30" t="s">
        <v>487</v>
      </c>
      <c r="AF14" s="38">
        <f t="shared" si="0"/>
        <v>0.23199999999999998</v>
      </c>
      <c r="AG14" s="38">
        <f t="shared" si="1"/>
        <v>0.23199999999999998</v>
      </c>
    </row>
    <row r="15" spans="1:33" x14ac:dyDescent="0.1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M15" s="30" t="s">
        <v>25</v>
      </c>
      <c r="N15" s="30" t="s">
        <v>20</v>
      </c>
      <c r="O15" s="30" t="s">
        <v>231</v>
      </c>
      <c r="P15" s="30">
        <v>1</v>
      </c>
      <c r="Q15" s="30">
        <v>1</v>
      </c>
      <c r="R15" s="30">
        <v>30</v>
      </c>
      <c r="S15" s="30">
        <v>81158</v>
      </c>
      <c r="T15" s="30">
        <v>98.6</v>
      </c>
      <c r="U15" s="30">
        <v>1003925.9199999999</v>
      </c>
      <c r="V15" s="30">
        <v>8.9999999999999993E-3</v>
      </c>
      <c r="W15" s="30">
        <v>1.9E-2</v>
      </c>
      <c r="X15" s="30">
        <v>1.9E-2</v>
      </c>
      <c r="Y15" s="30">
        <v>1.9E-2</v>
      </c>
      <c r="Z15" s="30">
        <v>8.9999999999999993E-3</v>
      </c>
      <c r="AA15" s="30">
        <v>1.9E-2</v>
      </c>
      <c r="AB15" s="30">
        <v>8.9999999999999993E-3</v>
      </c>
      <c r="AC15" s="30">
        <v>8.9999999999999993E-3</v>
      </c>
      <c r="AD15" s="30" t="s">
        <v>487</v>
      </c>
      <c r="AE15" s="30" t="s">
        <v>487</v>
      </c>
      <c r="AF15" s="38">
        <f t="shared" si="0"/>
        <v>0.11199999999999999</v>
      </c>
      <c r="AG15" s="38">
        <f t="shared" si="1"/>
        <v>0.11199999999999999</v>
      </c>
    </row>
    <row r="16" spans="1:33" x14ac:dyDescent="0.1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M16" s="30" t="s">
        <v>25</v>
      </c>
      <c r="N16" s="30" t="s">
        <v>21</v>
      </c>
      <c r="O16" s="30" t="s">
        <v>400</v>
      </c>
      <c r="P16" s="30">
        <v>2</v>
      </c>
      <c r="Q16" s="30">
        <v>1</v>
      </c>
      <c r="R16" s="30">
        <v>20</v>
      </c>
      <c r="S16" s="30">
        <v>81158</v>
      </c>
      <c r="T16" s="30">
        <v>197.2</v>
      </c>
      <c r="U16" s="30">
        <v>1004103.1199999999</v>
      </c>
      <c r="V16" s="30">
        <v>8.9999999999999993E-3</v>
      </c>
      <c r="W16" s="30">
        <v>1.9E-2</v>
      </c>
      <c r="X16" s="30">
        <v>1.9E-2</v>
      </c>
      <c r="Y16" s="30">
        <v>1.9E-2</v>
      </c>
      <c r="Z16" s="30">
        <v>8.9999999999999993E-3</v>
      </c>
      <c r="AA16" s="30">
        <v>1.9E-2</v>
      </c>
      <c r="AB16" s="30">
        <v>8.9999999999999993E-3</v>
      </c>
      <c r="AC16" s="30">
        <v>8.9999999999999993E-3</v>
      </c>
      <c r="AD16" s="30" t="s">
        <v>487</v>
      </c>
      <c r="AE16" s="30" t="s">
        <v>487</v>
      </c>
      <c r="AF16" s="38">
        <f t="shared" si="0"/>
        <v>0.11199999999999999</v>
      </c>
      <c r="AG16" s="38">
        <f t="shared" si="1"/>
        <v>0.11199999999999999</v>
      </c>
    </row>
    <row r="17" spans="1:33" x14ac:dyDescent="0.1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M17" s="30" t="s">
        <v>25</v>
      </c>
      <c r="N17" s="30" t="s">
        <v>22</v>
      </c>
      <c r="O17" s="30" t="s">
        <v>233</v>
      </c>
      <c r="P17" s="30">
        <v>3</v>
      </c>
      <c r="Q17" s="30">
        <v>1</v>
      </c>
      <c r="R17" s="30">
        <v>108</v>
      </c>
      <c r="S17" s="30">
        <v>81158</v>
      </c>
      <c r="T17" s="30">
        <v>295.79999999999995</v>
      </c>
      <c r="U17" s="30">
        <v>1004290.9199999999</v>
      </c>
      <c r="V17" s="30">
        <v>8.9999999999999993E-3</v>
      </c>
      <c r="W17" s="30">
        <v>1.9E-2</v>
      </c>
      <c r="X17" s="30">
        <v>1.9E-2</v>
      </c>
      <c r="Y17" s="30">
        <v>1.9E-2</v>
      </c>
      <c r="Z17" s="30">
        <v>8.9999999999999993E-3</v>
      </c>
      <c r="AA17" s="30">
        <v>1.9E-2</v>
      </c>
      <c r="AB17" s="30">
        <v>8.9999999999999993E-3</v>
      </c>
      <c r="AC17" s="30">
        <v>8.9999999999999993E-3</v>
      </c>
      <c r="AD17" s="30" t="s">
        <v>487</v>
      </c>
      <c r="AE17" s="30" t="s">
        <v>487</v>
      </c>
      <c r="AF17" s="38">
        <f t="shared" si="0"/>
        <v>0.11199999999999999</v>
      </c>
      <c r="AG17" s="38">
        <f t="shared" si="1"/>
        <v>0.11199999999999999</v>
      </c>
    </row>
    <row r="18" spans="1:33" x14ac:dyDescent="0.1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M18" s="30" t="s">
        <v>25</v>
      </c>
      <c r="N18" s="30" t="s">
        <v>23</v>
      </c>
      <c r="O18" s="30" t="s">
        <v>234</v>
      </c>
      <c r="P18" s="30">
        <v>3</v>
      </c>
      <c r="Q18" s="30">
        <v>1</v>
      </c>
      <c r="R18" s="30">
        <v>54</v>
      </c>
      <c r="S18" s="30">
        <v>81158</v>
      </c>
      <c r="T18" s="30">
        <v>295.79999999999995</v>
      </c>
      <c r="U18" s="30">
        <v>1004532.72</v>
      </c>
      <c r="V18" s="30">
        <v>8.9999999999999993E-3</v>
      </c>
      <c r="W18" s="30">
        <v>1.9E-2</v>
      </c>
      <c r="X18" s="30">
        <v>1.9E-2</v>
      </c>
      <c r="Y18" s="30">
        <v>1.9E-2</v>
      </c>
      <c r="Z18" s="30">
        <v>8.9999999999999993E-3</v>
      </c>
      <c r="AA18" s="30">
        <v>1.9E-2</v>
      </c>
      <c r="AB18" s="30">
        <v>8.9999999999999993E-3</v>
      </c>
      <c r="AC18" s="30">
        <v>8.9999999999999993E-3</v>
      </c>
      <c r="AD18" s="30" t="s">
        <v>487</v>
      </c>
      <c r="AE18" s="30" t="s">
        <v>487</v>
      </c>
      <c r="AF18" s="38">
        <f t="shared" si="0"/>
        <v>0.11199999999999999</v>
      </c>
      <c r="AG18" s="38">
        <f t="shared" si="1"/>
        <v>0.11199999999999999</v>
      </c>
    </row>
    <row r="19" spans="1:33" x14ac:dyDescent="0.1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M19" s="30" t="s">
        <v>26</v>
      </c>
      <c r="N19" s="30" t="s">
        <v>5</v>
      </c>
      <c r="O19" s="30" t="s">
        <v>401</v>
      </c>
      <c r="P19" s="30">
        <v>4</v>
      </c>
      <c r="Q19" s="30">
        <v>1</v>
      </c>
      <c r="R19" s="30">
        <v>1440</v>
      </c>
      <c r="S19" s="30">
        <v>81158</v>
      </c>
      <c r="T19" s="30">
        <v>7888</v>
      </c>
      <c r="U19" s="30">
        <v>1010980.72</v>
      </c>
      <c r="V19" s="30">
        <v>0.19900000000000001</v>
      </c>
      <c r="W19" s="30">
        <v>0.39900000000000002</v>
      </c>
      <c r="X19" s="30">
        <v>0.39900000000000002</v>
      </c>
      <c r="Y19" s="30">
        <v>0.39900000000000002</v>
      </c>
      <c r="Z19" s="30">
        <v>0.19900000000000001</v>
      </c>
      <c r="AA19" s="30">
        <v>0.39900000000000002</v>
      </c>
      <c r="AB19" s="30">
        <v>0.19900000000000001</v>
      </c>
      <c r="AC19" s="30">
        <v>0.19900000000000001</v>
      </c>
      <c r="AD19" s="30" t="s">
        <v>487</v>
      </c>
      <c r="AE19" s="30" t="s">
        <v>487</v>
      </c>
      <c r="AF19" s="38">
        <f t="shared" si="0"/>
        <v>2.3919999999999999</v>
      </c>
      <c r="AG19" s="38">
        <f t="shared" si="1"/>
        <v>2.3919999999999999</v>
      </c>
    </row>
    <row r="20" spans="1:33" x14ac:dyDescent="0.1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M20" s="30" t="s">
        <v>26</v>
      </c>
      <c r="N20" s="30" t="s">
        <v>27</v>
      </c>
      <c r="O20" s="30" t="s">
        <v>402</v>
      </c>
      <c r="P20" s="30">
        <v>3</v>
      </c>
      <c r="Q20" s="30">
        <v>1</v>
      </c>
      <c r="R20" s="30">
        <v>30</v>
      </c>
      <c r="S20" s="30">
        <v>81158</v>
      </c>
      <c r="T20" s="30">
        <v>5916</v>
      </c>
      <c r="U20" s="30">
        <v>1016866.72</v>
      </c>
      <c r="V20" s="30">
        <v>0.19900000000000001</v>
      </c>
      <c r="W20" s="30">
        <v>0.39900000000000002</v>
      </c>
      <c r="X20" s="30">
        <v>0.39900000000000002</v>
      </c>
      <c r="Y20" s="30">
        <v>0.39900000000000002</v>
      </c>
      <c r="Z20" s="30">
        <v>0.19900000000000001</v>
      </c>
      <c r="AA20" s="30">
        <v>0.39900000000000002</v>
      </c>
      <c r="AB20" s="30">
        <v>0.19900000000000001</v>
      </c>
      <c r="AC20" s="30">
        <v>0.19900000000000001</v>
      </c>
      <c r="AD20" s="30" t="s">
        <v>487</v>
      </c>
      <c r="AE20" s="30" t="s">
        <v>487</v>
      </c>
      <c r="AF20" s="38">
        <f t="shared" si="0"/>
        <v>2.3919999999999999</v>
      </c>
      <c r="AG20" s="38">
        <f t="shared" si="1"/>
        <v>2.3919999999999999</v>
      </c>
    </row>
    <row r="21" spans="1:33" x14ac:dyDescent="0.1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M21" s="30" t="s">
        <v>26</v>
      </c>
      <c r="N21" s="30" t="s">
        <v>16</v>
      </c>
      <c r="O21" s="30" t="s">
        <v>235</v>
      </c>
      <c r="P21" s="30">
        <v>3</v>
      </c>
      <c r="Q21" s="30">
        <v>1</v>
      </c>
      <c r="R21" s="30">
        <v>2286</v>
      </c>
      <c r="S21" s="30">
        <v>81158</v>
      </c>
      <c r="T21" s="30">
        <v>5916</v>
      </c>
      <c r="U21" s="30">
        <v>1020496.72</v>
      </c>
      <c r="V21" s="30">
        <v>0.19900000000000001</v>
      </c>
      <c r="W21" s="30">
        <v>0.39900000000000002</v>
      </c>
      <c r="X21" s="30">
        <v>0.39900000000000002</v>
      </c>
      <c r="Y21" s="30">
        <v>0.39900000000000002</v>
      </c>
      <c r="Z21" s="30">
        <v>0.19900000000000001</v>
      </c>
      <c r="AA21" s="30">
        <v>0.39900000000000002</v>
      </c>
      <c r="AB21" s="30">
        <v>0.19900000000000001</v>
      </c>
      <c r="AC21" s="30">
        <v>0.19900000000000001</v>
      </c>
      <c r="AD21" s="30" t="s">
        <v>487</v>
      </c>
      <c r="AE21" s="30" t="s">
        <v>487</v>
      </c>
      <c r="AF21" s="38">
        <f t="shared" si="0"/>
        <v>2.3919999999999999</v>
      </c>
      <c r="AG21" s="38">
        <f t="shared" si="1"/>
        <v>2.3919999999999999</v>
      </c>
    </row>
    <row r="22" spans="1:33" x14ac:dyDescent="0.1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M22" s="30" t="s">
        <v>26</v>
      </c>
      <c r="N22" s="30" t="s">
        <v>18</v>
      </c>
      <c r="O22" s="30" t="s">
        <v>403</v>
      </c>
      <c r="P22" s="30">
        <v>3</v>
      </c>
      <c r="Q22" s="30">
        <v>1</v>
      </c>
      <c r="R22" s="30">
        <v>4524</v>
      </c>
      <c r="S22" s="30">
        <v>81158</v>
      </c>
      <c r="T22" s="30">
        <v>5916</v>
      </c>
      <c r="U22" s="30">
        <v>1021888.72</v>
      </c>
      <c r="V22" s="30">
        <v>0.19900000000000001</v>
      </c>
      <c r="W22" s="30">
        <v>0.39900000000000002</v>
      </c>
      <c r="X22" s="30">
        <v>0.39900000000000002</v>
      </c>
      <c r="Y22" s="30">
        <v>0.39900000000000002</v>
      </c>
      <c r="Z22" s="30">
        <v>0.19900000000000001</v>
      </c>
      <c r="AA22" s="30">
        <v>0.39900000000000002</v>
      </c>
      <c r="AB22" s="30">
        <v>0.19900000000000001</v>
      </c>
      <c r="AC22" s="30">
        <v>0.19900000000000001</v>
      </c>
      <c r="AD22" s="30" t="s">
        <v>487</v>
      </c>
      <c r="AE22" s="30" t="s">
        <v>487</v>
      </c>
      <c r="AF22" s="38">
        <f t="shared" si="0"/>
        <v>2.3919999999999999</v>
      </c>
      <c r="AG22" s="38">
        <f t="shared" si="1"/>
        <v>2.3919999999999999</v>
      </c>
    </row>
    <row r="23" spans="1:33" x14ac:dyDescent="0.1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M23" s="30" t="s">
        <v>26</v>
      </c>
      <c r="N23" s="30" t="s">
        <v>22</v>
      </c>
      <c r="O23" s="30" t="s">
        <v>404</v>
      </c>
      <c r="P23" s="30">
        <v>2</v>
      </c>
      <c r="Q23" s="30">
        <v>1</v>
      </c>
      <c r="R23" s="30">
        <v>236</v>
      </c>
      <c r="S23" s="30">
        <v>81158</v>
      </c>
      <c r="T23" s="30">
        <v>1314.6320000000001</v>
      </c>
      <c r="U23" s="30">
        <v>1022967.352</v>
      </c>
      <c r="V23" s="30">
        <v>3.3000000000000002E-2</v>
      </c>
      <c r="W23" s="30">
        <v>6.6000000000000003E-2</v>
      </c>
      <c r="X23" s="30">
        <v>6.6000000000000003E-2</v>
      </c>
      <c r="Y23" s="30">
        <v>6.6000000000000003E-2</v>
      </c>
      <c r="Z23" s="30">
        <v>3.3000000000000002E-2</v>
      </c>
      <c r="AA23" s="30">
        <v>6.6000000000000003E-2</v>
      </c>
      <c r="AB23" s="30">
        <v>3.3000000000000002E-2</v>
      </c>
      <c r="AC23" s="30">
        <v>3.3000000000000002E-2</v>
      </c>
      <c r="AD23" s="30" t="s">
        <v>487</v>
      </c>
      <c r="AE23" s="30" t="s">
        <v>487</v>
      </c>
      <c r="AF23" s="38">
        <f t="shared" si="0"/>
        <v>0.39600000000000002</v>
      </c>
      <c r="AG23" s="38">
        <f t="shared" si="1"/>
        <v>0.39600000000000002</v>
      </c>
    </row>
    <row r="24" spans="1:33" x14ac:dyDescent="0.1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M24" s="30" t="s">
        <v>26</v>
      </c>
      <c r="N24" s="30" t="s">
        <v>28</v>
      </c>
      <c r="O24" s="30" t="s">
        <v>405</v>
      </c>
      <c r="P24" s="30">
        <v>2</v>
      </c>
      <c r="Q24" s="30">
        <v>1</v>
      </c>
      <c r="R24" s="30">
        <v>224</v>
      </c>
      <c r="S24" s="30">
        <v>81158</v>
      </c>
      <c r="T24" s="30">
        <v>1314.6579999999999</v>
      </c>
      <c r="U24" s="30">
        <v>1024058.01</v>
      </c>
      <c r="V24" s="30">
        <v>6.6000000000000003E-2</v>
      </c>
      <c r="W24" s="30">
        <v>0.13300000000000001</v>
      </c>
      <c r="X24" s="30">
        <v>0.13300000000000001</v>
      </c>
      <c r="Y24" s="30">
        <v>0.13300000000000001</v>
      </c>
      <c r="Z24" s="30">
        <v>6.6000000000000003E-2</v>
      </c>
      <c r="AA24" s="30">
        <v>0.13300000000000001</v>
      </c>
      <c r="AB24" s="30">
        <v>6.6000000000000003E-2</v>
      </c>
      <c r="AC24" s="30">
        <v>6.6000000000000003E-2</v>
      </c>
      <c r="AD24" s="30" t="s">
        <v>487</v>
      </c>
      <c r="AE24" s="30" t="s">
        <v>487</v>
      </c>
      <c r="AF24" s="38">
        <f t="shared" si="0"/>
        <v>0.79600000000000004</v>
      </c>
      <c r="AG24" s="38">
        <f t="shared" si="1"/>
        <v>0.79600000000000004</v>
      </c>
    </row>
    <row r="25" spans="1:33" x14ac:dyDescent="0.1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M25" s="30" t="s">
        <v>26</v>
      </c>
      <c r="N25" s="30" t="s">
        <v>29</v>
      </c>
      <c r="O25" s="30" t="s">
        <v>231</v>
      </c>
      <c r="P25" s="30">
        <v>4</v>
      </c>
      <c r="Q25" s="30">
        <v>1</v>
      </c>
      <c r="R25" s="30">
        <v>160</v>
      </c>
      <c r="S25" s="30">
        <v>81158</v>
      </c>
      <c r="T25" s="30">
        <v>0</v>
      </c>
      <c r="U25" s="30">
        <v>1023898.01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 t="s">
        <v>487</v>
      </c>
      <c r="AE25" s="30" t="s">
        <v>487</v>
      </c>
      <c r="AF25" s="38">
        <f t="shared" si="0"/>
        <v>0</v>
      </c>
      <c r="AG25" s="38">
        <f t="shared" si="1"/>
        <v>0</v>
      </c>
    </row>
    <row r="26" spans="1:33" x14ac:dyDescent="0.1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M26" s="30" t="s">
        <v>26</v>
      </c>
      <c r="N26" s="30" t="s">
        <v>30</v>
      </c>
      <c r="O26" s="30" t="s">
        <v>406</v>
      </c>
      <c r="P26" s="30">
        <v>2</v>
      </c>
      <c r="Q26" s="30">
        <v>1</v>
      </c>
      <c r="R26" s="30">
        <v>20</v>
      </c>
      <c r="S26" s="30">
        <v>81158</v>
      </c>
      <c r="T26" s="30">
        <v>1314.6320000000001</v>
      </c>
      <c r="U26" s="30">
        <v>1025192.642</v>
      </c>
      <c r="V26" s="30">
        <v>3.3000000000000002E-2</v>
      </c>
      <c r="W26" s="30">
        <v>6.6000000000000003E-2</v>
      </c>
      <c r="X26" s="30">
        <v>6.6000000000000003E-2</v>
      </c>
      <c r="Y26" s="30">
        <v>6.6000000000000003E-2</v>
      </c>
      <c r="Z26" s="30">
        <v>3.3000000000000002E-2</v>
      </c>
      <c r="AA26" s="30">
        <v>6.6000000000000003E-2</v>
      </c>
      <c r="AB26" s="30">
        <v>3.3000000000000002E-2</v>
      </c>
      <c r="AC26" s="30">
        <v>3.3000000000000002E-2</v>
      </c>
      <c r="AD26" s="30" t="s">
        <v>487</v>
      </c>
      <c r="AE26" s="30" t="s">
        <v>487</v>
      </c>
      <c r="AF26" s="38">
        <f t="shared" si="0"/>
        <v>0.39600000000000002</v>
      </c>
      <c r="AG26" s="38">
        <f t="shared" si="1"/>
        <v>0.39600000000000002</v>
      </c>
    </row>
    <row r="27" spans="1:33" x14ac:dyDescent="0.1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M27" s="30" t="s">
        <v>26</v>
      </c>
      <c r="N27" s="30" t="s">
        <v>23</v>
      </c>
      <c r="O27" s="30" t="s">
        <v>407</v>
      </c>
      <c r="P27" s="30">
        <v>3</v>
      </c>
      <c r="Q27" s="30">
        <v>1</v>
      </c>
      <c r="R27" s="30">
        <v>324</v>
      </c>
      <c r="S27" s="30">
        <v>81158</v>
      </c>
      <c r="T27" s="30">
        <v>1971.9480000000001</v>
      </c>
      <c r="U27" s="30">
        <v>1026840.59</v>
      </c>
      <c r="V27" s="30">
        <v>3.3000000000000002E-2</v>
      </c>
      <c r="W27" s="30">
        <v>6.6000000000000003E-2</v>
      </c>
      <c r="X27" s="30">
        <v>6.6000000000000003E-2</v>
      </c>
      <c r="Y27" s="30">
        <v>6.6000000000000003E-2</v>
      </c>
      <c r="Z27" s="30">
        <v>3.3000000000000002E-2</v>
      </c>
      <c r="AA27" s="30">
        <v>6.6000000000000003E-2</v>
      </c>
      <c r="AB27" s="30">
        <v>3.3000000000000002E-2</v>
      </c>
      <c r="AC27" s="30">
        <v>3.3000000000000002E-2</v>
      </c>
      <c r="AD27" s="30" t="s">
        <v>487</v>
      </c>
      <c r="AE27" s="30" t="s">
        <v>487</v>
      </c>
      <c r="AF27" s="38">
        <f t="shared" si="0"/>
        <v>0.39600000000000002</v>
      </c>
      <c r="AG27" s="38">
        <f t="shared" si="1"/>
        <v>0.39600000000000002</v>
      </c>
    </row>
    <row r="28" spans="1:33" x14ac:dyDescent="0.1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M28" s="30" t="s">
        <v>26</v>
      </c>
      <c r="N28" s="30" t="s">
        <v>31</v>
      </c>
      <c r="O28" s="30" t="s">
        <v>408</v>
      </c>
      <c r="P28" s="30">
        <v>4</v>
      </c>
      <c r="Q28" s="30">
        <v>1</v>
      </c>
      <c r="R28" s="30">
        <v>8</v>
      </c>
      <c r="S28" s="30">
        <v>81158</v>
      </c>
      <c r="T28" s="30">
        <v>2629.3159999999998</v>
      </c>
      <c r="U28" s="30">
        <v>1029461.906</v>
      </c>
      <c r="V28" s="30">
        <v>6.6000000000000003E-2</v>
      </c>
      <c r="W28" s="30">
        <v>0.13300000000000001</v>
      </c>
      <c r="X28" s="30">
        <v>0.13300000000000001</v>
      </c>
      <c r="Y28" s="30">
        <v>0.13300000000000001</v>
      </c>
      <c r="Z28" s="30">
        <v>6.6000000000000003E-2</v>
      </c>
      <c r="AA28" s="30">
        <v>0.13300000000000001</v>
      </c>
      <c r="AB28" s="30">
        <v>6.6000000000000003E-2</v>
      </c>
      <c r="AC28" s="30">
        <v>6.6000000000000003E-2</v>
      </c>
      <c r="AD28" s="30" t="s">
        <v>487</v>
      </c>
      <c r="AE28" s="30" t="s">
        <v>487</v>
      </c>
      <c r="AF28" s="38">
        <f t="shared" si="0"/>
        <v>0.79600000000000004</v>
      </c>
      <c r="AG28" s="38">
        <f t="shared" si="1"/>
        <v>0.79600000000000004</v>
      </c>
    </row>
    <row r="29" spans="1:33" x14ac:dyDescent="0.1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M29" s="30" t="s">
        <v>26</v>
      </c>
      <c r="N29" s="30" t="s">
        <v>32</v>
      </c>
      <c r="O29" s="30" t="s">
        <v>409</v>
      </c>
      <c r="P29" s="30">
        <v>4</v>
      </c>
      <c r="Q29" s="30">
        <v>1</v>
      </c>
      <c r="R29" s="30">
        <v>8</v>
      </c>
      <c r="S29" s="30">
        <v>81158</v>
      </c>
      <c r="T29" s="30">
        <v>0</v>
      </c>
      <c r="U29" s="30">
        <v>1029453.906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  <c r="AD29" s="30" t="s">
        <v>487</v>
      </c>
      <c r="AE29" s="30" t="s">
        <v>487</v>
      </c>
      <c r="AF29" s="38">
        <f t="shared" si="0"/>
        <v>0</v>
      </c>
      <c r="AG29" s="38">
        <f t="shared" si="1"/>
        <v>0</v>
      </c>
    </row>
    <row r="30" spans="1:33" x14ac:dyDescent="0.1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M30" s="30" t="s">
        <v>26</v>
      </c>
      <c r="N30" s="30" t="s">
        <v>34</v>
      </c>
      <c r="O30" s="30" t="s">
        <v>410</v>
      </c>
      <c r="P30" s="30">
        <v>1</v>
      </c>
      <c r="Q30" s="30">
        <v>1</v>
      </c>
      <c r="R30" s="30">
        <v>14</v>
      </c>
      <c r="S30" s="30">
        <v>81158</v>
      </c>
      <c r="T30" s="30">
        <v>14.545999999999999</v>
      </c>
      <c r="U30" s="30">
        <v>1029454.4519999999</v>
      </c>
      <c r="V30" s="30">
        <v>1E-3</v>
      </c>
      <c r="W30" s="30">
        <v>2E-3</v>
      </c>
      <c r="X30" s="30">
        <v>2E-3</v>
      </c>
      <c r="Y30" s="30">
        <v>2E-3</v>
      </c>
      <c r="Z30" s="30">
        <v>1E-3</v>
      </c>
      <c r="AA30" s="30">
        <v>2E-3</v>
      </c>
      <c r="AB30" s="30">
        <v>1E-3</v>
      </c>
      <c r="AC30" s="30">
        <v>1E-3</v>
      </c>
      <c r="AD30" s="30" t="s">
        <v>487</v>
      </c>
      <c r="AE30" s="30" t="s">
        <v>487</v>
      </c>
      <c r="AF30" s="38">
        <f t="shared" si="0"/>
        <v>1.2E-2</v>
      </c>
      <c r="AG30" s="38">
        <f t="shared" si="1"/>
        <v>1.2E-2</v>
      </c>
    </row>
    <row r="31" spans="1:33" x14ac:dyDescent="0.1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M31" s="30" t="s">
        <v>26</v>
      </c>
      <c r="N31" s="30" t="s">
        <v>35</v>
      </c>
      <c r="O31" s="30" t="s">
        <v>411</v>
      </c>
      <c r="P31" s="30">
        <v>4</v>
      </c>
      <c r="Q31" s="30">
        <v>1</v>
      </c>
      <c r="R31" s="30">
        <v>168</v>
      </c>
      <c r="S31" s="30">
        <v>81158</v>
      </c>
      <c r="T31" s="30">
        <v>146.048</v>
      </c>
      <c r="U31" s="30">
        <v>1029432.4999999999</v>
      </c>
      <c r="V31" s="30">
        <v>3.0000000000000001E-3</v>
      </c>
      <c r="W31" s="30">
        <v>7.0000000000000001E-3</v>
      </c>
      <c r="X31" s="30">
        <v>7.0000000000000001E-3</v>
      </c>
      <c r="Y31" s="30">
        <v>7.0000000000000001E-3</v>
      </c>
      <c r="Z31" s="30">
        <v>3.0000000000000001E-3</v>
      </c>
      <c r="AA31" s="30">
        <v>7.0000000000000001E-3</v>
      </c>
      <c r="AB31" s="30">
        <v>3.0000000000000001E-3</v>
      </c>
      <c r="AC31" s="30">
        <v>3.0000000000000001E-3</v>
      </c>
      <c r="AD31" s="30" t="s">
        <v>487</v>
      </c>
      <c r="AE31" s="30" t="s">
        <v>487</v>
      </c>
      <c r="AF31" s="38">
        <f t="shared" si="0"/>
        <v>4.0000000000000008E-2</v>
      </c>
      <c r="AG31" s="38">
        <f t="shared" si="1"/>
        <v>4.0000000000000008E-2</v>
      </c>
    </row>
    <row r="32" spans="1:33" x14ac:dyDescent="0.1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M32" s="30" t="s">
        <v>206</v>
      </c>
      <c r="N32" s="30" t="s">
        <v>5</v>
      </c>
      <c r="O32" s="30" t="s">
        <v>412</v>
      </c>
      <c r="P32" s="30">
        <v>1</v>
      </c>
      <c r="Q32" s="30">
        <v>1</v>
      </c>
      <c r="R32" s="30">
        <v>432</v>
      </c>
      <c r="S32" s="30">
        <v>81158</v>
      </c>
      <c r="T32" s="30">
        <v>1972</v>
      </c>
      <c r="U32" s="30">
        <v>1030972.4999999999</v>
      </c>
      <c r="V32" s="30">
        <v>0.19900000000000001</v>
      </c>
      <c r="W32" s="30">
        <v>0.39900000000000002</v>
      </c>
      <c r="X32" s="30">
        <v>0.39900000000000002</v>
      </c>
      <c r="Y32" s="30">
        <v>0.39900000000000002</v>
      </c>
      <c r="Z32" s="30">
        <v>0.19900000000000001</v>
      </c>
      <c r="AA32" s="30">
        <v>0.39900000000000002</v>
      </c>
      <c r="AB32" s="30">
        <v>0.19900000000000001</v>
      </c>
      <c r="AC32" s="30">
        <v>0.19900000000000001</v>
      </c>
      <c r="AD32" s="30" t="s">
        <v>487</v>
      </c>
      <c r="AE32" s="30" t="s">
        <v>487</v>
      </c>
      <c r="AF32" s="38">
        <f t="shared" si="0"/>
        <v>2.3919999999999999</v>
      </c>
      <c r="AG32" s="38">
        <f t="shared" si="1"/>
        <v>2.3919999999999999</v>
      </c>
    </row>
    <row r="33" spans="1:33" x14ac:dyDescent="0.1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M33" s="30" t="s">
        <v>206</v>
      </c>
      <c r="N33" s="30" t="s">
        <v>27</v>
      </c>
      <c r="O33" s="30" t="s">
        <v>413</v>
      </c>
      <c r="P33" s="30">
        <v>2</v>
      </c>
      <c r="Q33" s="30">
        <v>1</v>
      </c>
      <c r="R33" s="30">
        <v>8</v>
      </c>
      <c r="S33" s="30">
        <v>81158</v>
      </c>
      <c r="T33" s="30">
        <v>3944</v>
      </c>
      <c r="U33" s="30">
        <v>1034908.4999999999</v>
      </c>
      <c r="V33" s="30">
        <v>0.19900000000000001</v>
      </c>
      <c r="W33" s="30">
        <v>0.39900000000000002</v>
      </c>
      <c r="X33" s="30">
        <v>0.39900000000000002</v>
      </c>
      <c r="Y33" s="30">
        <v>0.39900000000000002</v>
      </c>
      <c r="Z33" s="30">
        <v>0.19900000000000001</v>
      </c>
      <c r="AA33" s="30">
        <v>0.39900000000000002</v>
      </c>
      <c r="AB33" s="30">
        <v>0.19900000000000001</v>
      </c>
      <c r="AC33" s="30">
        <v>0.19900000000000001</v>
      </c>
      <c r="AD33" s="30" t="s">
        <v>487</v>
      </c>
      <c r="AE33" s="30" t="s">
        <v>487</v>
      </c>
      <c r="AF33" s="38">
        <f t="shared" si="0"/>
        <v>2.3919999999999999</v>
      </c>
      <c r="AG33" s="38">
        <f t="shared" si="1"/>
        <v>2.3919999999999999</v>
      </c>
    </row>
    <row r="34" spans="1:33" x14ac:dyDescent="0.15">
      <c r="A34" s="35"/>
      <c r="B34" s="43"/>
      <c r="C34" s="43"/>
      <c r="D34" s="43"/>
      <c r="E34" s="43"/>
      <c r="F34" s="35"/>
      <c r="G34" s="35"/>
      <c r="H34" s="40"/>
      <c r="I34" s="41"/>
      <c r="J34" s="41"/>
      <c r="K34" s="40"/>
      <c r="M34" s="30" t="s">
        <v>206</v>
      </c>
      <c r="N34" s="30" t="s">
        <v>16</v>
      </c>
      <c r="O34" s="30" t="s">
        <v>414</v>
      </c>
      <c r="P34" s="30">
        <v>4</v>
      </c>
      <c r="Q34" s="30">
        <v>1</v>
      </c>
      <c r="R34" s="30">
        <v>2744</v>
      </c>
      <c r="S34" s="30">
        <v>81158</v>
      </c>
      <c r="T34" s="30">
        <v>7888</v>
      </c>
      <c r="U34" s="30">
        <v>1040052.4999999999</v>
      </c>
      <c r="V34" s="30">
        <v>0.19900000000000001</v>
      </c>
      <c r="W34" s="30">
        <v>0.39900000000000002</v>
      </c>
      <c r="X34" s="30">
        <v>0.39900000000000002</v>
      </c>
      <c r="Y34" s="30">
        <v>0.39900000000000002</v>
      </c>
      <c r="Z34" s="30">
        <v>0.19900000000000001</v>
      </c>
      <c r="AA34" s="30">
        <v>0.39900000000000002</v>
      </c>
      <c r="AB34" s="30">
        <v>0.19900000000000001</v>
      </c>
      <c r="AC34" s="30">
        <v>0.19900000000000001</v>
      </c>
      <c r="AD34" s="30" t="s">
        <v>487</v>
      </c>
      <c r="AE34" s="30" t="s">
        <v>487</v>
      </c>
      <c r="AF34" s="38">
        <f t="shared" si="0"/>
        <v>2.3919999999999999</v>
      </c>
      <c r="AG34" s="38">
        <f t="shared" si="1"/>
        <v>2.3919999999999999</v>
      </c>
    </row>
    <row r="35" spans="1:33" x14ac:dyDescent="0.15">
      <c r="A35" s="35"/>
      <c r="B35" s="43"/>
      <c r="C35" s="43"/>
      <c r="D35" s="43"/>
      <c r="E35" s="43"/>
      <c r="F35" s="35"/>
      <c r="G35" s="35"/>
      <c r="H35" s="35"/>
      <c r="I35" s="35"/>
      <c r="J35" s="35"/>
      <c r="K35" s="40"/>
      <c r="M35" s="30" t="s">
        <v>206</v>
      </c>
      <c r="N35" s="30" t="s">
        <v>18</v>
      </c>
      <c r="O35" s="30" t="s">
        <v>415</v>
      </c>
      <c r="P35" s="30">
        <v>3</v>
      </c>
      <c r="Q35" s="30">
        <v>1</v>
      </c>
      <c r="R35" s="30">
        <v>3480</v>
      </c>
      <c r="S35" s="30">
        <v>81158</v>
      </c>
      <c r="T35" s="30">
        <v>5916</v>
      </c>
      <c r="U35" s="30">
        <v>1042488.4999999999</v>
      </c>
      <c r="V35" s="30">
        <v>0.19900000000000001</v>
      </c>
      <c r="W35" s="30">
        <v>0.39900000000000002</v>
      </c>
      <c r="X35" s="30">
        <v>0.39900000000000002</v>
      </c>
      <c r="Y35" s="30">
        <v>0.39900000000000002</v>
      </c>
      <c r="Z35" s="30">
        <v>0.19900000000000001</v>
      </c>
      <c r="AA35" s="30">
        <v>0.39900000000000002</v>
      </c>
      <c r="AB35" s="30">
        <v>0.19900000000000001</v>
      </c>
      <c r="AC35" s="30">
        <v>0.19900000000000001</v>
      </c>
      <c r="AD35" s="30" t="s">
        <v>487</v>
      </c>
      <c r="AE35" s="30" t="s">
        <v>487</v>
      </c>
      <c r="AF35" s="38">
        <f t="shared" si="0"/>
        <v>2.3919999999999999</v>
      </c>
      <c r="AG35" s="38">
        <f t="shared" si="1"/>
        <v>2.3919999999999999</v>
      </c>
    </row>
    <row r="36" spans="1:33" x14ac:dyDescent="0.15">
      <c r="A36" s="35"/>
      <c r="B36" s="43"/>
      <c r="C36" s="43"/>
      <c r="D36" s="43"/>
      <c r="E36" s="43"/>
      <c r="F36" s="35"/>
      <c r="G36" s="35"/>
      <c r="H36" s="35"/>
      <c r="I36" s="35"/>
      <c r="J36" s="35"/>
      <c r="K36" s="40"/>
      <c r="M36" s="30" t="s">
        <v>206</v>
      </c>
      <c r="N36" s="30" t="s">
        <v>22</v>
      </c>
      <c r="O36" s="30" t="s">
        <v>416</v>
      </c>
      <c r="P36" s="30">
        <v>4</v>
      </c>
      <c r="Q36" s="30">
        <v>1</v>
      </c>
      <c r="R36" s="30">
        <v>432</v>
      </c>
      <c r="S36" s="30">
        <v>81158</v>
      </c>
      <c r="T36" s="30">
        <v>2629.2640000000001</v>
      </c>
      <c r="U36" s="30">
        <v>1044685.7639999999</v>
      </c>
      <c r="V36" s="30">
        <v>3.3000000000000002E-2</v>
      </c>
      <c r="W36" s="30">
        <v>6.6000000000000003E-2</v>
      </c>
      <c r="X36" s="30">
        <v>6.6000000000000003E-2</v>
      </c>
      <c r="Y36" s="30">
        <v>6.6000000000000003E-2</v>
      </c>
      <c r="Z36" s="30">
        <v>3.3000000000000002E-2</v>
      </c>
      <c r="AA36" s="30">
        <v>6.6000000000000003E-2</v>
      </c>
      <c r="AB36" s="30">
        <v>3.3000000000000002E-2</v>
      </c>
      <c r="AC36" s="30">
        <v>3.3000000000000002E-2</v>
      </c>
      <c r="AD36" s="30" t="s">
        <v>487</v>
      </c>
      <c r="AE36" s="30" t="s">
        <v>487</v>
      </c>
      <c r="AF36" s="38">
        <f t="shared" si="0"/>
        <v>0.39600000000000002</v>
      </c>
      <c r="AG36" s="38">
        <f t="shared" si="1"/>
        <v>0.39600000000000002</v>
      </c>
    </row>
    <row r="37" spans="1:33" x14ac:dyDescent="0.15">
      <c r="A37" s="35"/>
      <c r="B37" s="43"/>
      <c r="C37" s="43"/>
      <c r="D37" s="43"/>
      <c r="E37" s="43"/>
      <c r="F37" s="35"/>
      <c r="G37" s="35"/>
      <c r="H37" s="35"/>
      <c r="I37" s="35"/>
      <c r="J37" s="35"/>
      <c r="K37" s="40"/>
      <c r="M37" s="30" t="s">
        <v>206</v>
      </c>
      <c r="N37" s="30" t="s">
        <v>28</v>
      </c>
      <c r="O37" s="30" t="s">
        <v>417</v>
      </c>
      <c r="P37" s="30">
        <v>1</v>
      </c>
      <c r="Q37" s="30">
        <v>1</v>
      </c>
      <c r="R37" s="30">
        <v>60</v>
      </c>
      <c r="S37" s="30">
        <v>81158</v>
      </c>
      <c r="T37" s="30">
        <v>657.32899999999995</v>
      </c>
      <c r="U37" s="30">
        <v>1045283.0929999999</v>
      </c>
      <c r="V37" s="30">
        <v>6.6000000000000003E-2</v>
      </c>
      <c r="W37" s="30">
        <v>0.13300000000000001</v>
      </c>
      <c r="X37" s="30">
        <v>0.13300000000000001</v>
      </c>
      <c r="Y37" s="30">
        <v>0.13300000000000001</v>
      </c>
      <c r="Z37" s="30">
        <v>6.6000000000000003E-2</v>
      </c>
      <c r="AA37" s="30">
        <v>0.13300000000000001</v>
      </c>
      <c r="AB37" s="30">
        <v>6.6000000000000003E-2</v>
      </c>
      <c r="AC37" s="30">
        <v>6.6000000000000003E-2</v>
      </c>
      <c r="AD37" s="30" t="s">
        <v>487</v>
      </c>
      <c r="AE37" s="30" t="s">
        <v>487</v>
      </c>
      <c r="AF37" s="38">
        <f t="shared" si="0"/>
        <v>0.79600000000000004</v>
      </c>
      <c r="AG37" s="38">
        <f t="shared" si="1"/>
        <v>0.79600000000000004</v>
      </c>
    </row>
    <row r="38" spans="1:33" x14ac:dyDescent="0.15">
      <c r="A38" s="35"/>
      <c r="B38" s="43"/>
      <c r="C38" s="43"/>
      <c r="D38" s="43"/>
      <c r="E38" s="43"/>
      <c r="F38" s="35"/>
      <c r="G38" s="35"/>
      <c r="H38" s="35"/>
      <c r="I38" s="35"/>
      <c r="J38" s="35"/>
      <c r="K38" s="40"/>
      <c r="M38" s="30" t="s">
        <v>206</v>
      </c>
      <c r="N38" s="30" t="s">
        <v>29</v>
      </c>
      <c r="O38" s="30" t="s">
        <v>418</v>
      </c>
      <c r="P38" s="30">
        <v>2</v>
      </c>
      <c r="Q38" s="30">
        <v>1</v>
      </c>
      <c r="R38" s="30">
        <v>140</v>
      </c>
      <c r="S38" s="30">
        <v>81158</v>
      </c>
      <c r="T38" s="30">
        <v>0</v>
      </c>
      <c r="U38" s="30">
        <v>1045143.0929999999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  <c r="AD38" s="30" t="s">
        <v>487</v>
      </c>
      <c r="AE38" s="30" t="s">
        <v>487</v>
      </c>
      <c r="AF38" s="38">
        <f t="shared" si="0"/>
        <v>0</v>
      </c>
      <c r="AG38" s="38">
        <f t="shared" si="1"/>
        <v>0</v>
      </c>
    </row>
    <row r="39" spans="1:33" x14ac:dyDescent="0.15">
      <c r="A39" s="35"/>
      <c r="B39" s="43"/>
      <c r="C39" s="43"/>
      <c r="D39" s="43"/>
      <c r="E39" s="43"/>
      <c r="F39" s="35"/>
      <c r="G39" s="35"/>
      <c r="H39" s="35"/>
      <c r="I39" s="35"/>
      <c r="J39" s="35"/>
      <c r="K39" s="40"/>
      <c r="M39" s="30" t="s">
        <v>206</v>
      </c>
      <c r="N39" s="30" t="s">
        <v>30</v>
      </c>
      <c r="O39" s="30" t="s">
        <v>419</v>
      </c>
      <c r="P39" s="30">
        <v>1</v>
      </c>
      <c r="Q39" s="30">
        <v>1</v>
      </c>
      <c r="R39" s="30">
        <v>2</v>
      </c>
      <c r="S39" s="30">
        <v>81158</v>
      </c>
      <c r="T39" s="30">
        <v>657.31600000000003</v>
      </c>
      <c r="U39" s="30">
        <v>1045798.4089999999</v>
      </c>
      <c r="V39" s="30">
        <v>3.3000000000000002E-2</v>
      </c>
      <c r="W39" s="30">
        <v>6.6000000000000003E-2</v>
      </c>
      <c r="X39" s="30">
        <v>6.6000000000000003E-2</v>
      </c>
      <c r="Y39" s="30">
        <v>6.6000000000000003E-2</v>
      </c>
      <c r="Z39" s="30">
        <v>3.3000000000000002E-2</v>
      </c>
      <c r="AA39" s="30">
        <v>6.6000000000000003E-2</v>
      </c>
      <c r="AB39" s="30">
        <v>3.3000000000000002E-2</v>
      </c>
      <c r="AC39" s="30">
        <v>3.3000000000000002E-2</v>
      </c>
      <c r="AD39" s="30" t="s">
        <v>487</v>
      </c>
      <c r="AE39" s="30" t="s">
        <v>487</v>
      </c>
      <c r="AF39" s="38">
        <f t="shared" si="0"/>
        <v>0.39600000000000002</v>
      </c>
      <c r="AG39" s="38">
        <f t="shared" si="1"/>
        <v>0.39600000000000002</v>
      </c>
    </row>
    <row r="40" spans="1:33" x14ac:dyDescent="0.15">
      <c r="A40" s="35"/>
      <c r="B40" s="43"/>
      <c r="C40" s="43"/>
      <c r="D40" s="43"/>
      <c r="E40" s="43"/>
      <c r="F40" s="35"/>
      <c r="G40" s="35"/>
      <c r="H40" s="35"/>
      <c r="I40" s="40"/>
      <c r="J40" s="40"/>
      <c r="K40" s="40"/>
      <c r="M40" s="30" t="s">
        <v>206</v>
      </c>
      <c r="N40" s="30" t="s">
        <v>23</v>
      </c>
      <c r="O40" s="30" t="s">
        <v>420</v>
      </c>
      <c r="P40" s="30">
        <v>4</v>
      </c>
      <c r="Q40" s="30">
        <v>1</v>
      </c>
      <c r="R40" s="30">
        <v>432</v>
      </c>
      <c r="S40" s="30">
        <v>81158</v>
      </c>
      <c r="T40" s="30">
        <v>2629.2640000000001</v>
      </c>
      <c r="U40" s="30">
        <v>1047995.6729999998</v>
      </c>
      <c r="V40" s="30">
        <v>3.3000000000000002E-2</v>
      </c>
      <c r="W40" s="30">
        <v>6.6000000000000003E-2</v>
      </c>
      <c r="X40" s="30">
        <v>6.6000000000000003E-2</v>
      </c>
      <c r="Y40" s="30">
        <v>6.6000000000000003E-2</v>
      </c>
      <c r="Z40" s="30">
        <v>3.3000000000000002E-2</v>
      </c>
      <c r="AA40" s="30">
        <v>6.6000000000000003E-2</v>
      </c>
      <c r="AB40" s="30">
        <v>3.3000000000000002E-2</v>
      </c>
      <c r="AC40" s="30">
        <v>3.3000000000000002E-2</v>
      </c>
      <c r="AD40" s="30" t="s">
        <v>487</v>
      </c>
      <c r="AE40" s="30" t="s">
        <v>487</v>
      </c>
      <c r="AF40" s="38">
        <f t="shared" si="0"/>
        <v>0.39600000000000002</v>
      </c>
      <c r="AG40" s="38">
        <f t="shared" si="1"/>
        <v>0.39600000000000002</v>
      </c>
    </row>
    <row r="41" spans="1:33" x14ac:dyDescent="0.15">
      <c r="A41" s="35"/>
      <c r="B41" s="43"/>
      <c r="C41" s="43"/>
      <c r="D41" s="43"/>
      <c r="E41" s="43"/>
      <c r="F41" s="35"/>
      <c r="G41" s="35"/>
      <c r="H41" s="35"/>
      <c r="I41" s="40"/>
      <c r="J41" s="40"/>
      <c r="K41" s="40"/>
      <c r="M41" s="30" t="s">
        <v>206</v>
      </c>
      <c r="N41" s="30" t="s">
        <v>31</v>
      </c>
      <c r="O41" s="30" t="s">
        <v>419</v>
      </c>
      <c r="P41" s="30">
        <v>3</v>
      </c>
      <c r="Q41" s="30">
        <v>1</v>
      </c>
      <c r="R41" s="30">
        <v>6</v>
      </c>
      <c r="S41" s="30">
        <v>81158</v>
      </c>
      <c r="T41" s="30">
        <v>1971.9869999999999</v>
      </c>
      <c r="U41" s="30">
        <v>1049961.6599999999</v>
      </c>
      <c r="V41" s="30">
        <v>6.6000000000000003E-2</v>
      </c>
      <c r="W41" s="30">
        <v>0.13300000000000001</v>
      </c>
      <c r="X41" s="30">
        <v>0.13300000000000001</v>
      </c>
      <c r="Y41" s="30">
        <v>0.13300000000000001</v>
      </c>
      <c r="Z41" s="30">
        <v>6.6000000000000003E-2</v>
      </c>
      <c r="AA41" s="30">
        <v>0.13300000000000001</v>
      </c>
      <c r="AB41" s="30">
        <v>6.6000000000000003E-2</v>
      </c>
      <c r="AC41" s="30">
        <v>6.6000000000000003E-2</v>
      </c>
      <c r="AD41" s="30" t="s">
        <v>487</v>
      </c>
      <c r="AE41" s="30" t="s">
        <v>487</v>
      </c>
      <c r="AF41" s="38">
        <f t="shared" si="0"/>
        <v>0.79600000000000004</v>
      </c>
      <c r="AG41" s="38">
        <f t="shared" si="1"/>
        <v>0.79600000000000004</v>
      </c>
    </row>
    <row r="42" spans="1:33" x14ac:dyDescent="0.15">
      <c r="A42" s="35"/>
      <c r="B42" s="43"/>
      <c r="C42" s="43"/>
      <c r="D42" s="43"/>
      <c r="E42" s="43"/>
      <c r="F42" s="35"/>
      <c r="G42" s="35"/>
      <c r="H42" s="35"/>
      <c r="I42" s="35"/>
      <c r="J42" s="40"/>
      <c r="K42" s="40"/>
      <c r="M42" s="30" t="s">
        <v>206</v>
      </c>
      <c r="N42" s="30" t="s">
        <v>32</v>
      </c>
      <c r="O42" s="30" t="s">
        <v>421</v>
      </c>
      <c r="P42" s="30">
        <v>1</v>
      </c>
      <c r="Q42" s="30">
        <v>1</v>
      </c>
      <c r="R42" s="30">
        <v>2</v>
      </c>
      <c r="S42" s="30">
        <v>81158</v>
      </c>
      <c r="T42" s="30">
        <v>0</v>
      </c>
      <c r="U42" s="30">
        <v>1049959.6599999999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  <c r="AD42" s="30" t="s">
        <v>487</v>
      </c>
      <c r="AE42" s="30" t="s">
        <v>487</v>
      </c>
      <c r="AF42" s="38">
        <f t="shared" si="0"/>
        <v>0</v>
      </c>
      <c r="AG42" s="38">
        <f t="shared" si="1"/>
        <v>0</v>
      </c>
    </row>
    <row r="43" spans="1:33" x14ac:dyDescent="0.15">
      <c r="A43" s="35"/>
      <c r="B43" s="43"/>
      <c r="C43" s="43"/>
      <c r="D43" s="43"/>
      <c r="E43" s="43"/>
      <c r="F43" s="35"/>
      <c r="G43" s="35"/>
      <c r="H43" s="35"/>
      <c r="I43" s="35"/>
      <c r="J43" s="40"/>
      <c r="K43" s="40"/>
      <c r="M43" s="30" t="s">
        <v>206</v>
      </c>
      <c r="N43" s="30" t="s">
        <v>34</v>
      </c>
      <c r="O43" s="30" t="s">
        <v>207</v>
      </c>
      <c r="P43" s="30">
        <v>4</v>
      </c>
      <c r="Q43" s="30">
        <v>1</v>
      </c>
      <c r="R43" s="30">
        <v>40</v>
      </c>
      <c r="S43" s="30">
        <v>81158</v>
      </c>
      <c r="T43" s="30">
        <v>29.091999999999999</v>
      </c>
      <c r="U43" s="30">
        <v>1049948.7519999999</v>
      </c>
      <c r="V43" s="30">
        <v>0</v>
      </c>
      <c r="W43" s="30">
        <v>1E-3</v>
      </c>
      <c r="X43" s="30">
        <v>1E-3</v>
      </c>
      <c r="Y43" s="30">
        <v>1E-3</v>
      </c>
      <c r="Z43" s="30">
        <v>0</v>
      </c>
      <c r="AA43" s="30">
        <v>1E-3</v>
      </c>
      <c r="AB43" s="30">
        <v>0</v>
      </c>
      <c r="AC43" s="30">
        <v>0</v>
      </c>
      <c r="AD43" s="30" t="s">
        <v>487</v>
      </c>
      <c r="AE43" s="30" t="s">
        <v>487</v>
      </c>
      <c r="AF43" s="38">
        <f t="shared" si="0"/>
        <v>4.0000000000000001E-3</v>
      </c>
      <c r="AG43" s="38">
        <f t="shared" si="1"/>
        <v>4.0000000000000001E-3</v>
      </c>
    </row>
    <row r="44" spans="1:33" x14ac:dyDescent="0.15">
      <c r="A44" s="35"/>
      <c r="B44" s="43"/>
      <c r="C44" s="43"/>
      <c r="D44" s="43"/>
      <c r="E44" s="43"/>
      <c r="F44" s="35"/>
      <c r="G44" s="35"/>
      <c r="H44" s="35"/>
      <c r="I44" s="35"/>
      <c r="J44" s="35"/>
      <c r="K44" s="40"/>
      <c r="M44" s="30" t="s">
        <v>206</v>
      </c>
      <c r="N44" s="30" t="s">
        <v>35</v>
      </c>
      <c r="O44" s="30" t="s">
        <v>422</v>
      </c>
      <c r="P44" s="30">
        <v>4</v>
      </c>
      <c r="Q44" s="30">
        <v>1</v>
      </c>
      <c r="R44" s="30">
        <v>48</v>
      </c>
      <c r="S44" s="30">
        <v>81158</v>
      </c>
      <c r="T44" s="30">
        <v>292.096</v>
      </c>
      <c r="U44" s="30">
        <v>1050192.8479999998</v>
      </c>
      <c r="V44" s="30">
        <v>7.0000000000000001E-3</v>
      </c>
      <c r="W44" s="30">
        <v>1.4E-2</v>
      </c>
      <c r="X44" s="30">
        <v>1.4E-2</v>
      </c>
      <c r="Y44" s="30">
        <v>1.4E-2</v>
      </c>
      <c r="Z44" s="30">
        <v>7.0000000000000001E-3</v>
      </c>
      <c r="AA44" s="30">
        <v>1.4E-2</v>
      </c>
      <c r="AB44" s="30">
        <v>7.0000000000000001E-3</v>
      </c>
      <c r="AC44" s="30">
        <v>7.0000000000000001E-3</v>
      </c>
      <c r="AD44" s="30" t="s">
        <v>487</v>
      </c>
      <c r="AE44" s="30" t="s">
        <v>487</v>
      </c>
      <c r="AF44" s="38">
        <f t="shared" si="0"/>
        <v>8.4000000000000019E-2</v>
      </c>
      <c r="AG44" s="38">
        <f t="shared" si="1"/>
        <v>8.4000000000000019E-2</v>
      </c>
    </row>
    <row r="45" spans="1:33" x14ac:dyDescent="0.15">
      <c r="A45" s="35"/>
      <c r="B45" s="43"/>
      <c r="C45" s="43"/>
      <c r="D45" s="43"/>
      <c r="E45" s="43"/>
      <c r="F45" s="35"/>
      <c r="G45" s="35"/>
      <c r="H45" s="35"/>
      <c r="I45" s="35"/>
      <c r="J45" s="35"/>
      <c r="K45" s="40"/>
      <c r="M45" s="30" t="s">
        <v>208</v>
      </c>
      <c r="N45" s="30" t="s">
        <v>5</v>
      </c>
      <c r="O45" s="30" t="s">
        <v>423</v>
      </c>
      <c r="P45" s="30">
        <v>2</v>
      </c>
      <c r="Q45" s="30">
        <v>1</v>
      </c>
      <c r="R45" s="30">
        <v>960</v>
      </c>
      <c r="S45" s="30">
        <v>81158</v>
      </c>
      <c r="T45" s="30">
        <v>3944</v>
      </c>
      <c r="U45" s="30">
        <v>1053176.8479999998</v>
      </c>
      <c r="V45" s="30">
        <v>0.19900000000000001</v>
      </c>
      <c r="W45" s="30">
        <v>0.39900000000000002</v>
      </c>
      <c r="X45" s="30">
        <v>0.39900000000000002</v>
      </c>
      <c r="Y45" s="30">
        <v>0.39900000000000002</v>
      </c>
      <c r="Z45" s="30">
        <v>0.19900000000000001</v>
      </c>
      <c r="AA45" s="30">
        <v>0.39900000000000002</v>
      </c>
      <c r="AB45" s="30">
        <v>0.19900000000000001</v>
      </c>
      <c r="AC45" s="30">
        <v>0.19900000000000001</v>
      </c>
      <c r="AD45" s="30" t="s">
        <v>487</v>
      </c>
      <c r="AE45" s="30" t="s">
        <v>487</v>
      </c>
      <c r="AF45" s="38">
        <f t="shared" si="0"/>
        <v>2.3919999999999999</v>
      </c>
      <c r="AG45" s="38">
        <f t="shared" si="1"/>
        <v>2.3919999999999999</v>
      </c>
    </row>
    <row r="46" spans="1:33" x14ac:dyDescent="0.15">
      <c r="A46" s="35"/>
      <c r="B46" s="43"/>
      <c r="C46" s="43"/>
      <c r="D46" s="43"/>
      <c r="E46" s="43"/>
      <c r="F46" s="35"/>
      <c r="G46" s="35"/>
      <c r="H46" s="35"/>
      <c r="I46" s="35"/>
      <c r="J46" s="35"/>
      <c r="K46" s="40"/>
      <c r="M46" s="30" t="s">
        <v>208</v>
      </c>
      <c r="N46" s="30" t="s">
        <v>27</v>
      </c>
      <c r="O46" s="30" t="s">
        <v>424</v>
      </c>
      <c r="P46" s="30">
        <v>3</v>
      </c>
      <c r="Q46" s="30">
        <v>1</v>
      </c>
      <c r="R46" s="30">
        <v>6</v>
      </c>
      <c r="S46" s="30">
        <v>81158</v>
      </c>
      <c r="T46" s="30">
        <v>5916</v>
      </c>
      <c r="U46" s="30">
        <v>1059086.8479999998</v>
      </c>
      <c r="V46" s="30">
        <v>0.19900000000000001</v>
      </c>
      <c r="W46" s="30">
        <v>0.39900000000000002</v>
      </c>
      <c r="X46" s="30">
        <v>0.39900000000000002</v>
      </c>
      <c r="Y46" s="30">
        <v>0.39900000000000002</v>
      </c>
      <c r="Z46" s="30">
        <v>0.19900000000000001</v>
      </c>
      <c r="AA46" s="30">
        <v>0.39900000000000002</v>
      </c>
      <c r="AB46" s="30">
        <v>0.19900000000000001</v>
      </c>
      <c r="AC46" s="30">
        <v>0.19900000000000001</v>
      </c>
      <c r="AD46" s="30" t="s">
        <v>487</v>
      </c>
      <c r="AE46" s="30" t="s">
        <v>487</v>
      </c>
      <c r="AF46" s="38">
        <f t="shared" si="0"/>
        <v>2.3919999999999999</v>
      </c>
      <c r="AG46" s="38">
        <f t="shared" si="1"/>
        <v>2.3919999999999999</v>
      </c>
    </row>
    <row r="47" spans="1:33" x14ac:dyDescent="0.15">
      <c r="A47" s="35"/>
      <c r="B47" s="43"/>
      <c r="C47" s="43"/>
      <c r="D47" s="43"/>
      <c r="E47" s="43"/>
      <c r="F47" s="35"/>
      <c r="G47" s="35"/>
      <c r="H47" s="35"/>
      <c r="I47" s="35"/>
      <c r="J47" s="35"/>
      <c r="K47" s="40"/>
      <c r="M47" s="30" t="s">
        <v>208</v>
      </c>
      <c r="N47" s="30" t="s">
        <v>16</v>
      </c>
      <c r="O47" s="30" t="s">
        <v>425</v>
      </c>
      <c r="P47" s="30">
        <v>3</v>
      </c>
      <c r="Q47" s="30">
        <v>1</v>
      </c>
      <c r="R47" s="30">
        <v>1686</v>
      </c>
      <c r="S47" s="30">
        <v>81158</v>
      </c>
      <c r="T47" s="30">
        <v>5916</v>
      </c>
      <c r="U47" s="30">
        <v>1063316.8479999998</v>
      </c>
      <c r="V47" s="30">
        <v>0.19900000000000001</v>
      </c>
      <c r="W47" s="30">
        <v>0.39900000000000002</v>
      </c>
      <c r="X47" s="30">
        <v>0.39900000000000002</v>
      </c>
      <c r="Y47" s="30">
        <v>0.39900000000000002</v>
      </c>
      <c r="Z47" s="30">
        <v>0.19900000000000001</v>
      </c>
      <c r="AA47" s="30">
        <v>0.39900000000000002</v>
      </c>
      <c r="AB47" s="30">
        <v>0.19900000000000001</v>
      </c>
      <c r="AC47" s="30">
        <v>0.19900000000000001</v>
      </c>
      <c r="AD47" s="30" t="s">
        <v>487</v>
      </c>
      <c r="AE47" s="30" t="s">
        <v>487</v>
      </c>
      <c r="AF47" s="38">
        <f t="shared" si="0"/>
        <v>2.3919999999999999</v>
      </c>
      <c r="AG47" s="38">
        <f t="shared" si="1"/>
        <v>2.3919999999999999</v>
      </c>
    </row>
    <row r="48" spans="1:33" x14ac:dyDescent="0.15">
      <c r="A48" s="35"/>
      <c r="B48" s="43"/>
      <c r="C48" s="43"/>
      <c r="D48" s="43"/>
      <c r="E48" s="43"/>
      <c r="F48" s="35"/>
      <c r="G48" s="35"/>
      <c r="H48" s="35"/>
      <c r="I48" s="35"/>
      <c r="J48" s="35"/>
      <c r="K48" s="40"/>
      <c r="M48" s="30" t="s">
        <v>208</v>
      </c>
      <c r="N48" s="30" t="s">
        <v>18</v>
      </c>
      <c r="O48" s="30" t="s">
        <v>426</v>
      </c>
      <c r="P48" s="30">
        <v>1</v>
      </c>
      <c r="Q48" s="30">
        <v>1</v>
      </c>
      <c r="R48" s="30">
        <v>1328</v>
      </c>
      <c r="S48" s="30">
        <v>81158</v>
      </c>
      <c r="T48" s="30">
        <v>1972</v>
      </c>
      <c r="U48" s="30">
        <v>1063960.8479999998</v>
      </c>
      <c r="V48" s="30">
        <v>0.19900000000000001</v>
      </c>
      <c r="W48" s="30">
        <v>0.39900000000000002</v>
      </c>
      <c r="X48" s="30">
        <v>0.39900000000000002</v>
      </c>
      <c r="Y48" s="30">
        <v>0.39900000000000002</v>
      </c>
      <c r="Z48" s="30">
        <v>0.19900000000000001</v>
      </c>
      <c r="AA48" s="30">
        <v>0.39900000000000002</v>
      </c>
      <c r="AB48" s="30">
        <v>0.19900000000000001</v>
      </c>
      <c r="AC48" s="30">
        <v>0.19900000000000001</v>
      </c>
      <c r="AD48" s="30" t="s">
        <v>487</v>
      </c>
      <c r="AE48" s="30" t="s">
        <v>487</v>
      </c>
      <c r="AF48" s="38">
        <f t="shared" si="0"/>
        <v>2.3919999999999999</v>
      </c>
      <c r="AG48" s="38">
        <f t="shared" si="1"/>
        <v>2.3919999999999999</v>
      </c>
    </row>
    <row r="49" spans="1:33" x14ac:dyDescent="0.15">
      <c r="A49" s="35"/>
      <c r="B49" s="43"/>
      <c r="C49" s="43"/>
      <c r="D49" s="43"/>
      <c r="E49" s="43"/>
      <c r="F49" s="35"/>
      <c r="G49" s="35"/>
      <c r="H49" s="35"/>
      <c r="I49" s="35"/>
      <c r="J49" s="35"/>
      <c r="K49" s="40"/>
      <c r="M49" s="30" t="s">
        <v>208</v>
      </c>
      <c r="N49" s="30" t="s">
        <v>22</v>
      </c>
      <c r="O49" s="30" t="s">
        <v>427</v>
      </c>
      <c r="P49" s="30">
        <v>2</v>
      </c>
      <c r="Q49" s="30">
        <v>1</v>
      </c>
      <c r="R49" s="30">
        <v>108</v>
      </c>
      <c r="S49" s="30">
        <v>81158</v>
      </c>
      <c r="T49" s="30">
        <v>657.31600000000003</v>
      </c>
      <c r="U49" s="30">
        <v>1064510.1639999999</v>
      </c>
      <c r="V49" s="30">
        <v>3.3000000000000002E-2</v>
      </c>
      <c r="W49" s="30">
        <v>6.6000000000000003E-2</v>
      </c>
      <c r="X49" s="30">
        <v>6.6000000000000003E-2</v>
      </c>
      <c r="Y49" s="30">
        <v>6.6000000000000003E-2</v>
      </c>
      <c r="Z49" s="30">
        <v>3.3000000000000002E-2</v>
      </c>
      <c r="AA49" s="30">
        <v>6.6000000000000003E-2</v>
      </c>
      <c r="AB49" s="30">
        <v>3.3000000000000002E-2</v>
      </c>
      <c r="AC49" s="30">
        <v>3.3000000000000002E-2</v>
      </c>
      <c r="AD49" s="30" t="s">
        <v>487</v>
      </c>
      <c r="AE49" s="30" t="s">
        <v>487</v>
      </c>
      <c r="AF49" s="38">
        <f t="shared" si="0"/>
        <v>0.39600000000000002</v>
      </c>
      <c r="AG49" s="38">
        <f t="shared" si="1"/>
        <v>0.39600000000000002</v>
      </c>
    </row>
    <row r="50" spans="1:33" x14ac:dyDescent="0.15">
      <c r="A50" s="35"/>
      <c r="B50" s="43"/>
      <c r="C50" s="43"/>
      <c r="D50" s="43"/>
      <c r="E50" s="43"/>
      <c r="F50" s="35"/>
      <c r="G50" s="35"/>
      <c r="H50" s="35"/>
      <c r="I50" s="35"/>
      <c r="J50" s="35"/>
      <c r="K50" s="40"/>
      <c r="M50" s="30" t="s">
        <v>208</v>
      </c>
      <c r="N50" s="30" t="s">
        <v>28</v>
      </c>
      <c r="O50" s="30" t="s">
        <v>428</v>
      </c>
      <c r="P50" s="30">
        <v>4</v>
      </c>
      <c r="Q50" s="30">
        <v>1</v>
      </c>
      <c r="R50" s="30">
        <v>448</v>
      </c>
      <c r="S50" s="30">
        <v>81158</v>
      </c>
      <c r="T50" s="30">
        <v>0</v>
      </c>
      <c r="U50" s="30">
        <v>1064062.1639999999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  <c r="AD50" s="30" t="s">
        <v>487</v>
      </c>
      <c r="AE50" s="30" t="s">
        <v>487</v>
      </c>
      <c r="AF50" s="38">
        <f t="shared" si="0"/>
        <v>0</v>
      </c>
      <c r="AG50" s="38">
        <f t="shared" si="1"/>
        <v>0</v>
      </c>
    </row>
    <row r="51" spans="1:33" x14ac:dyDescent="0.15">
      <c r="A51" s="35"/>
      <c r="B51" s="43"/>
      <c r="C51" s="43"/>
      <c r="D51" s="43"/>
      <c r="E51" s="43"/>
      <c r="F51" s="35"/>
      <c r="G51" s="35"/>
      <c r="H51" s="35"/>
      <c r="I51" s="35"/>
      <c r="J51" s="35"/>
      <c r="K51" s="40"/>
      <c r="M51" s="30" t="s">
        <v>208</v>
      </c>
      <c r="N51" s="30" t="s">
        <v>29</v>
      </c>
      <c r="O51" s="30" t="s">
        <v>428</v>
      </c>
      <c r="P51" s="30">
        <v>1</v>
      </c>
      <c r="Q51" s="30">
        <v>1</v>
      </c>
      <c r="R51" s="30">
        <v>112</v>
      </c>
      <c r="S51" s="30">
        <v>81158</v>
      </c>
      <c r="T51" s="30">
        <v>328.65800000000002</v>
      </c>
      <c r="U51" s="30">
        <v>1064278.8219999999</v>
      </c>
      <c r="V51" s="30">
        <v>3.3000000000000002E-2</v>
      </c>
      <c r="W51" s="30">
        <v>6.6000000000000003E-2</v>
      </c>
      <c r="X51" s="30">
        <v>6.6000000000000003E-2</v>
      </c>
      <c r="Y51" s="30">
        <v>6.6000000000000003E-2</v>
      </c>
      <c r="Z51" s="30">
        <v>3.3000000000000002E-2</v>
      </c>
      <c r="AA51" s="30">
        <v>6.6000000000000003E-2</v>
      </c>
      <c r="AB51" s="30">
        <v>3.3000000000000002E-2</v>
      </c>
      <c r="AC51" s="30">
        <v>3.3000000000000002E-2</v>
      </c>
      <c r="AD51" s="30" t="s">
        <v>487</v>
      </c>
      <c r="AE51" s="30" t="s">
        <v>487</v>
      </c>
      <c r="AF51" s="38">
        <f t="shared" si="0"/>
        <v>0.39600000000000002</v>
      </c>
      <c r="AG51" s="38">
        <f t="shared" si="1"/>
        <v>0.39600000000000002</v>
      </c>
    </row>
    <row r="52" spans="1:33" x14ac:dyDescent="0.15">
      <c r="A52" s="35"/>
      <c r="B52" s="43"/>
      <c r="C52" s="43"/>
      <c r="D52" s="43"/>
      <c r="E52" s="43"/>
      <c r="F52" s="35"/>
      <c r="G52" s="35"/>
      <c r="H52" s="35"/>
      <c r="I52" s="35"/>
      <c r="J52" s="40"/>
      <c r="K52" s="40"/>
      <c r="M52" s="30" t="s">
        <v>208</v>
      </c>
      <c r="N52" s="30" t="s">
        <v>30</v>
      </c>
      <c r="O52" s="30" t="s">
        <v>429</v>
      </c>
      <c r="P52" s="30">
        <v>1</v>
      </c>
      <c r="Q52" s="30">
        <v>1</v>
      </c>
      <c r="R52" s="30">
        <v>2</v>
      </c>
      <c r="S52" s="30">
        <v>81158</v>
      </c>
      <c r="T52" s="30">
        <v>328.65800000000002</v>
      </c>
      <c r="U52" s="30">
        <v>1064605.48</v>
      </c>
      <c r="V52" s="30">
        <v>3.3000000000000002E-2</v>
      </c>
      <c r="W52" s="30">
        <v>6.6000000000000003E-2</v>
      </c>
      <c r="X52" s="30">
        <v>6.6000000000000003E-2</v>
      </c>
      <c r="Y52" s="30">
        <v>6.6000000000000003E-2</v>
      </c>
      <c r="Z52" s="30">
        <v>3.3000000000000002E-2</v>
      </c>
      <c r="AA52" s="30">
        <v>6.6000000000000003E-2</v>
      </c>
      <c r="AB52" s="30">
        <v>3.3000000000000002E-2</v>
      </c>
      <c r="AC52" s="30">
        <v>3.3000000000000002E-2</v>
      </c>
      <c r="AD52" s="30" t="s">
        <v>487</v>
      </c>
      <c r="AE52" s="30" t="s">
        <v>487</v>
      </c>
      <c r="AF52" s="38">
        <f t="shared" si="0"/>
        <v>0.39600000000000002</v>
      </c>
      <c r="AG52" s="38">
        <f t="shared" si="1"/>
        <v>0.39600000000000002</v>
      </c>
    </row>
    <row r="53" spans="1:33" x14ac:dyDescent="0.15">
      <c r="A53" s="35"/>
      <c r="B53" s="43"/>
      <c r="C53" s="43"/>
      <c r="D53" s="43"/>
      <c r="E53" s="43"/>
      <c r="F53" s="35"/>
      <c r="G53" s="35"/>
      <c r="H53" s="35"/>
      <c r="I53" s="40"/>
      <c r="J53" s="40"/>
      <c r="K53" s="40"/>
      <c r="M53" s="30" t="s">
        <v>208</v>
      </c>
      <c r="N53" s="30" t="s">
        <v>23</v>
      </c>
      <c r="O53" s="30" t="s">
        <v>407</v>
      </c>
      <c r="P53" s="30">
        <v>3</v>
      </c>
      <c r="Q53" s="30">
        <v>1</v>
      </c>
      <c r="R53" s="30">
        <v>324</v>
      </c>
      <c r="S53" s="30">
        <v>81158</v>
      </c>
      <c r="T53" s="30">
        <v>985.97400000000005</v>
      </c>
      <c r="U53" s="30">
        <v>1065267.4539999999</v>
      </c>
      <c r="V53" s="30">
        <v>3.3000000000000002E-2</v>
      </c>
      <c r="W53" s="30">
        <v>6.6000000000000003E-2</v>
      </c>
      <c r="X53" s="30">
        <v>6.6000000000000003E-2</v>
      </c>
      <c r="Y53" s="30">
        <v>6.6000000000000003E-2</v>
      </c>
      <c r="Z53" s="30">
        <v>3.3000000000000002E-2</v>
      </c>
      <c r="AA53" s="30">
        <v>6.6000000000000003E-2</v>
      </c>
      <c r="AB53" s="30">
        <v>3.3000000000000002E-2</v>
      </c>
      <c r="AC53" s="30">
        <v>3.3000000000000002E-2</v>
      </c>
      <c r="AD53" s="30" t="s">
        <v>487</v>
      </c>
      <c r="AE53" s="30" t="s">
        <v>487</v>
      </c>
      <c r="AF53" s="38">
        <f t="shared" si="0"/>
        <v>0.39600000000000002</v>
      </c>
      <c r="AG53" s="38">
        <f t="shared" si="1"/>
        <v>0.39600000000000002</v>
      </c>
    </row>
    <row r="54" spans="1:33" x14ac:dyDescent="0.15">
      <c r="A54" s="35"/>
      <c r="B54" s="43"/>
      <c r="C54" s="43"/>
      <c r="D54" s="43"/>
      <c r="E54" s="43"/>
      <c r="F54" s="35"/>
      <c r="G54" s="35"/>
      <c r="H54" s="35"/>
      <c r="I54" s="35"/>
      <c r="J54" s="40"/>
      <c r="K54" s="40"/>
      <c r="M54" s="30" t="s">
        <v>208</v>
      </c>
      <c r="N54" s="30" t="s">
        <v>31</v>
      </c>
      <c r="O54" s="30" t="s">
        <v>430</v>
      </c>
      <c r="P54" s="30">
        <v>2</v>
      </c>
      <c r="Q54" s="30">
        <v>1</v>
      </c>
      <c r="R54" s="30">
        <v>4</v>
      </c>
      <c r="S54" s="30">
        <v>81158</v>
      </c>
      <c r="T54" s="30">
        <v>0</v>
      </c>
      <c r="U54" s="30">
        <v>1065263.4539999999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 t="s">
        <v>487</v>
      </c>
      <c r="AE54" s="30" t="s">
        <v>487</v>
      </c>
      <c r="AF54" s="38">
        <f t="shared" si="0"/>
        <v>0</v>
      </c>
      <c r="AG54" s="38">
        <f t="shared" si="1"/>
        <v>0</v>
      </c>
    </row>
    <row r="55" spans="1:33" x14ac:dyDescent="0.15">
      <c r="A55" s="35"/>
      <c r="B55" s="43"/>
      <c r="C55" s="43"/>
      <c r="D55" s="43"/>
      <c r="E55" s="43"/>
      <c r="F55" s="35"/>
      <c r="G55" s="35"/>
      <c r="H55" s="35"/>
      <c r="I55" s="35"/>
      <c r="J55" s="35"/>
      <c r="K55" s="40"/>
      <c r="M55" s="30" t="s">
        <v>208</v>
      </c>
      <c r="N55" s="30" t="s">
        <v>32</v>
      </c>
      <c r="O55" s="30" t="s">
        <v>431</v>
      </c>
      <c r="P55" s="30">
        <v>1</v>
      </c>
      <c r="Q55" s="30">
        <v>1</v>
      </c>
      <c r="R55" s="30">
        <v>2</v>
      </c>
      <c r="S55" s="30">
        <v>81158</v>
      </c>
      <c r="T55" s="30">
        <v>328.65800000000002</v>
      </c>
      <c r="U55" s="30">
        <v>1065590.112</v>
      </c>
      <c r="V55" s="30">
        <v>3.3000000000000002E-2</v>
      </c>
      <c r="W55" s="30">
        <v>6.6000000000000003E-2</v>
      </c>
      <c r="X55" s="30">
        <v>6.6000000000000003E-2</v>
      </c>
      <c r="Y55" s="30">
        <v>6.6000000000000003E-2</v>
      </c>
      <c r="Z55" s="30">
        <v>3.3000000000000002E-2</v>
      </c>
      <c r="AA55" s="30">
        <v>6.6000000000000003E-2</v>
      </c>
      <c r="AB55" s="30">
        <v>3.3000000000000002E-2</v>
      </c>
      <c r="AC55" s="30">
        <v>3.3000000000000002E-2</v>
      </c>
      <c r="AD55" s="30" t="s">
        <v>487</v>
      </c>
      <c r="AE55" s="30" t="s">
        <v>487</v>
      </c>
      <c r="AF55" s="38">
        <f t="shared" si="0"/>
        <v>0.39600000000000002</v>
      </c>
      <c r="AG55" s="38">
        <f t="shared" si="1"/>
        <v>0.39600000000000002</v>
      </c>
    </row>
    <row r="56" spans="1:33" x14ac:dyDescent="0.15">
      <c r="A56" s="35"/>
      <c r="B56" s="43"/>
      <c r="C56" s="43"/>
      <c r="D56" s="43"/>
      <c r="E56" s="43"/>
      <c r="F56" s="35"/>
      <c r="G56" s="35"/>
      <c r="H56" s="35"/>
      <c r="I56" s="35"/>
      <c r="J56" s="35"/>
      <c r="K56" s="40"/>
      <c r="M56" s="30" t="s">
        <v>208</v>
      </c>
      <c r="N56" s="30" t="s">
        <v>34</v>
      </c>
      <c r="O56" s="30" t="s">
        <v>432</v>
      </c>
      <c r="P56" s="30">
        <v>4</v>
      </c>
      <c r="Q56" s="30">
        <v>1</v>
      </c>
      <c r="R56" s="30">
        <v>56</v>
      </c>
      <c r="S56" s="30">
        <v>81158</v>
      </c>
      <c r="T56" s="30">
        <v>58.183999999999997</v>
      </c>
      <c r="U56" s="30">
        <v>1065592.2959999999</v>
      </c>
      <c r="V56" s="30">
        <v>1E-3</v>
      </c>
      <c r="W56" s="30">
        <v>2E-3</v>
      </c>
      <c r="X56" s="30">
        <v>2E-3</v>
      </c>
      <c r="Y56" s="30">
        <v>2E-3</v>
      </c>
      <c r="Z56" s="30">
        <v>1E-3</v>
      </c>
      <c r="AA56" s="30">
        <v>2E-3</v>
      </c>
      <c r="AB56" s="30">
        <v>1E-3</v>
      </c>
      <c r="AC56" s="30">
        <v>1E-3</v>
      </c>
      <c r="AD56" s="30" t="s">
        <v>487</v>
      </c>
      <c r="AE56" s="30" t="s">
        <v>487</v>
      </c>
      <c r="AF56" s="38">
        <f t="shared" si="0"/>
        <v>1.2E-2</v>
      </c>
      <c r="AG56" s="38">
        <f t="shared" si="1"/>
        <v>1.2E-2</v>
      </c>
    </row>
    <row r="57" spans="1:33" x14ac:dyDescent="0.15">
      <c r="A57" s="35"/>
      <c r="B57" s="43"/>
      <c r="C57" s="43"/>
      <c r="D57" s="43"/>
      <c r="E57" s="43"/>
      <c r="F57" s="35"/>
      <c r="G57" s="35"/>
      <c r="H57" s="35"/>
      <c r="I57" s="40"/>
      <c r="J57" s="40"/>
      <c r="K57" s="40"/>
      <c r="M57" s="30" t="s">
        <v>208</v>
      </c>
      <c r="N57" s="30" t="s">
        <v>35</v>
      </c>
      <c r="O57" s="30" t="s">
        <v>433</v>
      </c>
      <c r="P57" s="30">
        <v>2</v>
      </c>
      <c r="Q57" s="30">
        <v>1</v>
      </c>
      <c r="R57" s="30">
        <v>84</v>
      </c>
      <c r="S57" s="30">
        <v>81158</v>
      </c>
      <c r="T57" s="30">
        <v>146.048</v>
      </c>
      <c r="U57" s="30">
        <v>1065654.3439999998</v>
      </c>
      <c r="V57" s="30">
        <v>7.0000000000000001E-3</v>
      </c>
      <c r="W57" s="30">
        <v>1.4E-2</v>
      </c>
      <c r="X57" s="30">
        <v>1.4E-2</v>
      </c>
      <c r="Y57" s="30">
        <v>1.4E-2</v>
      </c>
      <c r="Z57" s="30">
        <v>7.0000000000000001E-3</v>
      </c>
      <c r="AA57" s="30">
        <v>1.4E-2</v>
      </c>
      <c r="AB57" s="30">
        <v>7.0000000000000001E-3</v>
      </c>
      <c r="AC57" s="30">
        <v>7.0000000000000001E-3</v>
      </c>
      <c r="AD57" s="30" t="s">
        <v>487</v>
      </c>
      <c r="AE57" s="30" t="s">
        <v>487</v>
      </c>
      <c r="AF57" s="38">
        <f t="shared" si="0"/>
        <v>8.4000000000000019E-2</v>
      </c>
      <c r="AG57" s="38">
        <f t="shared" si="1"/>
        <v>8.4000000000000019E-2</v>
      </c>
    </row>
    <row r="58" spans="1:33" x14ac:dyDescent="0.15">
      <c r="A58" s="35"/>
      <c r="B58" s="43"/>
      <c r="C58" s="43"/>
      <c r="D58" s="43"/>
      <c r="E58" s="43"/>
      <c r="F58" s="35"/>
      <c r="G58" s="35"/>
      <c r="H58" s="35"/>
      <c r="I58" s="35"/>
      <c r="J58" s="40"/>
      <c r="K58" s="40"/>
      <c r="M58" s="30" t="s">
        <v>209</v>
      </c>
      <c r="N58" s="30" t="s">
        <v>5</v>
      </c>
      <c r="O58" s="30" t="s">
        <v>434</v>
      </c>
      <c r="P58" s="30">
        <v>1</v>
      </c>
      <c r="Q58" s="30">
        <v>1</v>
      </c>
      <c r="R58" s="30">
        <v>1800</v>
      </c>
      <c r="S58" s="30">
        <v>81158</v>
      </c>
      <c r="T58" s="30">
        <v>19720</v>
      </c>
      <c r="U58" s="30">
        <v>1083574.3439999998</v>
      </c>
      <c r="V58" s="30">
        <v>1.9990000000000001</v>
      </c>
      <c r="W58" s="30">
        <v>3.9990000000000001</v>
      </c>
      <c r="X58" s="30">
        <v>3.9990000000000001</v>
      </c>
      <c r="Y58" s="30">
        <v>3.9990000000000001</v>
      </c>
      <c r="Z58" s="30">
        <v>1.9990000000000001</v>
      </c>
      <c r="AA58" s="30">
        <v>3.9990000000000001</v>
      </c>
      <c r="AB58" s="30">
        <v>1.9990000000000001</v>
      </c>
      <c r="AC58" s="30">
        <v>1.9990000000000001</v>
      </c>
      <c r="AD58" s="30" t="s">
        <v>487</v>
      </c>
      <c r="AE58" s="30" t="s">
        <v>487</v>
      </c>
      <c r="AF58" s="38">
        <f t="shared" si="0"/>
        <v>23.991999999999997</v>
      </c>
      <c r="AG58" s="38">
        <f t="shared" si="1"/>
        <v>23.991999999999997</v>
      </c>
    </row>
    <row r="59" spans="1:33" x14ac:dyDescent="0.15">
      <c r="A59" s="35"/>
      <c r="B59" s="43"/>
      <c r="C59" s="43"/>
      <c r="D59" s="43"/>
      <c r="E59" s="43"/>
      <c r="F59" s="35"/>
      <c r="G59" s="35"/>
      <c r="H59" s="35"/>
      <c r="I59" s="35"/>
      <c r="J59" s="40"/>
      <c r="K59" s="40"/>
      <c r="M59" s="30" t="s">
        <v>209</v>
      </c>
      <c r="N59" s="30" t="s">
        <v>27</v>
      </c>
      <c r="O59" s="30" t="s">
        <v>435</v>
      </c>
      <c r="P59" s="30">
        <v>2</v>
      </c>
      <c r="Q59" s="30">
        <v>1</v>
      </c>
      <c r="R59" s="30">
        <v>4</v>
      </c>
      <c r="S59" s="30">
        <v>81158</v>
      </c>
      <c r="T59" s="30">
        <v>39440</v>
      </c>
      <c r="U59" s="30">
        <v>1123010.3439999998</v>
      </c>
      <c r="V59" s="30">
        <v>1.9990000000000001</v>
      </c>
      <c r="W59" s="30">
        <v>3.9990000000000001</v>
      </c>
      <c r="X59" s="30">
        <v>3.9990000000000001</v>
      </c>
      <c r="Y59" s="30">
        <v>3.9990000000000001</v>
      </c>
      <c r="Z59" s="30">
        <v>1.9990000000000001</v>
      </c>
      <c r="AA59" s="30">
        <v>3.9990000000000001</v>
      </c>
      <c r="AB59" s="30">
        <v>1.9990000000000001</v>
      </c>
      <c r="AC59" s="30">
        <v>1.9990000000000001</v>
      </c>
      <c r="AD59" s="30" t="s">
        <v>487</v>
      </c>
      <c r="AE59" s="30" t="s">
        <v>487</v>
      </c>
      <c r="AF59" s="38">
        <f t="shared" si="0"/>
        <v>23.991999999999997</v>
      </c>
      <c r="AG59" s="38">
        <f t="shared" si="1"/>
        <v>23.991999999999997</v>
      </c>
    </row>
    <row r="60" spans="1:33" x14ac:dyDescent="0.15">
      <c r="A60" s="35"/>
      <c r="B60" s="43"/>
      <c r="C60" s="43"/>
      <c r="D60" s="43"/>
      <c r="E60" s="43"/>
      <c r="F60" s="35"/>
      <c r="G60" s="35"/>
      <c r="H60" s="35"/>
      <c r="I60" s="40"/>
      <c r="J60" s="35"/>
      <c r="K60" s="40"/>
      <c r="M60" s="30" t="s">
        <v>209</v>
      </c>
      <c r="N60" s="30" t="s">
        <v>210</v>
      </c>
      <c r="O60" s="30" t="s">
        <v>215</v>
      </c>
      <c r="P60" s="30">
        <v>2</v>
      </c>
      <c r="Q60" s="30">
        <v>1</v>
      </c>
      <c r="R60" s="30">
        <v>280</v>
      </c>
      <c r="S60" s="30">
        <v>81158</v>
      </c>
      <c r="T60" s="30">
        <v>0</v>
      </c>
      <c r="U60" s="30">
        <v>1122730.3439999998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  <c r="AD60" s="30" t="s">
        <v>487</v>
      </c>
      <c r="AE60" s="30" t="s">
        <v>487</v>
      </c>
      <c r="AF60" s="38">
        <f t="shared" si="0"/>
        <v>0</v>
      </c>
      <c r="AG60" s="38">
        <f t="shared" si="1"/>
        <v>0</v>
      </c>
    </row>
    <row r="61" spans="1:33" x14ac:dyDescent="0.15">
      <c r="A61" s="35"/>
      <c r="B61" s="43"/>
      <c r="C61" s="43"/>
      <c r="D61" s="43"/>
      <c r="E61" s="43"/>
      <c r="F61" s="35"/>
      <c r="G61" s="40"/>
      <c r="H61" s="35"/>
      <c r="I61" s="35"/>
      <c r="J61" s="35"/>
      <c r="K61" s="40"/>
      <c r="M61" s="30" t="s">
        <v>209</v>
      </c>
      <c r="N61" s="30" t="s">
        <v>211</v>
      </c>
      <c r="O61" s="30" t="s">
        <v>436</v>
      </c>
      <c r="P61" s="30">
        <v>3</v>
      </c>
      <c r="Q61" s="30">
        <v>1</v>
      </c>
      <c r="R61" s="30">
        <v>966</v>
      </c>
      <c r="S61" s="30">
        <v>81158</v>
      </c>
      <c r="T61" s="30">
        <v>4929.9870000000001</v>
      </c>
      <c r="U61" s="30">
        <v>1126694.3309999998</v>
      </c>
      <c r="V61" s="30">
        <v>0.16600000000000001</v>
      </c>
      <c r="W61" s="30">
        <v>0.33300000000000002</v>
      </c>
      <c r="X61" s="30">
        <v>0.33300000000000002</v>
      </c>
      <c r="Y61" s="30">
        <v>0.33300000000000002</v>
      </c>
      <c r="Z61" s="30">
        <v>0.16600000000000001</v>
      </c>
      <c r="AA61" s="30">
        <v>0.33300000000000002</v>
      </c>
      <c r="AB61" s="30">
        <v>0.16600000000000001</v>
      </c>
      <c r="AC61" s="30">
        <v>0.16600000000000001</v>
      </c>
      <c r="AD61" s="30" t="s">
        <v>487</v>
      </c>
      <c r="AE61" s="30" t="s">
        <v>487</v>
      </c>
      <c r="AF61" s="38">
        <f t="shared" si="0"/>
        <v>1.9959999999999998</v>
      </c>
      <c r="AG61" s="38">
        <f t="shared" si="1"/>
        <v>1.9959999999999998</v>
      </c>
    </row>
    <row r="62" spans="1:33" x14ac:dyDescent="0.15">
      <c r="A62" s="35"/>
      <c r="B62" s="43"/>
      <c r="C62" s="43"/>
      <c r="D62" s="43"/>
      <c r="E62" s="43"/>
      <c r="F62" s="35"/>
      <c r="G62" s="35"/>
      <c r="H62" s="35"/>
      <c r="I62" s="43"/>
      <c r="J62" s="35"/>
      <c r="K62" s="40"/>
      <c r="M62" s="30" t="s">
        <v>209</v>
      </c>
      <c r="N62" s="30" t="s">
        <v>212</v>
      </c>
      <c r="O62" s="30" t="s">
        <v>437</v>
      </c>
      <c r="P62" s="30">
        <v>2</v>
      </c>
      <c r="Q62" s="30">
        <v>1</v>
      </c>
      <c r="R62" s="30">
        <v>84</v>
      </c>
      <c r="S62" s="30">
        <v>81158</v>
      </c>
      <c r="T62" s="30">
        <v>0</v>
      </c>
      <c r="U62" s="30">
        <v>1126610.3309999998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  <c r="AD62" s="30" t="s">
        <v>487</v>
      </c>
      <c r="AE62" s="30" t="s">
        <v>487</v>
      </c>
      <c r="AF62" s="38">
        <f t="shared" si="0"/>
        <v>0</v>
      </c>
      <c r="AG62" s="38">
        <f t="shared" si="1"/>
        <v>0</v>
      </c>
    </row>
    <row r="63" spans="1:33" x14ac:dyDescent="0.15">
      <c r="A63" s="35"/>
      <c r="B63" s="43"/>
      <c r="C63" s="43"/>
      <c r="D63" s="43"/>
      <c r="E63" s="43"/>
      <c r="F63" s="35"/>
      <c r="G63" s="35"/>
      <c r="H63" s="35"/>
      <c r="I63" s="43"/>
      <c r="J63" s="35"/>
      <c r="K63" s="40"/>
      <c r="M63" s="30" t="s">
        <v>209</v>
      </c>
      <c r="N63" s="30" t="s">
        <v>213</v>
      </c>
      <c r="O63" s="30" t="s">
        <v>438</v>
      </c>
      <c r="P63" s="30">
        <v>3</v>
      </c>
      <c r="Q63" s="30">
        <v>1</v>
      </c>
      <c r="R63" s="30">
        <v>222</v>
      </c>
      <c r="S63" s="30">
        <v>81158</v>
      </c>
      <c r="T63" s="30">
        <v>0</v>
      </c>
      <c r="U63" s="30">
        <v>1126388.3309999998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  <c r="AD63" s="30" t="s">
        <v>487</v>
      </c>
      <c r="AE63" s="30" t="s">
        <v>487</v>
      </c>
      <c r="AF63" s="38">
        <f t="shared" si="0"/>
        <v>0</v>
      </c>
      <c r="AG63" s="38">
        <f t="shared" si="1"/>
        <v>0</v>
      </c>
    </row>
    <row r="64" spans="1:33" x14ac:dyDescent="0.15">
      <c r="A64" s="35"/>
      <c r="B64" s="43"/>
      <c r="C64" s="43"/>
      <c r="D64" s="43"/>
      <c r="E64" s="43"/>
      <c r="F64" s="35"/>
      <c r="G64" s="35"/>
      <c r="H64" s="35"/>
      <c r="I64" s="41"/>
      <c r="J64" s="35"/>
      <c r="K64" s="40"/>
      <c r="M64" s="30" t="s">
        <v>209</v>
      </c>
      <c r="N64" s="30" t="s">
        <v>34</v>
      </c>
      <c r="O64" s="30" t="s">
        <v>439</v>
      </c>
      <c r="P64" s="30">
        <v>4</v>
      </c>
      <c r="Q64" s="30">
        <v>1</v>
      </c>
      <c r="R64" s="30">
        <v>64</v>
      </c>
      <c r="S64" s="30">
        <v>81158</v>
      </c>
      <c r="T64" s="30">
        <v>68.676000000000002</v>
      </c>
      <c r="U64" s="30">
        <v>1126393.0069999998</v>
      </c>
      <c r="V64" s="30">
        <v>1E-3</v>
      </c>
      <c r="W64" s="30">
        <v>3.0000000000000001E-3</v>
      </c>
      <c r="X64" s="30">
        <v>3.0000000000000001E-3</v>
      </c>
      <c r="Y64" s="30">
        <v>3.0000000000000001E-3</v>
      </c>
      <c r="Z64" s="30">
        <v>1E-3</v>
      </c>
      <c r="AA64" s="30">
        <v>3.0000000000000001E-3</v>
      </c>
      <c r="AB64" s="30">
        <v>1E-3</v>
      </c>
      <c r="AC64" s="30">
        <v>1E-3</v>
      </c>
      <c r="AD64" s="30" t="s">
        <v>487</v>
      </c>
      <c r="AE64" s="30" t="s">
        <v>487</v>
      </c>
      <c r="AF64" s="38">
        <f t="shared" si="0"/>
        <v>1.6E-2</v>
      </c>
      <c r="AG64" s="38">
        <f t="shared" si="1"/>
        <v>1.6E-2</v>
      </c>
    </row>
    <row r="65" spans="1:33" x14ac:dyDescent="0.15">
      <c r="A65" s="35"/>
      <c r="B65" s="43"/>
      <c r="C65" s="43"/>
      <c r="D65" s="43"/>
      <c r="E65" s="43"/>
      <c r="F65" s="35"/>
      <c r="G65" s="35"/>
      <c r="H65" s="35"/>
      <c r="I65" s="35"/>
      <c r="J65" s="40"/>
      <c r="K65" s="40"/>
      <c r="M65" s="30" t="s">
        <v>209</v>
      </c>
      <c r="N65" s="30" t="s">
        <v>35</v>
      </c>
      <c r="O65" s="30" t="s">
        <v>440</v>
      </c>
      <c r="P65" s="30">
        <v>4</v>
      </c>
      <c r="Q65" s="30">
        <v>1</v>
      </c>
      <c r="R65" s="30">
        <v>168</v>
      </c>
      <c r="S65" s="30">
        <v>81158</v>
      </c>
      <c r="T65" s="30">
        <v>80.968000000000004</v>
      </c>
      <c r="U65" s="30">
        <v>1126305.9749999999</v>
      </c>
      <c r="V65" s="30">
        <v>2E-3</v>
      </c>
      <c r="W65" s="30">
        <v>4.0000000000000001E-3</v>
      </c>
      <c r="X65" s="30">
        <v>4.0000000000000001E-3</v>
      </c>
      <c r="Y65" s="30">
        <v>4.0000000000000001E-3</v>
      </c>
      <c r="Z65" s="30">
        <v>2E-3</v>
      </c>
      <c r="AA65" s="30">
        <v>4.0000000000000001E-3</v>
      </c>
      <c r="AB65" s="30">
        <v>2E-3</v>
      </c>
      <c r="AC65" s="30">
        <v>2E-3</v>
      </c>
      <c r="AD65" s="30" t="s">
        <v>487</v>
      </c>
      <c r="AE65" s="30" t="s">
        <v>487</v>
      </c>
      <c r="AF65" s="38">
        <f t="shared" si="0"/>
        <v>2.4E-2</v>
      </c>
      <c r="AG65" s="38">
        <f t="shared" si="1"/>
        <v>2.4E-2</v>
      </c>
    </row>
    <row r="66" spans="1:33" x14ac:dyDescent="0.15">
      <c r="A66" s="35"/>
      <c r="B66" s="43"/>
      <c r="C66" s="43"/>
      <c r="D66" s="43"/>
      <c r="E66" s="43"/>
      <c r="F66" s="35"/>
      <c r="G66" s="35"/>
      <c r="H66" s="35"/>
      <c r="I66" s="35"/>
      <c r="J66" s="35"/>
      <c r="K66" s="40"/>
      <c r="M66" s="30" t="s">
        <v>214</v>
      </c>
      <c r="N66" s="30" t="s">
        <v>5</v>
      </c>
      <c r="O66" s="30" t="s">
        <v>441</v>
      </c>
      <c r="P66" s="30">
        <v>3</v>
      </c>
      <c r="Q66" s="30">
        <v>1</v>
      </c>
      <c r="R66" s="30">
        <v>46656</v>
      </c>
      <c r="S66" s="30">
        <v>81158</v>
      </c>
      <c r="T66" s="30">
        <v>591600</v>
      </c>
      <c r="U66" s="30">
        <v>1671249.9749999999</v>
      </c>
      <c r="V66" s="30">
        <v>19.998999999999999</v>
      </c>
      <c r="W66" s="30">
        <v>39.999000000000002</v>
      </c>
      <c r="X66" s="30">
        <v>39.999000000000002</v>
      </c>
      <c r="Y66" s="30">
        <v>39.999000000000002</v>
      </c>
      <c r="Z66" s="30">
        <v>19.998999999999999</v>
      </c>
      <c r="AA66" s="30">
        <v>39.999000000000002</v>
      </c>
      <c r="AB66" s="30">
        <v>19.998999999999999</v>
      </c>
      <c r="AC66" s="30">
        <v>19.998999999999999</v>
      </c>
      <c r="AD66" s="30" t="s">
        <v>487</v>
      </c>
      <c r="AE66" s="30" t="s">
        <v>487</v>
      </c>
      <c r="AF66" s="38">
        <f t="shared" si="0"/>
        <v>239.99199999999999</v>
      </c>
      <c r="AG66" s="38">
        <f t="shared" si="1"/>
        <v>239.99199999999999</v>
      </c>
    </row>
    <row r="67" spans="1:33" x14ac:dyDescent="0.15">
      <c r="A67" s="35"/>
      <c r="B67" s="43"/>
      <c r="C67" s="43"/>
      <c r="D67" s="43"/>
      <c r="E67" s="43"/>
      <c r="F67" s="35"/>
      <c r="G67" s="35"/>
      <c r="H67" s="35"/>
      <c r="I67" s="35"/>
      <c r="J67" s="35"/>
      <c r="K67" s="40"/>
      <c r="M67" s="30" t="s">
        <v>214</v>
      </c>
      <c r="N67" s="30" t="s">
        <v>27</v>
      </c>
      <c r="O67" s="30" t="s">
        <v>442</v>
      </c>
      <c r="P67" s="30">
        <v>4</v>
      </c>
      <c r="Q67" s="30">
        <v>1</v>
      </c>
      <c r="R67" s="30">
        <v>24</v>
      </c>
      <c r="S67" s="30">
        <v>81158</v>
      </c>
      <c r="T67" s="30">
        <v>788800</v>
      </c>
      <c r="U67" s="30">
        <v>2460025.9749999996</v>
      </c>
      <c r="V67" s="30">
        <v>19.998999999999999</v>
      </c>
      <c r="W67" s="30">
        <v>39.999000000000002</v>
      </c>
      <c r="X67" s="30">
        <v>39.999000000000002</v>
      </c>
      <c r="Y67" s="30">
        <v>39.999000000000002</v>
      </c>
      <c r="Z67" s="30">
        <v>19.998999999999999</v>
      </c>
      <c r="AA67" s="30">
        <v>39.999000000000002</v>
      </c>
      <c r="AB67" s="30">
        <v>19.998999999999999</v>
      </c>
      <c r="AC67" s="30">
        <v>19.998999999999999</v>
      </c>
      <c r="AD67" s="30" t="s">
        <v>487</v>
      </c>
      <c r="AE67" s="30" t="s">
        <v>487</v>
      </c>
      <c r="AF67" s="38">
        <f t="shared" ref="AF67:AF87" si="2">AG67</f>
        <v>239.99199999999999</v>
      </c>
      <c r="AG67" s="38">
        <f t="shared" ref="AG67:AG87" si="3">SUM(V67:AE67)</f>
        <v>239.99199999999999</v>
      </c>
    </row>
    <row r="68" spans="1:33" x14ac:dyDescent="0.15">
      <c r="A68" s="35"/>
      <c r="B68" s="43"/>
      <c r="C68" s="43"/>
      <c r="D68" s="43"/>
      <c r="E68" s="43"/>
      <c r="F68" s="35"/>
      <c r="G68" s="35"/>
      <c r="H68" s="35"/>
      <c r="I68" s="40"/>
      <c r="J68" s="40"/>
      <c r="K68" s="40"/>
      <c r="M68" s="30" t="s">
        <v>214</v>
      </c>
      <c r="N68" s="30" t="s">
        <v>216</v>
      </c>
      <c r="O68" s="30" t="s">
        <v>443</v>
      </c>
      <c r="P68" s="30">
        <v>2</v>
      </c>
      <c r="Q68" s="30">
        <v>1</v>
      </c>
      <c r="R68" s="30">
        <v>504</v>
      </c>
      <c r="S68" s="30">
        <v>81158</v>
      </c>
      <c r="T68" s="30">
        <v>0</v>
      </c>
      <c r="U68" s="30">
        <v>2459521.9749999996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  <c r="AD68" s="30" t="s">
        <v>487</v>
      </c>
      <c r="AE68" s="30" t="s">
        <v>487</v>
      </c>
      <c r="AF68" s="38">
        <f t="shared" si="2"/>
        <v>0</v>
      </c>
      <c r="AG68" s="38">
        <f t="shared" si="3"/>
        <v>0</v>
      </c>
    </row>
    <row r="69" spans="1:33" x14ac:dyDescent="0.15">
      <c r="A69" s="35"/>
      <c r="B69" s="43"/>
      <c r="C69" s="43"/>
      <c r="D69" s="43"/>
      <c r="E69" s="43"/>
      <c r="F69" s="35"/>
      <c r="G69" s="35"/>
      <c r="H69" s="35"/>
      <c r="I69" s="43"/>
      <c r="J69" s="35"/>
      <c r="K69" s="40"/>
      <c r="M69" s="30" t="s">
        <v>214</v>
      </c>
      <c r="N69" s="30" t="s">
        <v>217</v>
      </c>
      <c r="O69" s="30" t="s">
        <v>444</v>
      </c>
      <c r="P69" s="30">
        <v>4</v>
      </c>
      <c r="Q69" s="30">
        <v>1</v>
      </c>
      <c r="R69" s="30">
        <v>1080</v>
      </c>
      <c r="S69" s="30">
        <v>81158</v>
      </c>
      <c r="T69" s="30">
        <v>0</v>
      </c>
      <c r="U69" s="30">
        <v>2458441.9749999996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  <c r="AD69" s="30" t="s">
        <v>487</v>
      </c>
      <c r="AE69" s="30" t="s">
        <v>487</v>
      </c>
      <c r="AF69" s="38">
        <f t="shared" si="2"/>
        <v>0</v>
      </c>
      <c r="AG69" s="38">
        <f t="shared" si="3"/>
        <v>0</v>
      </c>
    </row>
    <row r="70" spans="1:33" x14ac:dyDescent="0.15">
      <c r="A70" s="35"/>
      <c r="B70" s="43"/>
      <c r="C70" s="43"/>
      <c r="D70" s="43"/>
      <c r="E70" s="43"/>
      <c r="F70" s="35"/>
      <c r="G70" s="35"/>
      <c r="H70" s="35"/>
      <c r="I70" s="43"/>
      <c r="J70" s="35"/>
      <c r="K70" s="40"/>
      <c r="M70" s="30" t="s">
        <v>214</v>
      </c>
      <c r="N70" s="30" t="s">
        <v>218</v>
      </c>
      <c r="O70" s="30" t="s">
        <v>445</v>
      </c>
      <c r="P70" s="30">
        <v>2</v>
      </c>
      <c r="Q70" s="30">
        <v>1</v>
      </c>
      <c r="R70" s="30">
        <v>208</v>
      </c>
      <c r="S70" s="30">
        <v>81158</v>
      </c>
      <c r="T70" s="30">
        <v>13146.657999999999</v>
      </c>
      <c r="U70" s="30">
        <v>2471380.6329999994</v>
      </c>
      <c r="V70" s="30">
        <v>0.66600000000000004</v>
      </c>
      <c r="W70" s="30">
        <v>1.333</v>
      </c>
      <c r="X70" s="30">
        <v>1.333</v>
      </c>
      <c r="Y70" s="30">
        <v>1.333</v>
      </c>
      <c r="Z70" s="30">
        <v>0.66600000000000004</v>
      </c>
      <c r="AA70" s="30">
        <v>1.333</v>
      </c>
      <c r="AB70" s="30">
        <v>0.66600000000000004</v>
      </c>
      <c r="AC70" s="30">
        <v>0.66600000000000004</v>
      </c>
      <c r="AD70" s="30" t="s">
        <v>487</v>
      </c>
      <c r="AE70" s="30" t="s">
        <v>487</v>
      </c>
      <c r="AF70" s="38">
        <f t="shared" si="2"/>
        <v>7.9960000000000013</v>
      </c>
      <c r="AG70" s="38">
        <f t="shared" si="3"/>
        <v>7.9960000000000013</v>
      </c>
    </row>
    <row r="71" spans="1:33" x14ac:dyDescent="0.15">
      <c r="A71" s="35"/>
      <c r="B71" s="43"/>
      <c r="C71" s="43"/>
      <c r="D71" s="43"/>
      <c r="E71" s="43"/>
      <c r="F71" s="35"/>
      <c r="G71" s="35"/>
      <c r="H71" s="35"/>
      <c r="I71" s="41"/>
      <c r="J71" s="35"/>
      <c r="K71" s="40"/>
      <c r="M71" s="30" t="s">
        <v>214</v>
      </c>
      <c r="N71" s="30" t="s">
        <v>219</v>
      </c>
      <c r="O71" s="30" t="s">
        <v>446</v>
      </c>
      <c r="P71" s="30">
        <v>4</v>
      </c>
      <c r="Q71" s="30">
        <v>1</v>
      </c>
      <c r="R71" s="30">
        <v>144</v>
      </c>
      <c r="S71" s="30">
        <v>81158</v>
      </c>
      <c r="T71" s="30">
        <v>0</v>
      </c>
      <c r="U71" s="30">
        <v>2471236.6329999994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  <c r="AD71" s="30" t="s">
        <v>487</v>
      </c>
      <c r="AE71" s="30" t="s">
        <v>487</v>
      </c>
      <c r="AF71" s="38">
        <f t="shared" si="2"/>
        <v>0</v>
      </c>
      <c r="AG71" s="38">
        <f t="shared" si="3"/>
        <v>0</v>
      </c>
    </row>
    <row r="72" spans="1:33" x14ac:dyDescent="0.15">
      <c r="A72" s="35"/>
      <c r="B72" s="43"/>
      <c r="C72" s="43"/>
      <c r="D72" s="43"/>
      <c r="E72" s="43"/>
      <c r="F72" s="35"/>
      <c r="G72" s="35"/>
      <c r="H72" s="35"/>
      <c r="I72" s="35"/>
      <c r="J72" s="40"/>
      <c r="K72" s="40"/>
      <c r="M72" s="30" t="s">
        <v>214</v>
      </c>
      <c r="N72" s="30" t="s">
        <v>220</v>
      </c>
      <c r="O72" s="30" t="s">
        <v>447</v>
      </c>
      <c r="P72" s="30">
        <v>2</v>
      </c>
      <c r="Q72" s="30">
        <v>1</v>
      </c>
      <c r="R72" s="30">
        <v>28</v>
      </c>
      <c r="S72" s="30">
        <v>81158</v>
      </c>
      <c r="T72" s="30">
        <v>0</v>
      </c>
      <c r="U72" s="30">
        <v>2471208.6329999994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 t="s">
        <v>487</v>
      </c>
      <c r="AE72" s="30" t="s">
        <v>487</v>
      </c>
      <c r="AF72" s="38">
        <f t="shared" si="2"/>
        <v>0</v>
      </c>
      <c r="AG72" s="38">
        <f t="shared" si="3"/>
        <v>0</v>
      </c>
    </row>
    <row r="73" spans="1:33" x14ac:dyDescent="0.15">
      <c r="A73" s="35"/>
      <c r="B73" s="43"/>
      <c r="C73" s="43"/>
      <c r="D73" s="43"/>
      <c r="E73" s="43"/>
      <c r="F73" s="35"/>
      <c r="G73" s="35"/>
      <c r="H73" s="35"/>
      <c r="I73" s="35"/>
      <c r="J73" s="35"/>
      <c r="K73" s="40"/>
      <c r="M73" s="30" t="s">
        <v>214</v>
      </c>
      <c r="N73" s="30" t="s">
        <v>221</v>
      </c>
      <c r="O73" s="30" t="s">
        <v>448</v>
      </c>
      <c r="P73" s="30">
        <v>3</v>
      </c>
      <c r="Q73" s="30">
        <v>1</v>
      </c>
      <c r="R73" s="30">
        <v>48</v>
      </c>
      <c r="S73" s="30">
        <v>81158</v>
      </c>
      <c r="T73" s="30">
        <v>0</v>
      </c>
      <c r="U73" s="30">
        <v>2471160.6329999994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  <c r="AD73" s="30" t="s">
        <v>487</v>
      </c>
      <c r="AE73" s="30" t="s">
        <v>487</v>
      </c>
      <c r="AF73" s="38">
        <f t="shared" si="2"/>
        <v>0</v>
      </c>
      <c r="AG73" s="38">
        <f t="shared" si="3"/>
        <v>0</v>
      </c>
    </row>
    <row r="74" spans="1:33" x14ac:dyDescent="0.15">
      <c r="A74" s="35"/>
      <c r="B74" s="43"/>
      <c r="C74" s="43"/>
      <c r="D74" s="43"/>
      <c r="E74" s="43"/>
      <c r="F74" s="35"/>
      <c r="G74" s="35"/>
      <c r="H74" s="35"/>
      <c r="I74" s="35"/>
      <c r="J74" s="35"/>
      <c r="K74" s="40"/>
      <c r="M74" s="30" t="s">
        <v>214</v>
      </c>
      <c r="N74" s="30" t="s">
        <v>34</v>
      </c>
      <c r="O74" s="30" t="s">
        <v>238</v>
      </c>
      <c r="P74" s="30">
        <v>3</v>
      </c>
      <c r="Q74" s="30">
        <v>1</v>
      </c>
      <c r="R74" s="30">
        <v>42</v>
      </c>
      <c r="S74" s="30">
        <v>81158</v>
      </c>
      <c r="T74" s="30">
        <v>14.423999999999999</v>
      </c>
      <c r="U74" s="30">
        <v>2471133.0569999996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  <c r="AD74" s="30" t="s">
        <v>487</v>
      </c>
      <c r="AE74" s="30" t="s">
        <v>487</v>
      </c>
      <c r="AF74" s="38">
        <f t="shared" si="2"/>
        <v>0</v>
      </c>
      <c r="AG74" s="38">
        <f t="shared" si="3"/>
        <v>0</v>
      </c>
    </row>
    <row r="75" spans="1:33" x14ac:dyDescent="0.15">
      <c r="A75" s="35"/>
      <c r="B75" s="43"/>
      <c r="C75" s="43"/>
      <c r="D75" s="43"/>
      <c r="E75" s="43"/>
      <c r="F75" s="35"/>
      <c r="G75" s="35"/>
      <c r="H75" s="35"/>
      <c r="I75" s="40"/>
      <c r="J75" s="40"/>
      <c r="K75" s="40"/>
      <c r="M75" s="30" t="s">
        <v>214</v>
      </c>
      <c r="N75" s="30" t="s">
        <v>35</v>
      </c>
      <c r="O75" s="30" t="s">
        <v>238</v>
      </c>
      <c r="P75" s="30">
        <v>4</v>
      </c>
      <c r="Q75" s="30">
        <v>1</v>
      </c>
      <c r="R75" s="30">
        <v>168</v>
      </c>
      <c r="S75" s="30">
        <v>81158</v>
      </c>
      <c r="T75" s="30">
        <v>53.764000000000003</v>
      </c>
      <c r="U75" s="30">
        <v>2471018.8209999995</v>
      </c>
      <c r="V75" s="30">
        <v>1E-3</v>
      </c>
      <c r="W75" s="30">
        <v>2E-3</v>
      </c>
      <c r="X75" s="30">
        <v>2E-3</v>
      </c>
      <c r="Y75" s="30">
        <v>2E-3</v>
      </c>
      <c r="Z75" s="30">
        <v>1E-3</v>
      </c>
      <c r="AA75" s="30">
        <v>2E-3</v>
      </c>
      <c r="AB75" s="30">
        <v>1E-3</v>
      </c>
      <c r="AC75" s="30">
        <v>1E-3</v>
      </c>
      <c r="AD75" s="30" t="s">
        <v>487</v>
      </c>
      <c r="AE75" s="30" t="s">
        <v>487</v>
      </c>
      <c r="AF75" s="38">
        <f t="shared" si="2"/>
        <v>1.2E-2</v>
      </c>
      <c r="AG75" s="38">
        <f t="shared" si="3"/>
        <v>1.2E-2</v>
      </c>
    </row>
    <row r="76" spans="1:33" x14ac:dyDescent="0.15">
      <c r="A76" s="35"/>
      <c r="B76" s="43"/>
      <c r="C76" s="43"/>
      <c r="D76" s="43"/>
      <c r="E76" s="35"/>
      <c r="F76" s="35"/>
      <c r="G76" s="43"/>
      <c r="H76" s="35"/>
      <c r="I76" s="40"/>
      <c r="J76" s="41"/>
      <c r="K76" s="40"/>
      <c r="M76" s="30" t="s">
        <v>214</v>
      </c>
      <c r="N76" s="30" t="s">
        <v>222</v>
      </c>
      <c r="O76" s="30" t="s">
        <v>449</v>
      </c>
      <c r="P76" s="30">
        <v>4</v>
      </c>
      <c r="Q76" s="30">
        <v>1</v>
      </c>
      <c r="R76" s="30">
        <v>160</v>
      </c>
      <c r="S76" s="30">
        <v>81158</v>
      </c>
      <c r="T76" s="30">
        <v>181.304</v>
      </c>
      <c r="U76" s="30">
        <v>2471040.1249999995</v>
      </c>
      <c r="V76" s="30">
        <v>4.0000000000000001E-3</v>
      </c>
      <c r="W76" s="30">
        <v>8.9999999999999993E-3</v>
      </c>
      <c r="X76" s="30">
        <v>8.9999999999999993E-3</v>
      </c>
      <c r="Y76" s="30">
        <v>8.9999999999999993E-3</v>
      </c>
      <c r="Z76" s="30">
        <v>4.0000000000000001E-3</v>
      </c>
      <c r="AA76" s="30">
        <v>8.9999999999999993E-3</v>
      </c>
      <c r="AB76" s="30">
        <v>4.0000000000000001E-3</v>
      </c>
      <c r="AC76" s="30">
        <v>4.0000000000000001E-3</v>
      </c>
      <c r="AD76" s="30" t="s">
        <v>487</v>
      </c>
      <c r="AE76" s="30" t="s">
        <v>487</v>
      </c>
      <c r="AF76" s="38">
        <f t="shared" si="2"/>
        <v>5.2000000000000005E-2</v>
      </c>
      <c r="AG76" s="38">
        <f t="shared" si="3"/>
        <v>5.2000000000000005E-2</v>
      </c>
    </row>
    <row r="77" spans="1:33" x14ac:dyDescent="0.15">
      <c r="A77" s="35"/>
      <c r="B77" s="43"/>
      <c r="C77" s="43"/>
      <c r="D77" s="43"/>
      <c r="E77" s="35"/>
      <c r="F77" s="35"/>
      <c r="G77" s="43"/>
      <c r="H77" s="35"/>
      <c r="I77" s="40"/>
      <c r="J77" s="41"/>
      <c r="K77" s="40"/>
      <c r="M77" s="30" t="s">
        <v>214</v>
      </c>
      <c r="N77" s="30" t="s">
        <v>223</v>
      </c>
      <c r="O77" s="30" t="s">
        <v>205</v>
      </c>
      <c r="P77" s="30">
        <v>1</v>
      </c>
      <c r="Q77" s="30">
        <v>1</v>
      </c>
      <c r="R77" s="30">
        <v>20</v>
      </c>
      <c r="S77" s="30">
        <v>81158</v>
      </c>
      <c r="T77" s="30">
        <v>4.8079999999999998</v>
      </c>
      <c r="U77" s="30">
        <v>2471024.9329999997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  <c r="AD77" s="30" t="s">
        <v>487</v>
      </c>
      <c r="AE77" s="30" t="s">
        <v>487</v>
      </c>
      <c r="AF77" s="38">
        <f t="shared" si="2"/>
        <v>0</v>
      </c>
      <c r="AG77" s="38">
        <f t="shared" si="3"/>
        <v>0</v>
      </c>
    </row>
    <row r="78" spans="1:33" x14ac:dyDescent="0.15">
      <c r="A78" s="35"/>
      <c r="B78" s="43"/>
      <c r="C78" s="43"/>
      <c r="D78" s="43"/>
      <c r="E78" s="35"/>
      <c r="F78" s="35"/>
      <c r="G78" s="41"/>
      <c r="H78" s="35"/>
      <c r="I78" s="40"/>
      <c r="J78" s="41"/>
      <c r="K78" s="40"/>
      <c r="M78" s="30" t="s">
        <v>214</v>
      </c>
      <c r="N78" s="30" t="s">
        <v>224</v>
      </c>
      <c r="O78" s="30" t="s">
        <v>450</v>
      </c>
      <c r="P78" s="30">
        <v>1</v>
      </c>
      <c r="Q78" s="30">
        <v>1</v>
      </c>
      <c r="R78" s="30">
        <v>12</v>
      </c>
      <c r="S78" s="30">
        <v>81158</v>
      </c>
      <c r="T78" s="30">
        <v>48.414000000000001</v>
      </c>
      <c r="U78" s="30">
        <v>2471061.3469999996</v>
      </c>
      <c r="V78" s="30">
        <v>4.0000000000000001E-3</v>
      </c>
      <c r="W78" s="30">
        <v>8.9999999999999993E-3</v>
      </c>
      <c r="X78" s="30">
        <v>8.9999999999999993E-3</v>
      </c>
      <c r="Y78" s="30">
        <v>8.9999999999999993E-3</v>
      </c>
      <c r="Z78" s="30">
        <v>4.0000000000000001E-3</v>
      </c>
      <c r="AA78" s="30">
        <v>8.9999999999999993E-3</v>
      </c>
      <c r="AB78" s="30">
        <v>4.0000000000000001E-3</v>
      </c>
      <c r="AC78" s="30">
        <v>4.0000000000000001E-3</v>
      </c>
      <c r="AD78" s="30" t="s">
        <v>487</v>
      </c>
      <c r="AE78" s="30" t="s">
        <v>487</v>
      </c>
      <c r="AF78" s="38">
        <f t="shared" si="2"/>
        <v>5.2000000000000005E-2</v>
      </c>
      <c r="AG78" s="38">
        <f t="shared" si="3"/>
        <v>5.2000000000000005E-2</v>
      </c>
    </row>
    <row r="79" spans="1:33" x14ac:dyDescent="0.15">
      <c r="A79" s="35"/>
      <c r="B79" s="43"/>
      <c r="C79" s="43"/>
      <c r="D79" s="43"/>
      <c r="E79" s="35"/>
      <c r="F79" s="35"/>
      <c r="G79" s="35"/>
      <c r="H79" s="40"/>
      <c r="I79" s="40"/>
      <c r="J79" s="41"/>
      <c r="K79" s="40"/>
      <c r="M79" s="30" t="s">
        <v>214</v>
      </c>
      <c r="N79" s="30" t="s">
        <v>225</v>
      </c>
      <c r="O79" s="30" t="s">
        <v>451</v>
      </c>
      <c r="P79" s="30">
        <v>4</v>
      </c>
      <c r="Q79" s="30">
        <v>1</v>
      </c>
      <c r="R79" s="30">
        <v>16</v>
      </c>
      <c r="S79" s="30">
        <v>81158</v>
      </c>
      <c r="T79" s="30">
        <v>0</v>
      </c>
      <c r="U79" s="30">
        <v>2471045.3469999996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  <c r="AD79" s="30" t="s">
        <v>487</v>
      </c>
      <c r="AE79" s="30" t="s">
        <v>487</v>
      </c>
      <c r="AF79" s="38">
        <f t="shared" si="2"/>
        <v>0</v>
      </c>
      <c r="AG79" s="38">
        <f t="shared" si="3"/>
        <v>0</v>
      </c>
    </row>
    <row r="80" spans="1:33" x14ac:dyDescent="0.15">
      <c r="A80" s="35"/>
      <c r="B80" s="43"/>
      <c r="C80" s="43"/>
      <c r="D80" s="43"/>
      <c r="E80" s="35"/>
      <c r="F80" s="35"/>
      <c r="G80" s="35"/>
      <c r="H80" s="35"/>
      <c r="I80" s="40"/>
      <c r="J80" s="41"/>
      <c r="K80" s="40"/>
      <c r="M80" s="30" t="s">
        <v>214</v>
      </c>
      <c r="N80" s="30" t="s">
        <v>226</v>
      </c>
      <c r="O80" s="30" t="s">
        <v>205</v>
      </c>
      <c r="P80" s="30">
        <v>2</v>
      </c>
      <c r="Q80" s="30">
        <v>1</v>
      </c>
      <c r="R80" s="30">
        <v>40</v>
      </c>
      <c r="S80" s="30">
        <v>81158</v>
      </c>
      <c r="T80" s="30">
        <v>0</v>
      </c>
      <c r="U80" s="30">
        <v>2471005.3469999996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  <c r="AD80" s="30" t="s">
        <v>487</v>
      </c>
      <c r="AE80" s="30" t="s">
        <v>487</v>
      </c>
      <c r="AF80" s="38">
        <f t="shared" si="2"/>
        <v>0</v>
      </c>
      <c r="AG80" s="38">
        <f t="shared" si="3"/>
        <v>0</v>
      </c>
    </row>
    <row r="81" spans="1:33" x14ac:dyDescent="0.15">
      <c r="A81" s="35"/>
      <c r="B81" s="43"/>
      <c r="C81" s="43"/>
      <c r="D81" s="43"/>
      <c r="E81" s="35"/>
      <c r="F81" s="35"/>
      <c r="G81" s="35"/>
      <c r="H81" s="35"/>
      <c r="I81" s="40"/>
      <c r="J81" s="41"/>
      <c r="K81" s="40"/>
      <c r="M81" s="30" t="s">
        <v>227</v>
      </c>
      <c r="N81" s="30" t="s">
        <v>12</v>
      </c>
      <c r="O81" s="30" t="s">
        <v>239</v>
      </c>
      <c r="P81" s="30">
        <v>1</v>
      </c>
      <c r="Q81" s="30">
        <v>1</v>
      </c>
      <c r="R81" s="30">
        <v>32</v>
      </c>
      <c r="S81" s="30">
        <v>81158</v>
      </c>
      <c r="T81" s="30">
        <v>7.8879999999999999</v>
      </c>
      <c r="U81" s="30">
        <v>2470981.2349999994</v>
      </c>
      <c r="V81" s="30">
        <v>0</v>
      </c>
      <c r="W81" s="30">
        <v>1E-3</v>
      </c>
      <c r="X81" s="30">
        <v>1E-3</v>
      </c>
      <c r="Y81" s="30">
        <v>1E-3</v>
      </c>
      <c r="Z81" s="30">
        <v>0</v>
      </c>
      <c r="AA81" s="30">
        <v>1E-3</v>
      </c>
      <c r="AB81" s="30">
        <v>0</v>
      </c>
      <c r="AC81" s="30">
        <v>0</v>
      </c>
      <c r="AD81" s="30" t="s">
        <v>487</v>
      </c>
      <c r="AE81" s="30" t="s">
        <v>487</v>
      </c>
      <c r="AF81" s="38">
        <f t="shared" si="2"/>
        <v>4.0000000000000001E-3</v>
      </c>
      <c r="AG81" s="38">
        <f t="shared" si="3"/>
        <v>4.0000000000000001E-3</v>
      </c>
    </row>
    <row r="82" spans="1:33" x14ac:dyDescent="0.15">
      <c r="A82" s="35"/>
      <c r="B82" s="43"/>
      <c r="C82" s="43"/>
      <c r="D82" s="43"/>
      <c r="E82" s="35"/>
      <c r="F82" s="35"/>
      <c r="G82" s="40"/>
      <c r="H82" s="40"/>
      <c r="I82" s="40"/>
      <c r="J82" s="41"/>
      <c r="K82" s="40"/>
      <c r="M82" s="30" t="s">
        <v>227</v>
      </c>
      <c r="N82" s="30" t="s">
        <v>25</v>
      </c>
      <c r="O82" s="30" t="s">
        <v>239</v>
      </c>
      <c r="P82" s="30">
        <v>2</v>
      </c>
      <c r="Q82" s="30">
        <v>1</v>
      </c>
      <c r="R82" s="30">
        <v>64</v>
      </c>
      <c r="S82" s="30">
        <v>81158</v>
      </c>
      <c r="T82" s="30">
        <v>15.776</v>
      </c>
      <c r="U82" s="30">
        <v>2470933.0109999995</v>
      </c>
      <c r="V82" s="30">
        <v>0</v>
      </c>
      <c r="W82" s="30">
        <v>1E-3</v>
      </c>
      <c r="X82" s="30">
        <v>1E-3</v>
      </c>
      <c r="Y82" s="30">
        <v>1E-3</v>
      </c>
      <c r="Z82" s="30">
        <v>0</v>
      </c>
      <c r="AA82" s="30">
        <v>1E-3</v>
      </c>
      <c r="AB82" s="30">
        <v>0</v>
      </c>
      <c r="AC82" s="30">
        <v>0</v>
      </c>
      <c r="AD82" s="30" t="s">
        <v>487</v>
      </c>
      <c r="AE82" s="30" t="s">
        <v>487</v>
      </c>
      <c r="AF82" s="38">
        <f t="shared" si="2"/>
        <v>4.0000000000000001E-3</v>
      </c>
      <c r="AG82" s="38">
        <f t="shared" si="3"/>
        <v>4.0000000000000001E-3</v>
      </c>
    </row>
    <row r="83" spans="1:33" x14ac:dyDescent="0.15">
      <c r="A83" s="35"/>
      <c r="B83" s="43"/>
      <c r="C83" s="43"/>
      <c r="D83" s="43"/>
      <c r="E83" s="43"/>
      <c r="F83" s="43"/>
      <c r="G83" s="40"/>
      <c r="H83" s="41"/>
      <c r="I83" s="41"/>
      <c r="J83" s="41"/>
      <c r="K83" s="40"/>
      <c r="M83" s="30" t="s">
        <v>227</v>
      </c>
      <c r="N83" s="30" t="s">
        <v>26</v>
      </c>
      <c r="O83" s="30" t="s">
        <v>240</v>
      </c>
      <c r="P83" s="30">
        <v>2</v>
      </c>
      <c r="Q83" s="30">
        <v>1</v>
      </c>
      <c r="R83" s="30">
        <v>256</v>
      </c>
      <c r="S83" s="30">
        <v>81158</v>
      </c>
      <c r="T83" s="30">
        <v>31.552</v>
      </c>
      <c r="U83" s="30">
        <v>2470708.5629999996</v>
      </c>
      <c r="V83" s="30">
        <v>1E-3</v>
      </c>
      <c r="W83" s="30">
        <v>3.0000000000000001E-3</v>
      </c>
      <c r="X83" s="30">
        <v>3.0000000000000001E-3</v>
      </c>
      <c r="Y83" s="30">
        <v>3.0000000000000001E-3</v>
      </c>
      <c r="Z83" s="30">
        <v>1E-3</v>
      </c>
      <c r="AA83" s="30">
        <v>3.0000000000000001E-3</v>
      </c>
      <c r="AB83" s="30">
        <v>1E-3</v>
      </c>
      <c r="AC83" s="30">
        <v>1E-3</v>
      </c>
      <c r="AD83" s="30" t="s">
        <v>487</v>
      </c>
      <c r="AE83" s="30" t="s">
        <v>487</v>
      </c>
      <c r="AF83" s="38">
        <f t="shared" si="2"/>
        <v>1.6E-2</v>
      </c>
      <c r="AG83" s="38">
        <f t="shared" si="3"/>
        <v>1.6E-2</v>
      </c>
    </row>
    <row r="84" spans="1:33" x14ac:dyDescent="0.15">
      <c r="A84" s="35"/>
      <c r="B84" s="43"/>
      <c r="C84" s="43"/>
      <c r="D84" s="43"/>
      <c r="E84" s="43"/>
      <c r="F84" s="43"/>
      <c r="G84" s="43"/>
      <c r="H84" s="43"/>
      <c r="I84" s="43"/>
      <c r="J84" s="41"/>
      <c r="K84" s="40"/>
      <c r="M84" s="30" t="s">
        <v>227</v>
      </c>
      <c r="N84" s="30" t="s">
        <v>208</v>
      </c>
      <c r="O84" s="30" t="s">
        <v>240</v>
      </c>
      <c r="P84" s="30">
        <v>2</v>
      </c>
      <c r="Q84" s="30">
        <v>1</v>
      </c>
      <c r="R84" s="30">
        <v>256</v>
      </c>
      <c r="S84" s="30">
        <v>81158</v>
      </c>
      <c r="T84" s="30">
        <v>31.552</v>
      </c>
      <c r="U84" s="30">
        <v>2470484.1149999998</v>
      </c>
      <c r="V84" s="30">
        <v>1E-3</v>
      </c>
      <c r="W84" s="30">
        <v>3.0000000000000001E-3</v>
      </c>
      <c r="X84" s="30">
        <v>3.0000000000000001E-3</v>
      </c>
      <c r="Y84" s="30">
        <v>3.0000000000000001E-3</v>
      </c>
      <c r="Z84" s="30">
        <v>1E-3</v>
      </c>
      <c r="AA84" s="30">
        <v>3.0000000000000001E-3</v>
      </c>
      <c r="AB84" s="30">
        <v>1E-3</v>
      </c>
      <c r="AC84" s="30">
        <v>1E-3</v>
      </c>
      <c r="AD84" s="30" t="s">
        <v>487</v>
      </c>
      <c r="AE84" s="30" t="s">
        <v>487</v>
      </c>
      <c r="AF84" s="38">
        <f t="shared" si="2"/>
        <v>1.6E-2</v>
      </c>
      <c r="AG84" s="38">
        <f t="shared" si="3"/>
        <v>1.6E-2</v>
      </c>
    </row>
    <row r="85" spans="1:33" x14ac:dyDescent="0.15">
      <c r="A85" s="35"/>
      <c r="B85" s="43"/>
      <c r="C85" s="43"/>
      <c r="D85" s="43"/>
      <c r="E85" s="43"/>
      <c r="F85" s="43"/>
      <c r="G85" s="43"/>
      <c r="H85" s="43"/>
      <c r="I85" s="43"/>
      <c r="J85" s="41"/>
      <c r="K85" s="40"/>
      <c r="M85" s="30" t="s">
        <v>228</v>
      </c>
      <c r="N85" s="30" t="s">
        <v>228</v>
      </c>
      <c r="O85" s="30" t="s">
        <v>241</v>
      </c>
      <c r="P85" s="30">
        <v>1</v>
      </c>
      <c r="Q85" s="30">
        <v>4</v>
      </c>
      <c r="R85" s="30">
        <v>136</v>
      </c>
      <c r="S85" s="30">
        <v>81158</v>
      </c>
      <c r="T85" s="30">
        <v>47.328000000000003</v>
      </c>
      <c r="U85" s="30">
        <v>2470395.443</v>
      </c>
      <c r="V85" s="30">
        <v>8.9999999999999993E-3</v>
      </c>
      <c r="W85" s="30">
        <v>1.7999999999999999E-2</v>
      </c>
      <c r="X85" s="30">
        <v>1.7999999999999999E-2</v>
      </c>
      <c r="Y85" s="30">
        <v>1.7999999999999999E-2</v>
      </c>
      <c r="Z85" s="30">
        <v>8.9999999999999993E-3</v>
      </c>
      <c r="AA85" s="30">
        <v>1.7999999999999999E-2</v>
      </c>
      <c r="AB85" s="30">
        <v>8.9999999999999993E-3</v>
      </c>
      <c r="AC85" s="30">
        <v>8.9999999999999993E-3</v>
      </c>
      <c r="AD85" s="30" t="s">
        <v>487</v>
      </c>
      <c r="AE85" s="30" t="s">
        <v>487</v>
      </c>
      <c r="AF85" s="38">
        <f t="shared" si="2"/>
        <v>0.10799999999999998</v>
      </c>
      <c r="AG85" s="38">
        <f t="shared" si="3"/>
        <v>0.10799999999999998</v>
      </c>
    </row>
    <row r="86" spans="1:33" x14ac:dyDescent="0.15">
      <c r="A86" s="35"/>
      <c r="B86" s="43"/>
      <c r="C86" s="43"/>
      <c r="D86" s="43"/>
      <c r="E86" s="43"/>
      <c r="F86" s="43"/>
      <c r="G86" s="43"/>
      <c r="H86" s="41"/>
      <c r="I86" s="41"/>
      <c r="J86" s="41"/>
      <c r="K86" s="40"/>
      <c r="M86" s="30" t="s">
        <v>229</v>
      </c>
      <c r="N86" s="30" t="s">
        <v>229</v>
      </c>
      <c r="O86" s="30" t="s">
        <v>242</v>
      </c>
      <c r="P86" s="30">
        <v>1</v>
      </c>
      <c r="Q86" s="30">
        <v>4</v>
      </c>
      <c r="R86" s="30">
        <v>120</v>
      </c>
      <c r="S86" s="30">
        <v>81158</v>
      </c>
      <c r="T86" s="30">
        <v>148.48000000000002</v>
      </c>
      <c r="U86" s="30">
        <v>2470423.923</v>
      </c>
      <c r="V86" s="30">
        <v>9.2999999999999999E-2</v>
      </c>
      <c r="W86" s="30">
        <v>0.186</v>
      </c>
      <c r="X86" s="30">
        <v>0.186</v>
      </c>
      <c r="Y86" s="30">
        <v>0.186</v>
      </c>
      <c r="Z86" s="30">
        <v>9.2999999999999999E-2</v>
      </c>
      <c r="AA86" s="30">
        <v>0.186</v>
      </c>
      <c r="AB86" s="30">
        <v>9.2999999999999999E-2</v>
      </c>
      <c r="AC86" s="30">
        <v>9.2999999999999999E-2</v>
      </c>
      <c r="AD86" s="30" t="s">
        <v>487</v>
      </c>
      <c r="AE86" s="30" t="s">
        <v>487</v>
      </c>
      <c r="AF86" s="38">
        <f t="shared" si="2"/>
        <v>1.1159999999999999</v>
      </c>
      <c r="AG86" s="38">
        <f t="shared" si="3"/>
        <v>1.1159999999999999</v>
      </c>
    </row>
    <row r="87" spans="1:33" x14ac:dyDescent="0.15">
      <c r="A87" s="35"/>
      <c r="B87" s="43"/>
      <c r="C87" s="43"/>
      <c r="D87" s="43"/>
      <c r="E87" s="43"/>
      <c r="F87" s="41"/>
      <c r="G87" s="41"/>
      <c r="H87" s="41"/>
      <c r="I87" s="41"/>
      <c r="J87" s="41"/>
      <c r="K87" s="40"/>
      <c r="M87" s="30" t="s">
        <v>230</v>
      </c>
      <c r="N87" s="30" t="s">
        <v>230</v>
      </c>
      <c r="O87" s="30" t="s">
        <v>205</v>
      </c>
      <c r="P87" s="30">
        <v>2</v>
      </c>
      <c r="Q87" s="30">
        <v>1</v>
      </c>
      <c r="R87" s="30">
        <v>40</v>
      </c>
      <c r="S87" s="30">
        <v>81158</v>
      </c>
      <c r="T87" s="30">
        <v>0</v>
      </c>
      <c r="U87" s="30">
        <v>2470383.923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  <c r="AD87" s="30" t="s">
        <v>487</v>
      </c>
      <c r="AE87" s="30" t="s">
        <v>487</v>
      </c>
      <c r="AF87" s="38">
        <f t="shared" si="2"/>
        <v>0</v>
      </c>
      <c r="AG87" s="38">
        <f t="shared" si="3"/>
        <v>0</v>
      </c>
    </row>
    <row r="88" spans="1:33" x14ac:dyDescent="0.15">
      <c r="A88" s="35"/>
      <c r="B88" s="43"/>
      <c r="C88" s="43"/>
      <c r="D88" s="35"/>
      <c r="E88" s="43"/>
      <c r="F88" s="35"/>
      <c r="G88" s="35"/>
      <c r="H88" s="35"/>
      <c r="I88" s="40"/>
      <c r="J88" s="40"/>
      <c r="K88" s="40"/>
      <c r="AF88" s="38"/>
    </row>
    <row r="89" spans="1:33" x14ac:dyDescent="0.15">
      <c r="A89" s="35"/>
      <c r="B89" s="43"/>
      <c r="C89" s="43"/>
      <c r="D89" s="35"/>
      <c r="E89" s="43"/>
      <c r="F89" s="35"/>
      <c r="G89" s="35"/>
      <c r="H89" s="35"/>
      <c r="I89" s="40"/>
      <c r="J89" s="40"/>
      <c r="K89" s="40"/>
      <c r="AF89" s="38"/>
    </row>
    <row r="90" spans="1:33" x14ac:dyDescent="0.15">
      <c r="A90" s="35"/>
      <c r="B90" s="43"/>
      <c r="C90" s="43"/>
      <c r="D90" s="35"/>
      <c r="E90" s="41"/>
      <c r="F90" s="40"/>
      <c r="G90" s="40"/>
      <c r="H90" s="40"/>
      <c r="I90" s="35"/>
      <c r="J90" s="40"/>
      <c r="K90" s="40"/>
      <c r="AF90" s="38"/>
    </row>
    <row r="91" spans="1:33" x14ac:dyDescent="0.15">
      <c r="A91" s="35"/>
      <c r="B91" s="43"/>
      <c r="C91" s="43"/>
      <c r="D91" s="44"/>
      <c r="E91" s="35"/>
      <c r="F91" s="40"/>
      <c r="G91" s="40"/>
      <c r="H91" s="35"/>
      <c r="I91" s="35"/>
      <c r="J91" s="40"/>
      <c r="K91" s="40"/>
      <c r="AF91" s="38"/>
    </row>
    <row r="92" spans="1:33" x14ac:dyDescent="0.15">
      <c r="A92" s="35"/>
      <c r="B92" s="43"/>
      <c r="C92" s="43"/>
      <c r="D92" s="44"/>
      <c r="E92" s="35"/>
      <c r="F92" s="35"/>
      <c r="G92" s="35"/>
      <c r="H92" s="35"/>
      <c r="I92" s="35"/>
      <c r="J92" s="40"/>
      <c r="K92" s="40"/>
      <c r="AF92" s="38"/>
    </row>
    <row r="93" spans="1:33" x14ac:dyDescent="0.15">
      <c r="A93" s="35"/>
      <c r="B93" s="43"/>
      <c r="C93" s="43"/>
      <c r="D93" s="44"/>
      <c r="E93" s="35"/>
      <c r="F93" s="35"/>
      <c r="G93" s="35"/>
      <c r="H93" s="35"/>
      <c r="I93" s="35"/>
      <c r="J93" s="40"/>
      <c r="K93" s="40"/>
      <c r="AF93" s="38"/>
    </row>
    <row r="94" spans="1:33" x14ac:dyDescent="0.15">
      <c r="A94" s="35"/>
      <c r="B94" s="43"/>
      <c r="C94" s="43"/>
      <c r="D94" s="44"/>
      <c r="E94" s="35"/>
      <c r="F94" s="35"/>
      <c r="G94" s="35"/>
      <c r="H94" s="35"/>
      <c r="I94" s="35"/>
      <c r="J94" s="40"/>
      <c r="K94" s="40"/>
      <c r="AF94" s="38"/>
    </row>
    <row r="95" spans="1:33" x14ac:dyDescent="0.15">
      <c r="A95" s="35"/>
      <c r="B95" s="43"/>
      <c r="C95" s="43"/>
      <c r="D95" s="43"/>
      <c r="E95" s="35"/>
      <c r="F95" s="35"/>
      <c r="G95" s="35"/>
      <c r="H95" s="35"/>
      <c r="I95" s="35"/>
      <c r="J95" s="40"/>
      <c r="K95" s="40"/>
      <c r="AF95" s="38"/>
    </row>
    <row r="96" spans="1:33" x14ac:dyDescent="0.15">
      <c r="A96" s="35"/>
      <c r="B96" s="43"/>
      <c r="C96" s="43"/>
      <c r="D96" s="43"/>
      <c r="E96" s="35"/>
      <c r="F96" s="35"/>
      <c r="G96" s="35"/>
      <c r="H96" s="35"/>
      <c r="I96" s="35"/>
      <c r="J96" s="40"/>
      <c r="K96" s="40"/>
      <c r="AF96" s="38"/>
    </row>
    <row r="97" spans="1:32" x14ac:dyDescent="0.15">
      <c r="A97" s="35"/>
      <c r="B97" s="43"/>
      <c r="C97" s="43"/>
      <c r="D97" s="43"/>
      <c r="E97" s="35"/>
      <c r="F97" s="35"/>
      <c r="G97" s="35"/>
      <c r="H97" s="40"/>
      <c r="I97" s="40"/>
      <c r="J97" s="40"/>
      <c r="K97" s="40"/>
      <c r="AF97" s="38"/>
    </row>
    <row r="98" spans="1:32" x14ac:dyDescent="0.15">
      <c r="A98" s="35"/>
      <c r="B98" s="43"/>
      <c r="C98" s="43"/>
      <c r="D98" s="43"/>
      <c r="E98" s="40"/>
      <c r="F98" s="40"/>
      <c r="G98" s="40"/>
      <c r="H98" s="41"/>
      <c r="I98" s="35"/>
      <c r="J98" s="40"/>
      <c r="K98" s="40"/>
      <c r="AF98" s="38"/>
    </row>
    <row r="99" spans="1:32" x14ac:dyDescent="0.1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32" x14ac:dyDescent="0.1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32" x14ac:dyDescent="0.1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32" x14ac:dyDescent="0.1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32" x14ac:dyDescent="0.1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32" x14ac:dyDescent="0.1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7"/>
  <sheetViews>
    <sheetView workbookViewId="0">
      <selection activeCell="J87" sqref="J87"/>
    </sheetView>
  </sheetViews>
  <sheetFormatPr defaultRowHeight="13.5" x14ac:dyDescent="0.15"/>
  <cols>
    <col min="1" max="2" width="14.75" style="50" customWidth="1"/>
    <col min="3" max="3" width="17.25" style="52" customWidth="1"/>
    <col min="4" max="4" width="17.25" style="50" bestFit="1" customWidth="1"/>
    <col min="5" max="5" width="13.625" style="50" bestFit="1" customWidth="1"/>
    <col min="6" max="6" width="11.375" style="50" customWidth="1"/>
    <col min="7" max="7" width="16" style="50" customWidth="1"/>
    <col min="8" max="8" width="18.5" style="50" customWidth="1"/>
    <col min="9" max="10" width="13.625" style="50" customWidth="1"/>
    <col min="11" max="11" width="15.125" style="50" customWidth="1"/>
    <col min="12" max="12" width="97.125" style="50" bestFit="1" customWidth="1"/>
    <col min="13" max="13" width="14.75" style="50" bestFit="1" customWidth="1"/>
    <col min="14" max="14" width="17.25" style="50" bestFit="1" customWidth="1"/>
    <col min="15" max="15" width="13.625" style="50" bestFit="1" customWidth="1"/>
    <col min="16" max="16" width="12.5" style="50" bestFit="1" customWidth="1"/>
    <col min="17" max="17" width="11.375" style="50" bestFit="1" customWidth="1"/>
    <col min="18" max="18" width="16" style="50" bestFit="1" customWidth="1"/>
    <col min="19" max="19" width="18.5" style="50" bestFit="1" customWidth="1"/>
    <col min="20" max="20" width="13.625" style="50" bestFit="1" customWidth="1"/>
    <col min="21" max="16384" width="9" style="50"/>
  </cols>
  <sheetData>
    <row r="1" spans="1:12" x14ac:dyDescent="0.15">
      <c r="A1" s="50" t="s">
        <v>530</v>
      </c>
      <c r="B1" s="50" t="s">
        <v>536</v>
      </c>
      <c r="C1" s="50" t="s">
        <v>537</v>
      </c>
      <c r="D1" s="50" t="s">
        <v>538</v>
      </c>
      <c r="E1" s="50" t="s">
        <v>532</v>
      </c>
      <c r="F1" s="50" t="s">
        <v>533</v>
      </c>
      <c r="G1" s="50" t="s">
        <v>534</v>
      </c>
      <c r="H1" s="50" t="s">
        <v>535</v>
      </c>
      <c r="I1" s="51" t="s">
        <v>540</v>
      </c>
      <c r="J1" s="50" t="s">
        <v>539</v>
      </c>
    </row>
    <row r="2" spans="1:12" x14ac:dyDescent="0.15">
      <c r="A2" s="54">
        <v>404</v>
      </c>
      <c r="B2" s="53" t="s">
        <v>4</v>
      </c>
      <c r="C2" s="53" t="s">
        <v>5</v>
      </c>
      <c r="D2" s="53" t="s">
        <v>236</v>
      </c>
      <c r="E2" s="53">
        <v>2</v>
      </c>
      <c r="F2" s="53">
        <v>1</v>
      </c>
      <c r="G2" s="53">
        <v>52</v>
      </c>
      <c r="H2" s="53">
        <v>81158</v>
      </c>
      <c r="I2" s="53">
        <v>114.84</v>
      </c>
      <c r="J2" s="53">
        <v>1000062.84</v>
      </c>
      <c r="K2" s="51"/>
      <c r="L2" s="51"/>
    </row>
    <row r="3" spans="1:12" x14ac:dyDescent="0.15">
      <c r="A3" s="54">
        <v>404</v>
      </c>
      <c r="B3" s="53" t="s">
        <v>12</v>
      </c>
      <c r="C3" s="53" t="s">
        <v>13</v>
      </c>
      <c r="D3" s="53" t="s">
        <v>391</v>
      </c>
      <c r="E3" s="53">
        <v>3</v>
      </c>
      <c r="F3" s="53">
        <v>1</v>
      </c>
      <c r="G3" s="53">
        <v>120</v>
      </c>
      <c r="H3" s="53">
        <v>81158</v>
      </c>
      <c r="I3" s="53">
        <v>574.20000000000005</v>
      </c>
      <c r="J3" s="53">
        <v>1000517.0399999999</v>
      </c>
      <c r="K3" s="51"/>
      <c r="L3" s="51"/>
    </row>
    <row r="4" spans="1:12" x14ac:dyDescent="0.15">
      <c r="A4" s="54">
        <v>404</v>
      </c>
      <c r="B4" s="53" t="s">
        <v>12</v>
      </c>
      <c r="C4" s="53" t="s">
        <v>14</v>
      </c>
      <c r="D4" s="53" t="s">
        <v>520</v>
      </c>
      <c r="E4" s="53">
        <v>4</v>
      </c>
      <c r="F4" s="53">
        <v>1</v>
      </c>
      <c r="G4" s="53">
        <v>32</v>
      </c>
      <c r="H4" s="53">
        <v>81158</v>
      </c>
      <c r="I4" s="53">
        <v>765.6</v>
      </c>
      <c r="J4" s="53">
        <v>1001250.6399999999</v>
      </c>
      <c r="K4" s="51"/>
      <c r="L4" s="51"/>
    </row>
    <row r="5" spans="1:12" x14ac:dyDescent="0.15">
      <c r="A5" s="54">
        <v>404</v>
      </c>
      <c r="B5" s="53" t="s">
        <v>12</v>
      </c>
      <c r="C5" s="53" t="s">
        <v>16</v>
      </c>
      <c r="D5" s="53" t="s">
        <v>531</v>
      </c>
      <c r="E5" s="53">
        <v>2</v>
      </c>
      <c r="F5" s="53">
        <v>1</v>
      </c>
      <c r="G5" s="53">
        <v>148</v>
      </c>
      <c r="H5" s="53">
        <v>81158</v>
      </c>
      <c r="I5" s="53">
        <v>382.8</v>
      </c>
      <c r="J5" s="53">
        <v>1001485.44</v>
      </c>
      <c r="K5" s="51"/>
    </row>
    <row r="6" spans="1:12" x14ac:dyDescent="0.15">
      <c r="A6" s="54">
        <v>404</v>
      </c>
      <c r="B6" s="53" t="s">
        <v>12</v>
      </c>
      <c r="C6" s="53" t="s">
        <v>18</v>
      </c>
      <c r="D6" s="53" t="s">
        <v>231</v>
      </c>
      <c r="E6" s="53">
        <v>1</v>
      </c>
      <c r="F6" s="53">
        <v>1</v>
      </c>
      <c r="G6" s="53">
        <v>112</v>
      </c>
      <c r="H6" s="53">
        <v>81158</v>
      </c>
      <c r="I6" s="53">
        <v>191.4</v>
      </c>
      <c r="J6" s="53">
        <v>1001564.84</v>
      </c>
      <c r="K6" s="51"/>
    </row>
    <row r="7" spans="1:12" x14ac:dyDescent="0.15">
      <c r="A7" s="54">
        <v>404</v>
      </c>
      <c r="B7" s="53" t="s">
        <v>12</v>
      </c>
      <c r="C7" s="53" t="s">
        <v>20</v>
      </c>
      <c r="D7" s="53" t="s">
        <v>231</v>
      </c>
      <c r="E7" s="53">
        <v>5</v>
      </c>
      <c r="F7" s="53">
        <v>1</v>
      </c>
      <c r="G7" s="53">
        <v>150</v>
      </c>
      <c r="H7" s="53">
        <v>81158</v>
      </c>
      <c r="I7" s="53">
        <v>478.5</v>
      </c>
      <c r="J7" s="53">
        <v>1001893.34</v>
      </c>
      <c r="K7" s="51"/>
    </row>
    <row r="8" spans="1:12" x14ac:dyDescent="0.15">
      <c r="A8" s="54">
        <v>404</v>
      </c>
      <c r="B8" s="53" t="s">
        <v>12</v>
      </c>
      <c r="C8" s="53" t="s">
        <v>21</v>
      </c>
      <c r="D8" s="53" t="s">
        <v>521</v>
      </c>
      <c r="E8" s="53">
        <v>2</v>
      </c>
      <c r="F8" s="53">
        <v>1</v>
      </c>
      <c r="G8" s="53">
        <v>16</v>
      </c>
      <c r="H8" s="53">
        <v>81158</v>
      </c>
      <c r="I8" s="53">
        <v>191.4</v>
      </c>
      <c r="J8" s="53">
        <v>1002068.74</v>
      </c>
      <c r="K8" s="51"/>
    </row>
    <row r="9" spans="1:12" x14ac:dyDescent="0.15">
      <c r="A9" s="54">
        <v>404</v>
      </c>
      <c r="B9" s="53" t="s">
        <v>12</v>
      </c>
      <c r="C9" s="53" t="s">
        <v>22</v>
      </c>
      <c r="D9" s="53" t="s">
        <v>395</v>
      </c>
      <c r="E9" s="53">
        <v>3</v>
      </c>
      <c r="F9" s="53">
        <v>1</v>
      </c>
      <c r="G9" s="53">
        <v>102</v>
      </c>
      <c r="H9" s="53">
        <v>81158</v>
      </c>
      <c r="I9" s="53">
        <v>287.10000000000002</v>
      </c>
      <c r="J9" s="53">
        <v>1002253.84</v>
      </c>
      <c r="K9" s="51"/>
    </row>
    <row r="10" spans="1:12" x14ac:dyDescent="0.15">
      <c r="A10" s="54">
        <v>404</v>
      </c>
      <c r="B10" s="53" t="s">
        <v>12</v>
      </c>
      <c r="C10" s="53" t="s">
        <v>23</v>
      </c>
      <c r="D10" s="53" t="s">
        <v>396</v>
      </c>
      <c r="E10" s="53">
        <v>4</v>
      </c>
      <c r="F10" s="53">
        <v>1</v>
      </c>
      <c r="G10" s="53">
        <v>72</v>
      </c>
      <c r="H10" s="53">
        <v>81158</v>
      </c>
      <c r="I10" s="53">
        <v>382.8</v>
      </c>
      <c r="J10" s="53">
        <v>1002564.64</v>
      </c>
      <c r="K10" s="51"/>
    </row>
    <row r="11" spans="1:12" x14ac:dyDescent="0.15">
      <c r="A11" s="54">
        <v>404</v>
      </c>
      <c r="B11" s="53" t="s">
        <v>25</v>
      </c>
      <c r="C11" s="53" t="s">
        <v>13</v>
      </c>
      <c r="D11" s="53" t="s">
        <v>397</v>
      </c>
      <c r="E11" s="53">
        <v>5</v>
      </c>
      <c r="F11" s="53">
        <v>1</v>
      </c>
      <c r="G11" s="53">
        <v>160</v>
      </c>
      <c r="H11" s="53">
        <v>81158</v>
      </c>
      <c r="I11" s="53">
        <v>957</v>
      </c>
      <c r="J11" s="53">
        <v>1003361.64</v>
      </c>
      <c r="K11" s="51"/>
    </row>
    <row r="12" spans="1:12" x14ac:dyDescent="0.15">
      <c r="A12" s="54">
        <v>404</v>
      </c>
      <c r="B12" s="53" t="s">
        <v>25</v>
      </c>
      <c r="C12" s="53" t="s">
        <v>14</v>
      </c>
      <c r="D12" s="53" t="s">
        <v>522</v>
      </c>
      <c r="E12" s="53">
        <v>2</v>
      </c>
      <c r="F12" s="53">
        <v>1</v>
      </c>
      <c r="G12" s="53">
        <v>16</v>
      </c>
      <c r="H12" s="53">
        <v>81158</v>
      </c>
      <c r="I12" s="53">
        <v>382.8</v>
      </c>
      <c r="J12" s="53">
        <v>1003728.4400000001</v>
      </c>
      <c r="K12" s="51"/>
    </row>
    <row r="13" spans="1:12" x14ac:dyDescent="0.15">
      <c r="A13" s="54">
        <v>404</v>
      </c>
      <c r="B13" s="53" t="s">
        <v>25</v>
      </c>
      <c r="C13" s="53" t="s">
        <v>16</v>
      </c>
      <c r="D13" s="53" t="s">
        <v>399</v>
      </c>
      <c r="E13" s="53">
        <v>1</v>
      </c>
      <c r="F13" s="53">
        <v>1</v>
      </c>
      <c r="G13" s="53">
        <v>94</v>
      </c>
      <c r="H13" s="53">
        <v>81158</v>
      </c>
      <c r="I13" s="53">
        <v>191.4</v>
      </c>
      <c r="J13" s="53">
        <v>1003825.8400000001</v>
      </c>
      <c r="K13" s="51"/>
    </row>
    <row r="14" spans="1:12" x14ac:dyDescent="0.15">
      <c r="A14" s="54">
        <v>404</v>
      </c>
      <c r="B14" s="53" t="s">
        <v>25</v>
      </c>
      <c r="C14" s="53" t="s">
        <v>18</v>
      </c>
      <c r="D14" s="53" t="s">
        <v>232</v>
      </c>
      <c r="E14" s="53">
        <v>3</v>
      </c>
      <c r="F14" s="53">
        <v>1</v>
      </c>
      <c r="G14" s="53">
        <v>396</v>
      </c>
      <c r="H14" s="53">
        <v>81158</v>
      </c>
      <c r="I14" s="53">
        <v>574.20000000000005</v>
      </c>
      <c r="J14" s="53">
        <v>1004004.04</v>
      </c>
      <c r="K14" s="51"/>
    </row>
    <row r="15" spans="1:12" x14ac:dyDescent="0.15">
      <c r="A15" s="54">
        <v>404</v>
      </c>
      <c r="B15" s="53" t="s">
        <v>25</v>
      </c>
      <c r="C15" s="53" t="s">
        <v>20</v>
      </c>
      <c r="D15" s="53" t="s">
        <v>231</v>
      </c>
      <c r="E15" s="53">
        <v>2</v>
      </c>
      <c r="F15" s="53">
        <v>1</v>
      </c>
      <c r="G15" s="53">
        <v>60</v>
      </c>
      <c r="H15" s="53">
        <v>81158</v>
      </c>
      <c r="I15" s="53">
        <v>191.4</v>
      </c>
      <c r="J15" s="53">
        <v>1004135.4400000001</v>
      </c>
      <c r="K15" s="51"/>
    </row>
    <row r="16" spans="1:12" x14ac:dyDescent="0.15">
      <c r="A16" s="54">
        <v>404</v>
      </c>
      <c r="B16" s="53" t="s">
        <v>25</v>
      </c>
      <c r="C16" s="53" t="s">
        <v>21</v>
      </c>
      <c r="D16" s="53" t="s">
        <v>523</v>
      </c>
      <c r="E16" s="53">
        <v>4</v>
      </c>
      <c r="F16" s="53">
        <v>1</v>
      </c>
      <c r="G16" s="53">
        <v>40</v>
      </c>
      <c r="H16" s="53">
        <v>81158</v>
      </c>
      <c r="I16" s="53">
        <v>382.8</v>
      </c>
      <c r="J16" s="53">
        <v>1004478.2400000001</v>
      </c>
      <c r="K16" s="51"/>
    </row>
    <row r="17" spans="1:12" x14ac:dyDescent="0.15">
      <c r="A17" s="54">
        <v>404</v>
      </c>
      <c r="B17" s="53" t="s">
        <v>25</v>
      </c>
      <c r="C17" s="53" t="s">
        <v>22</v>
      </c>
      <c r="D17" s="53" t="s">
        <v>233</v>
      </c>
      <c r="E17" s="53">
        <v>5</v>
      </c>
      <c r="F17" s="53">
        <v>1</v>
      </c>
      <c r="G17" s="53">
        <v>180</v>
      </c>
      <c r="H17" s="53">
        <v>81158</v>
      </c>
      <c r="I17" s="53">
        <v>478.5</v>
      </c>
      <c r="J17" s="53">
        <v>1004776.7400000001</v>
      </c>
      <c r="K17" s="51"/>
    </row>
    <row r="18" spans="1:12" x14ac:dyDescent="0.15">
      <c r="A18" s="54">
        <v>404</v>
      </c>
      <c r="B18" s="53" t="s">
        <v>25</v>
      </c>
      <c r="C18" s="53" t="s">
        <v>23</v>
      </c>
      <c r="D18" s="53" t="s">
        <v>234</v>
      </c>
      <c r="E18" s="53">
        <v>3</v>
      </c>
      <c r="F18" s="53">
        <v>1</v>
      </c>
      <c r="G18" s="53">
        <v>54</v>
      </c>
      <c r="H18" s="53">
        <v>81158</v>
      </c>
      <c r="I18" s="53">
        <v>287.10000000000002</v>
      </c>
      <c r="J18" s="53">
        <v>1005009.8400000001</v>
      </c>
      <c r="K18" s="51"/>
    </row>
    <row r="19" spans="1:12" x14ac:dyDescent="0.15">
      <c r="A19" s="54">
        <v>404</v>
      </c>
      <c r="B19" s="53" t="s">
        <v>26</v>
      </c>
      <c r="C19" s="53" t="s">
        <v>5</v>
      </c>
      <c r="D19" s="53" t="s">
        <v>401</v>
      </c>
      <c r="E19" s="53">
        <v>3</v>
      </c>
      <c r="F19" s="53">
        <v>1</v>
      </c>
      <c r="G19" s="53">
        <v>1080</v>
      </c>
      <c r="H19" s="53">
        <v>81158</v>
      </c>
      <c r="I19" s="53">
        <v>5742</v>
      </c>
      <c r="J19" s="53">
        <v>1009671.8400000001</v>
      </c>
      <c r="K19" s="51"/>
      <c r="L19" s="51"/>
    </row>
    <row r="20" spans="1:12" x14ac:dyDescent="0.15">
      <c r="A20" s="54">
        <v>404</v>
      </c>
      <c r="B20" s="53" t="s">
        <v>26</v>
      </c>
      <c r="C20" s="53" t="s">
        <v>27</v>
      </c>
      <c r="D20" s="53" t="s">
        <v>524</v>
      </c>
      <c r="E20" s="53">
        <v>1</v>
      </c>
      <c r="F20" s="53">
        <v>1</v>
      </c>
      <c r="G20" s="53">
        <v>10</v>
      </c>
      <c r="H20" s="53">
        <v>81158</v>
      </c>
      <c r="I20" s="53">
        <v>1914</v>
      </c>
      <c r="J20" s="53">
        <v>1011575.8400000001</v>
      </c>
      <c r="K20" s="51"/>
    </row>
    <row r="21" spans="1:12" x14ac:dyDescent="0.15">
      <c r="A21" s="54">
        <v>404</v>
      </c>
      <c r="B21" s="53" t="s">
        <v>26</v>
      </c>
      <c r="C21" s="53" t="s">
        <v>16</v>
      </c>
      <c r="D21" s="53" t="s">
        <v>235</v>
      </c>
      <c r="E21" s="53">
        <v>1</v>
      </c>
      <c r="F21" s="53">
        <v>1</v>
      </c>
      <c r="G21" s="53">
        <v>762</v>
      </c>
      <c r="H21" s="53">
        <v>81158</v>
      </c>
      <c r="I21" s="53">
        <v>1914</v>
      </c>
      <c r="J21" s="53">
        <v>1012727.8400000001</v>
      </c>
      <c r="K21" s="51"/>
    </row>
    <row r="22" spans="1:12" x14ac:dyDescent="0.15">
      <c r="A22" s="54">
        <v>404</v>
      </c>
      <c r="B22" s="53" t="s">
        <v>26</v>
      </c>
      <c r="C22" s="53" t="s">
        <v>18</v>
      </c>
      <c r="D22" s="53" t="s">
        <v>403</v>
      </c>
      <c r="E22" s="53">
        <v>1</v>
      </c>
      <c r="F22" s="53">
        <v>1</v>
      </c>
      <c r="G22" s="53">
        <v>1508</v>
      </c>
      <c r="H22" s="53">
        <v>81158</v>
      </c>
      <c r="I22" s="53">
        <v>1914</v>
      </c>
      <c r="J22" s="53">
        <v>1013133.8400000001</v>
      </c>
      <c r="K22" s="51"/>
    </row>
    <row r="23" spans="1:12" x14ac:dyDescent="0.15">
      <c r="A23" s="54">
        <v>404</v>
      </c>
      <c r="B23" s="53" t="s">
        <v>26</v>
      </c>
      <c r="C23" s="53" t="s">
        <v>22</v>
      </c>
      <c r="D23" s="53" t="s">
        <v>404</v>
      </c>
      <c r="E23" s="53">
        <v>5</v>
      </c>
      <c r="F23" s="53">
        <v>1</v>
      </c>
      <c r="G23" s="53">
        <v>590</v>
      </c>
      <c r="H23" s="53">
        <v>81158</v>
      </c>
      <c r="I23" s="53">
        <v>3189.81</v>
      </c>
      <c r="J23" s="53">
        <v>1015733.6500000001</v>
      </c>
      <c r="K23" s="51"/>
    </row>
    <row r="24" spans="1:12" x14ac:dyDescent="0.15">
      <c r="A24" s="54">
        <v>404</v>
      </c>
      <c r="B24" s="53" t="s">
        <v>26</v>
      </c>
      <c r="C24" s="53" t="s">
        <v>28</v>
      </c>
      <c r="D24" s="53" t="s">
        <v>405</v>
      </c>
      <c r="E24" s="53">
        <v>4</v>
      </c>
      <c r="F24" s="53">
        <v>1</v>
      </c>
      <c r="G24" s="53">
        <v>448</v>
      </c>
      <c r="H24" s="53">
        <v>81158</v>
      </c>
      <c r="I24" s="53">
        <v>2551.848</v>
      </c>
      <c r="J24" s="53">
        <v>1017837.4980000001</v>
      </c>
      <c r="K24" s="51"/>
    </row>
    <row r="25" spans="1:12" x14ac:dyDescent="0.15">
      <c r="A25" s="54">
        <v>404</v>
      </c>
      <c r="B25" s="53" t="s">
        <v>26</v>
      </c>
      <c r="C25" s="53" t="s">
        <v>29</v>
      </c>
      <c r="D25" s="53" t="s">
        <v>231</v>
      </c>
      <c r="E25" s="53">
        <v>2</v>
      </c>
      <c r="F25" s="53">
        <v>1</v>
      </c>
      <c r="G25" s="53">
        <v>80</v>
      </c>
      <c r="H25" s="53">
        <v>81158</v>
      </c>
      <c r="I25" s="53">
        <v>0</v>
      </c>
      <c r="J25" s="53">
        <v>1017757.4980000001</v>
      </c>
      <c r="K25" s="51"/>
    </row>
    <row r="26" spans="1:12" x14ac:dyDescent="0.15">
      <c r="A26" s="54">
        <v>404</v>
      </c>
      <c r="B26" s="53" t="s">
        <v>26</v>
      </c>
      <c r="C26" s="53" t="s">
        <v>30</v>
      </c>
      <c r="D26" s="53" t="s">
        <v>525</v>
      </c>
      <c r="E26" s="53">
        <v>3</v>
      </c>
      <c r="F26" s="53">
        <v>1</v>
      </c>
      <c r="G26" s="53">
        <v>30</v>
      </c>
      <c r="H26" s="53">
        <v>81158</v>
      </c>
      <c r="I26" s="53">
        <v>1913.886</v>
      </c>
      <c r="J26" s="53">
        <v>1019641.3840000002</v>
      </c>
      <c r="K26" s="51"/>
    </row>
    <row r="27" spans="1:12" x14ac:dyDescent="0.15">
      <c r="A27" s="54">
        <v>404</v>
      </c>
      <c r="B27" s="53" t="s">
        <v>26</v>
      </c>
      <c r="C27" s="53" t="s">
        <v>23</v>
      </c>
      <c r="D27" s="53" t="s">
        <v>407</v>
      </c>
      <c r="E27" s="53">
        <v>4</v>
      </c>
      <c r="F27" s="53">
        <v>1</v>
      </c>
      <c r="G27" s="53">
        <v>432</v>
      </c>
      <c r="H27" s="53">
        <v>81158</v>
      </c>
      <c r="I27" s="53">
        <v>2551.848</v>
      </c>
      <c r="J27" s="53">
        <v>1021761.2320000002</v>
      </c>
      <c r="K27" s="51"/>
    </row>
    <row r="28" spans="1:12" x14ac:dyDescent="0.15">
      <c r="A28" s="54">
        <v>404</v>
      </c>
      <c r="B28" s="53" t="s">
        <v>26</v>
      </c>
      <c r="C28" s="53" t="s">
        <v>31</v>
      </c>
      <c r="D28" s="53" t="s">
        <v>408</v>
      </c>
      <c r="E28" s="53">
        <v>3</v>
      </c>
      <c r="F28" s="53">
        <v>1</v>
      </c>
      <c r="G28" s="53">
        <v>6</v>
      </c>
      <c r="H28" s="53">
        <v>81158</v>
      </c>
      <c r="I28" s="53">
        <v>1913.886</v>
      </c>
      <c r="J28" s="53">
        <v>1023669.1180000002</v>
      </c>
      <c r="K28" s="51"/>
    </row>
    <row r="29" spans="1:12" x14ac:dyDescent="0.15">
      <c r="A29" s="54">
        <v>404</v>
      </c>
      <c r="B29" s="53" t="s">
        <v>26</v>
      </c>
      <c r="C29" s="53" t="s">
        <v>32</v>
      </c>
      <c r="D29" s="53" t="s">
        <v>409</v>
      </c>
      <c r="E29" s="53">
        <v>2</v>
      </c>
      <c r="F29" s="53">
        <v>1</v>
      </c>
      <c r="G29" s="53">
        <v>4</v>
      </c>
      <c r="H29" s="53">
        <v>81158</v>
      </c>
      <c r="I29" s="53">
        <v>0</v>
      </c>
      <c r="J29" s="53">
        <v>1023665.1180000002</v>
      </c>
      <c r="K29" s="51"/>
    </row>
    <row r="30" spans="1:12" x14ac:dyDescent="0.15">
      <c r="A30" s="54">
        <v>404</v>
      </c>
      <c r="B30" s="53" t="s">
        <v>26</v>
      </c>
      <c r="C30" s="53" t="s">
        <v>34</v>
      </c>
      <c r="D30" s="53" t="s">
        <v>410</v>
      </c>
      <c r="E30" s="53">
        <v>1</v>
      </c>
      <c r="F30" s="53">
        <v>1</v>
      </c>
      <c r="G30" s="53">
        <v>14</v>
      </c>
      <c r="H30" s="53">
        <v>81158</v>
      </c>
      <c r="I30" s="53">
        <v>14.077999999999999</v>
      </c>
      <c r="J30" s="53">
        <v>1023665.1960000002</v>
      </c>
      <c r="K30" s="51"/>
    </row>
    <row r="31" spans="1:12" x14ac:dyDescent="0.15">
      <c r="A31" s="54">
        <v>404</v>
      </c>
      <c r="B31" s="53" t="s">
        <v>26</v>
      </c>
      <c r="C31" s="53" t="s">
        <v>35</v>
      </c>
      <c r="D31" s="53" t="s">
        <v>411</v>
      </c>
      <c r="E31" s="53">
        <v>4</v>
      </c>
      <c r="F31" s="53">
        <v>1</v>
      </c>
      <c r="G31" s="53">
        <v>168</v>
      </c>
      <c r="H31" s="53">
        <v>81158</v>
      </c>
      <c r="I31" s="53">
        <v>0</v>
      </c>
      <c r="J31" s="53">
        <v>1023497.1960000002</v>
      </c>
      <c r="K31" s="51"/>
    </row>
    <row r="32" spans="1:12" x14ac:dyDescent="0.15">
      <c r="A32" s="54">
        <v>404</v>
      </c>
      <c r="B32" s="53" t="s">
        <v>206</v>
      </c>
      <c r="C32" s="53" t="s">
        <v>5</v>
      </c>
      <c r="D32" s="53" t="s">
        <v>412</v>
      </c>
      <c r="E32" s="53">
        <v>5</v>
      </c>
      <c r="F32" s="53">
        <v>1</v>
      </c>
      <c r="G32" s="53">
        <v>2160</v>
      </c>
      <c r="H32" s="53">
        <v>81158</v>
      </c>
      <c r="I32" s="53">
        <v>9570</v>
      </c>
      <c r="J32" s="53">
        <v>1030907.1960000002</v>
      </c>
      <c r="K32" s="51"/>
      <c r="L32" s="51"/>
    </row>
    <row r="33" spans="1:11" x14ac:dyDescent="0.15">
      <c r="A33" s="54">
        <v>404</v>
      </c>
      <c r="B33" s="53" t="s">
        <v>206</v>
      </c>
      <c r="C33" s="53" t="s">
        <v>27</v>
      </c>
      <c r="D33" s="53" t="s">
        <v>526</v>
      </c>
      <c r="E33" s="53">
        <v>2</v>
      </c>
      <c r="F33" s="53">
        <v>1</v>
      </c>
      <c r="G33" s="53">
        <v>8</v>
      </c>
      <c r="H33" s="53">
        <v>81158</v>
      </c>
      <c r="I33" s="53">
        <v>3828</v>
      </c>
      <c r="J33" s="53">
        <v>1034727.1960000002</v>
      </c>
      <c r="K33" s="51"/>
    </row>
    <row r="34" spans="1:11" x14ac:dyDescent="0.15">
      <c r="A34" s="54">
        <v>404</v>
      </c>
      <c r="B34" s="53" t="s">
        <v>206</v>
      </c>
      <c r="C34" s="53" t="s">
        <v>16</v>
      </c>
      <c r="D34" s="53" t="s">
        <v>414</v>
      </c>
      <c r="E34" s="53">
        <v>3</v>
      </c>
      <c r="F34" s="53">
        <v>1</v>
      </c>
      <c r="G34" s="53">
        <v>2058</v>
      </c>
      <c r="H34" s="53">
        <v>81158</v>
      </c>
      <c r="I34" s="53">
        <v>5742</v>
      </c>
      <c r="J34" s="53">
        <v>1038411.1960000002</v>
      </c>
      <c r="K34" s="51"/>
    </row>
    <row r="35" spans="1:11" x14ac:dyDescent="0.15">
      <c r="A35" s="54">
        <v>404</v>
      </c>
      <c r="B35" s="53" t="s">
        <v>206</v>
      </c>
      <c r="C35" s="53" t="s">
        <v>18</v>
      </c>
      <c r="D35" s="53" t="s">
        <v>415</v>
      </c>
      <c r="E35" s="53">
        <v>5</v>
      </c>
      <c r="F35" s="53">
        <v>1</v>
      </c>
      <c r="G35" s="53">
        <v>5800</v>
      </c>
      <c r="H35" s="53">
        <v>81158</v>
      </c>
      <c r="I35" s="53">
        <v>9570</v>
      </c>
      <c r="J35" s="53">
        <v>1042181.1960000002</v>
      </c>
      <c r="K35" s="51"/>
    </row>
    <row r="36" spans="1:11" x14ac:dyDescent="0.15">
      <c r="A36" s="54">
        <v>404</v>
      </c>
      <c r="B36" s="53" t="s">
        <v>206</v>
      </c>
      <c r="C36" s="53" t="s">
        <v>22</v>
      </c>
      <c r="D36" s="53" t="s">
        <v>416</v>
      </c>
      <c r="E36" s="53">
        <v>4</v>
      </c>
      <c r="F36" s="53">
        <v>1</v>
      </c>
      <c r="G36" s="53">
        <v>432</v>
      </c>
      <c r="H36" s="53">
        <v>81158</v>
      </c>
      <c r="I36" s="53">
        <v>2551.848</v>
      </c>
      <c r="J36" s="53">
        <v>1044301.0440000002</v>
      </c>
      <c r="K36" s="51"/>
    </row>
    <row r="37" spans="1:11" x14ac:dyDescent="0.15">
      <c r="A37" s="54">
        <v>404</v>
      </c>
      <c r="B37" s="53" t="s">
        <v>206</v>
      </c>
      <c r="C37" s="53" t="s">
        <v>28</v>
      </c>
      <c r="D37" s="53" t="s">
        <v>417</v>
      </c>
      <c r="E37" s="53">
        <v>2</v>
      </c>
      <c r="F37" s="53">
        <v>1</v>
      </c>
      <c r="G37" s="53">
        <v>120</v>
      </c>
      <c r="H37" s="53">
        <v>81158</v>
      </c>
      <c r="I37" s="53">
        <v>1275.924</v>
      </c>
      <c r="J37" s="53">
        <v>1045456.9680000002</v>
      </c>
      <c r="K37" s="51"/>
    </row>
    <row r="38" spans="1:11" x14ac:dyDescent="0.15">
      <c r="A38" s="54">
        <v>404</v>
      </c>
      <c r="B38" s="53" t="s">
        <v>206</v>
      </c>
      <c r="C38" s="53" t="s">
        <v>29</v>
      </c>
      <c r="D38" s="53" t="s">
        <v>418</v>
      </c>
      <c r="E38" s="53">
        <v>1</v>
      </c>
      <c r="F38" s="53">
        <v>1</v>
      </c>
      <c r="G38" s="53">
        <v>70</v>
      </c>
      <c r="H38" s="53">
        <v>81158</v>
      </c>
      <c r="I38" s="53">
        <v>0</v>
      </c>
      <c r="J38" s="53">
        <v>1045386.9680000002</v>
      </c>
      <c r="K38" s="51"/>
    </row>
    <row r="39" spans="1:11" x14ac:dyDescent="0.15">
      <c r="A39" s="54">
        <v>404</v>
      </c>
      <c r="B39" s="53" t="s">
        <v>206</v>
      </c>
      <c r="C39" s="53" t="s">
        <v>30</v>
      </c>
      <c r="D39" s="53" t="s">
        <v>419</v>
      </c>
      <c r="E39" s="53">
        <v>3</v>
      </c>
      <c r="F39" s="53">
        <v>1</v>
      </c>
      <c r="G39" s="53">
        <v>6</v>
      </c>
      <c r="H39" s="53">
        <v>81158</v>
      </c>
      <c r="I39" s="53">
        <v>1913.886</v>
      </c>
      <c r="J39" s="53">
        <v>1047294.8540000003</v>
      </c>
      <c r="K39" s="51"/>
    </row>
    <row r="40" spans="1:11" x14ac:dyDescent="0.15">
      <c r="A40" s="54">
        <v>404</v>
      </c>
      <c r="B40" s="53" t="s">
        <v>206</v>
      </c>
      <c r="C40" s="53" t="s">
        <v>23</v>
      </c>
      <c r="D40" s="53" t="s">
        <v>420</v>
      </c>
      <c r="E40" s="53">
        <v>5</v>
      </c>
      <c r="F40" s="53">
        <v>1</v>
      </c>
      <c r="G40" s="53">
        <v>540</v>
      </c>
      <c r="H40" s="53">
        <v>81158</v>
      </c>
      <c r="I40" s="53">
        <v>3189.81</v>
      </c>
      <c r="J40" s="53">
        <v>1049944.6640000003</v>
      </c>
      <c r="K40" s="51"/>
    </row>
    <row r="41" spans="1:11" x14ac:dyDescent="0.15">
      <c r="A41" s="54">
        <v>404</v>
      </c>
      <c r="B41" s="53" t="s">
        <v>206</v>
      </c>
      <c r="C41" s="53" t="s">
        <v>31</v>
      </c>
      <c r="D41" s="53" t="s">
        <v>419</v>
      </c>
      <c r="E41" s="53">
        <v>4</v>
      </c>
      <c r="F41" s="53">
        <v>1</v>
      </c>
      <c r="G41" s="53">
        <v>8</v>
      </c>
      <c r="H41" s="53">
        <v>81158</v>
      </c>
      <c r="I41" s="53">
        <v>2551.848</v>
      </c>
      <c r="J41" s="53">
        <v>1052488.5120000003</v>
      </c>
      <c r="K41" s="51"/>
    </row>
    <row r="42" spans="1:11" x14ac:dyDescent="0.15">
      <c r="A42" s="54">
        <v>404</v>
      </c>
      <c r="B42" s="53" t="s">
        <v>206</v>
      </c>
      <c r="C42" s="53" t="s">
        <v>32</v>
      </c>
      <c r="D42" s="53" t="s">
        <v>421</v>
      </c>
      <c r="E42" s="53">
        <v>5</v>
      </c>
      <c r="F42" s="53">
        <v>1</v>
      </c>
      <c r="G42" s="53">
        <v>10</v>
      </c>
      <c r="H42" s="53">
        <v>81158</v>
      </c>
      <c r="I42" s="53">
        <v>0</v>
      </c>
      <c r="J42" s="53">
        <v>1052478.5120000003</v>
      </c>
      <c r="K42" s="51"/>
    </row>
    <row r="43" spans="1:11" x14ac:dyDescent="0.15">
      <c r="A43" s="54">
        <v>404</v>
      </c>
      <c r="B43" s="53" t="s">
        <v>206</v>
      </c>
      <c r="C43" s="53" t="s">
        <v>34</v>
      </c>
      <c r="D43" s="53" t="s">
        <v>207</v>
      </c>
      <c r="E43" s="53">
        <v>4</v>
      </c>
      <c r="F43" s="53">
        <v>1</v>
      </c>
      <c r="G43" s="53">
        <v>40</v>
      </c>
      <c r="H43" s="53">
        <v>81158</v>
      </c>
      <c r="I43" s="53">
        <v>28.155999999999999</v>
      </c>
      <c r="J43" s="53">
        <v>1052466.6680000003</v>
      </c>
      <c r="K43" s="51"/>
    </row>
    <row r="44" spans="1:11" x14ac:dyDescent="0.15">
      <c r="A44" s="54">
        <v>404</v>
      </c>
      <c r="B44" s="53" t="s">
        <v>206</v>
      </c>
      <c r="C44" s="53" t="s">
        <v>35</v>
      </c>
      <c r="D44" s="53" t="s">
        <v>422</v>
      </c>
      <c r="E44" s="53">
        <v>2</v>
      </c>
      <c r="F44" s="53">
        <v>1</v>
      </c>
      <c r="G44" s="53">
        <v>24</v>
      </c>
      <c r="H44" s="53">
        <v>81158</v>
      </c>
      <c r="I44" s="53">
        <v>70.878</v>
      </c>
      <c r="J44" s="53">
        <v>1052513.5460000003</v>
      </c>
      <c r="K44" s="51"/>
    </row>
    <row r="45" spans="1:11" x14ac:dyDescent="0.15">
      <c r="A45" s="54">
        <v>404</v>
      </c>
      <c r="B45" s="53" t="s">
        <v>208</v>
      </c>
      <c r="C45" s="53" t="s">
        <v>5</v>
      </c>
      <c r="D45" s="53" t="s">
        <v>423</v>
      </c>
      <c r="E45" s="53">
        <v>3</v>
      </c>
      <c r="F45" s="53">
        <v>1</v>
      </c>
      <c r="G45" s="53">
        <v>1440</v>
      </c>
      <c r="H45" s="53">
        <v>81158</v>
      </c>
      <c r="I45" s="53">
        <v>5742</v>
      </c>
      <c r="J45" s="53">
        <v>1056815.5460000003</v>
      </c>
      <c r="K45" s="51"/>
    </row>
    <row r="46" spans="1:11" x14ac:dyDescent="0.15">
      <c r="A46" s="54">
        <v>404</v>
      </c>
      <c r="B46" s="53" t="s">
        <v>208</v>
      </c>
      <c r="C46" s="53" t="s">
        <v>27</v>
      </c>
      <c r="D46" s="53" t="s">
        <v>424</v>
      </c>
      <c r="E46" s="53">
        <v>1</v>
      </c>
      <c r="F46" s="53">
        <v>1</v>
      </c>
      <c r="G46" s="53">
        <v>2</v>
      </c>
      <c r="H46" s="53">
        <v>81158</v>
      </c>
      <c r="I46" s="53">
        <v>1914</v>
      </c>
      <c r="J46" s="53">
        <v>1058727.5460000003</v>
      </c>
      <c r="K46" s="51"/>
    </row>
    <row r="47" spans="1:11" x14ac:dyDescent="0.15">
      <c r="A47" s="54">
        <v>404</v>
      </c>
      <c r="B47" s="53" t="s">
        <v>208</v>
      </c>
      <c r="C47" s="53" t="s">
        <v>16</v>
      </c>
      <c r="D47" s="53" t="s">
        <v>425</v>
      </c>
      <c r="E47" s="53">
        <v>2</v>
      </c>
      <c r="F47" s="53">
        <v>1</v>
      </c>
      <c r="G47" s="53">
        <v>1124</v>
      </c>
      <c r="H47" s="53">
        <v>81158</v>
      </c>
      <c r="I47" s="53">
        <v>3828</v>
      </c>
      <c r="J47" s="53">
        <v>1061431.5460000003</v>
      </c>
      <c r="K47" s="51"/>
    </row>
    <row r="48" spans="1:11" x14ac:dyDescent="0.15">
      <c r="A48" s="54">
        <v>404</v>
      </c>
      <c r="B48" s="53" t="s">
        <v>208</v>
      </c>
      <c r="C48" s="53" t="s">
        <v>18</v>
      </c>
      <c r="D48" s="53" t="s">
        <v>426</v>
      </c>
      <c r="E48" s="53">
        <v>1</v>
      </c>
      <c r="F48" s="53">
        <v>1</v>
      </c>
      <c r="G48" s="53">
        <v>1328</v>
      </c>
      <c r="H48" s="53">
        <v>81158</v>
      </c>
      <c r="I48" s="53">
        <v>1914</v>
      </c>
      <c r="J48" s="53">
        <v>1062017.5460000003</v>
      </c>
      <c r="K48" s="51"/>
    </row>
    <row r="49" spans="1:11" x14ac:dyDescent="0.15">
      <c r="A49" s="54">
        <v>404</v>
      </c>
      <c r="B49" s="53" t="s">
        <v>208</v>
      </c>
      <c r="C49" s="53" t="s">
        <v>22</v>
      </c>
      <c r="D49" s="53" t="s">
        <v>427</v>
      </c>
      <c r="E49" s="53">
        <v>2</v>
      </c>
      <c r="F49" s="53">
        <v>1</v>
      </c>
      <c r="G49" s="53">
        <v>108</v>
      </c>
      <c r="H49" s="53">
        <v>81158</v>
      </c>
      <c r="I49" s="53">
        <v>637.96199999999999</v>
      </c>
      <c r="J49" s="53">
        <v>1062547.5080000004</v>
      </c>
      <c r="K49" s="51"/>
    </row>
    <row r="50" spans="1:11" x14ac:dyDescent="0.15">
      <c r="A50" s="54">
        <v>404</v>
      </c>
      <c r="B50" s="53" t="s">
        <v>208</v>
      </c>
      <c r="C50" s="53" t="s">
        <v>28</v>
      </c>
      <c r="D50" s="53" t="s">
        <v>428</v>
      </c>
      <c r="E50" s="53">
        <v>1</v>
      </c>
      <c r="F50" s="53">
        <v>1</v>
      </c>
      <c r="G50" s="53">
        <v>112</v>
      </c>
      <c r="H50" s="53">
        <v>81158</v>
      </c>
      <c r="I50" s="53">
        <v>0</v>
      </c>
      <c r="J50" s="53">
        <v>1062435.5080000004</v>
      </c>
      <c r="K50" s="51"/>
    </row>
    <row r="51" spans="1:11" x14ac:dyDescent="0.15">
      <c r="A51" s="54">
        <v>404</v>
      </c>
      <c r="B51" s="53" t="s">
        <v>208</v>
      </c>
      <c r="C51" s="53" t="s">
        <v>29</v>
      </c>
      <c r="D51" s="53" t="s">
        <v>428</v>
      </c>
      <c r="E51" s="53">
        <v>2</v>
      </c>
      <c r="F51" s="53">
        <v>1</v>
      </c>
      <c r="G51" s="53">
        <v>224</v>
      </c>
      <c r="H51" s="53">
        <v>81158</v>
      </c>
      <c r="I51" s="53">
        <v>637.96199999999999</v>
      </c>
      <c r="J51" s="53">
        <v>1062849.4700000004</v>
      </c>
      <c r="K51" s="51"/>
    </row>
    <row r="52" spans="1:11" x14ac:dyDescent="0.15">
      <c r="A52" s="54">
        <v>404</v>
      </c>
      <c r="B52" s="53" t="s">
        <v>208</v>
      </c>
      <c r="C52" s="53" t="s">
        <v>30</v>
      </c>
      <c r="D52" s="53" t="s">
        <v>429</v>
      </c>
      <c r="E52" s="53">
        <v>3</v>
      </c>
      <c r="F52" s="53">
        <v>1</v>
      </c>
      <c r="G52" s="53">
        <v>6</v>
      </c>
      <c r="H52" s="53">
        <v>81158</v>
      </c>
      <c r="I52" s="53">
        <v>956.94299999999998</v>
      </c>
      <c r="J52" s="53">
        <v>1063800.4130000004</v>
      </c>
      <c r="K52" s="51"/>
    </row>
    <row r="53" spans="1:11" x14ac:dyDescent="0.15">
      <c r="A53" s="54">
        <v>404</v>
      </c>
      <c r="B53" s="53" t="s">
        <v>208</v>
      </c>
      <c r="C53" s="53" t="s">
        <v>23</v>
      </c>
      <c r="D53" s="53" t="s">
        <v>407</v>
      </c>
      <c r="E53" s="53">
        <v>1</v>
      </c>
      <c r="F53" s="53">
        <v>1</v>
      </c>
      <c r="G53" s="53">
        <v>108</v>
      </c>
      <c r="H53" s="53">
        <v>81158</v>
      </c>
      <c r="I53" s="53">
        <v>318.98099999999999</v>
      </c>
      <c r="J53" s="53">
        <v>1064011.3940000003</v>
      </c>
      <c r="K53" s="51"/>
    </row>
    <row r="54" spans="1:11" x14ac:dyDescent="0.15">
      <c r="A54" s="54">
        <v>404</v>
      </c>
      <c r="B54" s="53" t="s">
        <v>208</v>
      </c>
      <c r="C54" s="53" t="s">
        <v>31</v>
      </c>
      <c r="D54" s="53" t="s">
        <v>430</v>
      </c>
      <c r="E54" s="53">
        <v>2</v>
      </c>
      <c r="F54" s="53">
        <v>1</v>
      </c>
      <c r="G54" s="53">
        <v>4</v>
      </c>
      <c r="H54" s="53">
        <v>81158</v>
      </c>
      <c r="I54" s="53">
        <v>0</v>
      </c>
      <c r="J54" s="53">
        <v>1064007.3940000003</v>
      </c>
      <c r="K54" s="51"/>
    </row>
    <row r="55" spans="1:11" x14ac:dyDescent="0.15">
      <c r="A55" s="54">
        <v>404</v>
      </c>
      <c r="B55" s="53" t="s">
        <v>208</v>
      </c>
      <c r="C55" s="53" t="s">
        <v>32</v>
      </c>
      <c r="D55" s="53" t="s">
        <v>431</v>
      </c>
      <c r="E55" s="53">
        <v>3</v>
      </c>
      <c r="F55" s="53">
        <v>1</v>
      </c>
      <c r="G55" s="53">
        <v>6</v>
      </c>
      <c r="H55" s="53">
        <v>81158</v>
      </c>
      <c r="I55" s="53">
        <v>956.94299999999998</v>
      </c>
      <c r="J55" s="53">
        <v>1064958.3370000003</v>
      </c>
      <c r="K55" s="51"/>
    </row>
    <row r="56" spans="1:11" x14ac:dyDescent="0.15">
      <c r="A56" s="54">
        <v>404</v>
      </c>
      <c r="B56" s="53" t="s">
        <v>208</v>
      </c>
      <c r="C56" s="53" t="s">
        <v>34</v>
      </c>
      <c r="D56" s="53" t="s">
        <v>432</v>
      </c>
      <c r="E56" s="53">
        <v>3</v>
      </c>
      <c r="F56" s="53">
        <v>1</v>
      </c>
      <c r="G56" s="53">
        <v>42</v>
      </c>
      <c r="H56" s="53">
        <v>81158</v>
      </c>
      <c r="I56" s="53">
        <v>42.233999999999995</v>
      </c>
      <c r="J56" s="53">
        <v>1064958.5710000002</v>
      </c>
      <c r="K56" s="51"/>
    </row>
    <row r="57" spans="1:11" x14ac:dyDescent="0.15">
      <c r="A57" s="54">
        <v>404</v>
      </c>
      <c r="B57" s="53" t="s">
        <v>208</v>
      </c>
      <c r="C57" s="53" t="s">
        <v>35</v>
      </c>
      <c r="D57" s="53" t="s">
        <v>433</v>
      </c>
      <c r="E57" s="53">
        <v>3</v>
      </c>
      <c r="F57" s="53">
        <v>1</v>
      </c>
      <c r="G57" s="53">
        <v>126</v>
      </c>
      <c r="H57" s="53">
        <v>81158</v>
      </c>
      <c r="I57" s="53">
        <v>106.31700000000001</v>
      </c>
      <c r="J57" s="53">
        <v>1064938.8880000003</v>
      </c>
      <c r="K57" s="51"/>
    </row>
    <row r="58" spans="1:11" x14ac:dyDescent="0.15">
      <c r="A58" s="54">
        <v>404</v>
      </c>
      <c r="B58" s="53" t="s">
        <v>209</v>
      </c>
      <c r="C58" s="53" t="s">
        <v>5</v>
      </c>
      <c r="D58" s="53" t="s">
        <v>434</v>
      </c>
      <c r="E58" s="53">
        <v>1</v>
      </c>
      <c r="F58" s="53">
        <v>1</v>
      </c>
      <c r="G58" s="53">
        <v>1800</v>
      </c>
      <c r="H58" s="53">
        <v>81158</v>
      </c>
      <c r="I58" s="53">
        <v>19140</v>
      </c>
      <c r="J58" s="53">
        <v>1082278.8880000003</v>
      </c>
      <c r="K58" s="51"/>
    </row>
    <row r="59" spans="1:11" x14ac:dyDescent="0.15">
      <c r="A59" s="54">
        <v>404</v>
      </c>
      <c r="B59" s="53" t="s">
        <v>209</v>
      </c>
      <c r="C59" s="53" t="s">
        <v>27</v>
      </c>
      <c r="D59" s="53" t="s">
        <v>435</v>
      </c>
      <c r="E59" s="53">
        <v>2</v>
      </c>
      <c r="F59" s="53">
        <v>1</v>
      </c>
      <c r="G59" s="53">
        <v>4</v>
      </c>
      <c r="H59" s="53">
        <v>81158</v>
      </c>
      <c r="I59" s="53">
        <v>38280</v>
      </c>
      <c r="J59" s="53">
        <v>1120554.8880000003</v>
      </c>
      <c r="K59" s="51"/>
    </row>
    <row r="60" spans="1:11" x14ac:dyDescent="0.15">
      <c r="A60" s="54">
        <v>404</v>
      </c>
      <c r="B60" s="53" t="s">
        <v>209</v>
      </c>
      <c r="C60" s="53" t="s">
        <v>210</v>
      </c>
      <c r="D60" s="53" t="s">
        <v>215</v>
      </c>
      <c r="E60" s="53">
        <v>5</v>
      </c>
      <c r="F60" s="53">
        <v>1</v>
      </c>
      <c r="G60" s="53">
        <v>700</v>
      </c>
      <c r="H60" s="53">
        <v>81158</v>
      </c>
      <c r="I60" s="53">
        <v>0</v>
      </c>
      <c r="J60" s="53">
        <v>1119854.8880000003</v>
      </c>
      <c r="K60" s="51"/>
    </row>
    <row r="61" spans="1:11" x14ac:dyDescent="0.15">
      <c r="A61" s="54">
        <v>404</v>
      </c>
      <c r="B61" s="53" t="s">
        <v>209</v>
      </c>
      <c r="C61" s="53" t="s">
        <v>211</v>
      </c>
      <c r="D61" s="53" t="s">
        <v>436</v>
      </c>
      <c r="E61" s="53">
        <v>4</v>
      </c>
      <c r="F61" s="53">
        <v>1</v>
      </c>
      <c r="G61" s="53">
        <v>1288</v>
      </c>
      <c r="H61" s="53">
        <v>81158</v>
      </c>
      <c r="I61" s="53">
        <v>6379.848</v>
      </c>
      <c r="J61" s="53">
        <v>1124946.7360000003</v>
      </c>
      <c r="K61" s="51"/>
    </row>
    <row r="62" spans="1:11" x14ac:dyDescent="0.15">
      <c r="A62" s="54">
        <v>404</v>
      </c>
      <c r="B62" s="53" t="s">
        <v>209</v>
      </c>
      <c r="C62" s="53" t="s">
        <v>212</v>
      </c>
      <c r="D62" s="53" t="s">
        <v>437</v>
      </c>
      <c r="E62" s="53">
        <v>1</v>
      </c>
      <c r="F62" s="53">
        <v>1</v>
      </c>
      <c r="G62" s="53">
        <v>42</v>
      </c>
      <c r="H62" s="53">
        <v>81158</v>
      </c>
      <c r="I62" s="53">
        <v>0</v>
      </c>
      <c r="J62" s="53">
        <v>1124904.7360000003</v>
      </c>
      <c r="K62" s="51"/>
    </row>
    <row r="63" spans="1:11" x14ac:dyDescent="0.15">
      <c r="A63" s="54">
        <v>404</v>
      </c>
      <c r="B63" s="53" t="s">
        <v>209</v>
      </c>
      <c r="C63" s="53" t="s">
        <v>213</v>
      </c>
      <c r="D63" s="53" t="s">
        <v>438</v>
      </c>
      <c r="E63" s="53">
        <v>2</v>
      </c>
      <c r="F63" s="53">
        <v>1</v>
      </c>
      <c r="G63" s="53">
        <v>148</v>
      </c>
      <c r="H63" s="53">
        <v>81158</v>
      </c>
      <c r="I63" s="53">
        <v>0</v>
      </c>
      <c r="J63" s="53">
        <v>1124756.7360000003</v>
      </c>
      <c r="K63" s="51"/>
    </row>
    <row r="64" spans="1:11" x14ac:dyDescent="0.15">
      <c r="A64" s="54">
        <v>404</v>
      </c>
      <c r="B64" s="53" t="s">
        <v>209</v>
      </c>
      <c r="C64" s="53" t="s">
        <v>34</v>
      </c>
      <c r="D64" s="53" t="s">
        <v>439</v>
      </c>
      <c r="E64" s="53">
        <v>3</v>
      </c>
      <c r="F64" s="53">
        <v>1</v>
      </c>
      <c r="G64" s="53">
        <v>48</v>
      </c>
      <c r="H64" s="53">
        <v>81158</v>
      </c>
      <c r="I64" s="53">
        <v>49.634999999999998</v>
      </c>
      <c r="J64" s="53">
        <v>1124758.3710000003</v>
      </c>
      <c r="K64" s="51"/>
    </row>
    <row r="65" spans="1:12" x14ac:dyDescent="0.15">
      <c r="A65" s="54">
        <v>404</v>
      </c>
      <c r="B65" s="53" t="s">
        <v>209</v>
      </c>
      <c r="C65" s="53" t="s">
        <v>35</v>
      </c>
      <c r="D65" s="53" t="s">
        <v>440</v>
      </c>
      <c r="E65" s="53">
        <v>1</v>
      </c>
      <c r="F65" s="53">
        <v>1</v>
      </c>
      <c r="G65" s="53">
        <v>42</v>
      </c>
      <c r="H65" s="53">
        <v>81158</v>
      </c>
      <c r="I65" s="53">
        <v>19.62</v>
      </c>
      <c r="J65" s="53">
        <v>1124735.9910000004</v>
      </c>
      <c r="K65" s="51"/>
    </row>
    <row r="66" spans="1:12" x14ac:dyDescent="0.15">
      <c r="A66" s="54">
        <v>404</v>
      </c>
      <c r="B66" s="53" t="s">
        <v>214</v>
      </c>
      <c r="C66" s="53" t="s">
        <v>5</v>
      </c>
      <c r="D66" s="53" t="s">
        <v>441</v>
      </c>
      <c r="E66" s="53">
        <v>2</v>
      </c>
      <c r="F66" s="53">
        <v>1</v>
      </c>
      <c r="G66" s="53">
        <v>31104</v>
      </c>
      <c r="H66" s="53">
        <v>81158</v>
      </c>
      <c r="I66" s="53">
        <v>382800</v>
      </c>
      <c r="J66" s="53">
        <v>1476431.9910000004</v>
      </c>
      <c r="K66" s="51"/>
    </row>
    <row r="67" spans="1:12" x14ac:dyDescent="0.15">
      <c r="A67" s="54">
        <v>404</v>
      </c>
      <c r="B67" s="53" t="s">
        <v>214</v>
      </c>
      <c r="C67" s="53" t="s">
        <v>27</v>
      </c>
      <c r="D67" s="53" t="s">
        <v>527</v>
      </c>
      <c r="E67" s="53">
        <v>3</v>
      </c>
      <c r="F67" s="53">
        <v>1</v>
      </c>
      <c r="G67" s="53">
        <v>18</v>
      </c>
      <c r="H67" s="53">
        <v>81158</v>
      </c>
      <c r="I67" s="53">
        <v>574200</v>
      </c>
      <c r="J67" s="53">
        <v>2050613.9910000004</v>
      </c>
      <c r="K67" s="51"/>
    </row>
    <row r="68" spans="1:12" x14ac:dyDescent="0.15">
      <c r="A68" s="54">
        <v>404</v>
      </c>
      <c r="B68" s="53" t="s">
        <v>214</v>
      </c>
      <c r="C68" s="53" t="s">
        <v>216</v>
      </c>
      <c r="D68" s="53" t="s">
        <v>443</v>
      </c>
      <c r="E68" s="53">
        <v>1</v>
      </c>
      <c r="F68" s="53">
        <v>1</v>
      </c>
      <c r="G68" s="53">
        <v>252</v>
      </c>
      <c r="H68" s="53">
        <v>81158</v>
      </c>
      <c r="I68" s="53">
        <v>0</v>
      </c>
      <c r="J68" s="53">
        <v>2050361.9910000004</v>
      </c>
      <c r="K68" s="51"/>
    </row>
    <row r="69" spans="1:12" x14ac:dyDescent="0.15">
      <c r="A69" s="54">
        <v>404</v>
      </c>
      <c r="B69" s="53" t="s">
        <v>214</v>
      </c>
      <c r="C69" s="53" t="s">
        <v>217</v>
      </c>
      <c r="D69" s="53" t="s">
        <v>444</v>
      </c>
      <c r="E69" s="53">
        <v>2</v>
      </c>
      <c r="F69" s="53">
        <v>1</v>
      </c>
      <c r="G69" s="53">
        <v>540</v>
      </c>
      <c r="H69" s="53">
        <v>81158</v>
      </c>
      <c r="I69" s="53">
        <v>0</v>
      </c>
      <c r="J69" s="53">
        <v>2049821.9910000004</v>
      </c>
      <c r="K69" s="51"/>
    </row>
    <row r="70" spans="1:12" x14ac:dyDescent="0.15">
      <c r="A70" s="54">
        <v>404</v>
      </c>
      <c r="B70" s="53" t="s">
        <v>214</v>
      </c>
      <c r="C70" s="53" t="s">
        <v>218</v>
      </c>
      <c r="D70" s="53" t="s">
        <v>445</v>
      </c>
      <c r="E70" s="53">
        <v>1</v>
      </c>
      <c r="F70" s="53">
        <v>1</v>
      </c>
      <c r="G70" s="53">
        <v>104</v>
      </c>
      <c r="H70" s="53">
        <v>81158</v>
      </c>
      <c r="I70" s="53">
        <v>6379.9620000000004</v>
      </c>
      <c r="J70" s="53">
        <v>2056097.9530000004</v>
      </c>
      <c r="K70" s="51"/>
    </row>
    <row r="71" spans="1:12" x14ac:dyDescent="0.15">
      <c r="A71" s="54">
        <v>404</v>
      </c>
      <c r="B71" s="53" t="s">
        <v>214</v>
      </c>
      <c r="C71" s="53" t="s">
        <v>219</v>
      </c>
      <c r="D71" s="53" t="s">
        <v>446</v>
      </c>
      <c r="E71" s="53">
        <v>3</v>
      </c>
      <c r="F71" s="53">
        <v>1</v>
      </c>
      <c r="G71" s="53">
        <v>108</v>
      </c>
      <c r="H71" s="53">
        <v>81158</v>
      </c>
      <c r="I71" s="53">
        <v>0</v>
      </c>
      <c r="J71" s="53">
        <v>2055989.9530000004</v>
      </c>
      <c r="K71" s="51"/>
      <c r="L71" s="51"/>
    </row>
    <row r="72" spans="1:12" x14ac:dyDescent="0.15">
      <c r="A72" s="54">
        <v>404</v>
      </c>
      <c r="B72" s="53" t="s">
        <v>214</v>
      </c>
      <c r="C72" s="53" t="s">
        <v>220</v>
      </c>
      <c r="D72" s="53" t="s">
        <v>447</v>
      </c>
      <c r="E72" s="53">
        <v>2</v>
      </c>
      <c r="F72" s="53">
        <v>1</v>
      </c>
      <c r="G72" s="53">
        <v>28</v>
      </c>
      <c r="H72" s="53">
        <v>81158</v>
      </c>
      <c r="I72" s="53">
        <v>0</v>
      </c>
      <c r="J72" s="53">
        <v>2055961.9530000004</v>
      </c>
      <c r="K72" s="51"/>
      <c r="L72" s="51"/>
    </row>
    <row r="73" spans="1:12" x14ac:dyDescent="0.15">
      <c r="A73" s="54">
        <v>404</v>
      </c>
      <c r="B73" s="53" t="s">
        <v>214</v>
      </c>
      <c r="C73" s="53" t="s">
        <v>221</v>
      </c>
      <c r="D73" s="53" t="s">
        <v>448</v>
      </c>
      <c r="E73" s="53">
        <v>3</v>
      </c>
      <c r="F73" s="53">
        <v>1</v>
      </c>
      <c r="G73" s="53">
        <v>48</v>
      </c>
      <c r="H73" s="53">
        <v>81158</v>
      </c>
      <c r="I73" s="53">
        <v>0</v>
      </c>
      <c r="J73" s="53">
        <v>2055913.9530000004</v>
      </c>
      <c r="K73" s="51"/>
      <c r="L73" s="18"/>
    </row>
    <row r="74" spans="1:12" x14ac:dyDescent="0.15">
      <c r="A74" s="54">
        <v>404</v>
      </c>
      <c r="B74" s="53" t="s">
        <v>214</v>
      </c>
      <c r="C74" s="53" t="s">
        <v>34</v>
      </c>
      <c r="D74" s="53" t="s">
        <v>238</v>
      </c>
      <c r="E74" s="53">
        <v>2</v>
      </c>
      <c r="F74" s="53">
        <v>1</v>
      </c>
      <c r="G74" s="53">
        <v>28</v>
      </c>
      <c r="H74" s="53">
        <v>81158</v>
      </c>
      <c r="I74" s="53">
        <v>9.2360000000000007</v>
      </c>
      <c r="J74" s="53">
        <v>2055895.1890000005</v>
      </c>
      <c r="K74" s="51"/>
    </row>
    <row r="75" spans="1:12" x14ac:dyDescent="0.15">
      <c r="A75" s="54">
        <v>404</v>
      </c>
      <c r="B75" s="53" t="s">
        <v>214</v>
      </c>
      <c r="C75" s="53" t="s">
        <v>35</v>
      </c>
      <c r="D75" s="53" t="s">
        <v>238</v>
      </c>
      <c r="E75" s="53">
        <v>4</v>
      </c>
      <c r="F75" s="53">
        <v>1</v>
      </c>
      <c r="G75" s="53">
        <v>168</v>
      </c>
      <c r="H75" s="53">
        <v>81158</v>
      </c>
      <c r="I75" s="53">
        <v>52.003999999999998</v>
      </c>
      <c r="J75" s="53">
        <v>2055779.1930000004</v>
      </c>
      <c r="K75" s="51"/>
    </row>
    <row r="76" spans="1:12" x14ac:dyDescent="0.15">
      <c r="A76" s="54">
        <v>404</v>
      </c>
      <c r="B76" s="53" t="s">
        <v>214</v>
      </c>
      <c r="C76" s="53" t="s">
        <v>222</v>
      </c>
      <c r="D76" s="53" t="s">
        <v>449</v>
      </c>
      <c r="E76" s="53">
        <v>3</v>
      </c>
      <c r="F76" s="53">
        <v>1</v>
      </c>
      <c r="G76" s="53">
        <v>120</v>
      </c>
      <c r="H76" s="53">
        <v>81158</v>
      </c>
      <c r="I76" s="53">
        <v>131.976</v>
      </c>
      <c r="J76" s="53">
        <v>2055791.1690000005</v>
      </c>
      <c r="K76" s="51"/>
    </row>
    <row r="77" spans="1:12" x14ac:dyDescent="0.15">
      <c r="A77" s="54">
        <v>404</v>
      </c>
      <c r="B77" s="53" t="s">
        <v>214</v>
      </c>
      <c r="C77" s="53" t="s">
        <v>223</v>
      </c>
      <c r="D77" s="53" t="s">
        <v>205</v>
      </c>
      <c r="E77" s="53">
        <v>4</v>
      </c>
      <c r="F77" s="53">
        <v>1</v>
      </c>
      <c r="G77" s="53">
        <v>80</v>
      </c>
      <c r="H77" s="53">
        <v>81158</v>
      </c>
      <c r="I77" s="53">
        <v>18.472000000000001</v>
      </c>
      <c r="J77" s="53">
        <v>2055729.6410000005</v>
      </c>
      <c r="K77" s="51"/>
    </row>
    <row r="78" spans="1:12" x14ac:dyDescent="0.15">
      <c r="A78" s="54">
        <v>404</v>
      </c>
      <c r="B78" s="53" t="s">
        <v>214</v>
      </c>
      <c r="C78" s="53" t="s">
        <v>224</v>
      </c>
      <c r="D78" s="53" t="s">
        <v>450</v>
      </c>
      <c r="E78" s="53">
        <v>2</v>
      </c>
      <c r="F78" s="53">
        <v>1</v>
      </c>
      <c r="G78" s="53">
        <v>24</v>
      </c>
      <c r="H78" s="53">
        <v>81158</v>
      </c>
      <c r="I78" s="53">
        <v>93.831999999999994</v>
      </c>
      <c r="J78" s="53">
        <v>2055799.4730000005</v>
      </c>
      <c r="K78" s="51"/>
    </row>
    <row r="79" spans="1:12" x14ac:dyDescent="0.15">
      <c r="A79" s="54">
        <v>404</v>
      </c>
      <c r="B79" s="53" t="s">
        <v>214</v>
      </c>
      <c r="C79" s="53" t="s">
        <v>225</v>
      </c>
      <c r="D79" s="53" t="s">
        <v>451</v>
      </c>
      <c r="E79" s="53">
        <v>4</v>
      </c>
      <c r="F79" s="53">
        <v>1</v>
      </c>
      <c r="G79" s="53">
        <v>16</v>
      </c>
      <c r="H79" s="53">
        <v>81158</v>
      </c>
      <c r="I79" s="53">
        <v>0</v>
      </c>
      <c r="J79" s="53">
        <v>2055783.4730000005</v>
      </c>
      <c r="K79" s="51"/>
    </row>
    <row r="80" spans="1:12" x14ac:dyDescent="0.15">
      <c r="A80" s="54">
        <v>404</v>
      </c>
      <c r="B80" s="53" t="s">
        <v>214</v>
      </c>
      <c r="C80" s="53" t="s">
        <v>226</v>
      </c>
      <c r="D80" s="53" t="s">
        <v>205</v>
      </c>
      <c r="E80" s="53">
        <v>3</v>
      </c>
      <c r="F80" s="53">
        <v>1</v>
      </c>
      <c r="G80" s="53">
        <v>60</v>
      </c>
      <c r="H80" s="53">
        <v>81158</v>
      </c>
      <c r="I80" s="53">
        <v>0</v>
      </c>
      <c r="J80" s="53">
        <v>2055723.4730000005</v>
      </c>
      <c r="K80" s="51"/>
    </row>
    <row r="81" spans="1:12" x14ac:dyDescent="0.15">
      <c r="A81" s="54">
        <v>404</v>
      </c>
      <c r="B81" s="53" t="s">
        <v>227</v>
      </c>
      <c r="C81" s="53" t="s">
        <v>12</v>
      </c>
      <c r="D81" s="53" t="s">
        <v>239</v>
      </c>
      <c r="E81" s="53">
        <v>5</v>
      </c>
      <c r="F81" s="53">
        <v>1</v>
      </c>
      <c r="G81" s="53">
        <v>160</v>
      </c>
      <c r="H81" s="53">
        <v>81158</v>
      </c>
      <c r="I81" s="53">
        <v>153.12</v>
      </c>
      <c r="J81" s="53">
        <v>2055716.5930000006</v>
      </c>
      <c r="K81" s="51"/>
      <c r="L81" s="51"/>
    </row>
    <row r="82" spans="1:12" x14ac:dyDescent="0.15">
      <c r="A82" s="54">
        <v>404</v>
      </c>
      <c r="B82" s="53" t="s">
        <v>227</v>
      </c>
      <c r="C82" s="53" t="s">
        <v>25</v>
      </c>
      <c r="D82" s="53" t="s">
        <v>239</v>
      </c>
      <c r="E82" s="53">
        <v>1</v>
      </c>
      <c r="F82" s="53">
        <v>1</v>
      </c>
      <c r="G82" s="53">
        <v>32</v>
      </c>
      <c r="H82" s="53">
        <v>81158</v>
      </c>
      <c r="I82" s="53">
        <v>30.623999999999999</v>
      </c>
      <c r="J82" s="53">
        <v>2055715.2170000006</v>
      </c>
      <c r="K82" s="51"/>
      <c r="L82" s="51"/>
    </row>
    <row r="83" spans="1:12" x14ac:dyDescent="0.15">
      <c r="A83" s="54">
        <v>404</v>
      </c>
      <c r="B83" s="53" t="s">
        <v>227</v>
      </c>
      <c r="C83" s="53" t="s">
        <v>26</v>
      </c>
      <c r="D83" s="53" t="s">
        <v>240</v>
      </c>
      <c r="E83" s="53">
        <v>2</v>
      </c>
      <c r="F83" s="53">
        <v>1</v>
      </c>
      <c r="G83" s="53">
        <v>256</v>
      </c>
      <c r="H83" s="53">
        <v>81158</v>
      </c>
      <c r="I83" s="53">
        <v>244.99199999999999</v>
      </c>
      <c r="J83" s="53">
        <v>2055704.2090000007</v>
      </c>
      <c r="K83" s="51"/>
      <c r="L83" s="51"/>
    </row>
    <row r="84" spans="1:12" x14ac:dyDescent="0.15">
      <c r="A84" s="54">
        <v>404</v>
      </c>
      <c r="B84" s="53" t="s">
        <v>227</v>
      </c>
      <c r="C84" s="53" t="s">
        <v>208</v>
      </c>
      <c r="D84" s="53" t="s">
        <v>240</v>
      </c>
      <c r="E84" s="53">
        <v>3</v>
      </c>
      <c r="F84" s="53">
        <v>1</v>
      </c>
      <c r="G84" s="53">
        <v>384</v>
      </c>
      <c r="H84" s="53">
        <v>81158</v>
      </c>
      <c r="I84" s="53">
        <v>367.488</v>
      </c>
      <c r="J84" s="53">
        <v>2055687.6970000006</v>
      </c>
      <c r="K84" s="51"/>
      <c r="L84" s="51"/>
    </row>
    <row r="85" spans="1:12" x14ac:dyDescent="0.15">
      <c r="A85" s="54">
        <v>404</v>
      </c>
      <c r="B85" s="53" t="s">
        <v>228</v>
      </c>
      <c r="C85" s="53" t="s">
        <v>228</v>
      </c>
      <c r="D85" s="53" t="s">
        <v>241</v>
      </c>
      <c r="E85" s="53">
        <v>1</v>
      </c>
      <c r="F85" s="53">
        <v>1</v>
      </c>
      <c r="G85" s="53">
        <v>34</v>
      </c>
      <c r="H85" s="53">
        <v>81158</v>
      </c>
      <c r="I85" s="53">
        <v>32.537999999999997</v>
      </c>
      <c r="J85" s="53">
        <v>2055686.2350000006</v>
      </c>
      <c r="K85" s="51"/>
      <c r="L85" s="51"/>
    </row>
    <row r="86" spans="1:12" x14ac:dyDescent="0.15">
      <c r="A86" s="54">
        <v>404</v>
      </c>
      <c r="B86" s="53" t="s">
        <v>229</v>
      </c>
      <c r="C86" s="53" t="s">
        <v>229</v>
      </c>
      <c r="D86" s="53" t="s">
        <v>242</v>
      </c>
      <c r="E86" s="53">
        <v>1</v>
      </c>
      <c r="F86" s="53">
        <v>2</v>
      </c>
      <c r="G86" s="53">
        <v>60</v>
      </c>
      <c r="H86" s="53">
        <v>81158</v>
      </c>
      <c r="I86" s="53">
        <v>73.024000000000001</v>
      </c>
      <c r="J86" s="53">
        <v>2055699.2590000005</v>
      </c>
      <c r="K86" s="51"/>
      <c r="L86" s="51"/>
    </row>
    <row r="87" spans="1:12" x14ac:dyDescent="0.15">
      <c r="A87" s="54">
        <v>404</v>
      </c>
      <c r="B87" s="53" t="s">
        <v>230</v>
      </c>
      <c r="C87" s="53" t="s">
        <v>230</v>
      </c>
      <c r="D87" s="53" t="s">
        <v>205</v>
      </c>
      <c r="E87" s="53">
        <v>3</v>
      </c>
      <c r="F87" s="53">
        <v>1</v>
      </c>
      <c r="G87" s="53">
        <v>60</v>
      </c>
      <c r="H87" s="53">
        <v>81158</v>
      </c>
      <c r="I87" s="53">
        <v>0</v>
      </c>
      <c r="J87" s="53">
        <v>2055639.2590000005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476</v>
      </c>
      <c r="B1" t="s">
        <v>477</v>
      </c>
      <c r="C1" t="s">
        <v>478</v>
      </c>
      <c r="D1" t="s">
        <v>479</v>
      </c>
      <c r="E1" t="s">
        <v>480</v>
      </c>
      <c r="F1" t="s">
        <v>481</v>
      </c>
      <c r="G1" t="s">
        <v>482</v>
      </c>
      <c r="H1" t="s">
        <v>483</v>
      </c>
      <c r="I1" t="s">
        <v>484</v>
      </c>
      <c r="J1" t="s">
        <v>485</v>
      </c>
      <c r="K1" t="s">
        <v>486</v>
      </c>
    </row>
    <row r="2" spans="1:11" x14ac:dyDescent="0.15">
      <c r="A2" s="39">
        <v>2.4E-2</v>
      </c>
      <c r="B2" s="39">
        <v>1.6E-2</v>
      </c>
      <c r="C2" s="39">
        <v>1.6E-2</v>
      </c>
      <c r="D2" s="39">
        <v>1.6E-2</v>
      </c>
      <c r="E2" s="39">
        <v>1.6E-2</v>
      </c>
      <c r="F2" s="39">
        <v>1.6E-2</v>
      </c>
      <c r="G2" s="39">
        <v>1.6E-2</v>
      </c>
      <c r="H2" s="39">
        <v>1.6E-2</v>
      </c>
      <c r="I2" s="39">
        <v>1.6E-2</v>
      </c>
      <c r="J2" s="39">
        <v>1.6E-2</v>
      </c>
      <c r="K2" s="39">
        <v>0.16800000000000004</v>
      </c>
    </row>
    <row r="3" spans="1:11" x14ac:dyDescent="0.15">
      <c r="A3" s="39">
        <v>0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</row>
    <row r="4" spans="1:11" x14ac:dyDescent="0.15">
      <c r="A4" s="39">
        <v>0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</row>
    <row r="5" spans="1:11" x14ac:dyDescent="0.15">
      <c r="A5" s="39">
        <v>0.12</v>
      </c>
      <c r="B5" s="39">
        <v>0.08</v>
      </c>
      <c r="C5" s="39">
        <v>0.08</v>
      </c>
      <c r="D5" s="39">
        <v>0.08</v>
      </c>
      <c r="E5" s="39">
        <v>0.08</v>
      </c>
      <c r="F5" s="39">
        <v>0.08</v>
      </c>
      <c r="G5" s="39">
        <v>0.08</v>
      </c>
      <c r="H5" s="39">
        <v>0.08</v>
      </c>
      <c r="I5" s="39">
        <v>0.08</v>
      </c>
      <c r="J5" s="39">
        <v>0.08</v>
      </c>
      <c r="K5" s="39">
        <v>0.83999999999999986</v>
      </c>
    </row>
    <row r="6" spans="1:11" x14ac:dyDescent="0.15">
      <c r="A6" s="39">
        <v>0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</row>
    <row r="7" spans="1:11" x14ac:dyDescent="0.15">
      <c r="A7" s="39">
        <v>0.06</v>
      </c>
      <c r="B7" s="39">
        <v>0.04</v>
      </c>
      <c r="C7" s="39">
        <v>0.04</v>
      </c>
      <c r="D7" s="39">
        <v>0.04</v>
      </c>
      <c r="E7" s="39">
        <v>0.04</v>
      </c>
      <c r="F7" s="39">
        <v>0.04</v>
      </c>
      <c r="G7" s="39">
        <v>0.04</v>
      </c>
      <c r="H7" s="39">
        <v>0.04</v>
      </c>
      <c r="I7" s="39">
        <v>0.04</v>
      </c>
      <c r="J7" s="39">
        <v>0.04</v>
      </c>
      <c r="K7" s="39">
        <v>0.41999999999999993</v>
      </c>
    </row>
    <row r="8" spans="1:11" x14ac:dyDescent="0.15">
      <c r="A8" s="39">
        <v>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</row>
    <row r="9" spans="1:11" x14ac:dyDescent="0.15">
      <c r="A9" s="39">
        <v>0.06</v>
      </c>
      <c r="B9" s="39">
        <v>0.04</v>
      </c>
      <c r="C9" s="39">
        <v>0.04</v>
      </c>
      <c r="D9" s="39">
        <v>0.04</v>
      </c>
      <c r="E9" s="39">
        <v>0.04</v>
      </c>
      <c r="F9" s="39">
        <v>0.04</v>
      </c>
      <c r="G9" s="39">
        <v>0.04</v>
      </c>
      <c r="H9" s="39">
        <v>0.04</v>
      </c>
      <c r="I9" s="39">
        <v>0.04</v>
      </c>
      <c r="J9" s="39">
        <v>0.04</v>
      </c>
      <c r="K9" s="39">
        <v>0.41999999999999993</v>
      </c>
    </row>
    <row r="10" spans="1:11" x14ac:dyDescent="0.15">
      <c r="A10" s="39">
        <v>0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</row>
    <row r="11" spans="1:11" x14ac:dyDescent="0.15">
      <c r="A11" s="39">
        <v>0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</row>
    <row r="12" spans="1:11" x14ac:dyDescent="0.15">
      <c r="A12" s="39">
        <v>0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</row>
    <row r="13" spans="1:11" x14ac:dyDescent="0.15">
      <c r="A13" s="39">
        <v>0.12</v>
      </c>
      <c r="B13" s="39">
        <v>0.08</v>
      </c>
      <c r="C13" s="39">
        <v>0.08</v>
      </c>
      <c r="D13" s="39">
        <v>0.08</v>
      </c>
      <c r="E13" s="39">
        <v>0.08</v>
      </c>
      <c r="F13" s="39">
        <v>0.08</v>
      </c>
      <c r="G13" s="39">
        <v>0.08</v>
      </c>
      <c r="H13" s="39">
        <v>0.08</v>
      </c>
      <c r="I13" s="39">
        <v>0.08</v>
      </c>
      <c r="J13" s="39">
        <v>0.08</v>
      </c>
      <c r="K13" s="39">
        <v>0.83999999999999986</v>
      </c>
    </row>
    <row r="14" spans="1:11" x14ac:dyDescent="0.15">
      <c r="A14" s="39">
        <v>0.12</v>
      </c>
      <c r="B14" s="39">
        <v>0.08</v>
      </c>
      <c r="C14" s="39">
        <v>0.08</v>
      </c>
      <c r="D14" s="39">
        <v>0.08</v>
      </c>
      <c r="E14" s="39">
        <v>0.08</v>
      </c>
      <c r="F14" s="39">
        <v>0.08</v>
      </c>
      <c r="G14" s="39">
        <v>0.08</v>
      </c>
      <c r="H14" s="39">
        <v>0.08</v>
      </c>
      <c r="I14" s="39">
        <v>0.08</v>
      </c>
      <c r="J14" s="39">
        <v>0.08</v>
      </c>
      <c r="K14" s="39">
        <v>0.83999999999999986</v>
      </c>
    </row>
    <row r="15" spans="1:11" x14ac:dyDescent="0.15">
      <c r="A15" s="39">
        <v>0.06</v>
      </c>
      <c r="B15" s="39">
        <v>0.04</v>
      </c>
      <c r="C15" s="39">
        <v>0.04</v>
      </c>
      <c r="D15" s="39">
        <v>0.04</v>
      </c>
      <c r="E15" s="39">
        <v>0.04</v>
      </c>
      <c r="F15" s="39">
        <v>0.04</v>
      </c>
      <c r="G15" s="39">
        <v>0.04</v>
      </c>
      <c r="H15" s="39">
        <v>0.04</v>
      </c>
      <c r="I15" s="39">
        <v>0.04</v>
      </c>
      <c r="J15" s="39">
        <v>0.04</v>
      </c>
      <c r="K15" s="39">
        <v>0.41999999999999993</v>
      </c>
    </row>
    <row r="16" spans="1:11" x14ac:dyDescent="0.15">
      <c r="A16" s="39">
        <v>0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</row>
    <row r="17" spans="1:11" x14ac:dyDescent="0.15">
      <c r="A17" s="39">
        <v>0.06</v>
      </c>
      <c r="B17" s="39">
        <v>0.04</v>
      </c>
      <c r="C17" s="39">
        <v>0.04</v>
      </c>
      <c r="D17" s="39">
        <v>0.04</v>
      </c>
      <c r="E17" s="39">
        <v>0.04</v>
      </c>
      <c r="F17" s="39">
        <v>0.04</v>
      </c>
      <c r="G17" s="39">
        <v>0.04</v>
      </c>
      <c r="H17" s="39">
        <v>0.04</v>
      </c>
      <c r="I17" s="39">
        <v>0.04</v>
      </c>
      <c r="J17" s="39">
        <v>0.04</v>
      </c>
      <c r="K17" s="39">
        <v>0.41999999999999993</v>
      </c>
    </row>
    <row r="18" spans="1:11" x14ac:dyDescent="0.15">
      <c r="A18" s="39">
        <v>0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</row>
    <row r="19" spans="1:11" x14ac:dyDescent="0.15">
      <c r="A19" s="39">
        <v>0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</row>
    <row r="20" spans="1:11" x14ac:dyDescent="0.15">
      <c r="A20" s="39">
        <v>0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</row>
    <row r="21" spans="1:11" x14ac:dyDescent="0.15">
      <c r="A21" s="39">
        <v>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</row>
    <row r="22" spans="1:11" x14ac:dyDescent="0.15">
      <c r="A22" s="39">
        <v>1.2</v>
      </c>
      <c r="B22" s="39">
        <v>0.8</v>
      </c>
      <c r="C22" s="39">
        <v>0.8</v>
      </c>
      <c r="D22" s="39">
        <v>0.8</v>
      </c>
      <c r="E22" s="39">
        <v>0.8</v>
      </c>
      <c r="F22" s="39">
        <v>0.8</v>
      </c>
      <c r="G22" s="39">
        <v>0.8</v>
      </c>
      <c r="H22" s="39">
        <v>0.8</v>
      </c>
      <c r="I22" s="39">
        <v>0.8</v>
      </c>
      <c r="J22" s="39">
        <v>0.8</v>
      </c>
      <c r="K22" s="39">
        <v>8.3999999999999986</v>
      </c>
    </row>
    <row r="23" spans="1:11" x14ac:dyDescent="0.15">
      <c r="A23" s="39">
        <v>0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</row>
    <row r="24" spans="1:11" x14ac:dyDescent="0.15">
      <c r="A24" s="39">
        <v>0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x14ac:dyDescent="0.15">
      <c r="A25" s="39">
        <v>0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</row>
    <row r="26" spans="1:11" x14ac:dyDescent="0.15">
      <c r="A26" s="39">
        <v>0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</row>
    <row r="27" spans="1:11" x14ac:dyDescent="0.15">
      <c r="A27" s="39">
        <v>0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</row>
    <row r="28" spans="1:11" x14ac:dyDescent="0.15">
      <c r="A28" s="39">
        <v>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</row>
    <row r="29" spans="1:11" x14ac:dyDescent="0.15">
      <c r="A29" s="39">
        <v>0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</row>
    <row r="30" spans="1:11" x14ac:dyDescent="0.15">
      <c r="A30" s="39">
        <v>8.0000000000000002E-3</v>
      </c>
      <c r="B30" s="39">
        <v>5.0000000000000001E-3</v>
      </c>
      <c r="C30" s="39">
        <v>5.0000000000000001E-3</v>
      </c>
      <c r="D30" s="39">
        <v>5.0000000000000001E-3</v>
      </c>
      <c r="E30" s="39">
        <v>5.0000000000000001E-3</v>
      </c>
      <c r="F30" s="39">
        <v>5.0000000000000001E-3</v>
      </c>
      <c r="G30" s="39">
        <v>5.0000000000000001E-3</v>
      </c>
      <c r="H30" s="39">
        <v>5.0000000000000001E-3</v>
      </c>
      <c r="I30" s="39">
        <v>5.0000000000000001E-3</v>
      </c>
      <c r="J30" s="39">
        <v>5.0000000000000001E-3</v>
      </c>
      <c r="K30" s="39">
        <v>5.2999999999999992E-2</v>
      </c>
    </row>
    <row r="31" spans="1:11" x14ac:dyDescent="0.15">
      <c r="A31" s="39">
        <v>6.6000000000000003E-2</v>
      </c>
      <c r="B31" s="39">
        <v>4.3999999999999997E-2</v>
      </c>
      <c r="C31" s="39">
        <v>4.3999999999999997E-2</v>
      </c>
      <c r="D31" s="39">
        <v>4.3999999999999997E-2</v>
      </c>
      <c r="E31" s="39">
        <v>4.3999999999999997E-2</v>
      </c>
      <c r="F31" s="39">
        <v>4.3999999999999997E-2</v>
      </c>
      <c r="G31" s="39">
        <v>4.3999999999999997E-2</v>
      </c>
      <c r="H31" s="39">
        <v>4.3999999999999997E-2</v>
      </c>
      <c r="I31" s="39">
        <v>4.3999999999999997E-2</v>
      </c>
      <c r="J31" s="39">
        <v>4.3999999999999997E-2</v>
      </c>
      <c r="K31" s="39">
        <v>0.46199999999999991</v>
      </c>
    </row>
    <row r="32" spans="1:11" x14ac:dyDescent="0.15">
      <c r="A32" s="39">
        <v>0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</row>
    <row r="33" spans="1:11" x14ac:dyDescent="0.15">
      <c r="A33" s="39">
        <v>0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</row>
    <row r="34" spans="1:11" x14ac:dyDescent="0.15">
      <c r="A34" s="39">
        <v>1.2</v>
      </c>
      <c r="B34" s="39">
        <v>0.8</v>
      </c>
      <c r="C34" s="39">
        <v>0.8</v>
      </c>
      <c r="D34" s="39">
        <v>0.8</v>
      </c>
      <c r="E34" s="39">
        <v>0.8</v>
      </c>
      <c r="F34" s="39">
        <v>0.8</v>
      </c>
      <c r="G34" s="39">
        <v>0.8</v>
      </c>
      <c r="H34" s="39">
        <v>0.8</v>
      </c>
      <c r="I34" s="39">
        <v>0.8</v>
      </c>
      <c r="J34" s="39">
        <v>0.8</v>
      </c>
      <c r="K34" s="39">
        <v>8.3999999999999986</v>
      </c>
    </row>
    <row r="35" spans="1:11" x14ac:dyDescent="0.15">
      <c r="A35" s="39">
        <v>1.2</v>
      </c>
      <c r="B35" s="39">
        <v>0.8</v>
      </c>
      <c r="C35" s="39">
        <v>0.8</v>
      </c>
      <c r="D35" s="39">
        <v>0.8</v>
      </c>
      <c r="E35" s="39">
        <v>0.8</v>
      </c>
      <c r="F35" s="39">
        <v>0.8</v>
      </c>
      <c r="G35" s="39">
        <v>0.8</v>
      </c>
      <c r="H35" s="39">
        <v>0.8</v>
      </c>
      <c r="I35" s="39">
        <v>0.8</v>
      </c>
      <c r="J35" s="39">
        <v>0.8</v>
      </c>
      <c r="K35" s="39">
        <v>8.3999999999999986</v>
      </c>
    </row>
    <row r="36" spans="1:11" x14ac:dyDescent="0.15">
      <c r="A36" s="39">
        <v>0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</row>
    <row r="37" spans="1:11" x14ac:dyDescent="0.15">
      <c r="A37" s="39">
        <v>0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</row>
    <row r="38" spans="1:11" x14ac:dyDescent="0.15">
      <c r="A38" s="39">
        <v>0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</row>
    <row r="39" spans="1:11" x14ac:dyDescent="0.15">
      <c r="A39" s="39">
        <v>0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</row>
    <row r="40" spans="1:11" x14ac:dyDescent="0.15">
      <c r="A40" s="39">
        <v>0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</row>
    <row r="41" spans="1:11" x14ac:dyDescent="0.15">
      <c r="A41" s="39">
        <v>0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</row>
    <row r="42" spans="1:11" x14ac:dyDescent="0.15">
      <c r="A42" s="39">
        <v>0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</row>
    <row r="43" spans="1:11" x14ac:dyDescent="0.15">
      <c r="A43" s="39">
        <v>4.0000000000000001E-3</v>
      </c>
      <c r="B43" s="39">
        <v>2E-3</v>
      </c>
      <c r="C43" s="39">
        <v>2E-3</v>
      </c>
      <c r="D43" s="39">
        <v>2E-3</v>
      </c>
      <c r="E43" s="39">
        <v>2E-3</v>
      </c>
      <c r="F43" s="39">
        <v>2E-3</v>
      </c>
      <c r="G43" s="39">
        <v>2E-3</v>
      </c>
      <c r="H43" s="39">
        <v>2E-3</v>
      </c>
      <c r="I43" s="39">
        <v>2E-3</v>
      </c>
      <c r="J43" s="39">
        <v>2E-3</v>
      </c>
      <c r="K43" s="39">
        <v>2.2000000000000006E-2</v>
      </c>
    </row>
    <row r="44" spans="1:11" x14ac:dyDescent="0.15">
      <c r="A44" s="39">
        <v>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</row>
    <row r="45" spans="1:11" x14ac:dyDescent="0.15">
      <c r="A45" s="39">
        <v>0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</row>
    <row r="46" spans="1:11" x14ac:dyDescent="0.15">
      <c r="A46" s="39">
        <v>0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</row>
    <row r="47" spans="1:11" x14ac:dyDescent="0.15">
      <c r="A47" s="39">
        <v>0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</row>
    <row r="48" spans="1:11" x14ac:dyDescent="0.15">
      <c r="A48" s="39">
        <v>0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</row>
    <row r="49" spans="1:11" x14ac:dyDescent="0.15">
      <c r="A49" s="39">
        <v>0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</row>
    <row r="50" spans="1:11" x14ac:dyDescent="0.15">
      <c r="A50" s="39">
        <v>0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</row>
    <row r="51" spans="1:11" x14ac:dyDescent="0.15">
      <c r="A51" s="39">
        <v>0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</row>
    <row r="52" spans="1:11" x14ac:dyDescent="0.15">
      <c r="A52" s="39">
        <v>0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</row>
    <row r="53" spans="1:11" x14ac:dyDescent="0.15">
      <c r="A53" s="39">
        <v>0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</row>
    <row r="54" spans="1:11" x14ac:dyDescent="0.15">
      <c r="A54" s="39">
        <v>0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</row>
    <row r="55" spans="1:11" x14ac:dyDescent="0.15">
      <c r="A55" s="39">
        <v>0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</row>
    <row r="56" spans="1:11" x14ac:dyDescent="0.15">
      <c r="A56" s="39">
        <v>4.0000000000000001E-3</v>
      </c>
      <c r="B56" s="39">
        <v>2E-3</v>
      </c>
      <c r="C56" s="39">
        <v>2E-3</v>
      </c>
      <c r="D56" s="39">
        <v>2E-3</v>
      </c>
      <c r="E56" s="39">
        <v>2E-3</v>
      </c>
      <c r="F56" s="39">
        <v>2E-3</v>
      </c>
      <c r="G56" s="39">
        <v>2E-3</v>
      </c>
      <c r="H56" s="39">
        <v>2E-3</v>
      </c>
      <c r="I56" s="39">
        <v>2E-3</v>
      </c>
      <c r="J56" s="39">
        <v>2E-3</v>
      </c>
      <c r="K56" s="39">
        <v>2.2000000000000006E-2</v>
      </c>
    </row>
    <row r="57" spans="1:11" x14ac:dyDescent="0.15">
      <c r="A57" s="39">
        <v>2.1999999999999999E-2</v>
      </c>
      <c r="B57" s="39">
        <v>1.4E-2</v>
      </c>
      <c r="C57" s="39">
        <v>1.4E-2</v>
      </c>
      <c r="D57" s="39">
        <v>1.4E-2</v>
      </c>
      <c r="E57" s="39">
        <v>1.4E-2</v>
      </c>
      <c r="F57" s="39">
        <v>1.4E-2</v>
      </c>
      <c r="G57" s="39">
        <v>1.4E-2</v>
      </c>
      <c r="H57" s="39">
        <v>1.4E-2</v>
      </c>
      <c r="I57" s="39">
        <v>1.4E-2</v>
      </c>
      <c r="J57" s="39">
        <v>1.4E-2</v>
      </c>
      <c r="K57" s="39">
        <v>0.14800000000000002</v>
      </c>
    </row>
    <row r="58" spans="1:11" x14ac:dyDescent="0.15">
      <c r="A58" s="39">
        <v>0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</row>
    <row r="59" spans="1:11" x14ac:dyDescent="0.15">
      <c r="A59" s="39">
        <v>0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</row>
    <row r="60" spans="1:11" x14ac:dyDescent="0.15">
      <c r="A60" s="39">
        <v>0.499</v>
      </c>
      <c r="B60" s="39">
        <v>0.33300000000000002</v>
      </c>
      <c r="C60" s="39">
        <v>0.33300000000000002</v>
      </c>
      <c r="D60" s="39">
        <v>0.33300000000000002</v>
      </c>
      <c r="E60" s="39">
        <v>0.33300000000000002</v>
      </c>
      <c r="F60" s="39">
        <v>0.33300000000000002</v>
      </c>
      <c r="G60" s="39">
        <v>0.33300000000000002</v>
      </c>
      <c r="H60" s="39">
        <v>0.33300000000000002</v>
      </c>
      <c r="I60" s="39">
        <v>0.33300000000000002</v>
      </c>
      <c r="J60" s="39">
        <v>0.33300000000000002</v>
      </c>
      <c r="K60" s="39">
        <v>3.4960000000000009</v>
      </c>
    </row>
    <row r="61" spans="1:11" x14ac:dyDescent="0.15">
      <c r="A61" s="39">
        <v>0.999</v>
      </c>
      <c r="B61" s="39">
        <v>0.66600000000000004</v>
      </c>
      <c r="C61" s="39">
        <v>0.66600000000000004</v>
      </c>
      <c r="D61" s="39">
        <v>0.66600000000000004</v>
      </c>
      <c r="E61" s="39">
        <v>0.66600000000000004</v>
      </c>
      <c r="F61" s="39">
        <v>0.66600000000000004</v>
      </c>
      <c r="G61" s="39">
        <v>0.66600000000000004</v>
      </c>
      <c r="H61" s="39">
        <v>0.66600000000000004</v>
      </c>
      <c r="I61" s="39">
        <v>0.66600000000000004</v>
      </c>
      <c r="J61" s="39">
        <v>0.66600000000000004</v>
      </c>
      <c r="K61" s="39">
        <v>6.9930000000000012</v>
      </c>
    </row>
    <row r="62" spans="1:11" x14ac:dyDescent="0.15">
      <c r="A62" s="39">
        <v>0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</row>
    <row r="63" spans="1:11" x14ac:dyDescent="0.15">
      <c r="A63" s="39">
        <v>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</row>
    <row r="64" spans="1:11" x14ac:dyDescent="0.15">
      <c r="A64" s="39">
        <v>6.0000000000000001E-3</v>
      </c>
      <c r="B64" s="39">
        <v>4.0000000000000001E-3</v>
      </c>
      <c r="C64" s="39">
        <v>4.0000000000000001E-3</v>
      </c>
      <c r="D64" s="39">
        <v>4.0000000000000001E-3</v>
      </c>
      <c r="E64" s="39">
        <v>4.0000000000000001E-3</v>
      </c>
      <c r="F64" s="39">
        <v>4.0000000000000001E-3</v>
      </c>
      <c r="G64" s="39">
        <v>4.0000000000000001E-3</v>
      </c>
      <c r="H64" s="39">
        <v>4.0000000000000001E-3</v>
      </c>
      <c r="I64" s="39">
        <v>4.0000000000000001E-3</v>
      </c>
      <c r="J64" s="39">
        <v>4.0000000000000001E-3</v>
      </c>
      <c r="K64" s="39">
        <v>4.200000000000001E-2</v>
      </c>
    </row>
    <row r="65" spans="1:11" x14ac:dyDescent="0.15">
      <c r="A65" s="39">
        <v>1.2E-2</v>
      </c>
      <c r="B65" s="39">
        <v>8.0000000000000002E-3</v>
      </c>
      <c r="C65" s="39">
        <v>8.0000000000000002E-3</v>
      </c>
      <c r="D65" s="39">
        <v>8.0000000000000002E-3</v>
      </c>
      <c r="E65" s="39">
        <v>8.0000000000000002E-3</v>
      </c>
      <c r="F65" s="39">
        <v>8.0000000000000002E-3</v>
      </c>
      <c r="G65" s="39">
        <v>8.0000000000000002E-3</v>
      </c>
      <c r="H65" s="39">
        <v>8.0000000000000002E-3</v>
      </c>
      <c r="I65" s="39">
        <v>8.0000000000000002E-3</v>
      </c>
      <c r="J65" s="39">
        <v>8.0000000000000002E-3</v>
      </c>
      <c r="K65" s="39">
        <v>8.4000000000000019E-2</v>
      </c>
    </row>
    <row r="66" spans="1:11" x14ac:dyDescent="0.15">
      <c r="A66" s="39">
        <v>0</v>
      </c>
      <c r="B66" s="39">
        <v>0</v>
      </c>
      <c r="C66" s="39">
        <v>0</v>
      </c>
      <c r="D66" s="39"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</row>
    <row r="67" spans="1:11" x14ac:dyDescent="0.15">
      <c r="A67" s="39">
        <v>0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</row>
    <row r="68" spans="1:11" x14ac:dyDescent="0.15">
      <c r="A68" s="39">
        <v>0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</row>
    <row r="69" spans="1:11" x14ac:dyDescent="0.15">
      <c r="A69" s="39">
        <v>0</v>
      </c>
      <c r="B69" s="39">
        <v>0</v>
      </c>
      <c r="C69" s="39">
        <v>0</v>
      </c>
      <c r="D69" s="39"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</row>
    <row r="70" spans="1:11" x14ac:dyDescent="0.15">
      <c r="A70" s="39">
        <v>0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</row>
    <row r="71" spans="1:11" x14ac:dyDescent="0.15">
      <c r="A71" s="39">
        <v>0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</row>
    <row r="72" spans="1:11" x14ac:dyDescent="0.15">
      <c r="A72" s="39">
        <v>0</v>
      </c>
      <c r="B72" s="39">
        <v>0</v>
      </c>
      <c r="C72" s="39">
        <v>0</v>
      </c>
      <c r="D72" s="39"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</row>
    <row r="73" spans="1:11" x14ac:dyDescent="0.15">
      <c r="A73" s="39">
        <v>0</v>
      </c>
      <c r="B73" s="39">
        <v>0</v>
      </c>
      <c r="C73" s="39">
        <v>0</v>
      </c>
      <c r="D73" s="39"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</row>
    <row r="74" spans="1:11" x14ac:dyDescent="0.15">
      <c r="A74" s="39">
        <v>2E-3</v>
      </c>
      <c r="B74" s="39">
        <v>1E-3</v>
      </c>
      <c r="C74" s="39">
        <v>1E-3</v>
      </c>
      <c r="D74" s="39">
        <v>1E-3</v>
      </c>
      <c r="E74" s="39">
        <v>1E-3</v>
      </c>
      <c r="F74" s="39">
        <v>1E-3</v>
      </c>
      <c r="G74" s="39">
        <v>1E-3</v>
      </c>
      <c r="H74" s="39">
        <v>1E-3</v>
      </c>
      <c r="I74" s="39">
        <v>1E-3</v>
      </c>
      <c r="J74" s="39">
        <v>1E-3</v>
      </c>
      <c r="K74" s="39">
        <v>1.1000000000000003E-2</v>
      </c>
    </row>
    <row r="75" spans="1:11" x14ac:dyDescent="0.15">
      <c r="A75" s="39">
        <v>2.4E-2</v>
      </c>
      <c r="B75" s="39">
        <v>1.6E-2</v>
      </c>
      <c r="C75" s="39">
        <v>1.6E-2</v>
      </c>
      <c r="D75" s="39">
        <v>1.6E-2</v>
      </c>
      <c r="E75" s="39">
        <v>1.6E-2</v>
      </c>
      <c r="F75" s="39">
        <v>1.6E-2</v>
      </c>
      <c r="G75" s="39">
        <v>1.6E-2</v>
      </c>
      <c r="H75" s="39">
        <v>1.6E-2</v>
      </c>
      <c r="I75" s="39">
        <v>1.6E-2</v>
      </c>
      <c r="J75" s="39">
        <v>1.6E-2</v>
      </c>
      <c r="K75" s="39">
        <v>0.16800000000000004</v>
      </c>
    </row>
    <row r="76" spans="1:11" x14ac:dyDescent="0.15">
      <c r="A76" s="39">
        <v>0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</row>
    <row r="77" spans="1:11" x14ac:dyDescent="0.15">
      <c r="A77" s="39">
        <v>2E-3</v>
      </c>
      <c r="B77" s="39">
        <v>1E-3</v>
      </c>
      <c r="C77" s="39">
        <v>1E-3</v>
      </c>
      <c r="D77" s="39">
        <v>1E-3</v>
      </c>
      <c r="E77" s="39">
        <v>1E-3</v>
      </c>
      <c r="F77" s="39">
        <v>1E-3</v>
      </c>
      <c r="G77" s="39">
        <v>1E-3</v>
      </c>
      <c r="H77" s="39">
        <v>1E-3</v>
      </c>
      <c r="I77" s="39">
        <v>1E-3</v>
      </c>
      <c r="J77" s="39">
        <v>1E-3</v>
      </c>
      <c r="K77" s="39">
        <v>1.1000000000000003E-2</v>
      </c>
    </row>
    <row r="78" spans="1:11" x14ac:dyDescent="0.15">
      <c r="A78" s="39">
        <v>0</v>
      </c>
      <c r="B78" s="39">
        <v>0</v>
      </c>
      <c r="C78" s="39">
        <v>0</v>
      </c>
      <c r="D78" s="39"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</row>
    <row r="79" spans="1:11" x14ac:dyDescent="0.15">
      <c r="A79" s="39">
        <v>0</v>
      </c>
      <c r="B79" s="39">
        <v>0</v>
      </c>
      <c r="C79" s="39">
        <v>0</v>
      </c>
      <c r="D79" s="39"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</row>
    <row r="80" spans="1:11" x14ac:dyDescent="0.15">
      <c r="A80" s="39">
        <v>0</v>
      </c>
      <c r="B80" s="39">
        <v>0</v>
      </c>
      <c r="C80" s="39">
        <v>0</v>
      </c>
      <c r="D80" s="39"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</row>
    <row r="81" spans="1:11" x14ac:dyDescent="0.15">
      <c r="A81" s="39">
        <v>4.0000000000000001E-3</v>
      </c>
      <c r="B81" s="39">
        <v>3.0000000000000001E-3</v>
      </c>
      <c r="C81" s="39">
        <v>3.0000000000000001E-3</v>
      </c>
      <c r="D81" s="39">
        <v>3.0000000000000001E-3</v>
      </c>
      <c r="E81" s="39">
        <v>3.0000000000000001E-3</v>
      </c>
      <c r="F81" s="39">
        <v>3.0000000000000001E-3</v>
      </c>
      <c r="G81" s="39">
        <v>3.0000000000000001E-3</v>
      </c>
      <c r="H81" s="39">
        <v>3.0000000000000001E-3</v>
      </c>
      <c r="I81" s="39">
        <v>3.0000000000000001E-3</v>
      </c>
      <c r="J81" s="39">
        <v>3.0000000000000001E-3</v>
      </c>
      <c r="K81" s="39">
        <v>3.0999999999999996E-2</v>
      </c>
    </row>
    <row r="82" spans="1:11" x14ac:dyDescent="0.15">
      <c r="A82" s="39">
        <v>4.0000000000000001E-3</v>
      </c>
      <c r="B82" s="39">
        <v>3.0000000000000001E-3</v>
      </c>
      <c r="C82" s="39">
        <v>3.0000000000000001E-3</v>
      </c>
      <c r="D82" s="39">
        <v>3.0000000000000001E-3</v>
      </c>
      <c r="E82" s="39">
        <v>3.0000000000000001E-3</v>
      </c>
      <c r="F82" s="39">
        <v>3.0000000000000001E-3</v>
      </c>
      <c r="G82" s="39">
        <v>3.0000000000000001E-3</v>
      </c>
      <c r="H82" s="39">
        <v>3.0000000000000001E-3</v>
      </c>
      <c r="I82" s="39">
        <v>3.0000000000000001E-3</v>
      </c>
      <c r="J82" s="39">
        <v>3.0000000000000001E-3</v>
      </c>
      <c r="K82" s="39">
        <v>3.0999999999999996E-2</v>
      </c>
    </row>
    <row r="83" spans="1:11" x14ac:dyDescent="0.15">
      <c r="A83" s="39">
        <v>8.9999999999999993E-3</v>
      </c>
      <c r="B83" s="39">
        <v>6.0000000000000001E-3</v>
      </c>
      <c r="C83" s="39">
        <v>6.0000000000000001E-3</v>
      </c>
      <c r="D83" s="39">
        <v>6.0000000000000001E-3</v>
      </c>
      <c r="E83" s="39">
        <v>6.0000000000000001E-3</v>
      </c>
      <c r="F83" s="39">
        <v>6.0000000000000001E-3</v>
      </c>
      <c r="G83" s="39">
        <v>6.0000000000000001E-3</v>
      </c>
      <c r="H83" s="39">
        <v>6.0000000000000001E-3</v>
      </c>
      <c r="I83" s="39">
        <v>6.0000000000000001E-3</v>
      </c>
      <c r="J83" s="39">
        <v>6.0000000000000001E-3</v>
      </c>
      <c r="K83" s="39">
        <v>6.2999999999999987E-2</v>
      </c>
    </row>
    <row r="84" spans="1:11" x14ac:dyDescent="0.15">
      <c r="A84" s="39">
        <v>8.9999999999999993E-3</v>
      </c>
      <c r="B84" s="39">
        <v>6.0000000000000001E-3</v>
      </c>
      <c r="C84" s="39">
        <v>6.0000000000000001E-3</v>
      </c>
      <c r="D84" s="39">
        <v>6.0000000000000001E-3</v>
      </c>
      <c r="E84" s="39">
        <v>6.0000000000000001E-3</v>
      </c>
      <c r="F84" s="39">
        <v>6.0000000000000001E-3</v>
      </c>
      <c r="G84" s="39">
        <v>6.0000000000000001E-3</v>
      </c>
      <c r="H84" s="39">
        <v>6.0000000000000001E-3</v>
      </c>
      <c r="I84" s="39">
        <v>6.0000000000000001E-3</v>
      </c>
      <c r="J84" s="39">
        <v>6.0000000000000001E-3</v>
      </c>
      <c r="K84" s="39">
        <v>6.2999999999999987E-2</v>
      </c>
    </row>
    <row r="85" spans="1:11" x14ac:dyDescent="0.15">
      <c r="A85" s="39">
        <v>1.2999999999999999E-2</v>
      </c>
      <c r="B85" s="39">
        <v>8.9999999999999993E-3</v>
      </c>
      <c r="C85" s="39">
        <v>8.9999999999999993E-3</v>
      </c>
      <c r="D85" s="39">
        <v>8.9999999999999993E-3</v>
      </c>
      <c r="E85" s="39">
        <v>8.9999999999999993E-3</v>
      </c>
      <c r="F85" s="39">
        <v>8.9999999999999993E-3</v>
      </c>
      <c r="G85" s="39">
        <v>8.9999999999999993E-3</v>
      </c>
      <c r="H85" s="39">
        <v>8.9999999999999993E-3</v>
      </c>
      <c r="I85" s="39">
        <v>8.9999999999999993E-3</v>
      </c>
      <c r="J85" s="39">
        <v>8.9999999999999993E-3</v>
      </c>
      <c r="K85" s="39">
        <v>9.3999999999999986E-2</v>
      </c>
    </row>
    <row r="86" spans="1:11" x14ac:dyDescent="0.15">
      <c r="A86" s="39">
        <v>0.16700000000000001</v>
      </c>
      <c r="B86" s="39">
        <v>0.111</v>
      </c>
      <c r="C86" s="39">
        <v>0.111</v>
      </c>
      <c r="D86" s="39">
        <v>0.111</v>
      </c>
      <c r="E86" s="39">
        <v>0.111</v>
      </c>
      <c r="F86" s="39">
        <v>0.111</v>
      </c>
      <c r="G86" s="39">
        <v>0.111</v>
      </c>
      <c r="H86" s="39">
        <v>0.111</v>
      </c>
      <c r="I86" s="39">
        <v>0.111</v>
      </c>
      <c r="J86" s="39">
        <v>0.111</v>
      </c>
      <c r="K86" s="39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2018-06-25T03:32:29Z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