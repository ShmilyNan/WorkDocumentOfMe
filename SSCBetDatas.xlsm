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Q36" i="1" l="1"/>
  <c r="Q34" i="1"/>
  <c r="Q22" i="1"/>
  <c r="Q23" i="1"/>
  <c r="Q21" i="1"/>
  <c r="Q32" i="1"/>
  <c r="Q31" i="1"/>
  <c r="Q25" i="1"/>
  <c r="Q24" i="1"/>
  <c r="N133" i="2"/>
  <c r="N123" i="2"/>
  <c r="N117" i="2"/>
  <c r="N114" i="2"/>
  <c r="N111" i="2"/>
  <c r="N107" i="2"/>
  <c r="N109" i="2"/>
  <c r="N101" i="2"/>
  <c r="N102" i="2"/>
  <c r="N103" i="2"/>
  <c r="N104" i="2"/>
  <c r="N105" i="2"/>
  <c r="N106" i="2"/>
  <c r="N100" i="2"/>
  <c r="N92" i="2"/>
  <c r="N94" i="2"/>
  <c r="N96" i="2"/>
  <c r="N98" i="2"/>
  <c r="N90" i="2"/>
  <c r="N89" i="2"/>
  <c r="N88" i="2"/>
  <c r="N83" i="2"/>
  <c r="N82" i="2"/>
  <c r="N81" i="2"/>
  <c r="N78" i="2"/>
  <c r="N79" i="2"/>
  <c r="N76" i="2"/>
  <c r="N75" i="2"/>
  <c r="N74" i="2"/>
  <c r="N70" i="2"/>
  <c r="N59" i="2"/>
  <c r="N60" i="2"/>
  <c r="N61" i="2"/>
  <c r="N62" i="2"/>
  <c r="N63" i="2"/>
  <c r="N64" i="2"/>
  <c r="N65" i="2"/>
  <c r="N66" i="2"/>
  <c r="N67" i="2"/>
  <c r="N68" i="2"/>
  <c r="N69" i="2"/>
  <c r="N58" i="2"/>
  <c r="N55" i="2"/>
  <c r="N44" i="2"/>
  <c r="N45" i="2"/>
  <c r="N46" i="2"/>
  <c r="N47" i="2"/>
  <c r="N48" i="2"/>
  <c r="N49" i="2"/>
  <c r="N50" i="2"/>
  <c r="N51" i="2"/>
  <c r="N52" i="2"/>
  <c r="N53" i="2"/>
  <c r="N54" i="2"/>
  <c r="N43" i="2"/>
  <c r="N40" i="2"/>
  <c r="N29" i="2"/>
  <c r="N30" i="2"/>
  <c r="N31" i="2"/>
  <c r="N32" i="2"/>
  <c r="N33" i="2"/>
  <c r="N34" i="2"/>
  <c r="N35" i="2"/>
  <c r="N36" i="2"/>
  <c r="N37" i="2"/>
  <c r="N38" i="2"/>
  <c r="N39" i="2"/>
  <c r="N28" i="2"/>
  <c r="N25" i="2"/>
  <c r="N21" i="2"/>
  <c r="N22" i="2"/>
  <c r="N23" i="2"/>
  <c r="N24" i="2"/>
  <c r="N20" i="2"/>
  <c r="N19" i="2"/>
  <c r="N18" i="2"/>
  <c r="N16" i="2"/>
  <c r="N15" i="2"/>
  <c r="N14" i="2"/>
  <c r="N13" i="2"/>
  <c r="N12" i="2"/>
  <c r="N11" i="2"/>
  <c r="N10" i="2"/>
  <c r="N9" i="2"/>
  <c r="N7" i="2"/>
  <c r="N2" i="2"/>
  <c r="F2" i="1" s="1"/>
  <c r="Q2" i="1"/>
  <c r="I2" i="1" s="1"/>
  <c r="Q3" i="1"/>
  <c r="I3" i="1" s="1"/>
  <c r="J2" i="4"/>
  <c r="Q41" i="1"/>
  <c r="Q39" i="1"/>
  <c r="Q42" i="1"/>
  <c r="Q33" i="1"/>
  <c r="F87" i="1" l="1"/>
  <c r="F82" i="1"/>
  <c r="F81" i="1"/>
  <c r="F77" i="1"/>
  <c r="F78" i="1"/>
  <c r="F79" i="1"/>
  <c r="F80" i="1"/>
  <c r="F76" i="1"/>
  <c r="F74" i="1"/>
  <c r="F72" i="1"/>
  <c r="F71" i="1"/>
  <c r="F70" i="1"/>
  <c r="F69" i="1"/>
  <c r="F68" i="1"/>
  <c r="F67" i="1"/>
  <c r="F66" i="1"/>
  <c r="F65" i="1"/>
  <c r="F64" i="1"/>
  <c r="F63" i="1"/>
  <c r="F62" i="1"/>
  <c r="F60" i="1"/>
  <c r="F61" i="1"/>
  <c r="F59" i="1"/>
  <c r="F58" i="1"/>
  <c r="F47" i="1"/>
  <c r="F48" i="1"/>
  <c r="F49" i="1"/>
  <c r="F50" i="1"/>
  <c r="F51" i="1"/>
  <c r="F52" i="1"/>
  <c r="F53" i="1"/>
  <c r="F54" i="1"/>
  <c r="F55" i="1"/>
  <c r="F56" i="1"/>
  <c r="F57" i="1"/>
  <c r="F46" i="1"/>
  <c r="F45" i="1"/>
  <c r="F34" i="1"/>
  <c r="F35" i="1"/>
  <c r="F36" i="1"/>
  <c r="F37" i="1"/>
  <c r="Q37" i="1" s="1"/>
  <c r="F38" i="1"/>
  <c r="Q38" i="1" s="1"/>
  <c r="F39" i="1"/>
  <c r="F40" i="1"/>
  <c r="F41" i="1"/>
  <c r="F42" i="1"/>
  <c r="F43" i="1"/>
  <c r="Q43" i="1" s="1"/>
  <c r="F44" i="1"/>
  <c r="Q44" i="1" s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6" i="1"/>
  <c r="Q65" i="1"/>
  <c r="Q64" i="1"/>
  <c r="Q63" i="1"/>
  <c r="Q62" i="1"/>
  <c r="Q61" i="1"/>
  <c r="Q60" i="1"/>
  <c r="Q58" i="1"/>
  <c r="Q57" i="1"/>
  <c r="Q56" i="1"/>
  <c r="Q53" i="1"/>
  <c r="Q51" i="1"/>
  <c r="Q50" i="1"/>
  <c r="Q49" i="1"/>
  <c r="Q47" i="1"/>
  <c r="Q45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Q48" i="1" s="1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19" i="1"/>
  <c r="Q18" i="1"/>
  <c r="Q15" i="1"/>
  <c r="F86" i="1"/>
  <c r="F85" i="1"/>
  <c r="F84" i="1"/>
  <c r="F83" i="1"/>
  <c r="F73" i="1"/>
  <c r="F32" i="1"/>
  <c r="F19" i="1"/>
  <c r="F21" i="1"/>
  <c r="F22" i="1"/>
  <c r="F23" i="1"/>
  <c r="F24" i="1"/>
  <c r="F25" i="1"/>
  <c r="F26" i="1"/>
  <c r="F27" i="1"/>
  <c r="F28" i="1"/>
  <c r="F29" i="1"/>
  <c r="F31" i="1"/>
  <c r="F20" i="1"/>
  <c r="F13" i="1"/>
  <c r="F14" i="1"/>
  <c r="F15" i="1"/>
  <c r="F16" i="1"/>
  <c r="F17" i="1"/>
  <c r="F18" i="1"/>
  <c r="F12" i="1"/>
  <c r="Q11" i="1"/>
  <c r="Q10" i="1"/>
  <c r="L17" i="2"/>
  <c r="L16" i="2"/>
  <c r="Q7" i="1"/>
  <c r="O12" i="2"/>
  <c r="Q8" i="1"/>
  <c r="Q12" i="1"/>
  <c r="Q67" i="1"/>
  <c r="Q59" i="1"/>
  <c r="Q29" i="1"/>
  <c r="Q55" i="1"/>
  <c r="Q28" i="1"/>
  <c r="Q26" i="1"/>
  <c r="Q54" i="1"/>
  <c r="Q20" i="1"/>
  <c r="Q52" i="1"/>
  <c r="Q16" i="1"/>
  <c r="Q46" i="1"/>
  <c r="Q35" i="1" l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2" i="2"/>
  <c r="J3" i="1" l="1"/>
  <c r="J2" i="1"/>
  <c r="L11" i="2"/>
  <c r="L10" i="2"/>
  <c r="L9" i="2"/>
  <c r="L8" i="2"/>
  <c r="L7" i="2"/>
  <c r="J77" i="1"/>
  <c r="J61" i="1"/>
  <c r="J45" i="1"/>
  <c r="J29" i="1"/>
  <c r="J13" i="1"/>
  <c r="J84" i="1"/>
  <c r="J68" i="1"/>
  <c r="J52" i="1"/>
  <c r="J36" i="1"/>
  <c r="J20" i="1"/>
  <c r="J4" i="1"/>
  <c r="J75" i="1"/>
  <c r="J59" i="1"/>
  <c r="J43" i="1"/>
  <c r="J27" i="1"/>
  <c r="J11" i="1"/>
  <c r="J82" i="1"/>
  <c r="J66" i="1"/>
  <c r="J42" i="1"/>
  <c r="J18" i="1"/>
  <c r="J81" i="1"/>
  <c r="J73" i="1"/>
  <c r="J65" i="1"/>
  <c r="J57" i="1"/>
  <c r="J49" i="1"/>
  <c r="J41" i="1"/>
  <c r="J33" i="1"/>
  <c r="J25" i="1"/>
  <c r="J17" i="1"/>
  <c r="J9" i="1"/>
  <c r="J85" i="1"/>
  <c r="J69" i="1"/>
  <c r="J53" i="1"/>
  <c r="J37" i="1"/>
  <c r="J21" i="1"/>
  <c r="J5" i="1"/>
  <c r="J76" i="1"/>
  <c r="J60" i="1"/>
  <c r="J44" i="1"/>
  <c r="J28" i="1"/>
  <c r="J12" i="1"/>
  <c r="J83" i="1"/>
  <c r="J67" i="1"/>
  <c r="J51" i="1"/>
  <c r="J35" i="1"/>
  <c r="J19" i="1"/>
  <c r="J74" i="1"/>
  <c r="J58" i="1"/>
  <c r="J50" i="1"/>
  <c r="J34" i="1"/>
  <c r="J26" i="1"/>
  <c r="J10" i="1"/>
  <c r="J80" i="1"/>
  <c r="J64" i="1"/>
  <c r="J48" i="1"/>
  <c r="J32" i="1"/>
  <c r="J16" i="1"/>
  <c r="J87" i="1"/>
  <c r="J79" i="1"/>
  <c r="J71" i="1"/>
  <c r="J63" i="1"/>
  <c r="J55" i="1"/>
  <c r="J47" i="1"/>
  <c r="J39" i="1"/>
  <c r="J31" i="1"/>
  <c r="J23" i="1"/>
  <c r="J15" i="1"/>
  <c r="J7" i="1"/>
  <c r="J72" i="1"/>
  <c r="J56" i="1"/>
  <c r="J40" i="1"/>
  <c r="J24" i="1"/>
  <c r="J8" i="1"/>
  <c r="J86" i="1"/>
  <c r="J78" i="1"/>
  <c r="J70" i="1"/>
  <c r="J62" i="1"/>
  <c r="J54" i="1"/>
  <c r="J46" i="1"/>
  <c r="J38" i="1"/>
  <c r="J30" i="1"/>
  <c r="J22" i="1"/>
  <c r="J14" i="1"/>
  <c r="J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Q4" i="1"/>
  <c r="O2" i="1" l="1"/>
  <c r="O3" i="1"/>
  <c r="K7" i="1"/>
  <c r="F11" i="1"/>
  <c r="F3" i="1"/>
  <c r="F30" i="1"/>
  <c r="Q30" i="1" s="1"/>
  <c r="F75" i="1"/>
  <c r="F5" i="1"/>
  <c r="F6" i="1"/>
  <c r="F7" i="1"/>
  <c r="F8" i="1"/>
  <c r="F9" i="1"/>
  <c r="F10" i="1"/>
  <c r="F4" i="1"/>
  <c r="F33" i="1" l="1"/>
  <c r="L3" i="2"/>
  <c r="I4" i="1"/>
  <c r="I13" i="1"/>
  <c r="I22" i="1"/>
  <c r="I23" i="1"/>
  <c r="I24" i="1"/>
  <c r="I25" i="1"/>
  <c r="I26" i="1"/>
  <c r="I27" i="1"/>
  <c r="I28" i="1"/>
  <c r="I29" i="1"/>
  <c r="I30" i="1"/>
  <c r="I31" i="1"/>
  <c r="I32" i="1"/>
  <c r="I34" i="1"/>
  <c r="I35" i="1"/>
  <c r="I36" i="1"/>
  <c r="I37" i="1"/>
  <c r="I38" i="1"/>
  <c r="I39" i="1"/>
  <c r="I40" i="1"/>
  <c r="I41" i="1"/>
  <c r="I42" i="1"/>
  <c r="I43" i="1"/>
  <c r="I44" i="1"/>
  <c r="I45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M10" i="2" l="1"/>
  <c r="K5" i="1" s="1"/>
  <c r="M11" i="2"/>
  <c r="K6" i="1" s="1"/>
  <c r="M9" i="2"/>
  <c r="K4" i="1" s="1"/>
  <c r="L2" i="2"/>
  <c r="L6" i="2"/>
  <c r="L5" i="2"/>
  <c r="L4" i="2"/>
  <c r="I19" i="1"/>
  <c r="I18" i="1"/>
  <c r="I15" i="1"/>
  <c r="I11" i="1"/>
  <c r="I10" i="1"/>
  <c r="I7" i="1"/>
  <c r="M2" i="2" l="1"/>
  <c r="K2" i="1" s="1"/>
  <c r="L2" i="1" s="1"/>
  <c r="I16" i="1"/>
  <c r="M7" i="2"/>
  <c r="K3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L3" i="1" l="1"/>
  <c r="L4" i="1" s="1"/>
  <c r="I46" i="1"/>
  <c r="I67" i="1"/>
  <c r="I59" i="1"/>
  <c r="I33" i="1"/>
  <c r="I8" i="1"/>
  <c r="I12" i="1"/>
  <c r="I20" i="1"/>
  <c r="I21" i="1"/>
  <c r="Q9" i="1"/>
  <c r="I9" i="1" s="1"/>
  <c r="Q17" i="1"/>
  <c r="I17" i="1" s="1"/>
  <c r="Q6" i="1" l="1"/>
  <c r="I6" i="1" s="1"/>
  <c r="Q5" i="1"/>
  <c r="I5" i="1" s="1"/>
  <c r="L5" i="1" s="1"/>
  <c r="Q14" i="1"/>
  <c r="I14" i="1" s="1"/>
  <c r="K20" i="1"/>
  <c r="K12" i="1"/>
  <c r="R75" i="1"/>
  <c r="R74" i="1"/>
  <c r="R76" i="1"/>
  <c r="K67" i="1"/>
  <c r="U5" i="1"/>
  <c r="R63" i="1" a="1"/>
  <c r="R63" i="1" s="1"/>
  <c r="R61" i="1" a="1"/>
  <c r="R61" i="1" s="1"/>
  <c r="L6" i="1" l="1"/>
  <c r="K76" i="1"/>
  <c r="K75" i="1"/>
  <c r="K58" i="1" l="1"/>
  <c r="K62" i="1"/>
  <c r="K69" i="1" l="1"/>
  <c r="K78" i="1"/>
  <c r="K79" i="1"/>
  <c r="K71" i="1" l="1"/>
  <c r="K80" i="1"/>
  <c r="K72" i="1"/>
  <c r="K70" i="1"/>
  <c r="O69" i="1"/>
  <c r="K73" i="1" l="1"/>
  <c r="K77" i="1"/>
  <c r="K74" i="1"/>
  <c r="K52" i="1"/>
  <c r="K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60" i="1" l="1"/>
  <c r="O59" i="1"/>
  <c r="K46" i="1"/>
  <c r="O58" i="1"/>
  <c r="P40" i="1"/>
  <c r="P37" i="1"/>
  <c r="O37" i="1" s="1"/>
  <c r="P25" i="1"/>
  <c r="P36" i="1"/>
  <c r="P23" i="1"/>
  <c r="O35" i="1"/>
  <c r="O34" i="1"/>
  <c r="O33" i="1"/>
  <c r="K33" i="1"/>
  <c r="O32" i="1"/>
  <c r="O19" i="1"/>
  <c r="P29" i="1"/>
  <c r="O27" i="1"/>
  <c r="O31" i="1"/>
  <c r="O30" i="1"/>
  <c r="P24" i="1"/>
  <c r="O24" i="1" s="1"/>
  <c r="P28" i="1"/>
  <c r="P27" i="1"/>
  <c r="K41" i="1" l="1"/>
  <c r="K25" i="1"/>
  <c r="K60" i="1"/>
  <c r="K28" i="1"/>
  <c r="K42" i="1"/>
  <c r="K55" i="1"/>
  <c r="K29" i="1"/>
  <c r="K61" i="1"/>
  <c r="K27" i="1"/>
  <c r="K26" i="1"/>
  <c r="K39" i="1"/>
  <c r="K54" i="1"/>
  <c r="K56" i="1"/>
  <c r="K57" i="1"/>
  <c r="K40" i="1"/>
  <c r="K87" i="1"/>
  <c r="K85" i="1"/>
  <c r="K86" i="1"/>
  <c r="K84" i="1"/>
  <c r="K82" i="1"/>
  <c r="K83" i="1"/>
  <c r="K81" i="1"/>
  <c r="K65" i="1"/>
  <c r="K68" i="1"/>
  <c r="K64" i="1"/>
  <c r="K66" i="1"/>
  <c r="K63" i="1"/>
  <c r="K53" i="1"/>
  <c r="K50" i="1"/>
  <c r="K51" i="1"/>
  <c r="K48" i="1"/>
  <c r="K49" i="1"/>
  <c r="K45" i="1"/>
  <c r="K47" i="1"/>
  <c r="K44" i="1"/>
  <c r="K43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O7" i="1"/>
  <c r="O6" i="1"/>
  <c r="L7" i="1"/>
  <c r="O5" i="1"/>
  <c r="O4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<sst xmlns="http://schemas.openxmlformats.org/spreadsheetml/2006/main" count="1138" uniqueCount="423">
  <si>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</si>
  <si>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</si>
  <si>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</si>
  <si>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</si>
  <si>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</si>
  <si>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</si>
  <si>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</si>
  <si>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</si>
  <si>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</si>
  <si>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</si>
  <si>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</si>
  <si>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</si>
  <si>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</si>
  <si>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isDrawn</t>
  </si>
  <si>
    <t>时时彩</t>
  </si>
  <si>
    <t>定位胆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</si>
  <si>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</si>
  <si>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</si>
  <si>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</si>
  <si>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</si>
  <si>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</si>
  <si>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</si>
  <si>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</si>
  <si>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</si>
  <si>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</si>
  <si>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</si>
  <si>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</si>
  <si>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</si>
  <si>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</si>
  <si>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</si>
  <si>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</si>
  <si>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</si>
  <si>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</si>
  <si>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</si>
  <si>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</si>
  <si>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</si>
  <si>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</si>
  <si>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</si>
  <si>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</si>
  <si>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</si>
  <si>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</si>
  <si>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</si>
  <si>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</si>
  <si>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</si>
  <si>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</si>
  <si>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</si>
  <si>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</si>
  <si>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</si>
  <si>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</si>
  <si>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</si>
  <si>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</si>
  <si>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</si>
  <si>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</si>
  <si>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</si>
  <si>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</si>
  <si>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</si>
  <si>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</si>
  <si>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</si>
  <si>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</si>
  <si>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</si>
  <si>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</si>
  <si>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</si>
  <si>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</si>
  <si>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</si>
  <si>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</si>
  <si>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</si>
  <si>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</si>
  <si>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</si>
  <si>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</si>
  <si>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</si>
  <si>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</si>
  <si>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</si>
  <si>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</si>
  <si>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</si>
  <si>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</si>
  <si>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</si>
  <si>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</si>
  <si>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</si>
  <si>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</si>
  <si>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</si>
  <si>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</si>
  <si>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</si>
  <si>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</si>
  <si>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</si>
  <si>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</si>
  <si>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</si>
  <si>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</si>
  <si>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</si>
  <si>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</si>
  <si>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</si>
  <si>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</si>
  <si>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</si>
  <si>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</si>
  <si>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</si>
  <si>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</si>
  <si>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</si>
  <si>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</si>
  <si>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</si>
  <si>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</si>
  <si>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</si>
  <si>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</si>
  <si>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</si>
  <si>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</si>
  <si>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</si>
  <si>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</si>
  <si>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</si>
  <si>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</si>
  <si>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</si>
  <si>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</si>
  <si>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</si>
  <si>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</si>
  <si>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</si>
  <si>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</si>
  <si>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</si>
  <si>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</si>
  <si>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</si>
  <si>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</si>
  <si>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</si>
  <si>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</si>
  <si>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</si>
  <si>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</si>
  <si>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</si>
  <si>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</si>
  <si>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</si>
  <si>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</si>
  <si>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</si>
  <si>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</si>
  <si>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</si>
  <si>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</si>
  <si>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中奖内容</t>
    <phoneticPr fontId="1" type="noConversion"/>
  </si>
  <si>
    <t>,12212,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</si>
  <si>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</si>
  <si>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</si>
  <si>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</si>
  <si>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</si>
  <si>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</si>
  <si>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</si>
  <si>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</si>
  <si>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</si>
  <si>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</si>
  <si>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</si>
  <si>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</si>
  <si>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</si>
  <si>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</si>
  <si>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</si>
  <si>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</si>
  <si>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</si>
  <si>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</si>
  <si>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</si>
  <si>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</si>
  <si>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</si>
  <si>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</si>
  <si>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</si>
  <si>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</si>
  <si>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</si>
  <si>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</si>
  <si>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</si>
  <si>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</si>
  <si>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</si>
  <si>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</si>
  <si>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</si>
  <si>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</si>
  <si>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</si>
  <si>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</si>
  <si>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</si>
  <si>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</si>
  <si>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</si>
  <si>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</si>
  <si>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</si>
  <si>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</si>
  <si>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</si>
  <si>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</si>
  <si>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</si>
  <si>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</si>
  <si>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</si>
  <si>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</si>
  <si>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</si>
  <si>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</si>
  <si>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</si>
  <si>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</si>
  <si>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</si>
  <si>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</si>
  <si>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</si>
  <si>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</si>
  <si>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</si>
  <si>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</si>
  <si>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</si>
  <si>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</si>
  <si>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</si>
  <si>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</si>
  <si>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</si>
  <si>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</si>
  <si>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</si>
  <si>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0,1,3,5,6,</t>
    <phoneticPr fontId="1" type="noConversion"/>
  </si>
  <si>
    <t>0,1,2,3,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</si>
  <si>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</si>
  <si>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</si>
  <si>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</si>
  <si>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</si>
  <si>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</si>
  <si>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</si>
  <si>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</si>
  <si>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</si>
  <si>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</si>
  <si>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</si>
  <si>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</si>
  <si>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</si>
  <si>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</si>
  <si>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,1,2,8,9</t>
    <phoneticPr fontId="1" type="noConversion"/>
  </si>
  <si>
    <t>,0,1,6,7,10,11,17,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</si>
  <si>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</si>
  <si>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</si>
  <si>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</si>
  <si>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</si>
  <si>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</si>
  <si>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</si>
  <si>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</si>
  <si>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</si>
  <si>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</si>
  <si>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</si>
  <si>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</si>
  <si>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t>,3,4,5,6,</t>
    <phoneticPr fontId="1" type="noConversion"/>
  </si>
  <si>
    <t>,2,3,4,</t>
    <phoneticPr fontId="1" type="noConversion"/>
  </si>
  <si>
    <r>
      <t>,12,12,13,21,31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</si>
  <si>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</si>
  <si>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</si>
  <si>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</si>
  <si>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</si>
  <si>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</si>
  <si>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,5,6,7,8,9,</t>
    <phoneticPr fontId="1" type="noConversion"/>
  </si>
  <si>
    <t>,1,2,3,4,7,</t>
    <phoneticPr fontId="1" type="noConversion"/>
  </si>
  <si>
    <r>
      <t>,123,123,321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</si>
  <si>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,1,2,3,4,6,10,11,16,17,18,</t>
    <phoneticPr fontId="1" type="noConversion"/>
  </si>
  <si>
    <r>
      <t>,0,3,4,5,6,9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</si>
  <si>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</si>
  <si>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</si>
  <si>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,1,5,8,14,15,18,</t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</si>
  <si>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</si>
  <si>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</si>
  <si>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</si>
  <si>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</si>
  <si>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</si>
  <si>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</si>
  <si>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</si>
  <si>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</si>
  <si>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</si>
  <si>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</si>
  <si>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</si>
  <si>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</si>
  <si>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</si>
  <si>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</si>
  <si>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</si>
  <si>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</si>
  <si>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中奖注数</t>
    <phoneticPr fontId="1" type="noConversion"/>
  </si>
  <si>
    <t>12261</t>
  </si>
  <si>
    <t>-</t>
  </si>
  <si>
    <t>0 1 3 7 8</t>
  </si>
  <si>
    <t>0 1 2 3 4 5 6 7 8 9</t>
  </si>
  <si>
    <t>中三</t>
  </si>
  <si>
    <t>0 3 4 5 6 7 8 9,0 1 2 5 6 7 8 9,0 1 2 3 4 7 8 9</t>
  </si>
  <si>
    <t>0 1 2 8 9</t>
  </si>
  <si>
    <t>后三</t>
  </si>
  <si>
    <t>0 1 2 3 4 5 6 7 8 9,0 1 2 3 4 5 6 7 8 9,0 1 2 3 4 5 6 7 8 9</t>
  </si>
  <si>
    <t>1 2 3 9 10 11 12 13 14</t>
  </si>
  <si>
    <t>四星</t>
  </si>
  <si>
    <t>组选24</t>
  </si>
  <si>
    <t>组选12</t>
  </si>
  <si>
    <t>组选6</t>
  </si>
  <si>
    <t>2 3 4 5 6 7 8 9,0 1 4 5 6 7 8 9,0 1 2 3 6 7 8 9,0 1 2 3 4 5 8 9</t>
  </si>
  <si>
    <t>组选4</t>
  </si>
  <si>
    <t>五星</t>
  </si>
  <si>
    <t>7113</t>
  </si>
  <si>
    <t>0 1 2 4 5 6 8 9</t>
  </si>
  <si>
    <t>组选120</t>
  </si>
  <si>
    <t>0 1 2 3 4 5 6 7 8 9,0 1 2 3 4 5 6 7 8 9</t>
  </si>
  <si>
    <t>组选60</t>
  </si>
  <si>
    <t>组选30</t>
  </si>
  <si>
    <t>组选20</t>
  </si>
  <si>
    <t>0 1 2 3 4 5 6 7 8 ,0 1 2 3 4 5 6 7 8 9</t>
  </si>
  <si>
    <t>组选10</t>
  </si>
  <si>
    <t>组选5</t>
  </si>
  <si>
    <t>0 1 2 3 4 5 6 7 8 9,0 1 2 3 4 5 6 7 8 9,0 1 2 7 8 9,0 1 2 3 4 5 6 7 8 9,0 1 2 3 4 5 6 7</t>
  </si>
  <si>
    <t>三码不定位</t>
  </si>
  <si>
    <t>一帆风顺</t>
  </si>
  <si>
    <t>好事成双</t>
  </si>
  <si>
    <t>三星报喜</t>
  </si>
  <si>
    <t>四季发财</t>
  </si>
  <si>
    <t>大小单双</t>
  </si>
  <si>
    <t>0 1 2 3 4 5 7 8 9 6,0 1 2 3 4 5 6 7 8 9</t>
  </si>
  <si>
    <t>0 1 2 7,0 1 3 4 5 6 7</t>
  </si>
  <si>
    <t>两面</t>
  </si>
  <si>
    <t>龙虎斗</t>
  </si>
  <si>
    <t>猜豹子</t>
  </si>
  <si>
    <t>23 98 47</t>
  </si>
  <si>
    <t>1 5 8 14 15 18</t>
  </si>
  <si>
    <t>0 1 2 7 8 9</t>
  </si>
  <si>
    <t>01 02 03</t>
  </si>
  <si>
    <t>1 2 3 8 14 15</t>
  </si>
  <si>
    <t>0 1 3 5 6</t>
  </si>
  <si>
    <t>1 2 8 9, 2 3 4</t>
  </si>
  <si>
    <t>12 12 13 21 31</t>
  </si>
  <si>
    <t>0 1 6 7 10 11 17</t>
  </si>
  <si>
    <t>0 2 3 5 6 7 9</t>
  </si>
  <si>
    <t>1 2 3 7 8 9 17</t>
  </si>
  <si>
    <t>0 1 4 5 6</t>
  </si>
  <si>
    <t>123 123 321</t>
  </si>
  <si>
    <t>1 2 3 4 6 10 11 16 17 18</t>
  </si>
  <si>
    <t>0 3 4 5 6 9</t>
  </si>
  <si>
    <t>1 3 4 6 15 16 24 25 26</t>
  </si>
  <si>
    <t>0 2 3 6 7 9</t>
  </si>
  <si>
    <t>212 321 312 132 231</t>
  </si>
  <si>
    <t>122</t>
  </si>
  <si>
    <t>132</t>
  </si>
  <si>
    <t>456</t>
  </si>
  <si>
    <t>0 1 4 6 11 12 13 14 17 18</t>
  </si>
  <si>
    <t>1 7 8 13 14 16 18 20 25 26</t>
  </si>
  <si>
    <t>121</t>
  </si>
  <si>
    <t>214</t>
  </si>
  <si>
    <t>1 2 3 4 6 7 25 26</t>
  </si>
  <si>
    <t>222</t>
  </si>
  <si>
    <t>144</t>
  </si>
  <si>
    <t>12212</t>
  </si>
  <si>
    <t>0 3 4 7 8 9,5 6 7 8 9,1 2 3 4 7</t>
  </si>
  <si>
    <t>0 1 4 5,0 1 2,1 9,2 5,3 6</t>
  </si>
  <si>
    <t>0 1 2,3 4 5 6</t>
  </si>
  <si>
    <t>0 1 2 3,0 1 9</t>
  </si>
  <si>
    <t>,0,1,2,3,4,5,6,</t>
    <phoneticPr fontId="1" type="noConversion"/>
  </si>
  <si>
    <t>0 1 2 3 5 6 7 8 9</t>
  </si>
  <si>
    <t>0 1 2 3 4 5 6</t>
  </si>
  <si>
    <t>0 4,0 1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</si>
  <si>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</si>
  <si>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</si>
  <si>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</si>
  <si>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</si>
  <si>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t>0 1 2 3 4 5 6 7 8 9</t>
    <phoneticPr fontId="1" type="noConversion"/>
  </si>
  <si>
    <t>415123</t>
    <phoneticPr fontId="1" type="noConversion"/>
  </si>
  <si>
    <t>2</t>
  </si>
  <si>
    <t>2</t>
    <phoneticPr fontId="1" type="noConversion"/>
  </si>
  <si>
    <t>3</t>
  </si>
  <si>
    <t>4</t>
  </si>
  <si>
    <t>3</t>
    <phoneticPr fontId="1" type="noConversion"/>
  </si>
  <si>
    <t>3</t>
    <phoneticPr fontId="1" type="noConversion"/>
  </si>
  <si>
    <t>4</t>
    <phoneticPr fontId="1" type="noConversion"/>
  </si>
  <si>
    <t>4</t>
    <phoneticPr fontId="1" type="noConversion"/>
  </si>
  <si>
    <t>44</t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</si>
  <si>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</si>
  <si>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</si>
  <si>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</si>
  <si>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</si>
  <si>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</si>
  <si>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</si>
  <si>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</si>
  <si>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</si>
  <si>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</si>
  <si>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</si>
  <si>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</si>
  <si>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</si>
  <si>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</si>
  <si>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</si>
  <si>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</si>
  <si>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</si>
  <si>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,456,</t>
    <phoneticPr fontId="1" type="noConversion"/>
  </si>
  <si>
    <t>,0,3,4,8,9,</t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</si>
  <si>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</si>
  <si>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,212,321,312,132,231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</si>
  <si>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,23,98,47,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</si>
  <si>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122,</t>
    </r>
    <phoneticPr fontId="1" type="noConversion"/>
  </si>
  <si>
    <r>
      <t>,132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</si>
  <si>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,2,3,7,8,9,</t>
    <phoneticPr fontId="1" type="noConversion"/>
  </si>
  <si>
    <t>,0,1,5,6,7,8,9,</t>
    <phoneticPr fontId="1" type="noConversion"/>
  </si>
  <si>
    <r>
      <t>,</t>
    </r>
    <r>
      <rPr>
        <sz val="11"/>
        <color theme="1"/>
        <rFont val="宋体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</si>
  <si>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,122,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</si>
  <si>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</si>
  <si>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</si>
  <si>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</si>
  <si>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</si>
  <si>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</si>
  <si>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1,2,6,7,8,</t>
    </r>
    <phoneticPr fontId="1" type="noConversion"/>
  </si>
  <si>
    <r>
      <t>1,3,4,6,7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</si>
  <si>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</si>
  <si>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,1,2,3,9,10,11,12,13,14,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</si>
  <si>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</si>
  <si>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</si>
  <si>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</si>
  <si>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</si>
  <si>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</si>
  <si>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</si>
  <si>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</si>
  <si>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</si>
  <si>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</si>
  <si>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</si>
  <si>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</si>
  <si>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</si>
  <si>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7113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</si>
  <si>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</si>
  <si>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</si>
  <si>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</t>
    <phoneticPr fontId="1" type="noConversion"/>
  </si>
  <si>
    <r>
      <t>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</si>
  <si>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,0,1,2,3,4,5,6,7,8,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</si>
  <si>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</si>
  <si>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</si>
  <si>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</si>
  <si>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</si>
  <si>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</si>
  <si>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</si>
  <si>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</si>
  <si>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</si>
  <si>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</si>
  <si>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,0,1,9,</t>
    <phoneticPr fontId="1" type="noConversion"/>
  </si>
  <si>
    <t>,4,1,5,</t>
    <phoneticPr fontId="1" type="noConversion"/>
  </si>
  <si>
    <t>,1,2,3,</t>
    <phoneticPr fontId="1" type="noConversion"/>
  </si>
  <si>
    <t>,0,1,</t>
    <phoneticPr fontId="1" type="noConversion"/>
  </si>
  <si>
    <t>,0,4,</t>
    <phoneticPr fontId="1" type="noConversion"/>
  </si>
  <si>
    <r>
      <t>,1,3,4,5,6,7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</si>
  <si>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</si>
  <si>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,0,1,5,7,8,9,6,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</si>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</sst>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87" tableType="xml" totalsRowShown="0" headerRowDxfId="10" dataDxfId="9" connectionId="6">
  <autoFilter ref="A1:I87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7"/>
  <sheetViews>
    <sheetView tabSelected="1" topLeftCell="D1" zoomScaleNormal="100" workbookViewId="0">
      <pane ySplit="1" topLeftCell="A41" activePane="bottomLeft" state="frozen"/>
      <selection activeCell="D1" sqref="D1"/>
      <selection pane="bottomLeft" activeCell="G19" sqref="G19"/>
    </sheetView>
  </sheetViews>
  <sheetFormatPr defaultColWidth="9" defaultRowHeight="13.5" x14ac:dyDescent="0.15"/>
  <cols>
    <col min="1" max="1" width="4.5" style="29" hidden="1" customWidth="1"/>
    <col min="2" max="2" width="12.75" style="29" hidden="1" customWidth="1"/>
    <col min="3" max="3" width="0.125" style="29" hidden="1" customWidth="1"/>
    <col min="4" max="5" width="9.5" style="29" bestFit="1" customWidth="1"/>
    <col min="6" max="6" width="29.125" style="29" customWidth="1"/>
    <col min="7" max="8" width="9.5" style="29" bestFit="1" customWidth="1"/>
    <col min="9" max="9" width="12.75" style="29" bestFit="1" customWidth="1"/>
    <col min="10" max="10" width="11.75" style="29" customWidth="1"/>
    <col min="11" max="11" width="16.75" style="29" bestFit="1" customWidth="1"/>
    <col min="12" max="12" width="16.25" style="29" customWidth="1"/>
    <col min="13" max="13" width="7.25" style="29" customWidth="1"/>
    <col min="14" max="14" width="8.5" style="29" bestFit="1" customWidth="1"/>
    <col min="15" max="15" width="8.125" style="29" customWidth="1"/>
    <col min="16" max="16" width="6.625" style="29" customWidth="1"/>
    <col min="17" max="17" width="10.75" style="29" customWidth="1"/>
    <col min="18" max="18" width="8.875" style="29" hidden="1" customWidth="1"/>
    <col min="19" max="19" width="7.625" style="29" hidden="1" customWidth="1"/>
    <col min="20" max="20" width="10.25" style="29" customWidth="1"/>
    <col min="21" max="21" width="33.875" style="29" bestFit="1" customWidth="1"/>
    <col min="22" max="16384" width="9" style="29"/>
  </cols>
  <sheetData>
    <row r="1" spans="1:21" x14ac:dyDescent="0.15">
      <c r="A1" s="29">
        <v>1</v>
      </c>
      <c r="B1" s="29">
        <v>5050</v>
      </c>
      <c r="C1" s="29" t="s">
        <v>9</v>
      </c>
      <c r="D1" s="29" t="s">
        <v>0</v>
      </c>
      <c r="E1" s="29" t="s">
        <v>1</v>
      </c>
      <c r="F1" s="29" t="s">
        <v>202</v>
      </c>
      <c r="G1" s="29" t="s">
        <v>11</v>
      </c>
      <c r="H1" s="29" t="s">
        <v>203</v>
      </c>
      <c r="I1" s="29" t="s">
        <v>204</v>
      </c>
      <c r="J1" s="29" t="s">
        <v>240</v>
      </c>
      <c r="K1" s="29" t="s">
        <v>196</v>
      </c>
      <c r="L1" s="29" t="s">
        <v>205</v>
      </c>
      <c r="M1" s="29" t="s">
        <v>10</v>
      </c>
      <c r="N1" s="29" t="s">
        <v>12</v>
      </c>
      <c r="O1" s="29" t="s">
        <v>13</v>
      </c>
      <c r="P1" s="29" t="s">
        <v>420</v>
      </c>
      <c r="Q1" s="29" t="s">
        <v>197</v>
      </c>
      <c r="R1" s="29" t="s">
        <v>131</v>
      </c>
      <c r="S1" s="29" t="s">
        <v>129</v>
      </c>
      <c r="T1" s="29" t="s">
        <v>201</v>
      </c>
    </row>
    <row r="2" spans="1:21" x14ac:dyDescent="0.15">
      <c r="A2" s="1">
        <v>2</v>
      </c>
      <c r="B2" s="29" t="s">
        <v>14</v>
      </c>
      <c r="C2" s="29">
        <v>20180517001</v>
      </c>
      <c r="D2" s="29" t="s">
        <v>4</v>
      </c>
      <c r="E2" s="29" t="s">
        <v>5</v>
      </c>
      <c r="F2" s="29" t="str">
        <f>Sheet2!$N2</f>
        <v>0 1 4 5,0 1 2,1 9,2 5,3 6</v>
      </c>
      <c r="G2" s="29" t="s">
        <v>336</v>
      </c>
      <c r="H2" s="29">
        <v>1</v>
      </c>
      <c r="I2" s="29">
        <f t="shared" ref="I2:I33" si="0">Q2*G2*2</f>
        <v>52</v>
      </c>
      <c r="J2" s="29" t="str">
        <f ca="1">Sheet2!K$2</f>
        <v>35411</v>
      </c>
      <c r="K2" s="29">
        <f ca="1">Sheet2!$M2*$H2*$G2*$N2</f>
        <v>0</v>
      </c>
      <c r="L2" s="29">
        <f ca="1">T2-I2+K2</f>
        <v>999948</v>
      </c>
      <c r="M2" s="29" t="s">
        <v>15</v>
      </c>
      <c r="N2" s="29">
        <v>19.600000000000001</v>
      </c>
      <c r="O2" s="29">
        <f ca="1">IF(AND(ISNUMBER(FIND(LEFT(J2,1),#REF!,1)),LEN(J2)&lt;&gt;0),1,0)</f>
        <v>0</v>
      </c>
      <c r="Q2" s="29">
        <f>SUM(LEN(SUBSTITUTE(Sheet2!J2,",",)),LEN(SUBSTITUTE(Sheet2!J3,",",)),LEN(SUBSTITUTE(Sheet2!J4,",",)),LEN(SUBSTITUTE(Sheet2!J5,",",)),LEN(SUBSTITUTE(Sheet2!J6,",",)))</f>
        <v>13</v>
      </c>
      <c r="T2" s="29">
        <v>1000000</v>
      </c>
    </row>
    <row r="3" spans="1:21" x14ac:dyDescent="0.15">
      <c r="A3" s="29">
        <v>7</v>
      </c>
      <c r="D3" s="29" t="s">
        <v>18</v>
      </c>
      <c r="E3" s="29" t="s">
        <v>20</v>
      </c>
      <c r="F3" s="29" t="str">
        <f>Sheet2!$N7</f>
        <v>0 1 2,3 4 5 6</v>
      </c>
      <c r="G3" s="29" t="s">
        <v>336</v>
      </c>
      <c r="H3" s="29">
        <v>1</v>
      </c>
      <c r="I3" s="29">
        <f t="shared" si="0"/>
        <v>48</v>
      </c>
      <c r="J3" s="29" t="str">
        <f ca="1">Sheet2!K$2</f>
        <v>35411</v>
      </c>
      <c r="K3" s="29">
        <f ca="1">Sheet2!$M7*$H3*$G3*$N3</f>
        <v>0</v>
      </c>
      <c r="L3" s="29">
        <f t="shared" ref="L3:L66" ca="1" si="1">$L2-$I3+$K3</f>
        <v>999900</v>
      </c>
      <c r="M3" s="29" t="s">
        <v>19</v>
      </c>
      <c r="N3" s="29">
        <v>196</v>
      </c>
      <c r="O3" s="29">
        <f ca="1">IF(ISNUMBER(FIND(LEFT(J2,1),#REF!,1)),1,0)</f>
        <v>0</v>
      </c>
      <c r="Q3" s="29">
        <f>COMBIN(LEN(SUBSTITUTE(Sheet2!J7,",",)),1)*COMBIN(LEN(SUBSTITUTE(Sheet2!J8,",",)),1)</f>
        <v>12</v>
      </c>
    </row>
    <row r="4" spans="1:21" x14ac:dyDescent="0.15">
      <c r="A4" s="29">
        <v>9</v>
      </c>
      <c r="D4" s="29" t="s">
        <v>18</v>
      </c>
      <c r="E4" s="29" t="s">
        <v>21</v>
      </c>
      <c r="F4" s="29" t="str">
        <f>Sheet2!$N9</f>
        <v>23 98 47</v>
      </c>
      <c r="G4" s="29" t="s">
        <v>336</v>
      </c>
      <c r="H4" s="29">
        <v>1</v>
      </c>
      <c r="I4" s="29">
        <f t="shared" si="0"/>
        <v>12</v>
      </c>
      <c r="J4" s="29" t="str">
        <f ca="1">Sheet2!K$2</f>
        <v>35411</v>
      </c>
      <c r="K4" s="29">
        <f ca="1">Sheet2!$M9*$H4*$G4*$N4</f>
        <v>0</v>
      </c>
      <c r="L4" s="29">
        <f t="shared" ca="1" si="1"/>
        <v>999888</v>
      </c>
      <c r="N4" s="29">
        <v>196</v>
      </c>
      <c r="O4" s="29">
        <f ca="1">IF(ISNUMBER(FIND(","&amp;LEFT(J2,2),#REF!,1)),1,0)</f>
        <v>0</v>
      </c>
      <c r="Q4" s="29">
        <f>FINDNUMBER(Sheet2!J9,2)</f>
        <v>3</v>
      </c>
    </row>
    <row r="5" spans="1:21" x14ac:dyDescent="0.15">
      <c r="A5" s="29">
        <v>10</v>
      </c>
      <c r="D5" s="29" t="s">
        <v>18</v>
      </c>
      <c r="E5" s="29" t="s">
        <v>23</v>
      </c>
      <c r="F5" s="29" t="str">
        <f>Sheet2!$N10</f>
        <v>1 5 8 14 15 18</v>
      </c>
      <c r="G5" s="29" t="s">
        <v>336</v>
      </c>
      <c r="H5" s="29">
        <v>1</v>
      </c>
      <c r="I5" s="29">
        <f t="shared" si="0"/>
        <v>108</v>
      </c>
      <c r="J5" s="29" t="str">
        <f ca="1">Sheet2!K$2</f>
        <v>35411</v>
      </c>
      <c r="K5" s="29">
        <f ca="1">Sheet2!$M10*$H5*$G5*$N5</f>
        <v>392</v>
      </c>
      <c r="L5" s="29">
        <f t="shared" ca="1" si="1"/>
        <v>1000172</v>
      </c>
      <c r="N5" s="29">
        <v>196</v>
      </c>
      <c r="O5" s="29">
        <f ca="1">IF(ISNUMBER(FIND(","&amp;SUM(LEFT(J2,1),MID(J2,2,1))&amp;",",#REF!,1)),1,0)</f>
        <v>0</v>
      </c>
      <c r="Q5" s="29">
        <f>SUM(Sheet2!C2:C20)</f>
        <v>27</v>
      </c>
      <c r="U5" s="29">
        <f ca="1">LOOKUP(SUM(LEN(SUBSTITUTE(J2,MID(J2,{1,2,3,4,5},1),))),{8,12,14,16,18,20;5,10,20,30,60,120})</f>
        <v>60</v>
      </c>
    </row>
    <row r="6" spans="1:21" x14ac:dyDescent="0.15">
      <c r="A6" s="29">
        <v>11</v>
      </c>
      <c r="D6" s="29" t="s">
        <v>18</v>
      </c>
      <c r="E6" s="29" t="s">
        <v>25</v>
      </c>
      <c r="F6" s="29" t="str">
        <f>Sheet2!$N11</f>
        <v>0 1 2 7 8 9</v>
      </c>
      <c r="G6" s="29" t="s">
        <v>336</v>
      </c>
      <c r="H6" s="29">
        <v>1</v>
      </c>
      <c r="I6" s="29">
        <f t="shared" si="0"/>
        <v>224</v>
      </c>
      <c r="J6" s="29" t="str">
        <f ca="1">Sheet2!K$2</f>
        <v>35411</v>
      </c>
      <c r="K6" s="29">
        <f ca="1">Sheet2!$M11*$H6*$G6*$N6</f>
        <v>392</v>
      </c>
      <c r="L6" s="29">
        <f t="shared" ca="1" si="1"/>
        <v>1000340</v>
      </c>
      <c r="N6" s="29">
        <v>196</v>
      </c>
      <c r="O6" s="29">
        <f ca="1">IF(ISNUMBER(FIND(IF(LEFT(J2,1)&gt;MID(J2,2,1),LEFT(J2,1)-MID(J2,2,1),MID(J2,2,1)-LEFT(J2,1)),#REF!,1)),1,0)</f>
        <v>0</v>
      </c>
      <c r="Q6" s="29">
        <f>SUM(Sheet2!C$21:C$30)</f>
        <v>56</v>
      </c>
    </row>
    <row r="7" spans="1:21" x14ac:dyDescent="0.15">
      <c r="A7" s="29">
        <v>12</v>
      </c>
      <c r="D7" s="29" t="s">
        <v>18</v>
      </c>
      <c r="E7" s="29" t="s">
        <v>27</v>
      </c>
      <c r="F7" s="29" t="str">
        <f>Sheet2!$N12</f>
        <v>0 1 2 7 8 9</v>
      </c>
      <c r="G7" s="29" t="s">
        <v>336</v>
      </c>
      <c r="H7" s="29">
        <v>1</v>
      </c>
      <c r="I7" s="29">
        <f t="shared" si="0"/>
        <v>60</v>
      </c>
      <c r="J7" s="29" t="str">
        <f ca="1">Sheet2!K$2</f>
        <v>35411</v>
      </c>
      <c r="K7" s="29">
        <f ca="1">IF(LEFT(J2,1)&lt;&gt;MID(J2,2,1),IF(IF(ISNUMBER(FIND(LEFT(J2,1),#REF!,1)),1,0)+IF(ISNUMBER(FIND(MID(J2,2,1),#REF!,1)),1,0)=2,G2*N7,0),0)</f>
        <v>0</v>
      </c>
      <c r="L7" s="29">
        <f t="shared" ca="1" si="1"/>
        <v>1000280</v>
      </c>
      <c r="M7" s="29" t="s">
        <v>26</v>
      </c>
      <c r="N7" s="29">
        <v>98</v>
      </c>
      <c r="O7" s="29">
        <f ca="1">IF(LEFT(J2,1)&lt;&gt;MID(J2,2,1),IF(IF(ISNUMBER(FIND(LEFT(J2,1),#REF!,1)),1,0)+IF(ISNUMBER(FIND(MID(J2,2,1),#REF!,1)),1,0)=2,1,0),0)</f>
        <v>0</v>
      </c>
      <c r="Q7" s="29">
        <f>COMBIN(LEN(SUBSTITUTE(Sheet2!$J$12,",",)),2)</f>
        <v>15</v>
      </c>
    </row>
    <row r="8" spans="1:21" x14ac:dyDescent="0.15">
      <c r="A8" s="29">
        <v>13</v>
      </c>
      <c r="D8" s="29" t="s">
        <v>18</v>
      </c>
      <c r="E8" s="29" t="s">
        <v>28</v>
      </c>
      <c r="F8" s="29" t="str">
        <f>Sheet2!$N13</f>
        <v>01 02 03</v>
      </c>
      <c r="G8" s="29" t="s">
        <v>336</v>
      </c>
      <c r="H8" s="29">
        <v>1</v>
      </c>
      <c r="I8" s="29">
        <f t="shared" si="0"/>
        <v>12</v>
      </c>
      <c r="J8" s="29" t="str">
        <f ca="1">Sheet2!K$2</f>
        <v>35411</v>
      </c>
      <c r="K8" s="29">
        <f ca="1">IF(EXACT(LEFT(J2,1),MID(J2,2,1)),0,IF(OR(ISNUMBER(FIND(","&amp;LEFT(J2,2)&amp;",",#REF!,1)),ISNUMBER(FIND(","&amp;MID(J2,2,1)&amp;LEFT(J2,1)&amp;",",#REF!,1))),G2*N8,0))</f>
        <v>0</v>
      </c>
      <c r="L8" s="29">
        <f t="shared" ca="1" si="1"/>
        <v>1000268</v>
      </c>
      <c r="N8" s="29">
        <v>98</v>
      </c>
      <c r="Q8" s="29">
        <f>FINDNUMBER(Sheet2!$J$13,2)</f>
        <v>3</v>
      </c>
    </row>
    <row r="9" spans="1:21" x14ac:dyDescent="0.15">
      <c r="A9" s="29">
        <v>14</v>
      </c>
      <c r="D9" s="29" t="s">
        <v>18</v>
      </c>
      <c r="E9" s="29" t="s">
        <v>29</v>
      </c>
      <c r="F9" s="29" t="str">
        <f>Sheet2!$N14</f>
        <v>1 2 3 8 14 15</v>
      </c>
      <c r="G9" s="29" t="s">
        <v>336</v>
      </c>
      <c r="H9" s="29">
        <v>1</v>
      </c>
      <c r="I9" s="29">
        <f t="shared" si="0"/>
        <v>48</v>
      </c>
      <c r="J9" s="29" t="str">
        <f ca="1">Sheet2!K$2</f>
        <v>35411</v>
      </c>
      <c r="K9" s="29">
        <f ca="1">IF(LEFT(J2,1)&lt;&gt;MID(J2,2,1),IF(ISNUMBER(FIND(","&amp;SUM(LEFT(J2,1),MID(J2,2,1))&amp;",",#REF!,1)),G2*N9,0),0)</f>
        <v>0</v>
      </c>
      <c r="L9" s="29">
        <f t="shared" ca="1" si="1"/>
        <v>1000220</v>
      </c>
      <c r="N9" s="29">
        <v>98</v>
      </c>
      <c r="Q9" s="29">
        <f>SUM(Sheet2!C$31:C$47)</f>
        <v>12</v>
      </c>
    </row>
    <row r="10" spans="1:21" x14ac:dyDescent="0.15">
      <c r="A10" s="29">
        <v>15</v>
      </c>
      <c r="D10" s="29" t="s">
        <v>18</v>
      </c>
      <c r="E10" s="29" t="s">
        <v>30</v>
      </c>
      <c r="F10" s="29" t="str">
        <f>Sheet2!$N15</f>
        <v>0 1 3 5 6</v>
      </c>
      <c r="G10" s="29" t="s">
        <v>336</v>
      </c>
      <c r="H10" s="29">
        <v>1</v>
      </c>
      <c r="I10" s="29">
        <f t="shared" si="0"/>
        <v>20</v>
      </c>
      <c r="J10" s="29" t="str">
        <f ca="1">Sheet2!K$2</f>
        <v>35411</v>
      </c>
      <c r="K10" s="29">
        <f ca="1">IF(AND(OR(ISNUMBER(FIND(LEFT(J2,1),#REF!,1)),ISNUMBER(FIND(MID(J2,2,1),#REF!,1))),LEFT(J2,1)&lt;&gt;MID(J2,2,1)),G2*N10,0)</f>
        <v>0</v>
      </c>
      <c r="L10" s="29">
        <f t="shared" ca="1" si="1"/>
        <v>1000200</v>
      </c>
      <c r="N10" s="29">
        <v>98</v>
      </c>
      <c r="Q10" s="29">
        <f>LEN(SUBSTITUTE(Sheet2!$J$15,",",))</f>
        <v>5</v>
      </c>
    </row>
    <row r="11" spans="1:21" x14ac:dyDescent="0.15">
      <c r="A11" s="29">
        <v>16</v>
      </c>
      <c r="D11" s="29" t="s">
        <v>32</v>
      </c>
      <c r="E11" s="29" t="s">
        <v>20</v>
      </c>
      <c r="F11" s="29" t="str">
        <f>Sheet2!$N16</f>
        <v>1 2 8 9,2 3 4</v>
      </c>
      <c r="G11" s="29" t="s">
        <v>338</v>
      </c>
      <c r="H11" s="29">
        <v>1</v>
      </c>
      <c r="I11" s="29">
        <f t="shared" si="0"/>
        <v>72</v>
      </c>
      <c r="J11" s="29" t="str">
        <f ca="1">Sheet2!K$2</f>
        <v>35411</v>
      </c>
      <c r="K11" s="29">
        <f ca="1">IF(IF(ISNUMBER(FIND(RIGHT(J2,1),#REF!,1)),1,0)+IF(ISNUMBER(FIND(MID(J2,4,1),#REF!,1)),1,0)=2,G2*N11*1,0)</f>
        <v>0</v>
      </c>
      <c r="L11" s="29">
        <f t="shared" ca="1" si="1"/>
        <v>1000128</v>
      </c>
      <c r="M11" s="29" t="s">
        <v>19</v>
      </c>
      <c r="N11" s="29">
        <v>196</v>
      </c>
      <c r="Q11" s="29">
        <f>COMBIN(LEN(SUBSTITUTE(Sheet2!$J$16,",",)),1)*COMBIN(LEN(SUBSTITUTE(Sheet2!$J$17,",",)),1)</f>
        <v>12</v>
      </c>
    </row>
    <row r="12" spans="1:21" x14ac:dyDescent="0.15">
      <c r="A12" s="29">
        <v>18</v>
      </c>
      <c r="D12" s="29" t="s">
        <v>32</v>
      </c>
      <c r="E12" s="29" t="s">
        <v>21</v>
      </c>
      <c r="F12" s="29" t="str">
        <f>Sheet2!$N18</f>
        <v>12 12 13 21 31</v>
      </c>
      <c r="G12" s="29" t="s">
        <v>338</v>
      </c>
      <c r="H12" s="29">
        <v>1</v>
      </c>
      <c r="I12" s="29">
        <f t="shared" si="0"/>
        <v>24</v>
      </c>
      <c r="J12" s="29" t="str">
        <f ca="1">Sheet2!K$2</f>
        <v>35411</v>
      </c>
      <c r="K12" s="29">
        <f ca="1">IF(ISNUMBER(FIND(","&amp;RIGHT(J2,2),#REF!,1)),G2*N12,0)</f>
        <v>0</v>
      </c>
      <c r="L12" s="29">
        <f t="shared" ca="1" si="1"/>
        <v>1000104</v>
      </c>
      <c r="N12" s="29">
        <v>196</v>
      </c>
      <c r="Q12" s="29">
        <f>FINDNUMBER(Sheet2!$J$18,2)</f>
        <v>4</v>
      </c>
    </row>
    <row r="13" spans="1:21" x14ac:dyDescent="0.15">
      <c r="A13" s="29">
        <v>19</v>
      </c>
      <c r="D13" s="29" t="s">
        <v>32</v>
      </c>
      <c r="E13" s="29" t="s">
        <v>23</v>
      </c>
      <c r="F13" s="29" t="str">
        <f>Sheet2!$N19</f>
        <v>0 1 6 7 10 11 17</v>
      </c>
      <c r="G13" s="29" t="s">
        <v>338</v>
      </c>
      <c r="H13" s="29">
        <v>1</v>
      </c>
      <c r="I13" s="29">
        <f t="shared" si="0"/>
        <v>222</v>
      </c>
      <c r="J13" s="29" t="str">
        <f ca="1">Sheet2!K$2</f>
        <v>35411</v>
      </c>
      <c r="K13" s="29">
        <f ca="1">IF(ISNUMBER(FIND(","&amp;SUM(RIGHT(J2,1),MID(J2,4,1))&amp;",",#REF!,1)),G2*N13,0)</f>
        <v>0</v>
      </c>
      <c r="L13" s="29">
        <f t="shared" ca="1" si="1"/>
        <v>999882</v>
      </c>
      <c r="N13" s="29">
        <v>196</v>
      </c>
      <c r="Q13" s="29">
        <f>SUM(Sheet2!E2:E20)</f>
        <v>37</v>
      </c>
    </row>
    <row r="14" spans="1:21" x14ac:dyDescent="0.15">
      <c r="A14" s="29">
        <v>20</v>
      </c>
      <c r="D14" s="29" t="s">
        <v>32</v>
      </c>
      <c r="E14" s="29" t="s">
        <v>25</v>
      </c>
      <c r="F14" s="29" t="str">
        <f>Sheet2!$N20</f>
        <v>0 2 3 5 6 7 9</v>
      </c>
      <c r="G14" s="29" t="s">
        <v>338</v>
      </c>
      <c r="H14" s="29">
        <v>1</v>
      </c>
      <c r="I14" s="29">
        <f t="shared" si="0"/>
        <v>396</v>
      </c>
      <c r="J14" s="29" t="str">
        <f ca="1">Sheet2!K$2</f>
        <v>35411</v>
      </c>
      <c r="K14" s="29">
        <f ca="1">IF(ISNUMBER(FIND(MAX(MID(J2,4,1),RIGHT(J2,1))-MIN(MID(J2,4,1),RIGHT(J2,1)),#REF!,1)),G2*N14*1,0)</f>
        <v>0</v>
      </c>
      <c r="L14" s="29">
        <f t="shared" ca="1" si="1"/>
        <v>999486</v>
      </c>
      <c r="N14" s="29">
        <v>196</v>
      </c>
      <c r="Q14" s="29">
        <f>SUM(Sheet2!E$21:E$30)</f>
        <v>66</v>
      </c>
    </row>
    <row r="15" spans="1:21" x14ac:dyDescent="0.15">
      <c r="A15" s="29">
        <v>21</v>
      </c>
      <c r="D15" s="29" t="s">
        <v>32</v>
      </c>
      <c r="E15" s="29" t="s">
        <v>27</v>
      </c>
      <c r="F15" s="29" t="str">
        <f>Sheet2!$N21</f>
        <v>0 1 2 7 8 9</v>
      </c>
      <c r="G15" s="29" t="s">
        <v>338</v>
      </c>
      <c r="H15" s="29">
        <v>1</v>
      </c>
      <c r="I15" s="29">
        <f t="shared" si="0"/>
        <v>90</v>
      </c>
      <c r="J15" s="29" t="str">
        <f ca="1">Sheet2!K$2</f>
        <v>35411</v>
      </c>
      <c r="K15" s="29">
        <f ca="1">IF(RIGHT(J2,1)&lt;&gt;MID(J2,4,1),IF(IF(ISNUMBER(FIND(RIGHT(J2,1),#REF!,1)),1,0)+IF(ISNUMBER(FIND(MID(J2,4,1),#REF!,1)),1,0)=2,G2*N15,0),0)</f>
        <v>0</v>
      </c>
      <c r="L15" s="29">
        <f t="shared" ca="1" si="1"/>
        <v>999396</v>
      </c>
      <c r="M15" s="29" t="s">
        <v>26</v>
      </c>
      <c r="N15" s="29">
        <v>98</v>
      </c>
      <c r="Q15" s="29">
        <f>COMBIN(LEN(SUBSTITUTE(Sheet2!$J$21,",",)),2)</f>
        <v>15</v>
      </c>
    </row>
    <row r="16" spans="1:21" x14ac:dyDescent="0.15">
      <c r="A16" s="29">
        <v>22</v>
      </c>
      <c r="D16" s="29" t="s">
        <v>32</v>
      </c>
      <c r="E16" s="29" t="s">
        <v>28</v>
      </c>
      <c r="F16" s="29" t="str">
        <f>Sheet2!$N22</f>
        <v>-</v>
      </c>
      <c r="G16" s="29" t="s">
        <v>338</v>
      </c>
      <c r="H16" s="29">
        <v>1</v>
      </c>
      <c r="I16" s="29">
        <f t="shared" si="0"/>
        <v>0</v>
      </c>
      <c r="J16" s="29" t="str">
        <f ca="1">Sheet2!K$2</f>
        <v>35411</v>
      </c>
      <c r="K16" s="29">
        <f ca="1">IF(EXACT(RIGHT(J2,1),MID(J2,4,1)),0,IF(OR(ISNUMBER(FIND(","&amp;RIGHT(J2,2)&amp;",",#REF!,1)),ISNUMBER(FIND(","&amp;RIGHT(J2,1)&amp;MID(J2,4,1)&amp;",",#REF!,1))),G2*N8,0))</f>
        <v>0</v>
      </c>
      <c r="L16" s="29">
        <f t="shared" ca="1" si="1"/>
        <v>999396</v>
      </c>
      <c r="N16" s="29">
        <v>98</v>
      </c>
      <c r="Q16" s="29">
        <f>FINDNUMBER(Sheet2!$J$22,2)</f>
        <v>0</v>
      </c>
    </row>
    <row r="17" spans="1:17" x14ac:dyDescent="0.15">
      <c r="A17" s="29">
        <v>23</v>
      </c>
      <c r="D17" s="29" t="s">
        <v>32</v>
      </c>
      <c r="E17" s="29" t="s">
        <v>29</v>
      </c>
      <c r="F17" s="29" t="str">
        <f>Sheet2!$N23</f>
        <v>1 2 3 7 8 9 17</v>
      </c>
      <c r="G17" s="29" t="s">
        <v>338</v>
      </c>
      <c r="H17" s="29">
        <v>1</v>
      </c>
      <c r="I17" s="29">
        <f t="shared" si="0"/>
        <v>108</v>
      </c>
      <c r="J17" s="29" t="str">
        <f ca="1">Sheet2!K$2</f>
        <v>35411</v>
      </c>
      <c r="K17" s="29">
        <f ca="1">IF(RIGHT(J2,1)&lt;&gt;MID(J2,4,1),IF(ISNUMBER(FIND(","&amp;SUM(MID(J2,4,1),RIGHT(J2,1))&amp;",",#REF!,1)),G2*N17,0),0)</f>
        <v>0</v>
      </c>
      <c r="L17" s="29">
        <f t="shared" ca="1" si="1"/>
        <v>999288</v>
      </c>
      <c r="N17" s="29">
        <v>98</v>
      </c>
      <c r="Q17" s="29">
        <f>SUM(Sheet2!E$31:E$47)</f>
        <v>18</v>
      </c>
    </row>
    <row r="18" spans="1:17" x14ac:dyDescent="0.15">
      <c r="A18" s="29">
        <v>24</v>
      </c>
      <c r="D18" s="29" t="s">
        <v>32</v>
      </c>
      <c r="E18" s="29" t="s">
        <v>30</v>
      </c>
      <c r="F18" s="29" t="str">
        <f>Sheet2!$N24</f>
        <v>0 1 4 5 6</v>
      </c>
      <c r="G18" s="29" t="s">
        <v>338</v>
      </c>
      <c r="H18" s="29">
        <v>1</v>
      </c>
      <c r="I18" s="29">
        <f t="shared" si="0"/>
        <v>270</v>
      </c>
      <c r="J18" s="29" t="str">
        <f ca="1">Sheet2!K$2</f>
        <v>35411</v>
      </c>
      <c r="K18" s="29">
        <f ca="1">IF(AND(OR(ISNUMBER(FIND(RIGHT(J2,1),#REF!,1)),ISNUMBER(FIND(MID(J2,4,1),#REF!,1))),RIGHT(J2,1)&lt;&gt;MID(J2,4,1)),G2*N18,0)</f>
        <v>0</v>
      </c>
      <c r="L18" s="29">
        <f t="shared" ca="1" si="1"/>
        <v>999018</v>
      </c>
      <c r="N18" s="29">
        <v>98</v>
      </c>
      <c r="Q18" s="29">
        <f>LEN(SUBSTITUTE(Sheet2!$J$24,",",))*9</f>
        <v>45</v>
      </c>
    </row>
    <row r="19" spans="1:17" x14ac:dyDescent="0.15">
      <c r="A19" s="29">
        <v>25</v>
      </c>
      <c r="D19" s="29" t="s">
        <v>33</v>
      </c>
      <c r="E19" s="29" t="s">
        <v>5</v>
      </c>
      <c r="F19" s="29" t="str">
        <f>Sheet2!$N25</f>
        <v>0 3 4 7 8 9,5 6 7 8 9,1 2 3 4 7</v>
      </c>
      <c r="G19" s="29" t="s">
        <v>338</v>
      </c>
      <c r="H19" s="29">
        <v>1</v>
      </c>
      <c r="I19" s="29">
        <f t="shared" si="0"/>
        <v>900</v>
      </c>
      <c r="J19" s="29" t="str">
        <f ca="1">Sheet2!K$2</f>
        <v>35411</v>
      </c>
      <c r="K19" s="29">
        <f ca="1">IF(AND(ISNUMBER(FIND(LEFT(J2,1),#REF!,1)),ISNUMBER(FIND(MID(J2,2,1),#REF!,1)),ISNUMBER(FIND(MID(J2,3,1),#REF!,1))),G2*N19,0)</f>
        <v>0</v>
      </c>
      <c r="L19" s="29">
        <f t="shared" ca="1" si="1"/>
        <v>998118</v>
      </c>
      <c r="M19" s="29" t="s">
        <v>19</v>
      </c>
      <c r="N19" s="29">
        <v>1960</v>
      </c>
      <c r="O19" s="29" t="b">
        <f ca="1">ISNUMBER(FIND(LEFT(J2,1),#REF!,1))</f>
        <v>0</v>
      </c>
      <c r="Q19" s="29">
        <f>LEN(SUBSTITUTE(Sheet2!$J$25,",",))*LEN(SUBSTITUTE(Sheet2!$J$26,",",))*LEN(SUBSTITUTE(Sheet2!$J$27,",",))</f>
        <v>150</v>
      </c>
    </row>
    <row r="20" spans="1:17" x14ac:dyDescent="0.15">
      <c r="A20" s="29">
        <v>28</v>
      </c>
      <c r="D20" s="29" t="s">
        <v>33</v>
      </c>
      <c r="E20" s="29" t="s">
        <v>34</v>
      </c>
      <c r="F20" s="29" t="str">
        <f>Sheet2!$N28</f>
        <v>123 123 321</v>
      </c>
      <c r="G20" s="29" t="s">
        <v>338</v>
      </c>
      <c r="H20" s="29">
        <v>1</v>
      </c>
      <c r="I20" s="29">
        <f t="shared" si="0"/>
        <v>12</v>
      </c>
      <c r="J20" s="29" t="str">
        <f ca="1">Sheet2!K$2</f>
        <v>35411</v>
      </c>
      <c r="K20" s="29">
        <f ca="1">IF(ISNUMBER(FIND(","&amp;LEFT(J2,3),#REF!,1)),G2*N20,0)</f>
        <v>0</v>
      </c>
      <c r="L20" s="29">
        <f t="shared" ca="1" si="1"/>
        <v>998106</v>
      </c>
      <c r="N20" s="29">
        <v>1960</v>
      </c>
      <c r="Q20" s="29">
        <f>FINDNUMBER(Sheet2!$J$28,3)</f>
        <v>2</v>
      </c>
    </row>
    <row r="21" spans="1:17" x14ac:dyDescent="0.15">
      <c r="A21" s="29">
        <v>29</v>
      </c>
      <c r="D21" s="29" t="s">
        <v>33</v>
      </c>
      <c r="E21" s="29" t="s">
        <v>23</v>
      </c>
      <c r="F21" s="29" t="str">
        <f>Sheet2!$N29</f>
        <v>1 2 3 4 6 10 11 16 17 18</v>
      </c>
      <c r="G21" s="29" t="s">
        <v>338</v>
      </c>
      <c r="H21" s="29">
        <v>1</v>
      </c>
      <c r="I21" s="29">
        <f t="shared" si="0"/>
        <v>2286</v>
      </c>
      <c r="J21" s="29" t="str">
        <f ca="1">Sheet2!K$2</f>
        <v>35411</v>
      </c>
      <c r="K21" s="29">
        <f ca="1">IF(ISNUMBER(FIND(","&amp;SUM(LEFT(J2,1),MID(J2,2,1),MID(J2,3,1))&amp;",",#REF!,1)),G2*N21,0)</f>
        <v>0</v>
      </c>
      <c r="L21" s="29">
        <f t="shared" ca="1" si="1"/>
        <v>995820</v>
      </c>
      <c r="N21" s="29">
        <v>1960</v>
      </c>
      <c r="Q21" s="29">
        <f>SUM(Sheet2!$C$48:$C$75)</f>
        <v>381</v>
      </c>
    </row>
    <row r="22" spans="1:17" x14ac:dyDescent="0.15">
      <c r="A22" s="29">
        <v>30</v>
      </c>
      <c r="D22" s="29" t="s">
        <v>33</v>
      </c>
      <c r="E22" s="29" t="s">
        <v>25</v>
      </c>
      <c r="F22" s="29" t="str">
        <f>Sheet2!$N30</f>
        <v>0 3 4 5 6 9</v>
      </c>
      <c r="G22" s="29" t="s">
        <v>339</v>
      </c>
      <c r="H22" s="29">
        <v>1</v>
      </c>
      <c r="I22" s="29">
        <f t="shared" si="0"/>
        <v>5024</v>
      </c>
      <c r="J22" s="29" t="str">
        <f ca="1">Sheet2!K$2</f>
        <v>35411</v>
      </c>
      <c r="K22" s="29">
        <f ca="1">IF(ISNUMBER(FIND(MAX(MID(J2,2,1),LEFT(J2,1),MID(J2,3,1))-MIN(MID(J2,2,1),LEFT(J2,1),MID(J2,3,1)),#REF!,1)),G2*N22*1,0)</f>
        <v>0</v>
      </c>
      <c r="L22" s="29">
        <f t="shared" ca="1" si="1"/>
        <v>990796</v>
      </c>
      <c r="N22" s="29">
        <v>1960</v>
      </c>
      <c r="Q22" s="29">
        <f>SUM(Sheet2!$C$76:$C$85)</f>
        <v>628</v>
      </c>
    </row>
    <row r="23" spans="1:17" x14ac:dyDescent="0.15">
      <c r="A23" s="29">
        <v>31</v>
      </c>
      <c r="D23" s="29" t="s">
        <v>33</v>
      </c>
      <c r="E23" s="29" t="s">
        <v>29</v>
      </c>
      <c r="F23" s="29" t="str">
        <f>Sheet2!$N31</f>
        <v>1 3 4 6 15 16 24 25 26</v>
      </c>
      <c r="G23" s="29" t="s">
        <v>339</v>
      </c>
      <c r="H23" s="29">
        <v>1</v>
      </c>
      <c r="I23" s="29">
        <f t="shared" si="0"/>
        <v>368</v>
      </c>
      <c r="J23" s="29" t="str">
        <f ca="1">Sheet2!K$2</f>
        <v>35411</v>
      </c>
      <c r="K23" s="29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9">
        <f t="shared" ca="1" si="1"/>
        <v>990428</v>
      </c>
      <c r="M23" s="29" t="s">
        <v>26</v>
      </c>
      <c r="N23" s="29">
        <v>326.66500000000002</v>
      </c>
      <c r="P23" s="29" t="b">
        <f ca="1">OR(AND(LEFT(J2,1)=MID(J2,2,1),MID(J2,2,1)&lt;&gt;MID(J2,3,1)),AND(LEFT(J2,1)&lt;&gt;MID(J2,2,1),MID(J2,2,1)=MID(J2,3,1)),AND(MID(J2,3,1)=LEFT(J2,1),LEFT(J2,1)&lt;&gt;MID(J2,2,1)))</f>
        <v>0</v>
      </c>
      <c r="Q23" s="29">
        <f>SUM(Sheet2!$C$86:$C$111)</f>
        <v>46</v>
      </c>
    </row>
    <row r="24" spans="1:17" x14ac:dyDescent="0.15">
      <c r="A24" s="29">
        <v>32</v>
      </c>
      <c r="D24" s="29" t="s">
        <v>33</v>
      </c>
      <c r="E24" s="29" t="s">
        <v>35</v>
      </c>
      <c r="F24" s="29" t="str">
        <f>Sheet2!$N32</f>
        <v>0 2 3 6 7 9</v>
      </c>
      <c r="G24" s="29" t="s">
        <v>339</v>
      </c>
      <c r="H24" s="29">
        <v>1</v>
      </c>
      <c r="I24" s="29">
        <f t="shared" si="0"/>
        <v>240</v>
      </c>
      <c r="J24" s="29" t="str">
        <f ca="1">Sheet2!K$2</f>
        <v>35411</v>
      </c>
      <c r="K24" s="29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9">
        <f t="shared" ca="1" si="1"/>
        <v>990188</v>
      </c>
      <c r="N24" s="29">
        <v>653.33000000000004</v>
      </c>
      <c r="O24" s="29" t="b">
        <f ca="1">AND(ISNUMBER(FIND(LEFT(J2,1),#REF!,1)),ISNUMBER(FIND(MID(J2,2,1),#REF!,1)),ISNUMBER(FIND(MID(J2,3,1),#REF!,1)),P24)</f>
        <v>0</v>
      </c>
      <c r="P24" s="29" t="b">
        <f ca="1">OR(AND(LEFT(J2,1)=MID(J2,2,1),MID(J2,2,1)&lt;&gt;MID(J2,3,1)),AND(LEFT(J2,1)&lt;&gt;MID(J2,2,1),MID(J2,2,1)=MID(J2,3,1)),AND(MID(J2,3,1)=LEFT(J2,1),LEFT(J2,1)&lt;&gt;MID(J2,2,1)))</f>
        <v>0</v>
      </c>
      <c r="Q24" s="29">
        <f>COMBIN(LEN(SUBSTITUTE(F24," ",)),2)*2</f>
        <v>30</v>
      </c>
    </row>
    <row r="25" spans="1:17" x14ac:dyDescent="0.15">
      <c r="A25" s="29">
        <v>33</v>
      </c>
      <c r="D25" s="29" t="s">
        <v>33</v>
      </c>
      <c r="E25" s="29" t="s">
        <v>36</v>
      </c>
      <c r="F25" s="29" t="str">
        <f>Sheet2!$N33</f>
        <v>0 1 2 7 8 9</v>
      </c>
      <c r="G25" s="29" t="s">
        <v>339</v>
      </c>
      <c r="H25" s="29">
        <v>1</v>
      </c>
      <c r="I25" s="29">
        <f t="shared" si="0"/>
        <v>160</v>
      </c>
      <c r="J25" s="29" t="str">
        <f ca="1">Sheet2!K$2</f>
        <v>35411</v>
      </c>
      <c r="K25" s="29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9">
        <f t="shared" ca="1" si="1"/>
        <v>990028</v>
      </c>
      <c r="N25" s="29">
        <v>326.66000000000003</v>
      </c>
      <c r="P25" s="29" t="b">
        <f ca="1">OR(AND(LEFT(J2,1)=MID(J2,2,1),MID(J2,2,1)&lt;&gt;MID(J2,3,1)),AND(LEFT(J2,1)&lt;&gt;MID(J2,2,1),MID(J2,2,1)=MID(J2,3,1)),AND(MID(J2,3,1)=LEFT(J2,1),LEFT(J2,1)&lt;&gt;MID(J2,2,1)))</f>
        <v>0</v>
      </c>
      <c r="Q25" s="29">
        <f>COMBIN(LEN(SUBSTITUTE(F25," ",)),3)</f>
        <v>20</v>
      </c>
    </row>
    <row r="26" spans="1:17" x14ac:dyDescent="0.15">
      <c r="A26" s="29">
        <v>34</v>
      </c>
      <c r="D26" s="29" t="s">
        <v>33</v>
      </c>
      <c r="E26" s="29" t="s">
        <v>37</v>
      </c>
      <c r="F26" s="29" t="str">
        <f>Sheet2!$N34</f>
        <v>212 321 312 132 231</v>
      </c>
      <c r="G26" s="29" t="s">
        <v>339</v>
      </c>
      <c r="H26" s="29">
        <v>1</v>
      </c>
      <c r="I26" s="29">
        <f t="shared" si="0"/>
        <v>40</v>
      </c>
      <c r="J26" s="29" t="str">
        <f ca="1">Sheet2!K$2</f>
        <v>35411</v>
      </c>
      <c r="K26" s="29">
        <f ca="1"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9">
        <f t="shared" ca="1" si="1"/>
        <v>989988</v>
      </c>
      <c r="N26" s="29">
        <v>326.66500000000002</v>
      </c>
      <c r="O26" s="29" t="b">
        <f ca="1">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</f>
        <v>0</v>
      </c>
      <c r="P26" s="29" t="b">
        <f ca="1">OR(AND(LEFT(J2,1)=MID(J2,2,1),MID(J2,2,1)&lt;&gt;MID(J2,3,1)),AND(LEFT(J2,1)&lt;&gt;MID(J2,2,1),MID(J2,2,1)=MID(J2,3,1)),AND(MID(J2,3,1)=LEFT(J2,1),LEFT(J2,1)&lt;&gt;MID(J2,2,1)))</f>
        <v>0</v>
      </c>
      <c r="Q26" s="29">
        <f>FINDNUMBER(Sheet2!$J$34,3)</f>
        <v>5</v>
      </c>
    </row>
    <row r="27" spans="1:17" x14ac:dyDescent="0.15">
      <c r="A27" s="29">
        <v>35</v>
      </c>
      <c r="D27" s="29" t="s">
        <v>33</v>
      </c>
      <c r="E27" s="29" t="s">
        <v>30</v>
      </c>
      <c r="F27" s="29" t="str">
        <f>Sheet2!$N35</f>
        <v>7</v>
      </c>
      <c r="G27" s="29" t="s">
        <v>339</v>
      </c>
      <c r="H27" s="29">
        <v>1</v>
      </c>
      <c r="I27" s="29">
        <f t="shared" si="0"/>
        <v>432</v>
      </c>
      <c r="J27" s="29" t="str">
        <f ca="1">Sheet2!K$2</f>
        <v>35411</v>
      </c>
      <c r="K27" s="29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9">
        <f t="shared" ca="1" si="1"/>
        <v>989556</v>
      </c>
      <c r="N27" s="29">
        <v>326.66500000000002</v>
      </c>
      <c r="O27" s="29" t="b">
        <f ca="1">OR(ISNUMBER(FIND(LEFT(J2,1),#REF!,1)),ISNUMBER(FIND(MID(J2,2,1),#REF!,1)),ISNUMBER(FIND(MID(J2,3,1),#REF!,1)))</f>
        <v>0</v>
      </c>
      <c r="P27" s="29" t="b">
        <f ca="1">OR(AND(LEFT(J2,1)=MID(J2,2,1),MID(J2,2,1)&lt;&gt;MID(J2,3,1)),AND(LEFT(J2,1)&lt;&gt;MID(J2,2,1),MID(J2,2,1)=MID(J2,3,1)),AND(MID(J2,3,1)=LEFT(J2,1),LEFT(J2,1)&lt;&gt;MID(J2,2,1)))</f>
        <v>0</v>
      </c>
      <c r="Q27" s="29">
        <v>54</v>
      </c>
    </row>
    <row r="28" spans="1:17" x14ac:dyDescent="0.15">
      <c r="A28" s="29">
        <v>36</v>
      </c>
      <c r="D28" s="29" t="s">
        <v>33</v>
      </c>
      <c r="E28" s="29" t="s">
        <v>38</v>
      </c>
      <c r="F28" s="29" t="str">
        <f>Sheet2!$N36</f>
        <v>122</v>
      </c>
      <c r="G28" s="29" t="s">
        <v>339</v>
      </c>
      <c r="H28" s="29">
        <v>1</v>
      </c>
      <c r="I28" s="29">
        <f t="shared" si="0"/>
        <v>8</v>
      </c>
      <c r="J28" s="29" t="str">
        <f ca="1">Sheet2!K$2</f>
        <v>35411</v>
      </c>
      <c r="K28" s="29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9">
        <f t="shared" ca="1" si="1"/>
        <v>989548</v>
      </c>
      <c r="N28" s="29">
        <v>653.33000000000004</v>
      </c>
      <c r="P28" s="29" t="b">
        <f ca="1">OR(AND(LEFT(J2,1)=MID(J2,2,1),MID(J2,2,1)&lt;&gt;MID(J2,3,1)),AND(LEFT(J2,1)&lt;&gt;MID(J2,2,1),MID(J2,2,1)=MID(J2,3,1)),AND(MID(J2,3,1)=LEFT(J2,1),LEFT(J2,1)&lt;&gt;MID(J2,2,1)))</f>
        <v>0</v>
      </c>
      <c r="Q28" s="29">
        <f>FINDNUMBER(Sheet2!$J$36,3)</f>
        <v>1</v>
      </c>
    </row>
    <row r="29" spans="1:17" x14ac:dyDescent="0.15">
      <c r="A29" s="29">
        <v>37</v>
      </c>
      <c r="D29" s="29" t="s">
        <v>33</v>
      </c>
      <c r="E29" s="29" t="s">
        <v>39</v>
      </c>
      <c r="F29" s="29" t="str">
        <f>Sheet2!$N37</f>
        <v>132</v>
      </c>
      <c r="G29" s="29" t="s">
        <v>339</v>
      </c>
      <c r="H29" s="29">
        <v>1</v>
      </c>
      <c r="I29" s="29">
        <f t="shared" si="0"/>
        <v>8</v>
      </c>
      <c r="J29" s="29" t="str">
        <f ca="1">Sheet2!K$2</f>
        <v>35411</v>
      </c>
      <c r="K29" s="29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9">
        <f t="shared" ca="1" si="1"/>
        <v>989540</v>
      </c>
      <c r="N29" s="29">
        <v>326.66000000000003</v>
      </c>
      <c r="P29" s="29" t="b">
        <f ca="1">OR(AND(LEFT(J2,1)=MID(J2,2,1),MID(J2,2,1)&lt;&gt;MID(J2,3,1)),AND(LEFT(J2,1)&lt;&gt;MID(J2,2,1),MID(J2,2,1)=MID(J2,3,1)),AND(MID(J2,3,1)=LEFT(J2,1),LEFT(J2,1)&lt;&gt;MID(J2,2,1)))</f>
        <v>0</v>
      </c>
      <c r="Q29" s="29">
        <f>FINDNUMBER(Sheet2!$J$37,3)</f>
        <v>1</v>
      </c>
    </row>
    <row r="30" spans="1:17" x14ac:dyDescent="0.15">
      <c r="A30" s="29">
        <v>38</v>
      </c>
      <c r="D30" s="29" t="s">
        <v>33</v>
      </c>
      <c r="E30" s="29" t="s">
        <v>41</v>
      </c>
      <c r="F30" s="29" t="str">
        <f>Sheet2!$N38</f>
        <v>0 3 4 7 8 9</v>
      </c>
      <c r="G30" s="29" t="s">
        <v>339</v>
      </c>
      <c r="H30" s="29">
        <v>1</v>
      </c>
      <c r="I30" s="29">
        <f t="shared" si="0"/>
        <v>48</v>
      </c>
      <c r="J30" s="29" t="str">
        <f ca="1">Sheet2!K$2</f>
        <v>35411</v>
      </c>
      <c r="K30" s="29">
        <f ca="1">IF(OR(ISNUMBER(FIND(LEFT(J2,1),#REF!,1)),ISNUMBER(FIND(MID(J2,2,1),#REF!,1)),ISNUMBER(FIND(MID(J2,3,1),#REF!,1))),G2*N30,0)</f>
        <v>0</v>
      </c>
      <c r="L30" s="29">
        <f t="shared" ca="1" si="1"/>
        <v>989492</v>
      </c>
      <c r="M30" s="29" t="s">
        <v>40</v>
      </c>
      <c r="N30" s="29">
        <v>7.23</v>
      </c>
      <c r="O30" s="29" t="b">
        <f ca="1">OR(ISNUMBER(FIND(LEFT(J2,1),#REF!,1)),ISNUMBER(FIND(MID(J2,2,1),#REF!,1)),ISNUMBER(FIND(MID(J2,3,1),#REF!,1)))</f>
        <v>0</v>
      </c>
      <c r="Q30" s="29">
        <f>LEN(SUBSTITUTE(F30," ",))</f>
        <v>6</v>
      </c>
    </row>
    <row r="31" spans="1:17" x14ac:dyDescent="0.15">
      <c r="A31" s="29">
        <v>39</v>
      </c>
      <c r="D31" s="29" t="s">
        <v>33</v>
      </c>
      <c r="E31" s="29" t="s">
        <v>42</v>
      </c>
      <c r="F31" s="29" t="str">
        <f>Sheet2!$N39</f>
        <v>2 3 4 5 6 7 8</v>
      </c>
      <c r="G31" s="29" t="s">
        <v>339</v>
      </c>
      <c r="H31" s="29">
        <v>1</v>
      </c>
      <c r="I31" s="29">
        <f t="shared" si="0"/>
        <v>168</v>
      </c>
      <c r="J31" s="29" t="str">
        <f ca="1">Sheet2!K$2</f>
        <v>35411</v>
      </c>
      <c r="K31" s="29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9">
        <f t="shared" ca="1" si="1"/>
        <v>989324</v>
      </c>
      <c r="N31" s="29">
        <v>36.29</v>
      </c>
      <c r="O31" s="29" t="b">
        <f ca="1">OR(AND(ISNUMBER(FIND(LEFT(J2,1),#REF!,1)),ISNUMBER(FIND(MID(J2,2,1),#REF!,1))),AND(ISNUMBER(FIND(MID(J2,3,1),#REF!,1)),ISNUMBER(FIND(MID(J2,2,1),#REF!,1))),AND(ISNUMBER(FIND(LEFT(J2,1),#REF!,1)),ISNUMBER(FIND(MID(J2,3,1),#REF!,1))))</f>
        <v>0</v>
      </c>
      <c r="Q31" s="29">
        <f>COMBIN(LEN(SUBSTITUTE(F31," ",)),2)</f>
        <v>21</v>
      </c>
    </row>
    <row r="32" spans="1:17" x14ac:dyDescent="0.15">
      <c r="A32" s="29">
        <v>40</v>
      </c>
      <c r="D32" s="29" t="s">
        <v>43</v>
      </c>
      <c r="E32" s="29" t="s">
        <v>5</v>
      </c>
      <c r="F32" s="29" t="str">
        <f>Sheet2!$N40</f>
        <v>0 3 4 8 9,0 1 2 5 6 7,2 3 7 8 9</v>
      </c>
      <c r="G32" s="29" t="s">
        <v>339</v>
      </c>
      <c r="H32" s="29">
        <v>1</v>
      </c>
      <c r="I32" s="29">
        <f t="shared" si="0"/>
        <v>1200</v>
      </c>
      <c r="J32" s="29" t="str">
        <f ca="1">Sheet2!K$2</f>
        <v>35411</v>
      </c>
      <c r="K32" s="29">
        <f ca="1">IF(AND(ISNUMBER(FIND(MID(J2,2,1),#REF!,1)),ISNUMBER(FIND(MID(J2,3,1),#REF!,1)),ISNUMBER(FIND(MID(J2,4,1),#REF!,1))),G2*N32,0)</f>
        <v>0</v>
      </c>
      <c r="L32" s="29">
        <f t="shared" ca="1" si="1"/>
        <v>988124</v>
      </c>
      <c r="M32" s="29" t="s">
        <v>19</v>
      </c>
      <c r="N32" s="29">
        <v>1960</v>
      </c>
      <c r="O32" s="29" t="b">
        <f ca="1">ISNUMBER(FIND(MID(J2,2,1),#REF!,1))</f>
        <v>0</v>
      </c>
      <c r="Q32" s="29">
        <f>LEN(SUBSTITUTE(Sheet2!$J$25,",",))*LEN(SUBSTITUTE(Sheet2!$J$26,",",))*LEN(SUBSTITUTE(Sheet2!$J$27,",",))</f>
        <v>150</v>
      </c>
    </row>
    <row r="33" spans="1:17" x14ac:dyDescent="0.15">
      <c r="A33" s="29">
        <v>43</v>
      </c>
      <c r="D33" s="29" t="s">
        <v>43</v>
      </c>
      <c r="E33" s="29" t="s">
        <v>34</v>
      </c>
      <c r="F33" s="29" t="str">
        <f>Sheet2!$N43</f>
        <v>456</v>
      </c>
      <c r="G33" s="29" t="s">
        <v>339</v>
      </c>
      <c r="H33" s="29">
        <v>1</v>
      </c>
      <c r="I33" s="29">
        <f t="shared" si="0"/>
        <v>16</v>
      </c>
      <c r="J33" s="29" t="str">
        <f ca="1">Sheet2!K$2</f>
        <v>35411</v>
      </c>
      <c r="K33" s="29">
        <f ca="1">IF(ISNUMBER(FIND(","&amp;MID(J2,2,3)&amp;",",#REF!,1)),G2*N33,0)</f>
        <v>0</v>
      </c>
      <c r="L33" s="29">
        <f t="shared" ca="1" si="1"/>
        <v>988108</v>
      </c>
      <c r="N33" s="29">
        <v>1960</v>
      </c>
      <c r="O33" s="29" t="b">
        <f ca="1">ISNUMBER(FIND(","&amp;MID(J2,2,3)&amp;",",#REF!,1))</f>
        <v>0</v>
      </c>
      <c r="Q33" s="29">
        <f>FINDNUMBER(Sheet2!$J$28,3)</f>
        <v>2</v>
      </c>
    </row>
    <row r="34" spans="1:17" ht="32.25" customHeight="1" x14ac:dyDescent="0.15">
      <c r="A34" s="29">
        <v>44</v>
      </c>
      <c r="D34" s="29" t="s">
        <v>43</v>
      </c>
      <c r="E34" s="29" t="s">
        <v>23</v>
      </c>
      <c r="F34" s="29" t="str">
        <f>Sheet2!$N44</f>
        <v>0 1 4 6 11 12 13 14 17 18</v>
      </c>
      <c r="G34" s="29" t="s">
        <v>339</v>
      </c>
      <c r="H34" s="29">
        <v>1</v>
      </c>
      <c r="I34" s="29">
        <f t="shared" ref="I34:I65" si="2">Q34*G34*2</f>
        <v>3656</v>
      </c>
      <c r="J34" s="29" t="str">
        <f ca="1">Sheet2!K$2</f>
        <v>35411</v>
      </c>
      <c r="K34" s="29">
        <f ca="1">IF(ISNUMBER(FIND(","&amp;SUM(MID(J2,2,1),MID(J2,3,1),MID(J2,4,1))&amp;",",#REF!,1)),G2*N21,0)</f>
        <v>0</v>
      </c>
      <c r="L34" s="29">
        <f t="shared" ca="1" si="1"/>
        <v>984452</v>
      </c>
      <c r="N34" s="29">
        <v>1960</v>
      </c>
      <c r="O34" s="29" t="b">
        <f ca="1">ISNUMBER(FIND(","&amp;SUM(MID(J2,2,1),MID(J2,3,1),MID(J2,4,1))&amp;",",#REF!,1))</f>
        <v>0</v>
      </c>
      <c r="Q34" s="29">
        <f>SUM(Sheet2!$D$48:$D$75)</f>
        <v>457</v>
      </c>
    </row>
    <row r="35" spans="1:17" x14ac:dyDescent="0.15">
      <c r="A35" s="29">
        <v>45</v>
      </c>
      <c r="D35" s="29" t="s">
        <v>43</v>
      </c>
      <c r="E35" s="29" t="s">
        <v>25</v>
      </c>
      <c r="F35" s="29" t="str">
        <f>Sheet2!$N45</f>
        <v>0 1 2 8 9</v>
      </c>
      <c r="G35" s="29" t="s">
        <v>339</v>
      </c>
      <c r="H35" s="29">
        <v>1</v>
      </c>
      <c r="I35" s="29">
        <f t="shared" si="2"/>
        <v>2480</v>
      </c>
      <c r="J35" s="29" t="str">
        <f ca="1">Sheet2!K$2</f>
        <v>35411</v>
      </c>
      <c r="K35" s="29">
        <f ca="1">IF(ISNUMBER(FIND(MAX(MID(J2,2,1),MID(J2,3,1),MID(J2,4,1))-MIN(MID(J2,2,1),MID(J2,3,1),MID(J2,4,1)),#REF!,1)),G2*N35*1,0)</f>
        <v>0</v>
      </c>
      <c r="L35" s="29">
        <f t="shared" ca="1" si="1"/>
        <v>981972</v>
      </c>
      <c r="N35" s="29">
        <v>1960</v>
      </c>
      <c r="O35" s="29" t="b">
        <f ca="1">ISNUMBER(FIND(MAX(MID(J2,2,1),MID(J2,3,1),MID(J2,4,1))-MIN(MID(J2,2,1),MID(J2,3,1),MID(J2,4,1)),#REF!,1))</f>
        <v>0</v>
      </c>
      <c r="Q35" s="29">
        <f>SUM(Sheet2!$D$76:$D$85)</f>
        <v>310</v>
      </c>
    </row>
    <row r="36" spans="1:17" x14ac:dyDescent="0.15">
      <c r="A36" s="29">
        <v>46</v>
      </c>
      <c r="D36" s="29" t="s">
        <v>43</v>
      </c>
      <c r="E36" s="29" t="s">
        <v>29</v>
      </c>
      <c r="F36" s="29" t="str">
        <f>Sheet2!$N46</f>
        <v>1 7 8 13 14 16 18 20 25 26</v>
      </c>
      <c r="G36" s="29" t="s">
        <v>339</v>
      </c>
      <c r="H36" s="29">
        <v>1</v>
      </c>
      <c r="I36" s="29">
        <f t="shared" si="2"/>
        <v>680</v>
      </c>
      <c r="J36" s="29" t="str">
        <f ca="1">Sheet2!K$2</f>
        <v>35411</v>
      </c>
      <c r="K36" s="29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9">
        <f t="shared" ca="1" si="1"/>
        <v>981292</v>
      </c>
      <c r="M36" s="29" t="s">
        <v>26</v>
      </c>
      <c r="N36" s="29">
        <v>326.66500000000002</v>
      </c>
      <c r="P36" s="29" t="b">
        <f ca="1">OR(AND(MID(J2,2,1)=MID(J2,3,1),MID(J2,3,1)&lt;&gt;MID(J2,4,1)),AND(MID(J2,2,1)&lt;&gt;MID(J2,3,1),MID(J2,3,1)=MID(J2,4,1)),AND(MID(J2,4,1)=MID(J2,2,1),MID(J2,2,1)&lt;&gt;MID(J2,3,1)))</f>
        <v>0</v>
      </c>
      <c r="Q36" s="29">
        <f>SUM(Sheet2!$D$86:$D$111)</f>
        <v>85</v>
      </c>
    </row>
    <row r="37" spans="1:17" x14ac:dyDescent="0.15">
      <c r="A37" s="29">
        <v>47</v>
      </c>
      <c r="D37" s="29" t="s">
        <v>43</v>
      </c>
      <c r="E37" s="29" t="s">
        <v>35</v>
      </c>
      <c r="F37" s="29" t="str">
        <f>Sheet2!$N47</f>
        <v>0 1 5 6 7 8 9</v>
      </c>
      <c r="G37" s="29" t="s">
        <v>339</v>
      </c>
      <c r="H37" s="29">
        <v>1</v>
      </c>
      <c r="I37" s="29">
        <f t="shared" si="2"/>
        <v>336</v>
      </c>
      <c r="J37" s="29" t="str">
        <f ca="1">Sheet2!K$2</f>
        <v>35411</v>
      </c>
      <c r="K37" s="29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9">
        <f t="shared" ca="1" si="1"/>
        <v>980956</v>
      </c>
      <c r="N37" s="29">
        <v>653.33000000000004</v>
      </c>
      <c r="O37" s="29" t="b">
        <f ca="1">AND(ISNUMBER(FIND(MID(J2,2,1),#REF!,1)),ISNUMBER(FIND(MID(J2,3,1),#REF!,1)),ISNUMBER(FIND(MID(J2,4,1),#REF!,1)),P37)</f>
        <v>0</v>
      </c>
      <c r="P37" s="29" t="b">
        <f ca="1">OR(AND(MID(J2,2,1)=MID(J2,3,1),MID(J2,3,1)&lt;&gt;MID(J2,4,1)),AND(MID(J2,2,1)&lt;&gt;MID(J2,3,1),MID(J2,3,1)=MID(J2,4,1)),AND(MID(J2,4,1)=MID(J2,2,1),MID(J2,2,1)&lt;&gt;MID(J2,3,1)))</f>
        <v>0</v>
      </c>
      <c r="Q37" s="29">
        <f>COMBIN(LEN(SUBSTITUTE(F37," ",)),2)*2</f>
        <v>42</v>
      </c>
    </row>
    <row r="38" spans="1:17" x14ac:dyDescent="0.15">
      <c r="A38" s="29">
        <v>48</v>
      </c>
      <c r="D38" s="29" t="s">
        <v>43</v>
      </c>
      <c r="E38" s="29" t="s">
        <v>36</v>
      </c>
      <c r="F38" s="29" t="str">
        <f>Sheet2!$N48</f>
        <v>0 1 2 3 4 8 9</v>
      </c>
      <c r="G38" s="29" t="s">
        <v>339</v>
      </c>
      <c r="H38" s="29">
        <v>1</v>
      </c>
      <c r="I38" s="29">
        <f t="shared" si="2"/>
        <v>280</v>
      </c>
      <c r="J38" s="29" t="str">
        <f ca="1">Sheet2!K$2</f>
        <v>35411</v>
      </c>
      <c r="K38" s="29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9">
        <f t="shared" ca="1" si="1"/>
        <v>980676</v>
      </c>
      <c r="N38" s="29">
        <v>326.66000000000003</v>
      </c>
      <c r="P38" s="29" t="b">
        <f ca="1">OR(AND(MID(J2,2,1)=MID(J2,3,1),MID(J2,3,1)&lt;&gt;MID(J2,4,1)),AND(MID(J2,2,1)&lt;&gt;MID(J2,3,1),MID(J2,3,1)=MID(J2,4,1)),AND(MID(J2,4,1)=MID(J2,2,1),MID(J2,2,1)&lt;&gt;MID(J2,3,1)))</f>
        <v>0</v>
      </c>
      <c r="Q38" s="29">
        <f>COMBIN(LEN(SUBSTITUTE(F38," ",)),3)</f>
        <v>35</v>
      </c>
    </row>
    <row r="39" spans="1:17" x14ac:dyDescent="0.15">
      <c r="A39" s="29">
        <v>49</v>
      </c>
      <c r="D39" s="29" t="s">
        <v>43</v>
      </c>
      <c r="E39" s="29" t="s">
        <v>37</v>
      </c>
      <c r="F39" s="29" t="str">
        <f>Sheet2!$N49</f>
        <v>122</v>
      </c>
      <c r="G39" s="29" t="s">
        <v>339</v>
      </c>
      <c r="H39" s="29">
        <v>1</v>
      </c>
      <c r="I39" s="29">
        <f t="shared" si="2"/>
        <v>40</v>
      </c>
      <c r="J39" s="29" t="str">
        <f ca="1">Sheet2!K$2</f>
        <v>35411</v>
      </c>
      <c r="K39" s="29">
        <f ca="1">IF(AND(OR(ISNUMBER(FIND(","&amp;MID(J2,2,3),#REF!,1)),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ISNUMBER(FIND(","&amp;MID(J2,4,1)&amp;MID(J2,3,1)&amp;MID(J2,2,1),#REF!,1))),
  AND(MID(J2,2,1)+MID(J2,3,1)+MID(J2,4,1)&lt;&gt;MID(J2,3,1)*3)),
 IF(OR(AND(MID(J2,2,1)=MID(J2,3,1),MID(J2,3,1)&lt;&gt;MID(J2,4,1)),AND(MID(J2,2,1)&lt;&gt;MID(J2,3,1),MID(J2,3,1)=MID(J2,4,1)),AND(MID(J2,4,1)=MID(J2,2,1),MID(J2,2,1)&lt;&gt;MID(J2,3,1))),
  G2*N39*2,G2*N39
 ),0
)</f>
        <v>0</v>
      </c>
      <c r="L39" s="29">
        <f t="shared" ca="1" si="1"/>
        <v>980636</v>
      </c>
      <c r="N39" s="29">
        <v>326.66500000000002</v>
      </c>
      <c r="P39" s="29" t="b">
        <f ca="1">OR(AND(MID(J2,2,1)=MID(J2,3,1),MID(J2,3,1)&lt;&gt;MID(J2,4,1)),AND(MID(J2,2,1)&lt;&gt;MID(J2,3,1),MID(J2,3,1)=MID(J2,4,1)),AND(MID(J2,4,1)=MID(J2,2,1),MID(J2,2,1)&lt;&gt;MID(J2,3,1)))</f>
        <v>0</v>
      </c>
      <c r="Q39" s="29">
        <f>FINDNUMBER(Sheet2!$J$34,3)</f>
        <v>5</v>
      </c>
    </row>
    <row r="40" spans="1:17" x14ac:dyDescent="0.15">
      <c r="A40" s="29">
        <v>50</v>
      </c>
      <c r="D40" s="29" t="s">
        <v>43</v>
      </c>
      <c r="E40" s="29" t="s">
        <v>30</v>
      </c>
      <c r="F40" s="29" t="str">
        <f>Sheet2!$N50</f>
        <v>6</v>
      </c>
      <c r="G40" s="29" t="s">
        <v>339</v>
      </c>
      <c r="H40" s="29">
        <v>1</v>
      </c>
      <c r="I40" s="29">
        <f t="shared" si="2"/>
        <v>432</v>
      </c>
      <c r="J40" s="29" t="str">
        <f ca="1">Sheet2!K$2</f>
        <v>35411</v>
      </c>
      <c r="K40" s="29">
        <f ca="1">IF(OR(ISNUMBER(FIND(MID(J2,2,1),#REF!,1)),ISNUMBER(FIND(MID(J2,3,1),#REF!,1)),ISNUMBER(FIND(MID(J2,4,1),#REF!,1))),IF(OR(AND(MID(J2,2,1)=MID(J2,3,1),MID(J2,3,1)&lt;&gt;MID(J2,4,1)),AND(MID(J2,2,1)&lt;&gt;MID(J2,3,1),MID(J2,3,1)=MID(J2,4,1)),AND(MID(J2,4,1)=MID(J2,2,1),MID(J2,2,1)&lt;&gt;MID(J2,3,1))),G2*N40*2,G2*N40),0)</f>
        <v>0</v>
      </c>
      <c r="L40" s="29">
        <f t="shared" ca="1" si="1"/>
        <v>980204</v>
      </c>
      <c r="N40" s="29">
        <v>326.66500000000002</v>
      </c>
      <c r="P40" s="29" t="b">
        <f ca="1">OR(AND(MID(J2,2,1)=MID(J2,3,1),MID(J2,3,1)&lt;&gt;MID(J2,4,1)),AND(MID(J2,2,1)&lt;&gt;MID(J2,3,1),MID(J2,3,1)=MID(J2,4,1)),AND(MID(J2,4,1)=MID(J2,2,1),MID(J2,2,1)&lt;&gt;MID(J2,3,1)))</f>
        <v>0</v>
      </c>
      <c r="Q40" s="29">
        <v>54</v>
      </c>
    </row>
    <row r="41" spans="1:17" x14ac:dyDescent="0.15">
      <c r="A41" s="29">
        <v>51</v>
      </c>
      <c r="D41" s="29" t="s">
        <v>43</v>
      </c>
      <c r="E41" s="29" t="s">
        <v>38</v>
      </c>
      <c r="F41" s="29" t="str">
        <f>Sheet2!$N51</f>
        <v>121</v>
      </c>
      <c r="G41" s="29">
        <v>1</v>
      </c>
      <c r="H41" s="29">
        <v>1</v>
      </c>
      <c r="I41" s="29">
        <f t="shared" si="2"/>
        <v>2</v>
      </c>
      <c r="J41" s="29" t="str">
        <f ca="1">Sheet2!K$2</f>
        <v>35411</v>
      </c>
      <c r="K41" s="29">
        <f ca="1">IF(AND(
 OR(ISNUMBER(FIND(","&amp;MID(J2,2,3),#REF!,1)),
 ISNUMBER(FIND(","&amp;MID(J2,2,1)&amp;MID(J2,4,1)&amp;MID(J2,3,1),#REF!,1)),
 ISNUMBER(FIND(","&amp;MID(J2,3,1)&amp;MID(J2,2,1)&amp;MID(J2,4,1),#REF!,1)),
 ISNUMBER(FIND(","&amp;MID(J2,3,2)&amp;MID(J2,2,1),#REF!,1)),
 ISNUMBER(FIND(","&amp;MID(J2,4,1)&amp;MID(J2,2,2),#REF!,1)),
 ISNUMBER(FIND(","&amp;MID(J2,4,1)&amp;MID(J2,3,1)&amp;MID(J2,2,1),#REF!,1))),
 OR(AND(MID(J2,2,1)=MID(J2,3,1),MID(J2,3,1)&lt;&gt;MID(J2,4,1)),AND(MID(J2,2,1)&lt;&gt;MID(J2,3,1),MID(J2,3,1)=MID(J2,4,1)),AND(MID(J2,4,1)=MID(J2,2,1),MID(J2,2,1)&lt;&gt;MID(J2,3,1)))),
 G2*N41,0
)</f>
        <v>0</v>
      </c>
      <c r="L41" s="29">
        <f t="shared" ca="1" si="1"/>
        <v>980202</v>
      </c>
      <c r="N41" s="29">
        <v>653.33000000000004</v>
      </c>
      <c r="Q41" s="29">
        <f>FINDNUMBER(Sheet2!$J$36,3)</f>
        <v>1</v>
      </c>
    </row>
    <row r="42" spans="1:17" x14ac:dyDescent="0.15">
      <c r="A42" s="29">
        <v>52</v>
      </c>
      <c r="D42" s="29" t="s">
        <v>43</v>
      </c>
      <c r="E42" s="29" t="s">
        <v>39</v>
      </c>
      <c r="F42" s="29" t="str">
        <f>Sheet2!$N52</f>
        <v>214</v>
      </c>
      <c r="G42" s="29">
        <v>1</v>
      </c>
      <c r="H42" s="29">
        <v>1</v>
      </c>
      <c r="I42" s="29">
        <f t="shared" si="2"/>
        <v>2</v>
      </c>
      <c r="J42" s="29" t="str">
        <f ca="1">Sheet2!K$2</f>
        <v>35411</v>
      </c>
      <c r="K42" s="29">
        <f ca="1">IF(AND(AND(MID(J2,2,1)&lt;&gt;MID(J2,3,1),MID(J2,3,1)&lt;&gt;MID(J2,4,1),MID(J2,2,1)&lt;&gt;MID(J2,4,1)),
  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ISNUMBER(FIND(","&amp;MID(J2,4,1)&amp;MID(J2,3,1)&amp;MID(J2,2,1),#REF!,1)))),
  G2*N42,0)</f>
        <v>0</v>
      </c>
      <c r="L42" s="29">
        <f t="shared" ca="1" si="1"/>
        <v>980200</v>
      </c>
      <c r="N42" s="29">
        <v>326.66000000000003</v>
      </c>
      <c r="Q42" s="29">
        <f>FINDNUMBER(Sheet2!$J$37,3)</f>
        <v>1</v>
      </c>
    </row>
    <row r="43" spans="1:17" x14ac:dyDescent="0.15">
      <c r="A43" s="29">
        <v>53</v>
      </c>
      <c r="D43" s="29" t="s">
        <v>43</v>
      </c>
      <c r="E43" s="29" t="s">
        <v>41</v>
      </c>
      <c r="F43" s="29" t="str">
        <f>Sheet2!$N53</f>
        <v>0 1 2 8 9</v>
      </c>
      <c r="G43" s="29">
        <v>1</v>
      </c>
      <c r="H43" s="29">
        <v>1</v>
      </c>
      <c r="I43" s="29">
        <f t="shared" si="2"/>
        <v>10</v>
      </c>
      <c r="J43" s="29" t="str">
        <f ca="1">Sheet2!K$2</f>
        <v>35411</v>
      </c>
      <c r="K43" s="29">
        <f ca="1">IF(OR(ISNUMBER(FIND(MID(J2,2,1),#REF!,1)),ISNUMBER(FIND(MID(J2,3,1),#REF!,1)),ISNUMBER(FIND(MID(J2,4,1),#REF!,1))),G2*N43,0)</f>
        <v>0</v>
      </c>
      <c r="L43" s="29">
        <f t="shared" ca="1" si="1"/>
        <v>980190</v>
      </c>
      <c r="M43" s="29" t="s">
        <v>40</v>
      </c>
      <c r="N43" s="29">
        <v>7.23</v>
      </c>
      <c r="Q43" s="29">
        <f>LEN(SUBSTITUTE(F43," ",))</f>
        <v>5</v>
      </c>
    </row>
    <row r="44" spans="1:17" x14ac:dyDescent="0.15">
      <c r="A44" s="29">
        <v>54</v>
      </c>
      <c r="D44" s="29" t="s">
        <v>43</v>
      </c>
      <c r="E44" s="29" t="s">
        <v>42</v>
      </c>
      <c r="F44" s="29" t="str">
        <f>Sheet2!$N54</f>
        <v>7 8 9</v>
      </c>
      <c r="G44" s="29">
        <v>1</v>
      </c>
      <c r="H44" s="29">
        <v>1</v>
      </c>
      <c r="I44" s="29">
        <f t="shared" si="2"/>
        <v>6</v>
      </c>
      <c r="J44" s="29" t="str">
        <f ca="1">Sheet2!K$2</f>
        <v>35411</v>
      </c>
      <c r="K44" s="29">
        <f ca="1">IF(OR(AND(ISNUMBER(FIND(MID(J2,2,1),#REF!,1)),ISNUMBER(FIND(MID(J2,3,1),#REF!,1))),AND(ISNUMBER(FIND(MID(J2,4,1),#REF!,1)),ISNUMBER(FIND(MID(J2,3,1),#REF!,1))),AND(ISNUMBER(FIND(MID(J2,2,1),#REF!,1)),ISNUMBER(FIND(MID(J2,4,1),#REF!,1)))),G2*N44,0)</f>
        <v>0</v>
      </c>
      <c r="L44" s="29">
        <f t="shared" ca="1" si="1"/>
        <v>980184</v>
      </c>
      <c r="N44" s="29">
        <v>36.29</v>
      </c>
      <c r="Q44" s="29">
        <f>COMBIN(LEN(SUBSTITUTE(F44," ",)),2)</f>
        <v>3</v>
      </c>
    </row>
    <row r="45" spans="1:17" x14ac:dyDescent="0.15">
      <c r="A45" s="29">
        <v>55</v>
      </c>
      <c r="D45" s="29" t="s">
        <v>44</v>
      </c>
      <c r="E45" s="29" t="s">
        <v>5</v>
      </c>
      <c r="F45" s="29" t="str">
        <f>Sheet2!$N55</f>
        <v>1 2 6 7 8,1 3 4 6 7,0 1 2 3 4 5 6 7 8 9</v>
      </c>
      <c r="G45" s="29">
        <v>1</v>
      </c>
      <c r="H45" s="29">
        <v>1</v>
      </c>
      <c r="I45" s="29">
        <f t="shared" si="2"/>
        <v>0</v>
      </c>
      <c r="J45" s="29" t="str">
        <f ca="1">Sheet2!K$2</f>
        <v>35411</v>
      </c>
      <c r="K45" s="29">
        <f ca="1">IF(AND(ISNUMBER(FIND(MID(J2,3,1),#REF!,1)),ISNUMBER(FIND(MID(J2,4,1),#REF!,1)),ISNUMBER(FIND(MID(J2,5,1),#REF!,1))),G2*N45,0)</f>
        <v>0</v>
      </c>
      <c r="L45" s="29">
        <f t="shared" ca="1" si="1"/>
        <v>980184</v>
      </c>
      <c r="M45" s="29" t="s">
        <v>19</v>
      </c>
      <c r="N45" s="29">
        <v>1960</v>
      </c>
      <c r="Q45" s="29">
        <f>IF(AND(ISNUMBER(FIND(MID(P2,3,1),#REF!,1)),ISNUMBER(FIND(MID(P2,4,1),#REF!,1)),ISNUMBER(FIND(MID(P2,5,1),#REF!,1))),M2*T45,0)</f>
        <v>0</v>
      </c>
    </row>
    <row r="46" spans="1:17" x14ac:dyDescent="0.15">
      <c r="A46" s="29">
        <v>58</v>
      </c>
      <c r="D46" s="29" t="s">
        <v>44</v>
      </c>
      <c r="E46" s="29" t="s">
        <v>34</v>
      </c>
      <c r="F46" s="29" t="str">
        <f>Sheet2!$N58</f>
        <v>-</v>
      </c>
      <c r="G46" s="29">
        <v>1</v>
      </c>
      <c r="H46" s="29">
        <v>1</v>
      </c>
      <c r="I46" s="29">
        <f t="shared" si="2"/>
        <v>0</v>
      </c>
      <c r="J46" s="29" t="str">
        <f ca="1">Sheet2!K$2</f>
        <v>35411</v>
      </c>
      <c r="K46" s="29">
        <f ca="1">IF(ISNUMBER(FIND(","&amp;MID(J2,3,3)&amp;",",#REF!,1)),G2*N46,0)</f>
        <v>0</v>
      </c>
      <c r="L46" s="29">
        <f t="shared" ca="1" si="1"/>
        <v>980184</v>
      </c>
      <c r="N46" s="29">
        <v>1960</v>
      </c>
      <c r="Q46" s="29">
        <f>FINDNUMBER(Sheet2!$J$58,3)</f>
        <v>0</v>
      </c>
    </row>
    <row r="47" spans="1:17" x14ac:dyDescent="0.15">
      <c r="A47" s="29">
        <v>59</v>
      </c>
      <c r="D47" s="29" t="s">
        <v>44</v>
      </c>
      <c r="E47" s="29" t="s">
        <v>23</v>
      </c>
      <c r="F47" s="29" t="str">
        <f>Sheet2!$N59</f>
        <v>1 2 3 9 10 11 12 13 14</v>
      </c>
      <c r="G47" s="29">
        <v>1</v>
      </c>
      <c r="H47" s="29">
        <v>1</v>
      </c>
      <c r="I47" s="29">
        <f t="shared" si="2"/>
        <v>0</v>
      </c>
      <c r="J47" s="29" t="str">
        <f ca="1">Sheet2!K$2</f>
        <v>35411</v>
      </c>
      <c r="K47" s="29">
        <f ca="1">IF(ISNUMBER(FIND(","&amp;SUM(MID(J2,3,1),MID(J2,4,1),MID(J2,5,1))&amp;",",#REF!,1)),G2*N47,0)</f>
        <v>0</v>
      </c>
      <c r="L47" s="29">
        <f t="shared" ca="1" si="1"/>
        <v>980184</v>
      </c>
      <c r="N47" s="29">
        <v>1960</v>
      </c>
      <c r="Q47" s="29">
        <f>IF(ISNUMBER(FIND(","&amp;SUM(MID(P2,3,1),MID(P2,4,1),MID(P2,5,1))&amp;",",#REF!,1)),M2*T47,0)</f>
        <v>0</v>
      </c>
    </row>
    <row r="48" spans="1:17" x14ac:dyDescent="0.15">
      <c r="A48" s="29">
        <v>60</v>
      </c>
      <c r="D48" s="29" t="s">
        <v>44</v>
      </c>
      <c r="E48" s="29" t="s">
        <v>25</v>
      </c>
      <c r="F48" s="29" t="str">
        <f>Sheet2!$N60</f>
        <v>0 1 2 3 4 5 6 7 8 9</v>
      </c>
      <c r="G48" s="29">
        <v>1</v>
      </c>
      <c r="H48" s="29">
        <v>1</v>
      </c>
      <c r="I48" s="29">
        <f t="shared" si="2"/>
        <v>2000</v>
      </c>
      <c r="J48" s="29" t="str">
        <f ca="1">Sheet2!K$2</f>
        <v>35411</v>
      </c>
      <c r="K48" s="29">
        <f ca="1">IF(ISNUMBER(FIND(MAX(MID(J2,3,1),MID(J2,4,1),MID(J2,5,1))-MIN(MID(J2,3,1),MID(J2,4,1),MID(J2,5,1)),#REF!,1)),G2*N48*1,0)</f>
        <v>0</v>
      </c>
      <c r="L48" s="29">
        <f t="shared" ca="1" si="1"/>
        <v>978184</v>
      </c>
      <c r="N48" s="29">
        <v>1960</v>
      </c>
      <c r="Q48" s="29">
        <f>SUM(Sheet2!$E76:$E85)</f>
        <v>1000</v>
      </c>
    </row>
    <row r="49" spans="1:18" x14ac:dyDescent="0.15">
      <c r="A49" s="29">
        <v>61</v>
      </c>
      <c r="D49" s="29" t="s">
        <v>44</v>
      </c>
      <c r="E49" s="29" t="s">
        <v>29</v>
      </c>
      <c r="F49" s="29" t="str">
        <f>Sheet2!$N61</f>
        <v>1 2 3 4 6 7 25 26</v>
      </c>
      <c r="G49" s="29">
        <v>1</v>
      </c>
      <c r="H49" s="29">
        <v>1</v>
      </c>
      <c r="I49" s="29">
        <f t="shared" si="2"/>
        <v>0</v>
      </c>
      <c r="J49" s="29" t="str">
        <f ca="1">Sheet2!K$2</f>
        <v>35411</v>
      </c>
      <c r="K49" s="29">
        <f ca="1">IF(OR(AND(MID(J2,3,1)=MID(J2,4,1),MID(J2,4,1)&lt;&gt;MID(J2,5,1)),AND(MID(J2,3,1)&lt;&gt;MID(J2,4,1),MID(J2,4,1)=MID(J2,5,1)),AND(MID(J2,5,1)=MID(J2,3,1),MID(J2,3,1)&lt;&gt;MID(J2,4,1))),IF(ISNUMBER(FIND(","&amp;SUM(MID(J2,3,1),MID(J2,4,1),MID(J2,5,1))&amp;",",#REF!,1)),G2*N49*2,0),IF(MID(J2,3,1)&lt;&gt;MID(J2,4,1)&lt;&gt;MID(J2,5,1),IF(ISNUMBER(FIND(","&amp;SUM(MID(J2,3,1),MID(J2,4,1),MID(J2,5,1))&amp;",",#REF!,1)),G2*N49,0)))</f>
        <v>0</v>
      </c>
      <c r="L49" s="29">
        <f t="shared" ca="1" si="1"/>
        <v>978184</v>
      </c>
      <c r="M49" s="29" t="s">
        <v>26</v>
      </c>
      <c r="N49" s="29">
        <v>326.66500000000002</v>
      </c>
      <c r="Q49" s="29">
        <f>IF(OR(AND(MID(P2,3,1)=MID(P2,4,1),MID(P2,4,1)&lt;&gt;MID(P2,5,1)),AND(MID(P2,3,1)&lt;&gt;MID(P2,4,1),MID(P2,4,1)=MID(P2,5,1)),AND(MID(P2,5,1)=MID(P2,3,1),MID(P2,3,1)&lt;&gt;MID(P2,4,1))),IF(ISNUMBER(FIND(","&amp;SUM(MID(P2,3,1),MID(P2,4,1),MID(P2,5,1))&amp;",",#REF!,1)),M2*T49*2,0),IF(MID(P2,3,1)&lt;&gt;MID(P2,4,1)&lt;&gt;MID(P2,5,1),IF(ISNUMBER(FIND(","&amp;SUM(MID(P2,3,1),MID(P2,4,1),MID(P2,5,1))&amp;",",#REF!,1)),M2*T49,0)))</f>
        <v>0</v>
      </c>
    </row>
    <row r="50" spans="1:18" x14ac:dyDescent="0.15">
      <c r="A50" s="29">
        <v>62</v>
      </c>
      <c r="D50" s="29" t="s">
        <v>44</v>
      </c>
      <c r="E50" s="29" t="s">
        <v>35</v>
      </c>
      <c r="F50" s="29" t="str">
        <f>Sheet2!$N62</f>
        <v>0 1 2 3 4 5 6 7 8 9</v>
      </c>
      <c r="G50" s="29">
        <v>1</v>
      </c>
      <c r="H50" s="29">
        <v>1</v>
      </c>
      <c r="I50" s="29">
        <f t="shared" si="2"/>
        <v>0</v>
      </c>
      <c r="J50" s="29" t="str">
        <f ca="1">Sheet2!K$2</f>
        <v>35411</v>
      </c>
      <c r="K50" s="29">
        <f ca="1">IF(OR(AND(MID(J2,3,1)=MID(J2,4,1),MID(J2,4,1)&lt;&gt;MID(J2,5,1)),AND(MID(J2,3,1)&lt;&gt;MID(J2,4,1),MID(J2,4,1)=MID(J2,5,1)),AND(MID(J2,5,1)=MID(J2,3,1),MID(J2,3,1)&lt;&gt;MID(J2,4,1))),IF(AND(ISNUMBER(FIND(MID(J2,3,1),#REF!,1)),ISNUMBER(FIND(MID(J2,4,1),#REF!,1)),ISNUMBER(FIND(MID(J2,5,1),#REF!,1))),G2*N50,0),0)</f>
        <v>0</v>
      </c>
      <c r="L50" s="29">
        <f t="shared" ca="1" si="1"/>
        <v>978184</v>
      </c>
      <c r="N50" s="29">
        <v>653.33000000000004</v>
      </c>
      <c r="Q50" s="29">
        <f>IF(OR(AND(MID(P2,3,1)=MID(P2,4,1),MID(P2,4,1)&lt;&gt;MID(P2,5,1)),AND(MID(P2,3,1)&lt;&gt;MID(P2,4,1),MID(P2,4,1)=MID(P2,5,1)),AND(MID(P2,5,1)=MID(P2,3,1),MID(P2,3,1)&lt;&gt;MID(P2,4,1))),IF(AND(ISNUMBER(FIND(MID(P2,3,1),#REF!,1)),ISNUMBER(FIND(MID(P2,4,1),#REF!,1)),ISNUMBER(FIND(MID(P2,5,1),#REF!,1))),M2*T50,0),0)</f>
        <v>0</v>
      </c>
    </row>
    <row r="51" spans="1:18" x14ac:dyDescent="0.15">
      <c r="A51" s="29">
        <v>63</v>
      </c>
      <c r="D51" s="29" t="s">
        <v>44</v>
      </c>
      <c r="E51" s="29" t="s">
        <v>36</v>
      </c>
      <c r="F51" s="29" t="str">
        <f>Sheet2!$N63</f>
        <v>0 1 2 3 4 5 6 7 8 9</v>
      </c>
      <c r="G51" s="29">
        <v>1</v>
      </c>
      <c r="H51" s="29">
        <v>1</v>
      </c>
      <c r="I51" s="29">
        <f t="shared" si="2"/>
        <v>0</v>
      </c>
      <c r="J51" s="29" t="str">
        <f ca="1">Sheet2!K$2</f>
        <v>35411</v>
      </c>
      <c r="K51" s="29">
        <f ca="1">IF(OR(AND(MID(J2,3,1)=MID(J2,4,1),MID(J2,4,1)&lt;&gt;MID(J2,5,1)),AND(MID(J2,3,1)&lt;&gt;MID(J2,4,1),MID(J2,4,1)=MID(J2,5,1)),AND(MID(J2,5,1)=MID(J2,3,1),MID(J2,3,1)&lt;&gt;MID(J2,4,1))),0,IF(AND(ISNUMBER(FIND(MID(J2,3,1),#REF!,1)),ISNUMBER(FIND(MID(J2,4,1),#REF!,1)),ISNUMBER(FIND(MID(J2,5,1),#REF!,1))),G2*N51,0))</f>
        <v>0</v>
      </c>
      <c r="L51" s="29">
        <f t="shared" ca="1" si="1"/>
        <v>978184</v>
      </c>
      <c r="N51" s="29">
        <v>326.66000000000003</v>
      </c>
      <c r="Q51" s="29">
        <f>IF(OR(AND(MID(P2,3,1)=MID(P2,4,1),MID(P2,4,1)&lt;&gt;MID(P2,5,1)),AND(MID(P2,3,1)&lt;&gt;MID(P2,4,1),MID(P2,4,1)=MID(P2,5,1)),AND(MID(P2,5,1)=MID(P2,3,1),MID(P2,3,1)&lt;&gt;MID(P2,4,1))),0,IF(AND(ISNUMBER(FIND(MID(P2,3,1),#REF!,1)),ISNUMBER(FIND(MID(P2,4,1),#REF!,1)),ISNUMBER(FIND(MID(P2,5,1),#REF!,1))),M2*T51,0))</f>
        <v>0</v>
      </c>
    </row>
    <row r="52" spans="1:18" x14ac:dyDescent="0.15">
      <c r="A52" s="29">
        <v>64</v>
      </c>
      <c r="D52" s="29" t="s">
        <v>44</v>
      </c>
      <c r="E52" s="29" t="s">
        <v>37</v>
      </c>
      <c r="F52" s="29" t="str">
        <f>Sheet2!$N64</f>
        <v>222</v>
      </c>
      <c r="G52" s="29">
        <v>1</v>
      </c>
      <c r="H52" s="29">
        <v>1</v>
      </c>
      <c r="I52" s="29">
        <f t="shared" si="2"/>
        <v>2</v>
      </c>
      <c r="J52" s="29" t="str">
        <f ca="1">Sheet2!K$2</f>
        <v>35411</v>
      </c>
      <c r="K52" s="29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AND(MID(J2,3,1)+MID(J2,4,1)+MID(J2,5,1)&lt;&gt;MID(J2,3,1)*3)),
 IF(OR(AND(MID(J2,3,1)=MID(J2,4,1),MID(J2,4,1)&lt;&gt;MID(J2,5,1)),AND(MID(J2,3,1)&lt;&gt;MID(J2,4,1),MID(J2,4,1)=MID(J2,5,1)),AND(MID(J2,5,1)=MID(J2,3,1),MID(J2,3,1)&lt;&gt;MID(J2,4,1))),
  G2*N52*2,G2*N52
 ),0
)</f>
        <v>0</v>
      </c>
      <c r="L52" s="29">
        <f t="shared" ca="1" si="1"/>
        <v>978182</v>
      </c>
      <c r="N52" s="29">
        <v>326.66500000000002</v>
      </c>
      <c r="Q52" s="29">
        <f>FINDNUMBER(Sheet2!$J$64,3)</f>
        <v>1</v>
      </c>
    </row>
    <row r="53" spans="1:18" x14ac:dyDescent="0.15">
      <c r="A53" s="29">
        <v>65</v>
      </c>
      <c r="D53" s="29" t="s">
        <v>44</v>
      </c>
      <c r="E53" s="29" t="s">
        <v>30</v>
      </c>
      <c r="F53" s="29" t="str">
        <f>Sheet2!$N65</f>
        <v>8</v>
      </c>
      <c r="G53" s="29">
        <v>1</v>
      </c>
      <c r="H53" s="29">
        <v>1</v>
      </c>
      <c r="I53" s="29">
        <f t="shared" si="2"/>
        <v>0</v>
      </c>
      <c r="J53" s="29" t="str">
        <f ca="1">Sheet2!K$2</f>
        <v>35411</v>
      </c>
      <c r="K53" s="29">
        <f ca="1">IF(OR(ISNUMBER(FIND(MID(J2,3,1),#REF!,1)),ISNUMBER(FIND(MID(J2,4,1),#REF!,1)),ISNUMBER(FIND(MID(J2,5,1),#REF!,1))),IF(OR(AND(MID(J2,3,1)=MID(J2,4,1),MID(J2,4,1)&lt;&gt;MID(J2,5,1)),AND(MID(J2,3,1)&lt;&gt;MID(J2,4,1),MID(J2,4,1)=MID(J2,5,1)),AND(MID(J2,5,1)=MID(J2,3,1),MID(J2,3,1)&lt;&gt;MID(J2,4,1))),#REF!*N53*2,G2*N53),0)</f>
        <v>0</v>
      </c>
      <c r="L53" s="29">
        <f t="shared" ca="1" si="1"/>
        <v>978182</v>
      </c>
      <c r="N53" s="29">
        <v>326.66500000000002</v>
      </c>
      <c r="Q53" s="29">
        <f>IF(OR(ISNUMBER(FIND(MID(P2,3,1),#REF!,1)),ISNUMBER(FIND(MID(P2,4,1),#REF!,1)),ISNUMBER(FIND(MID(P2,5,1),#REF!,1))),IF(OR(AND(MID(P2,3,1)=MID(P2,4,1),MID(P2,4,1)&lt;&gt;MID(P2,5,1)),AND(MID(P2,3,1)&lt;&gt;MID(P2,4,1),MID(P2,4,1)=MID(P2,5,1)),AND(MID(P2,5,1)=MID(P2,3,1),MID(P2,3,1)&lt;&gt;MID(P2,4,1))),#REF!*T53*2,M2*T53),0)</f>
        <v>0</v>
      </c>
    </row>
    <row r="54" spans="1:18" x14ac:dyDescent="0.15">
      <c r="A54" s="29">
        <v>66</v>
      </c>
      <c r="D54" s="29" t="s">
        <v>44</v>
      </c>
      <c r="E54" s="29" t="s">
        <v>38</v>
      </c>
      <c r="F54" s="29" t="str">
        <f>Sheet2!$N66</f>
        <v>122</v>
      </c>
      <c r="G54" s="29">
        <v>1</v>
      </c>
      <c r="H54" s="29">
        <v>1</v>
      </c>
      <c r="I54" s="29">
        <f t="shared" si="2"/>
        <v>2</v>
      </c>
      <c r="J54" s="29" t="str">
        <f ca="1">Sheet2!K$2</f>
        <v>35411</v>
      </c>
      <c r="K54" s="29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OR(AND(MID(J2,3,1)=MID(J2,4,1),MID(J2,4,1)&lt;&gt;MID(J2,5,1)),AND(MID(J2,3,1)&lt;&gt;MID(J2,4,1),MID(J2,4,1)=MID(J2,5,1)),AND(MID(J2,5,1)=MID(J2,3,1),MID(J2,3,1)&lt;&gt;MID(J2,4,1)))),
 G2*N54,0
)</f>
        <v>0</v>
      </c>
      <c r="L54" s="29">
        <f t="shared" ca="1" si="1"/>
        <v>978180</v>
      </c>
      <c r="N54" s="29">
        <v>653.33000000000004</v>
      </c>
      <c r="Q54" s="29">
        <f>FINDNUMBER(Sheet2!$J$66,3)</f>
        <v>1</v>
      </c>
    </row>
    <row r="55" spans="1:18" x14ac:dyDescent="0.15">
      <c r="A55" s="29">
        <v>67</v>
      </c>
      <c r="D55" s="29" t="s">
        <v>44</v>
      </c>
      <c r="E55" s="29" t="s">
        <v>39</v>
      </c>
      <c r="F55" s="29" t="str">
        <f>Sheet2!$N67</f>
        <v>144</v>
      </c>
      <c r="G55" s="29">
        <v>1</v>
      </c>
      <c r="H55" s="29">
        <v>1</v>
      </c>
      <c r="I55" s="29">
        <f t="shared" si="2"/>
        <v>2</v>
      </c>
      <c r="J55" s="29" t="str">
        <f ca="1">Sheet2!K$2</f>
        <v>35411</v>
      </c>
      <c r="K55" s="29">
        <f ca="1">IF(AND(AND(MID(J2,3,1)&lt;&gt;MID(J2,4,1),MID(J2,4,1)&lt;&gt;MID(J2,5,1),MID(J2,3,1)&lt;&gt;MID(J2,5,1)),
  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ISNUMBER(FIND(","&amp;MID(J2,5,1)&amp;MID(J2,4,1)&amp;MID(J2,3,1),#REF!,1)))),
  G2*N55,0)</f>
        <v>0</v>
      </c>
      <c r="L55" s="29">
        <f t="shared" ca="1" si="1"/>
        <v>978178</v>
      </c>
      <c r="N55" s="29">
        <v>326.66000000000003</v>
      </c>
      <c r="Q55" s="29">
        <f>FINDNUMBER(Sheet2!$J$67,3)</f>
        <v>1</v>
      </c>
    </row>
    <row r="56" spans="1:18" x14ac:dyDescent="0.15">
      <c r="A56" s="29">
        <v>68</v>
      </c>
      <c r="D56" s="29" t="s">
        <v>44</v>
      </c>
      <c r="E56" s="29" t="s">
        <v>41</v>
      </c>
      <c r="F56" s="29" t="str">
        <f>Sheet2!$N68</f>
        <v>0 1 2 6 7 8 9</v>
      </c>
      <c r="G56" s="29">
        <v>1</v>
      </c>
      <c r="H56" s="29">
        <v>1</v>
      </c>
      <c r="I56" s="29">
        <f t="shared" si="2"/>
        <v>0</v>
      </c>
      <c r="J56" s="29" t="str">
        <f ca="1">Sheet2!K$2</f>
        <v>35411</v>
      </c>
      <c r="K56" s="29">
        <f ca="1">IF(OR(ISNUMBER(FIND(MID(J2,3,1),#REF!,1)),ISNUMBER(FIND(MID(J2,4,1),#REF!,1)),ISNUMBER(FIND(MID(J2,5,1),#REF!,1))),G2*N56,0)</f>
        <v>0</v>
      </c>
      <c r="L56" s="29">
        <f t="shared" ca="1" si="1"/>
        <v>978178</v>
      </c>
      <c r="M56" s="29" t="s">
        <v>40</v>
      </c>
      <c r="N56" s="29">
        <v>7.23</v>
      </c>
      <c r="Q56" s="29">
        <f>IF(OR(ISNUMBER(FIND(MID(P2,3,1),#REF!,1)),ISNUMBER(FIND(MID(P2,4,1),#REF!,1)),ISNUMBER(FIND(MID(P2,5,1),#REF!,1))),M2*T56,0)</f>
        <v>0</v>
      </c>
    </row>
    <row r="57" spans="1:18" x14ac:dyDescent="0.15">
      <c r="A57" s="29">
        <v>69</v>
      </c>
      <c r="D57" s="29" t="s">
        <v>44</v>
      </c>
      <c r="E57" s="29" t="s">
        <v>42</v>
      </c>
      <c r="F57" s="29" t="str">
        <f>Sheet2!$N69</f>
        <v>0 2 3 4 5 8 9</v>
      </c>
      <c r="G57" s="29">
        <v>1</v>
      </c>
      <c r="H57" s="29">
        <v>1</v>
      </c>
      <c r="I57" s="29">
        <f t="shared" si="2"/>
        <v>0</v>
      </c>
      <c r="J57" s="29" t="str">
        <f ca="1">Sheet2!K$2</f>
        <v>35411</v>
      </c>
      <c r="K57" s="29">
        <f ca="1">IF(OR(AND(ISNUMBER(FIND(MID(J2,3,1),#REF!,1)),ISNUMBER(FIND(MID(J2,4,1),#REF!,1))),AND(ISNUMBER(FIND(MID(J2,5,1),#REF!,1)),ISNUMBER(FIND(MID(J2,4,1),#REF!,1))),AND(ISNUMBER(FIND(MID(J2,3,1),#REF!,1)),ISNUMBER(FIND(MID(J2,5,1),#REF!,1)))),G2*N57,0)</f>
        <v>0</v>
      </c>
      <c r="L57" s="29">
        <f t="shared" ca="1" si="1"/>
        <v>978178</v>
      </c>
      <c r="N57" s="29">
        <v>36.29</v>
      </c>
      <c r="Q57" s="29">
        <f>IF(OR(AND(ISNUMBER(FIND(MID(P2,3,1),#REF!,1)),ISNUMBER(FIND(MID(P2,4,1),#REF!,1))),AND(ISNUMBER(FIND(MID(P2,5,1),#REF!,1)),ISNUMBER(FIND(MID(P2,4,1),#REF!,1))),AND(ISNUMBER(FIND(MID(P2,3,1),#REF!,1)),ISNUMBER(FIND(MID(P2,5,1),#REF!,1)))),M2*T57,0)</f>
        <v>0</v>
      </c>
    </row>
    <row r="58" spans="1:18" x14ac:dyDescent="0.15">
      <c r="A58" s="29">
        <v>70</v>
      </c>
      <c r="D58" s="29" t="s">
        <v>45</v>
      </c>
      <c r="E58" s="29" t="s">
        <v>47</v>
      </c>
      <c r="F58" s="29" t="str">
        <f>Sheet2!$N70</f>
        <v>2 3 4 5 6 7 8 9,0 1 4 5 6 7 8 9,0 1 2 3 6 7 8 9,0 1 2 3 4 5 8 9</v>
      </c>
      <c r="G58" s="29">
        <v>1</v>
      </c>
      <c r="H58" s="29">
        <v>1</v>
      </c>
      <c r="I58" s="29">
        <f t="shared" si="2"/>
        <v>0</v>
      </c>
      <c r="J58" s="29" t="str">
        <f ca="1">Sheet2!K$2</f>
        <v>35411</v>
      </c>
      <c r="K58" s="29">
        <f ca="1">IF(AND(ISNUMBER(FIND(MID(J2,2,1),#REF!,1)),ISNUMBER(FIND(MID(J2,3,1),#REF!,1)),ISNUMBER(FIND(MID(J2,4,1),#REF!,1)),ISNUMBER(FIND(RIGHT(J2,1),#REF!,1))),G2*N58,0)</f>
        <v>0</v>
      </c>
      <c r="L58" s="29">
        <f t="shared" ca="1" si="1"/>
        <v>978178</v>
      </c>
      <c r="M58" s="29" t="s">
        <v>46</v>
      </c>
      <c r="N58" s="29">
        <v>19600</v>
      </c>
      <c r="O58" s="29" t="b">
        <f ca="1">ISNUMBER(FIND(MID(J2,2,1),#REF!,1))</f>
        <v>0</v>
      </c>
      <c r="Q58" s="29">
        <f>IF(AND(ISNUMBER(FIND(MID(P2,2,1),#REF!,1)),ISNUMBER(FIND(MID(P2,3,1),#REF!,1)),ISNUMBER(FIND(MID(P2,4,1),#REF!,1)),ISNUMBER(FIND(RIGHT(P2,1),#REF!,1))),M2*T58,0)</f>
        <v>0</v>
      </c>
    </row>
    <row r="59" spans="1:18" x14ac:dyDescent="0.15">
      <c r="A59" s="29">
        <v>74</v>
      </c>
      <c r="D59" s="29" t="s">
        <v>45</v>
      </c>
      <c r="E59" s="29" t="s">
        <v>48</v>
      </c>
      <c r="F59" s="29" t="str">
        <f>Sheet2!$N74</f>
        <v>7113</v>
      </c>
      <c r="G59" s="29">
        <v>1</v>
      </c>
      <c r="H59" s="29">
        <v>1</v>
      </c>
      <c r="I59" s="29">
        <f t="shared" si="2"/>
        <v>0</v>
      </c>
      <c r="J59" s="29" t="str">
        <f ca="1">Sheet2!K$2</f>
        <v>35411</v>
      </c>
      <c r="K59" s="29">
        <f ca="1">IF(ISNUMBER(FIND(","&amp;RIGHT(J2,4)&amp;",",#REF!,1)),G2*N59,0)</f>
        <v>0</v>
      </c>
      <c r="L59" s="29">
        <f t="shared" ca="1" si="1"/>
        <v>978178</v>
      </c>
      <c r="N59" s="29">
        <v>19600</v>
      </c>
      <c r="O59" s="29" t="b">
        <f ca="1">ISNUMBER(FIND(","&amp;RIGHT(J2,4)&amp;",",#REF!,1))</f>
        <v>0</v>
      </c>
      <c r="Q59" s="29">
        <f>FINDNUMBER(Sheet2!$J$74,3)</f>
        <v>0</v>
      </c>
    </row>
    <row r="60" spans="1:18" x14ac:dyDescent="0.15">
      <c r="A60" s="29">
        <v>75</v>
      </c>
      <c r="D60" s="29" t="s">
        <v>45</v>
      </c>
      <c r="E60" s="29" t="s">
        <v>51</v>
      </c>
      <c r="F60" s="29" t="str">
        <f>Sheet2!$N75</f>
        <v>0 1 2 4 5 6 8 9</v>
      </c>
      <c r="G60" s="29">
        <v>1</v>
      </c>
      <c r="H60" s="29">
        <v>1</v>
      </c>
      <c r="I60" s="29">
        <f t="shared" si="2"/>
        <v>0</v>
      </c>
      <c r="J60" s="29" t="str">
        <f ca="1">Sheet2!K$2</f>
        <v>35411</v>
      </c>
      <c r="K60" s="29">
        <f ca="1">IF(AND(ISNUMBER(FIND(MID(J2,2,1),#REF!,1)),ISNUMBER(FIND(MID(J2,3,1),#REF!,1)),ISNUMBER(FIND(MID(J2,4,1),#REF!,1)),ISNUMBER(FIND(MID(J2,5,1),#REF!,1))),G2*N60,0)</f>
        <v>0</v>
      </c>
      <c r="L60" s="29">
        <f t="shared" ca="1" si="1"/>
        <v>978178</v>
      </c>
      <c r="M60" s="29" t="s">
        <v>50</v>
      </c>
      <c r="N60" s="29">
        <v>816.66</v>
      </c>
      <c r="O60" s="29" t="b">
        <f ca="1">AND(ISNUMBER(FIND(MID(J2,2,1),#REF!,1)),ISNUMBER(FIND(MID(J2,3,1),#REF!,1)),ISNUMBER(FIND(MID(J2,4,1),#REF!,1)),ISNUMBER(FIND(MID(J2,5,1),#REF!,1)))</f>
        <v>0</v>
      </c>
      <c r="Q60" s="29">
        <f>IF(AND(ISNUMBER(FIND(MID(P2,2,1),#REF!,1)),ISNUMBER(FIND(MID(P2,3,1),#REF!,1)),ISNUMBER(FIND(MID(P2,4,1),#REF!,1)),ISNUMBER(FIND(MID(P2,5,1),#REF!,1))),M2*T60,0)</f>
        <v>0</v>
      </c>
    </row>
    <row r="61" spans="1:18" x14ac:dyDescent="0.15">
      <c r="A61" s="29">
        <v>76</v>
      </c>
      <c r="D61" s="29" t="s">
        <v>45</v>
      </c>
      <c r="E61" s="29" t="s">
        <v>212</v>
      </c>
      <c r="F61" s="29" t="str">
        <f>Sheet2!$N76</f>
        <v>0 1 2 6 7 8 9,0 1 2 3 4 5</v>
      </c>
      <c r="G61" s="29">
        <v>1</v>
      </c>
      <c r="H61" s="29">
        <v>1</v>
      </c>
      <c r="I61" s="29" t="e">
        <f t="shared" si="2"/>
        <v>#VALUE!</v>
      </c>
      <c r="J61" s="29" t="str">
        <f ca="1">Sheet2!K$2</f>
        <v>35411</v>
      </c>
      <c r="K61" s="29">
        <f ca="1">IF(
 EXACT(SUM(DELTA(MID(J2,2,1),MID(J2,3,1)),DELTA(MID(J2,2,1),MID(J2,4,1)),DELTA(MID(J2,2,1),MID(J2,5,1)),DELTA(MID(J2,3,1),MID(J2,4,1)),DELTA(MID(J2,3,1),MID(J2,5,1)),DELTA(MID(J2,4,1),MID(J2,5,1))),1),
  IF(
   AND(FIND(1,DELTA(MID(J2,2,1),MID(J2,3,1))&amp;DELTA(MID(J2,2,1),MID(J2,4,1))&amp;DELTA(MID(J2,2,1),MID(J2,5,1))&amp;DELTA(MID(J2,3,1),MID(J2,4,1))&amp;DELTA(MID(J2,3,1),MID(J2,5,1))&amp;DELTA(MID(J2,4,1),MID(J2,5,1)),1)=1,
    ISNUMBER(FIND(MID(J2,2,1),#REF!,1)),
    ISNUMBER(FIND(MID(J2,4,1),#REF!,1)),
    ISNUMBER(FIND(MID(J2,5,1),#REF!,1))
   ),G2*N61,
   IF(
    AND(FIND(1,DELTA(MID(J2,2,1),MID(J2,3,1))&amp;DELTA(MID(J2,2,1),MID(J2,4,1))&amp;DELTA(MID(J2,2,1),MID(J2,5,1))&amp;DELTA(MID(J2,3,1),MID(J2,4,1))&amp;DELTA(MID(J2,3,1),MID(J2,5,1))&amp;DELTA(MID(J2,4,1),MID(J2,5,1)),1)=2,
    ISNUMBER(FIND(MID(J2,2,1),#REF!,1)),
    ISNUMBER(FIND(MID(J2,3,1),#REF!,1)),
    ISNUMBER(FIND(MID(J2,5,1),#REF!,1))
    ),G2*N61,
    IF(
     AND(FIND(1,DELTA(MID(J2,2,1),MID(J2,3,1))&amp;DELTA(MID(J2,2,1),MID(J2,4,1))&amp;DELTA(MID(J2,2,1),MID(J2,5,1))&amp;DELTA(MID(J2,3,1),MID(J2,4,1))&amp;DELTA(MID(J2,3,1),MID(J2,5,1))&amp;DELTA(MID(J2,4,1),MID(J2,5,1)),1)=3,
     ISNUMBER(FIND(MID(J2,2,1),#REF!,1)),
     ISNUMBER(FIND(MID(J2,3,1),#REF!,1)),
     ISNUMBER(FIND(MID(J2,4,1),#REF!,1))
     ),G2*N61,
     IF(
      AND(FIND(1,DELTA(MID(J2,2,1),MID(J2,3,1))&amp;DELTA(MID(J2,2,1),MID(J2,4,1))&amp;DELTA(MID(J2,2,1),MID(J2,5,1))&amp;DELTA(MID(J2,3,1),MID(J2,4,1))&amp;DELTA(MID(J2,3,1),MID(J2,5,1))&amp;DELTA(MID(J2,4,1),MID(J2,5,1)),1)=4,
      ISNUMBER(FIND(MID(J2,3,1),#REF!,1)),
      ISNUMBER(FIND(MID(J2,2,1),#REF!,1)),
      ISNUMBER(FIND(MID(J2,5,1),#REF!,1))
      ),G2*N61,
      IF(
       AND(FIND(1,DELTA(MID(J2,2,1),MID(J2,3,1))&amp;DELTA(MID(J2,2,1),MID(J2,4,1))&amp;DELTA(MID(J2,2,1),MID(J2,5,1))&amp;DELTA(MID(J2,3,1),MID(J2,4,1))&amp;DELTA(MID(J2,3,1),MID(J2,5,1))&amp;DELTA(MID(J2,4,1),MID(J2,5,1)),1)=5,
       ISNUMBER(FIND(MID(J2,3,1),#REF!,1)),
       ISNUMBER(FIND(MID(J2,2,1),#REF!,1)),
       ISNUMBER(FIND(MID(J2,4,1),#REF!,1))
       ),G2*N61,
       IF(
        AND(FIND(1,DELTA(MID(J2,2,1),MID(J2,3,1))&amp;DELTA(MID(J2,2,1),MID(J2,4,1))&amp;DELTA(MID(J2,2,1),MID(J2,5,1))&amp;DELTA(MID(J2,3,1),MID(J2,4,1))&amp;DELTA(MID(J2,3,1),MID(J2,5,1))&amp;DELTA(MID(J2,4,1),MID(J2,5,1)),1)=6,
        ISNUMBER(FIND(MID(J2,4,1),#REF!,1)),
        ISNUMBER(FIND(MID(J2,2,1),#REF!,1)),
        ISNUMBER(FIND(MID(J2,3,1),#REF!,1))
        ),G2*N61,0
       )
      )
     )
    )
   )
  ),0
 )</f>
        <v>0</v>
      </c>
      <c r="L61" s="29" t="e">
        <f t="shared" ca="1" si="1"/>
        <v>#VALUE!</v>
      </c>
      <c r="N61" s="29">
        <v>1633.33</v>
      </c>
      <c r="P61" s="29" t="b">
        <f ca="1">EXACT(SUM(DELTA(MID(J2,2,1),MID(J2,3,1)),DELTA(MID(J2,2,1),MID(J2,4,1)),DELTA(MID(J2,2,1),MID(J2,5,1)),DELTA(MID(J2,3,1),MID(J2,4,1)),DELTA(MID(J2,3,1),MID(J2,5,1)),DELTA(MID(J2,4,1),MID(J2,5,1))),1)</f>
        <v>1</v>
      </c>
      <c r="Q61" s="29" t="e">
        <f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ISNUMBER(FIND(MID(P2,2,1),#REF!,1)),
    ISNUMBER(FIND(MID(P2,4,1),#REF!,1)),
    ISNUMBER(FIND(MID(P2,5,1),#REF!,1))
   ),M2*T61,
   IF(
    AND(FIND(1,DELTA(MID(P2,2,1),MID(P2,3,1))&amp;DELTA(MID(P2,2,1),MID(P2,4,1))&amp;DELTA(MID(P2,2,1),MID(P2,5,1))&amp;DELTA(MID(P2,3,1),MID(P2,4,1))&amp;DELTA(MID(P2,3,1),MID(P2,5,1))&amp;DELTA(MID(P2,4,1),MID(P2,5,1)),1)=2,
    ISNUMBER(FIND(MID(P2,2,1),#REF!,1)),
    ISNUMBER(FIND(MID(P2,3,1),#REF!,1)),
    ISNUMBER(FIND(MID(P2,5,1),#REF!,1))
    ),M2*T61,
    IF(
     AND(FIND(1,DELTA(MID(P2,2,1),MID(P2,3,1))&amp;DELTA(MID(P2,2,1),MID(P2,4,1))&amp;DELTA(MID(P2,2,1),MID(P2,5,1))&amp;DELTA(MID(P2,3,1),MID(P2,4,1))&amp;DELTA(MID(P2,3,1),MID(P2,5,1))&amp;DELTA(MID(P2,4,1),MID(P2,5,1)),1)=3,
     ISNUMBER(FIND(MID(P2,2,1),#REF!,1)),
     ISNUMBER(FIND(MID(P2,3,1),#REF!,1)),
     ISNUMBER(FIND(MID(P2,4,1),#REF!,1))
     ),M2*T61,
     IF(
      AND(FIND(1,DELTA(MID(P2,2,1),MID(P2,3,1))&amp;DELTA(MID(P2,2,1),MID(P2,4,1))&amp;DELTA(MID(P2,2,1),MID(P2,5,1))&amp;DELTA(MID(P2,3,1),MID(P2,4,1))&amp;DELTA(MID(P2,3,1),MID(P2,5,1))&amp;DELTA(MID(P2,4,1),MID(P2,5,1)),1)=4,
      ISNUMBER(FIND(MID(P2,3,1),#REF!,1)),
      ISNUMBER(FIND(MID(P2,2,1),#REF!,1)),
      ISNUMBER(FIND(MID(P2,5,1),#REF!,1))
      ),M2*T61,
      IF(
       AND(FIND(1,DELTA(MID(P2,2,1),MID(P2,3,1))&amp;DELTA(MID(P2,2,1),MID(P2,4,1))&amp;DELTA(MID(P2,2,1),MID(P2,5,1))&amp;DELTA(MID(P2,3,1),MID(P2,4,1))&amp;DELTA(MID(P2,3,1),MID(P2,5,1))&amp;DELTA(MID(P2,4,1),MID(P2,5,1)),1)=5,
       ISNUMBER(FIND(MID(P2,3,1),#REF!,1)),
       ISNUMBER(FIND(MID(P2,2,1),#REF!,1)),
       ISNUMBER(FIND(MID(P2,4,1),#REF!,1))
       ),M2*T61,
       IF(
        AND(FIND(1,DELTA(MID(P2,2,1),MID(P2,3,1))&amp;DELTA(MID(P2,2,1),MID(P2,4,1))&amp;DELTA(MID(P2,2,1),MID(P2,5,1))&amp;DELTA(MID(P2,3,1),MID(P2,4,1))&amp;DELTA(MID(P2,3,1),MID(P2,5,1))&amp;DELTA(MID(P2,4,1),MID(P2,5,1)),1)=6,
        ISNUMBER(FIND(MID(P2,4,1),#REF!,1)),
        ISNUMBER(FIND(MID(P2,2,1),#REF!,1)),
        ISNUMBER(FIND(MID(P2,3,1),#REF!,1))
        ),M2*T61,0
       )
      )
     )
    )
   )
  ),0
 )</f>
        <v>#VALUE!</v>
      </c>
      <c r="R61" s="29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18" x14ac:dyDescent="0.15">
      <c r="A62" s="29">
        <v>78</v>
      </c>
      <c r="D62" s="29" t="s">
        <v>45</v>
      </c>
      <c r="E62" s="29" t="s">
        <v>54</v>
      </c>
      <c r="F62" s="29" t="str">
        <f>Sheet2!$N78</f>
        <v>4 5 6 7 8 9</v>
      </c>
      <c r="G62" s="29">
        <v>1</v>
      </c>
      <c r="H62" s="29">
        <v>1</v>
      </c>
      <c r="I62" s="29">
        <f t="shared" si="2"/>
        <v>0</v>
      </c>
      <c r="J62" s="29" t="str">
        <f ca="1">Sheet2!K$2</f>
        <v>35411</v>
      </c>
      <c r="K62" s="29">
        <f ca="1">IF(
 OR(
  AND(EXACT(MID(J2,2,1),MID(J2,3,1)),EXACT(MID(J2,4,1),MID(J2,5,1)),MID(J2,2,1)&lt;&gt;MID(J2,4,1)),
  AND(EXACT(MID(J2,2,1),MID(J2,4,1)),EXACT(MID(J2,3,1),MID(J2,5,1)),MID(J2,2,1)&lt;&gt;MID(J2,3,1)),
  AND(EXACT(MID(J2,3,1),MID(J2,4,1)),EXACT(MID(J2,2,1),MID(J2,5,1)),MID(J2,3,1)&lt;&gt;MID(J2,2,1))
 ),
 IF(AND(
  ISNUMBER(FIND(MID(J2,2,1),#REF!,1)),
  ISNUMBER(FIND(MID(J2,3,1),#REF!,1)),
  ISNUMBER(FIND(MID(J2,4,1),#REF!,1))
  ),G2*N62,0
 ),0
)</f>
        <v>0</v>
      </c>
      <c r="L62" s="29" t="e">
        <f t="shared" ca="1" si="1"/>
        <v>#VALUE!</v>
      </c>
      <c r="N62" s="29">
        <v>3266.66</v>
      </c>
      <c r="Q62" s="29">
        <f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ISNUMBER(FIND(MID(P2,2,1),#REF!,1)),
  ISNUMBER(FIND(MID(P2,3,1),#REF!,1)),
  ISNUMBER(FIND(MID(P2,4,1),#REF!,1))
  ),M2*T62,0
 ),0
)</f>
        <v>0</v>
      </c>
    </row>
    <row r="63" spans="1:18" x14ac:dyDescent="0.15">
      <c r="A63" s="29">
        <v>79</v>
      </c>
      <c r="D63" s="29" t="s">
        <v>45</v>
      </c>
      <c r="E63" s="29" t="s">
        <v>55</v>
      </c>
      <c r="F63" s="29" t="str">
        <f>Sheet2!$N79</f>
        <v>0 1 2 3 4 5 6 7 8,0 1 2 7 8 9</v>
      </c>
      <c r="G63" s="29">
        <v>1</v>
      </c>
      <c r="H63" s="29">
        <v>1</v>
      </c>
      <c r="I63" s="29">
        <f t="shared" si="2"/>
        <v>0</v>
      </c>
      <c r="J63" s="29" t="str">
        <f ca="1">Sheet2!K$2</f>
        <v>35411</v>
      </c>
      <c r="K63" s="29">
        <f ca="1">IF(
 OR(
  AND(MID(J2,2,1)=MID(J2,3,1),MID(J2,3,1)=MID(J2,4,1),MID(J2,4,1)&lt;&gt;MID(J2,5,1)),
  AND(MID(J2,2,1)=MID(J2,3,1),MID(J2,3,1)=MID(J2,5,1),MID(J2,4,1)&lt;&gt;MID(J2,5,1)),
  AND(MID(J2,2,1)=MID(J2,4,1),MID(J2,4,1)=MID(J2,5,1),MID(J2,3,1)&lt;&gt;MID(J2,4,1)),
  AND(MID(J2,3,1)=MID(J2,4,1),MID(J2,3,1)=MID(J2,5,1),MID(J2,2,1)&lt;&gt;MID(J2,3,1))
 ),
 IF(
  OR(
   AND(ISNUMBER(FIND(MID(J2,5,1),#REF!,1)),ISNUMBER(FIND(MID(J2,4,1),#REF!,1))),
   AND(ISNUMBER(FIND(MID(J2,4,1),#REF!,1)),ISNUMBER(FIND(MID(J2,5,1),#REF!,1))),
   AND(ISNUMBER(FIND(MID(J2,2,1),#REF!,1)),ISNUMBER(FIND(MID(J2,3,1),#REF!,1))),
   AND(ISNUMBER(FIND(MID(J2,3,1),#REF!,1)),ISNUMBER(FIND(MID(J2,2,1),#REF!,1)))
  ),G2*N63,0
 ),0
)</f>
        <v>0</v>
      </c>
      <c r="L63" s="29" t="e">
        <f t="shared" ca="1" si="1"/>
        <v>#VALUE!</v>
      </c>
      <c r="N63" s="29">
        <v>4900</v>
      </c>
      <c r="Q63" s="29">
        <f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AND(ISNUMBER(FIND(MID(P2,5,1),#REF!,1)),ISNUMBER(FIND(MID(P2,4,1),#REF!,1))),
   AND(ISNUMBER(FIND(MID(P2,4,1),#REF!,1)),ISNUMBER(FIND(MID(P2,5,1),#REF!,1))),
   AND(ISNUMBER(FIND(MID(P2,2,1),#REF!,1)),ISNUMBER(FIND(MID(P2,3,1),#REF!,1))),
   AND(ISNUMBER(FIND(MID(P2,3,1),#REF!,1)),ISNUMBER(FIND(MID(P2,2,1),#REF!,1)))
  ),M2*T63,0
 ),0
)</f>
        <v>0</v>
      </c>
      <c r="R63" s="29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18" x14ac:dyDescent="0.15">
      <c r="D64" s="29" t="s">
        <v>45</v>
      </c>
      <c r="E64" s="29" t="s">
        <v>59</v>
      </c>
      <c r="F64" s="29" t="str">
        <f>Sheet2!$N81</f>
        <v>0 6 7 8 9</v>
      </c>
      <c r="G64" s="29">
        <v>5</v>
      </c>
      <c r="H64" s="29">
        <v>1</v>
      </c>
      <c r="I64" s="29">
        <f t="shared" si="2"/>
        <v>0</v>
      </c>
      <c r="J64" s="29" t="str">
        <f ca="1">Sheet2!K$2</f>
        <v>35411</v>
      </c>
      <c r="K64" s="29">
        <f ca="1">IF(OR(ISNUMBER(FIND(MID(J2,2,1),#REF!,1)),ISNUMBER(FIND(MID(J2,3,1),#REF!,1)),ISNUMBER(FIND(MID(J2,4,1),#REF!,1)),ISNUMBER(FIND(MID(J2,5,1),#REF!,1))),G2*N64,0)</f>
        <v>0</v>
      </c>
      <c r="L64" s="29" t="e">
        <f t="shared" ca="1" si="1"/>
        <v>#VALUE!</v>
      </c>
      <c r="M64" s="29" t="s">
        <v>58</v>
      </c>
      <c r="N64" s="29">
        <v>5.69</v>
      </c>
      <c r="Q64" s="29">
        <f>IF(OR(ISNUMBER(FIND(MID(P2,2,1),#REF!,1)),ISNUMBER(FIND(MID(P2,3,1),#REF!,1)),ISNUMBER(FIND(MID(P2,4,1),#REF!,1)),ISNUMBER(FIND(MID(P2,5,1),#REF!,1))),M2*T64,0)</f>
        <v>0</v>
      </c>
    </row>
    <row r="65" spans="4:19" x14ac:dyDescent="0.15">
      <c r="D65" s="29" t="s">
        <v>45</v>
      </c>
      <c r="E65" s="29" t="s">
        <v>60</v>
      </c>
      <c r="F65" s="29" t="str">
        <f>Sheet2!$N82</f>
        <v>0 1 2 3</v>
      </c>
      <c r="G65" s="29">
        <v>5</v>
      </c>
      <c r="H65" s="29">
        <v>1</v>
      </c>
      <c r="I65" s="29">
        <f t="shared" si="2"/>
        <v>0</v>
      </c>
      <c r="J65" s="29" t="str">
        <f ca="1">Sheet2!K$2</f>
        <v>35411</v>
      </c>
      <c r="K65" s="29">
        <f ca="1">IF(
 OR(
  AND(ISNUMBER(FIND(MID(J2,2,1),#REF!,1)),ISNUMBER(FIND(MID(J2,3,1),#REF!,1))),
  AND(ISNUMBER(FIND(MID(J2,2,1),#REF!,1)),ISNUMBER(FIND(MID(J2,4,1),#REF!,1))),
  AND(ISNUMBER(FIND(MID(J2,2,1),#REF!,1)),ISNUMBER(FIND(MID(J2,5,1),#REF!,1))),
  AND(ISNUMBER(FIND(MID(J2,3,1),#REF!,1)),ISNUMBER(FIND(MID(J2,4,1),#REF!,1))),
  AND(ISNUMBER(FIND(MID(J2,3,1),#REF!,1)),ISNUMBER(FIND(MID(J2,5,1),#REF!,1))),
  AND(ISNUMBER(FIND(MID(J2,4,1),#REF!,1)),ISNUMBER(FIND(MID(J2,5,1),#REF!,1)))
 ),G2*N57,0
)</f>
        <v>0</v>
      </c>
      <c r="L65" s="29" t="e">
        <f t="shared" ca="1" si="1"/>
        <v>#VALUE!</v>
      </c>
      <c r="N65" s="29">
        <v>20.12</v>
      </c>
      <c r="Q65" s="29">
        <f>IF(
 OR(
  AND(ISNUMBER(FIND(MID(P2,2,1),#REF!,1)),ISNUMBER(FIND(MID(P2,3,1),#REF!,1))),
  AND(ISNUMBER(FIND(MID(P2,2,1),#REF!,1)),ISNUMBER(FIND(MID(P2,4,1),#REF!,1))),
  AND(ISNUMBER(FIND(MID(P2,2,1),#REF!,1)),ISNUMBER(FIND(MID(P2,5,1),#REF!,1))),
  AND(ISNUMBER(FIND(MID(P2,3,1),#REF!,1)),ISNUMBER(FIND(MID(P2,4,1),#REF!,1))),
  AND(ISNUMBER(FIND(MID(P2,3,1),#REF!,1)),ISNUMBER(FIND(MID(P2,5,1),#REF!,1))),
  AND(ISNUMBER(FIND(MID(P2,4,1),#REF!,1)),ISNUMBER(FIND(MID(P2,5,1),#REF!,1)))
 ),M2*T57,0
)</f>
        <v>0</v>
      </c>
    </row>
    <row r="66" spans="4:19" x14ac:dyDescent="0.15">
      <c r="D66" s="29" t="s">
        <v>62</v>
      </c>
      <c r="E66" s="29" t="s">
        <v>64</v>
      </c>
      <c r="F66" s="29" t="str">
        <f>Sheet2!$N83</f>
        <v>0 1 2 6 7 8 9,0 1 2 3 4 5 6 7 8 9,0 1 2 7 8 9,0 1 2 3 4 5 6 7 8 9,0 1 2 3 4 5 6 7</v>
      </c>
      <c r="G66" s="29">
        <v>5</v>
      </c>
      <c r="H66" s="29">
        <v>1</v>
      </c>
      <c r="I66" s="29">
        <f t="shared" ref="I66:I87" si="3">Q66*G66*2</f>
        <v>0</v>
      </c>
      <c r="J66" s="29" t="str">
        <f ca="1">Sheet2!K$2</f>
        <v>35411</v>
      </c>
      <c r="K66" s="29">
        <f ca="1">IF(AND(ISNUMBER(FIND(LEFT(J2,1),#REF!,1)),ISNUMBER(FIND(MID(J2,2,1),#REF!,1)),ISNUMBER(FIND(MID(J2,3,1),#REF!,1)),ISNUMBER(FIND(MID(J2,4,1),#REF!,1)),ISNUMBER(FIND(RIGHT(J2,1),#REF!,1))),G2*N66,0)</f>
        <v>0</v>
      </c>
      <c r="L66" s="29" t="e">
        <f t="shared" ca="1" si="1"/>
        <v>#VALUE!</v>
      </c>
      <c r="M66" s="29" t="s">
        <v>63</v>
      </c>
      <c r="N66" s="29">
        <v>196000</v>
      </c>
      <c r="Q66" s="29">
        <f>IF(AND(ISNUMBER(FIND(LEFT(P2,1),#REF!,1)),ISNUMBER(FIND(MID(P2,2,1),#REF!,1)),ISNUMBER(FIND(MID(P2,3,1),#REF!,1)),ISNUMBER(FIND(MID(P2,4,1),#REF!,1)),ISNUMBER(FIND(RIGHT(P2,1),#REF!,1))),M2*T66,0)</f>
        <v>0</v>
      </c>
    </row>
    <row r="67" spans="4:19" x14ac:dyDescent="0.15">
      <c r="D67" s="29" t="s">
        <v>62</v>
      </c>
      <c r="E67" s="29" t="s">
        <v>65</v>
      </c>
      <c r="F67" s="29" t="str">
        <f>Sheet2!$N88</f>
        <v>12212</v>
      </c>
      <c r="G67" s="29">
        <v>5</v>
      </c>
      <c r="H67" s="29">
        <v>1</v>
      </c>
      <c r="I67" s="29">
        <f t="shared" si="3"/>
        <v>0</v>
      </c>
      <c r="J67" s="29" t="str">
        <f ca="1">Sheet2!K$2</f>
        <v>35411</v>
      </c>
      <c r="K67" s="29">
        <f ca="1">IF(ISNUMBER(FIND(","&amp;J2&amp;",",#REF!,1)),G2*N67,0)</f>
        <v>0</v>
      </c>
      <c r="L67" s="29" t="e">
        <f t="shared" ref="L67:L87" ca="1" si="4">$L66-$I67+$K67</f>
        <v>#VALUE!</v>
      </c>
      <c r="N67" s="29">
        <v>196000</v>
      </c>
      <c r="Q67" s="29">
        <f>FINDNUMBER(Sheet2!$J$88,3)</f>
        <v>0</v>
      </c>
    </row>
    <row r="68" spans="4:19" x14ac:dyDescent="0.15">
      <c r="D68" s="29" t="s">
        <v>62</v>
      </c>
      <c r="E68" s="29" t="s">
        <v>421</v>
      </c>
      <c r="F68" s="29" t="str">
        <f>Sheet2!$N89</f>
        <v>0 1 2 3 4 5 6 7 8 9</v>
      </c>
      <c r="G68" s="29">
        <v>5</v>
      </c>
      <c r="H68" s="29">
        <v>1</v>
      </c>
      <c r="I68" s="29">
        <f t="shared" si="3"/>
        <v>0</v>
      </c>
      <c r="J68" s="29" t="str">
        <f ca="1">Sheet2!K$2</f>
        <v>35411</v>
      </c>
      <c r="K68" s="29">
        <f ca="1">IF(AND(ISNUMBER(FIND(LEFT(J2,1),#REF!,1)),ISNUMBER(FIND(MID(J2,2,1),#REF!,1)),ISNUMBER(FIND(MID(J2,3,1),#REF!,1)),ISNUMBER(FIND(MID(J2,4,1),#REF!,1)),ISNUMBER(FIND(MID(J2,5,1),#REF!,1))),G2*N68,0)</f>
        <v>0</v>
      </c>
      <c r="L68" s="29" t="e">
        <f t="shared" ca="1" si="4"/>
        <v>#VALUE!</v>
      </c>
      <c r="M68" s="29" t="s">
        <v>67</v>
      </c>
      <c r="N68" s="29">
        <v>1633.33</v>
      </c>
      <c r="Q68" s="29">
        <f>IF(AND(ISNUMBER(FIND(LEFT(P2,1),#REF!,1)),ISNUMBER(FIND(MID(P2,2,1),#REF!,1)),ISNUMBER(FIND(MID(P2,3,1),#REF!,1)),ISNUMBER(FIND(MID(P2,4,1),#REF!,1)),ISNUMBER(FIND(MID(P2,5,1),#REF!,1))),M2*T68,0)</f>
        <v>0</v>
      </c>
    </row>
    <row r="69" spans="4:19" x14ac:dyDescent="0.15">
      <c r="D69" s="29" t="s">
        <v>62</v>
      </c>
      <c r="E69" s="29" t="s">
        <v>198</v>
      </c>
      <c r="F69" s="29" t="str">
        <f>Sheet2!$N90</f>
        <v>0 1 5 7 8 9 6,0 1 2 3 4 5 6</v>
      </c>
      <c r="G69" s="29">
        <v>5</v>
      </c>
      <c r="H69" s="29">
        <v>1</v>
      </c>
      <c r="I69" s="29" t="e">
        <f t="shared" si="3"/>
        <v>#N/A</v>
      </c>
      <c r="J69" s="29" t="str">
        <f ca="1">Sheet2!K$2</f>
        <v>35411</v>
      </c>
      <c r="K69" s="29">
        <f ca="1">IF(
 AND(LOOKUP(SUM(LEN(SUBSTITUTE(J2,MID(J2,{1,2,3,4,5},1),))),{8,12,14,16,18,20;5,10,20,30,60,120})=60,
 ISNUMBER(FIND(MID(SUBSTITUTE(J2,_xlfn.MODE.SNGL(INT(LEFT(J2,1)),INT(MID(J2,2,1)),INT(MID(J2,3,1)),INT(MID(J2,4,1)),INT(MID(J2,5,1))),),1,1),#REF!,1)),
 ISNUMBER(FIND(MID(SUBSTITUTE(J2,_xlfn.MODE.SNGL(INT(LEFT(J2,1)),INT(MID(J2,2,1)),INT(MID(J2,3,1)),INT(MID(J2,4,1)),INT(MID(J2,5,1))),),2,1),#REF!,1)),
 ISNUMBER(FIND(MID(SUBSTITUTE(J2,_xlfn.MODE.SNGL(INT(LEFT(J2,1)),INT(MID(J2,2,1)),INT(MID(J2,3,1)),INT(MID(J2,4,1)),INT(MID(J2,5,1))),),3,1),#REF!,1)),
 ISNUMBER(FIND(_xlfn.MODE.SNGL(INT(LEFT(J2,1)),INT(MID(J2,2,1)),INT(MID(J2,3,1)),INT(MID(J2,4,1)),INT(MID(J2,5,1))),#REF!,1))),G2*N69,0
)</f>
        <v>0</v>
      </c>
      <c r="L69" s="29" t="e">
        <f t="shared" ca="1" si="4"/>
        <v>#VALUE!</v>
      </c>
      <c r="N69" s="29">
        <v>3266.66</v>
      </c>
      <c r="O69" s="29" t="b">
        <f ca="1">AND(SUMPRODUCT(N(ISNUMBER(FIND(ROW($1:$5)-1,J2))))=4,ISNUMBER(FIND(_xlfn.MODE.SNGL(INT(LEFT(J2,1)),INT(MID(J2,2,1)),INT(MID(J2,3,1)),INT(MID(J2,4,1)),INT(MID(J2,5,1))),#REF!,1)))</f>
        <v>0</v>
      </c>
      <c r="Q69" s="29" t="e">
        <f>IF(
 AND(LOOKUP(SUM(LEN(SUBSTITUTE(P2,MID(P2,{1,2,3,4,5},1),))),{8,12,14,16,18,20;5,10,20,30,60,120})=60,
 ISNUMBER(FIND(MID(SUBSTITUTE(P2,_xlfn.MODE.SNGL(INT(LEFT(P2,1)),INT(MID(P2,2,1)),INT(MID(P2,3,1)),INT(MID(P2,4,1)),INT(MID(P2,5,1))),),1,1),#REF!,1)),
 ISNUMBER(FIND(MID(SUBSTITUTE(P2,_xlfn.MODE.SNGL(INT(LEFT(P2,1)),INT(MID(P2,2,1)),INT(MID(P2,3,1)),INT(MID(P2,4,1)),INT(MID(P2,5,1))),),2,1),#REF!,1)),
 ISNUMBER(FIND(MID(SUBSTITUTE(P2,_xlfn.MODE.SNGL(INT(LEFT(P2,1)),INT(MID(P2,2,1)),INT(MID(P2,3,1)),INT(MID(P2,4,1)),INT(MID(P2,5,1))),),3,1),#REF!,1)),
 ISNUMBER(FIND(_xlfn.MODE.SNGL(INT(LEFT(P2,1)),INT(MID(P2,2,1)),INT(MID(P2,3,1)),INT(MID(P2,4,1)),INT(MID(P2,5,1))),#REF!,1))),M2*T69,0
)</f>
        <v>#N/A</v>
      </c>
      <c r="R69" s="29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4:19" x14ac:dyDescent="0.15">
      <c r="D70" s="29" t="s">
        <v>62</v>
      </c>
      <c r="E70" s="29" t="s">
        <v>422</v>
      </c>
      <c r="F70" s="29" t="str">
        <f>Sheet2!$N92</f>
        <v>0 1 2 7,1 3 4 5 6 7</v>
      </c>
      <c r="G70" s="29">
        <v>5</v>
      </c>
      <c r="H70" s="29">
        <v>1</v>
      </c>
      <c r="I70" s="29" t="e">
        <f t="shared" si="3"/>
        <v>#N/A</v>
      </c>
      <c r="J70" s="29" t="str">
        <f ca="1">Sheet2!K$2</f>
        <v>35411</v>
      </c>
      <c r="K70" s="29">
        <f ca="1">IF(
 LOOKUP(SUM(LEN(SUBSTITUTE(J2,MID(J2,{1,2,3,4,5},1),))),{8,12,14,16,18,20;5,10,20,30,60,120})=30,
 IF(AND(
   ISNUMBER(FIND(_xlfn.MODE.SNGL(INT(LEFT(J2,1)),INT(MID(J2,2,1)),INT(MID(J2,3,1)),INT(MID(J2,4,1)),INT(MID(J2,5,1))),#REF!,1)),
   ISNUMBER(FIND(_xlfn.MODE.SNGL(
         INT(LEFT(SUBSTITUTE(J2,_xlfn.MODE.SNGL(INT(LEFT(J2,1)),INT(MID(J2,2,1)),INT(MID(J2,3,1)),INT(MID(J2,4,1)),INT(MID(J2,5,1))),),1)),
         INT(MID(SUBSTITUTE(J2,_xlfn.MODE.SNGL(INT(LEFT(J2,1)),INT(MID(J2,2,1)),INT(MID(J2,3,1)),INT(MID(J2,4,1)),INT(MID(J2,5,1))),),2,1)),
         INT(MID(SUBSTITUTE(J2,_xlfn.MODE.SNGL(INT(LEFT(J2,1)),INT(MID(J2,2,1)),INT(MID(J2,3,1)),INT(MID(J2,4,1)),INT(MID(J2,5,1))),),3,1))),#REF!,1)),
   ISNUMBER(FIND(SUBSTITUTE(SUBSTITUTE(J2,_xlfn.MODE.SNGL(INT(LEFT(J2,1)),INT(MID(J2,2,1)),INT(MID(J2,3,1)),INT(MID(J2,4,1)),INT(MID(J2,5,1))),),
      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INT(MID(SUBSTITUTE(J2,_xlfn.MODE.SNGL(INT(LEFT(J2,1)),INT(MID(J2,2,1)),INT(MID(J2,3,1)),INT(MID(J2,4,1)),INT(MID(J2,5,1))),),3,1))),),#REF!,1))
  ),G2*N70,0
 ),0
)</f>
        <v>0</v>
      </c>
      <c r="L70" s="29" t="e">
        <f t="shared" ca="1" si="4"/>
        <v>#VALUE!</v>
      </c>
      <c r="N70" s="29">
        <v>6533.33</v>
      </c>
      <c r="O70" s="29" t="e">
        <f ca="1">AND(SUMPRODUCT(N(ISNUMBER(FIND(ROW($1:$5)-1,J2))))=3,AND(ISNUMBER(FIND(S69,#REF!,1)),ISNUMBER(FIND(#REF!,#REF!,1))),S69&lt;&gt;#REF!)</f>
        <v>#REF!</v>
      </c>
      <c r="Q70" s="29" t="e">
        <f>IF(
 LOOKUP(SUM(LEN(SUBSTITUTE(P2,MID(P2,{1,2,3,4,5},1),))),{8,12,14,16,18,20;5,10,20,30,60,120})=30,
 IF(AND(
   ISNUMBER(FIND(_xlfn.MODE.SNGL(INT(LEFT(P2,1)),INT(MID(P2,2,1)),INT(MID(P2,3,1)),INT(MID(P2,4,1)),INT(MID(P2,5,1))),#REF!,1)),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INT(MID(SUBSTITUTE(P2,_xlfn.MODE.SNGL(INT(LEFT(P2,1)),INT(MID(P2,2,1)),INT(MID(P2,3,1)),INT(MID(P2,4,1)),INT(MID(P2,5,1))),),3,1))),#REF!,1)),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INT(MID(SUBSTITUTE(P2,_xlfn.MODE.SNGL(INT(LEFT(P2,1)),INT(MID(P2,2,1)),INT(MID(P2,3,1)),INT(MID(P2,4,1)),INT(MID(P2,5,1))),),3,1))),),#REF!,1))
  ),M2*T70,0
 ),0
)</f>
        <v>#N/A</v>
      </c>
      <c r="R70" s="29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4:19" x14ac:dyDescent="0.15">
      <c r="D71" s="29" t="s">
        <v>62</v>
      </c>
      <c r="E71" s="29" t="s">
        <v>199</v>
      </c>
      <c r="F71" s="29" t="str">
        <f>Sheet2!$N94</f>
        <v>0 1 2 3,0 1 9</v>
      </c>
      <c r="G71" s="29">
        <v>5</v>
      </c>
      <c r="H71" s="29">
        <v>1</v>
      </c>
      <c r="I71" s="29" t="e">
        <f t="shared" si="3"/>
        <v>#N/A</v>
      </c>
      <c r="J71" s="29" t="str">
        <f ca="1">Sheet2!K$2</f>
        <v>35411</v>
      </c>
      <c r="K71" s="29">
        <f ca="1">IF(
 LOOKUP(SUM(LEN(SUBSTITUTE(J2,MID(J2,{1,2,3,4,5},1),))),{8,12,14,16,18,20;5,10,20,30,60,120})=20,
 IF(
  AND(ISNUMBER(FIND(_xlfn.MODE.SNGL(INT(LEFT(J2,1)),INT(MID(J2,2,1)),INT(MID(J2,3,1)),INT(MID(J2,4,1)),INT(MID(J2,5,1))),#REF!,1)),
   ISNUMBER(FIND(LEFT(SUBSTITUTE(J2,_xlfn.MODE.SNGL(INT(LEFT(J2,1)),INT(MID(J2,2,1)),INT(MID(J2,3,1)),INT(MID(J2,4,1)),INT(MID(J2,5,1))),),1),#REF!,1)),
   ISNUMBER(FIND(RIGHT(SUBSTITUTE(J2,_xlfn.MODE.SNGL(INT(LEFT(J2,1)),INT(MID(J2,2,1)),INT(MID(J2,3,1)),INT(MID(J2,4,1)),INT(MID(J2,5,1))),),1),#REF!,1))
  ),G2*N71,0
 ),0
)</f>
        <v>0</v>
      </c>
      <c r="L71" s="29" t="e">
        <f t="shared" ca="1" si="4"/>
        <v>#VALUE!</v>
      </c>
      <c r="N71" s="29">
        <v>9800</v>
      </c>
      <c r="O71" s="29" t="e">
        <f ca="1">AND(SUMPRODUCT(N(ISNUMBER(FIND(ROW($1:$5)-1,J2))))=3,ISNUMBER(FIND(S69,#REF!,1)),S69=#REF!)</f>
        <v>#REF!</v>
      </c>
      <c r="Q71" s="29" t="e">
        <f>IF(
 LOOKUP(SUM(LEN(SUBSTITUTE(P2,MID(P2,{1,2,3,4,5},1),))),{8,12,14,16,18,20;5,10,20,30,60,120})=20,
 IF(
  AND(ISNUMBER(FIND(_xlfn.MODE.SNGL(INT(LEFT(P2,1)),INT(MID(P2,2,1)),INT(MID(P2,3,1)),INT(MID(P2,4,1)),INT(MID(P2,5,1))),#REF!,1)),
   ISNUMBER(FIND(LEFT(SUBSTITUTE(P2,_xlfn.MODE.SNGL(INT(LEFT(P2,1)),INT(MID(P2,2,1)),INT(MID(P2,3,1)),INT(MID(P2,4,1)),INT(MID(P2,5,1))),),1),#REF!,1)),
   ISNUMBER(FIND(RIGHT(SUBSTITUTE(P2,_xlfn.MODE.SNGL(INT(LEFT(P2,1)),INT(MID(P2,2,1)),INT(MID(P2,3,1)),INT(MID(P2,4,1)),INT(MID(P2,5,1))),),1),#REF!,1))
  ),M2*T71,0
 ),0
)</f>
        <v>#N/A</v>
      </c>
      <c r="R71" s="29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4:19" x14ac:dyDescent="0.15">
      <c r="D72" s="29" t="s">
        <v>62</v>
      </c>
      <c r="E72" s="29" t="s">
        <v>200</v>
      </c>
      <c r="F72" s="29" t="str">
        <f>Sheet2!$N96</f>
        <v>0 4,0 1</v>
      </c>
      <c r="G72" s="29">
        <v>5</v>
      </c>
      <c r="H72" s="29">
        <v>1</v>
      </c>
      <c r="I72" s="29" t="e">
        <f t="shared" si="3"/>
        <v>#N/A</v>
      </c>
      <c r="J72" s="29" t="str">
        <f ca="1">Sheet2!K$2</f>
        <v>35411</v>
      </c>
      <c r="K72" s="29">
        <f ca="1">IF(
 LOOKUP(SUM(LEN(SUBSTITUTE(J2,MID(J2,{1,2,3,4,5},1),))),{8,12,14,16,18,20;5,10,20,30,60,120})=10,
 IF(
  AND(
   ISNUMBER(FIND(_xlfn.MODE.SNGL(INT(LEFT(J2,1)),INT(MID(J2,2,1)),INT(MID(J2,3,1)),INT(MID(J2,4,1)),INT(MID(J2,5,1))),#REF!,1)),
   ISNUMBER(FIND(LEFT(SUBSTITUTE(J2,_xlfn.MODE.SNGL(INT(LEFT(J2,1)),INT(MID(J2,2,1)),INT(MID(J2,3,1)),INT(MID(J2,4,1)),INT(MID(J2,5,1))),),1),#REF!,1))
  ),G2*N72,0
 ),0
)</f>
        <v>0</v>
      </c>
      <c r="L72" s="29" t="e">
        <f t="shared" ca="1" si="4"/>
        <v>#VALUE!</v>
      </c>
      <c r="N72" s="29">
        <v>19600</v>
      </c>
      <c r="Q72" s="29" t="e">
        <f>IF(
 LOOKUP(SUM(LEN(SUBSTITUTE(P2,MID(P2,{1,2,3,4,5},1),))),{8,12,14,16,18,20;5,10,20,30,60,120})=10,
 IF(
  AND(
   ISNUMBER(FIND(_xlfn.MODE.SNGL(INT(LEFT(P2,1)),INT(MID(P2,2,1)),INT(MID(P2,3,1)),INT(MID(P2,4,1)),INT(MID(P2,5,1))),#REF!,1)),
   ISNUMBER(FIND(LEFT(SUBSTITUTE(P2,_xlfn.MODE.SNGL(INT(LEFT(P2,1)),INT(MID(P2,2,1)),INT(MID(P2,3,1)),INT(MID(P2,4,1)),INT(MID(P2,5,1))),),1),#REF!,1))
  ),M2*T72,0
 ),0
)</f>
        <v>#N/A</v>
      </c>
      <c r="R72" s="29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4:19" x14ac:dyDescent="0.15">
      <c r="D73" s="29" t="s">
        <v>62</v>
      </c>
      <c r="E73" s="29" t="s">
        <v>70</v>
      </c>
      <c r="F73" s="29" t="str">
        <f>Sheet2!$N98</f>
        <v>4 1 5,1 2 3</v>
      </c>
      <c r="G73" s="29">
        <v>5</v>
      </c>
      <c r="H73" s="29">
        <v>1</v>
      </c>
      <c r="I73" s="29" t="e">
        <f t="shared" si="3"/>
        <v>#N/A</v>
      </c>
      <c r="J73" s="29" t="str">
        <f ca="1">Sheet2!K$2</f>
        <v>35411</v>
      </c>
      <c r="K73" s="29">
        <f ca="1">IF(
 LOOKUP(SUM(LEN(SUBSTITUTE(J2,MID(J2,{1,2,3,4,5},1),))),{8,12,14,16,18,20;5,10,20,30,60,120})=5,
 IF(
  AND(
   ISNUMBER(FIND(_xlfn.MODE.SNGL(INT(LEFT(J2,1)),INT(MID(J2,2,1)),INT(MID(J2,3,1)),INT(MID(J2,4,1)),INT(MID(J2,5,1))),#REF!,1)),
   ISNUMBER(FIND(SUBSTITUTE(J2,_xlfn.MODE.SNGL(INT(LEFT(J2,1)),INT(MID(J2,2,1)),INT(MID(J2,3,1)),INT(MID(J2,4,1)),INT(MID(J2,5,1))),),#REF!,1))
  ),G2*N73,0
 ),0
)</f>
        <v>0</v>
      </c>
      <c r="L73" s="29" t="e">
        <f t="shared" ca="1" si="4"/>
        <v>#VALUE!</v>
      </c>
      <c r="N73" s="29">
        <v>39200</v>
      </c>
      <c r="Q73" s="29" t="e">
        <f>IF(
 LOOKUP(SUM(LEN(SUBSTITUTE(P2,MID(P2,{1,2,3,4,5},1),))),{8,12,14,16,18,20;5,10,20,30,60,120})=5,
 IF(
  AND(
   ISNUMBER(FIND(_xlfn.MODE.SNGL(INT(LEFT(P2,1)),INT(MID(P2,2,1)),INT(MID(P2,3,1)),INT(MID(P2,4,1)),INT(MID(P2,5,1))),#REF!,1)),
   ISNUMBER(FIND(SUBSTITUTE(P2,_xlfn.MODE.SNGL(INT(LEFT(P2,1)),INT(MID(P2,2,1)),INT(MID(P2,3,1)),INT(MID(P2,4,1)),INT(MID(P2,5,1))),),#REF!,1))
  ),M2*T73,0
 ),0
)</f>
        <v>#N/A</v>
      </c>
      <c r="R73" s="29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4:19" x14ac:dyDescent="0.15">
      <c r="D74" s="29" t="s">
        <v>62</v>
      </c>
      <c r="E74" s="29" t="s">
        <v>77</v>
      </c>
      <c r="F74" s="29" t="str">
        <f>Sheet2!$N100</f>
        <v>0 1 2 3 4 5 6</v>
      </c>
      <c r="G74" s="29">
        <v>5</v>
      </c>
      <c r="H74" s="29">
        <v>1</v>
      </c>
      <c r="I74" s="29">
        <f t="shared" si="3"/>
        <v>0</v>
      </c>
      <c r="J74" s="29" t="str">
        <f ca="1">Sheet2!K$2</f>
        <v>35411</v>
      </c>
      <c r="K74" s="29">
        <f ca="1">IF(OR(ISNUMBER(FIND(MID(J2,1,1),#REF!,1)),ISNUMBER(FIND(MID(J2,2,1),#REF!,1)),ISNUMBER(FIND(MID(J2,3,1),#REF!,1)),ISNUMBER(FIND(MID(J2,4,1),#REF!,1)),ISNUMBER(FIND(MID(J2,5,1),#REF!,1))),G2*N74,0)</f>
        <v>0</v>
      </c>
      <c r="L74" s="29" t="e">
        <f t="shared" ca="1" si="4"/>
        <v>#VALUE!</v>
      </c>
      <c r="M74" s="29" t="s">
        <v>58</v>
      </c>
      <c r="N74" s="29">
        <v>4.78</v>
      </c>
      <c r="Q74" s="29">
        <f>IF(OR(ISNUMBER(FIND(MID(P2,1,1),#REF!,1)),ISNUMBER(FIND(MID(P2,2,1),#REF!,1)),ISNUMBER(FIND(MID(P2,3,1),#REF!,1)),ISNUMBER(FIND(MID(P2,4,1),#REF!,1)),ISNUMBER(FIND(MID(P2,5,1),#REF!,1))),M2*T74,0)</f>
        <v>0</v>
      </c>
      <c r="R74" s="29">
        <f ca="1">_xlfn.MODE.SNGL(INT(LEFT(J2,1)),INT(MID(J2,2,1)),INT(MID(J2,3,1)),INT(MID(J2,4,1)),INT(MID(J2,5,1)))</f>
        <v>1</v>
      </c>
    </row>
    <row r="75" spans="4:19" x14ac:dyDescent="0.15">
      <c r="D75" s="29" t="s">
        <v>62</v>
      </c>
      <c r="E75" s="29" t="s">
        <v>78</v>
      </c>
      <c r="F75" s="29" t="str">
        <f>Sheet2!$N101</f>
        <v>0 1 2 3 4 5 6</v>
      </c>
      <c r="G75" s="29">
        <v>5</v>
      </c>
      <c r="H75" s="29">
        <v>1</v>
      </c>
      <c r="I75" s="29">
        <f t="shared" si="3"/>
        <v>0</v>
      </c>
      <c r="J75" s="29" t="str">
        <f ca="1">Sheet2!K$2</f>
        <v>35411</v>
      </c>
      <c r="K75" s="29">
        <f ca="1">IF(R76=120,
  IF(SUM(N(ISNUMBER(FIND(MID(J2,1,1),#REF!,1))),
    N(ISNUMBER(FIND(MID(J2,2,1),#REF!,1))),
    N(ISNUMBER(FIND(MID(J2,3,1),#REF!,1))),
    N(ISNUMBER(FIND(MID(J2,4,1),#REF!,1))),
    N(ISNUMBER(FIND(MID(J2,5,1),#REF!,1))))&gt;=2,
   G2*N75*COMBIN(SUM(N(ISNUMBER(FIND(MID(J2,1,1),#REF!,1))),
        N(ISNUMBER(FIND(MID(J2,2,1),#REF!,1))),
        N(ISNUMBER(FIND(MID(J2,3,1),#REF!,1))),
        N(ISNUMBER(FIND(MID(J2,4,1),#REF!,1))),
        N(ISNUMBER(FIND(MID(J2,5,1),#REF!,1)))),2),0),
  IF(R76=60,
   IF(SUM(N(ISNUMBER(FIND(R74,#REF!,1))),
     N(ISNUMBER(FIND(MID(SUBSTITUTE(J2,R74,),1,1),#REF!,1))),
     N(ISNUMBER(FIND(MID(SUBSTITUTE(J2,R74,),2,1),#REF!,1))),
     N(ISNUMBER(FIND(MID(SUBSTITUTE(J2,R74,),3,1),#REF!,1)))
    )&gt;=2,G2*N75*COMBIN(SUM(N(ISNUMBER(FIND(R74,#REF!,1))),
          N(ISNUMBER(FIND(MID(SUBSTITUTE(J2,R74,),1,1),#REF!,1))),
          N(ISNUMBER(FIND(MID(SUBSTITUTE(J2,R74,),2,1),#REF!,1))),
          N(ISNUMBER(FIND(MID(SUBSTITUTE(J2,R74,),3,1),#REF!,1)))),2),0),
   IF(R76=30,
    IF(SUM(N(ISNUMBER(FIND(R74,#REF!,1))),
      N(ISNUMBER(FIND(R75,#REF!,1))),
      N(ISNUMBER(FIND(SUBSTITUTE(SUBSTITUTE(J2,R74,),R75,),#REF!,1)))
     )&gt;=2,G2*N75*COMBIN(SUM(N(ISNUMBER(FIND(R74,#REF!,1))),
           N(ISNUMBER(FIND(R75,#REF!,1))),
           N(ISNUMBER(FIND(SUBSTITUTE(SUBSTITUTE(J2,R74,),R75,),#REF!,1)))),2),0),
    IF(R76=20,
     IF(SUM(N(ISNUMBER(FIND(R74,#REF!,1))),
       N(ISNUMBER(FIND(MID(SUBSTITUTE(J2,R74,),1,1),#REF!,1))),
       N(ISNUMBER(FIND(MID(SUBSTITUTE(J2,R74,),2,1),#REF!,1)))
      )&gt;=2,G2*N75*COMBIN(SUM(N(ISNUMBER(FIND(R74,#REF!,1))),
            N(ISNUMBER(FIND(MID(SUBSTITUTE(J2,R74,),1,1),#REF!,1))),
            N(ISNUMBER(FIND(MID(SUBSTITUTE(J2,R74,),2,1),#REF!,1)))),2),0),
     IF(AND(N(ISNUMBER(FIND(R74,#REF!,1))),
       N(ISNUMBER(FIND(SUBSTITUTE(J2,R74,),#REF!,1)))),
      G2*N75,0)))))</f>
        <v>0</v>
      </c>
      <c r="L75" s="29" t="e">
        <f t="shared" ca="1" si="4"/>
        <v>#VALUE!</v>
      </c>
      <c r="N75" s="29">
        <v>13.36</v>
      </c>
      <c r="Q75" s="29">
        <f>IF(X76=120,
  IF(SUM(N(ISNUMBER(FIND(MID(P2,1,1),#REF!,1))),
    N(ISNUMBER(FIND(MID(P2,2,1),#REF!,1))),
    N(ISNUMBER(FIND(MID(P2,3,1),#REF!,1))),
    N(ISNUMBER(FIND(MID(P2,4,1),#REF!,1))),
    N(ISNUMBER(FIND(MID(P2,5,1),#REF!,1))))&gt;=2,
   M2*T75*COMBIN(SUM(N(ISNUMBER(FIND(MID(P2,1,1),#REF!,1))),
        N(ISNUMBER(FIND(MID(P2,2,1),#REF!,1))),
        N(ISNUMBER(FIND(MID(P2,3,1),#REF!,1))),
        N(ISNUMBER(FIND(MID(P2,4,1),#REF!,1))),
        N(ISNUMBER(FIND(MID(P2,5,1),#REF!,1)))),2),0),
  IF(X76=60,
   IF(SUM(N(ISNUMBER(FIND(X74,#REF!,1))),
     N(ISNUMBER(FIND(MID(SUBSTITUTE(P2,X74,),1,1),#REF!,1))),
     N(ISNUMBER(FIND(MID(SUBSTITUTE(P2,X74,),2,1),#REF!,1))),
     N(ISNUMBER(FIND(MID(SUBSTITUTE(P2,X74,),3,1),#REF!,1)))
    )&gt;=2,M2*T75*COMBIN(SUM(N(ISNUMBER(FIND(X74,#REF!,1))),
          N(ISNUMBER(FIND(MID(SUBSTITUTE(P2,X74,),1,1),#REF!,1))),
          N(ISNUMBER(FIND(MID(SUBSTITUTE(P2,X74,),2,1),#REF!,1))),
          N(ISNUMBER(FIND(MID(SUBSTITUTE(P2,X74,),3,1),#REF!,1)))),2),0),
   IF(X76=30,
    IF(SUM(N(ISNUMBER(FIND(X74,#REF!,1))),
      N(ISNUMBER(FIND(X75,#REF!,1))),
      N(ISNUMBER(FIND(SUBSTITUTE(SUBSTITUTE(P2,X74,),X75,),#REF!,1)))
     )&gt;=2,M2*T75*COMBIN(SUM(N(ISNUMBER(FIND(X74,#REF!,1))),
           N(ISNUMBER(FIND(X75,#REF!,1))),
           N(ISNUMBER(FIND(SUBSTITUTE(SUBSTITUTE(P2,X74,),X75,),#REF!,1)))),2),0),
    IF(X76=20,
     IF(SUM(N(ISNUMBER(FIND(X74,#REF!,1))),
       N(ISNUMBER(FIND(MID(SUBSTITUTE(P2,X74,),1,1),#REF!,1))),
       N(ISNUMBER(FIND(MID(SUBSTITUTE(P2,X74,),2,1),#REF!,1)))
      )&gt;=2,M2*T75*COMBIN(SUM(N(ISNUMBER(FIND(X74,#REF!,1))),
            N(ISNUMBER(FIND(MID(SUBSTITUTE(P2,X74,),1,1),#REF!,1))),
            N(ISNUMBER(FIND(MID(SUBSTITUTE(P2,X74,),2,1),#REF!,1)))),2),0),
     IF(AND(N(ISNUMBER(FIND(X74,#REF!,1))),
       N(ISNUMBER(FIND(SUBSTITUTE(P2,X74,),#REF!,1)))),
      M2*T75,0)))))</f>
        <v>0</v>
      </c>
      <c r="R75" s="29" t="e">
        <f ca="1">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</f>
        <v>#N/A</v>
      </c>
      <c r="S75" s="29" t="s">
        <v>195</v>
      </c>
    </row>
    <row r="76" spans="4:19" x14ac:dyDescent="0.15">
      <c r="D76" s="29" t="s">
        <v>62</v>
      </c>
      <c r="E76" s="29" t="s">
        <v>79</v>
      </c>
      <c r="F76" s="29" t="str">
        <f>Sheet2!$N102</f>
        <v>0 1 2 7 8 9</v>
      </c>
      <c r="G76" s="29">
        <v>5</v>
      </c>
      <c r="H76" s="29">
        <v>1</v>
      </c>
      <c r="I76" s="29">
        <f t="shared" si="3"/>
        <v>0</v>
      </c>
      <c r="J76" s="29" t="str">
        <f ca="1">Sheet2!K$2</f>
        <v>35411</v>
      </c>
      <c r="K76" s="29">
        <f ca="1">IF(R76=120,
 IF(SUM(N(ISNUMBER(FIND(MID(J2,1,1),#REF!,1))),
   N(ISNUMBER(FIND(MID(J2,2,1),#REF!,1))),
   N(ISNUMBER(FIND(MID(J2,3,1),#REF!,1))),
   N(ISNUMBER(FIND(MID(J2,4,1),#REF!,1))),
   N(ISNUMBER(FIND(MID(J2,5,1),#REF!,1))))&gt;=3,
  G2*N76*COMBIN(SUM(N(ISNUMBER(FIND(MID(J2,1,1),#REF!,1))),
       N(ISNUMBER(FIND(MID(J2,2,1),#REF!,1))),
       N(ISNUMBER(FIND(MID(J2,3,1),#REF!,1))),
       N(ISNUMBER(FIND(MID(J2,4,1),#REF!,1))),
       N(ISNUMBER(FIND(MID(J2,5,1),#REF!,1)))),3),0),
 IF(R76=60,
  IF(SUM(N(ISNUMBER(FIND(R74,#REF!,1))),
    N(ISNUMBER(FIND(MID(SUBSTITUTE(J2,R74,),1,1),#REF!,1))),
    N(ISNUMBER(FIND(MID(SUBSTITUTE(J2,R74,),2,1),#REF!,1))),
    N(ISNUMBER(FIND(MID(SUBSTITUTE(J2,R74,),3,1),#REF!,1)))
   )&gt;=3,G2*N76*COMBIN(SUM(N(ISNUMBER(FIND(R74,#REF!,1))),
         N(ISNUMBER(FIND(MID(SUBSTITUTE(J2,R74,),1,1),#REF!,1))),
         N(ISNUMBER(FIND(MID(SUBSTITUTE(J2,R74,),2,1),#REF!,1))),
         N(ISNUMBER(FIND(MID(SUBSTITUTE(J2,R74,),3,1),#REF!,1)))),3),0),
  IF(R76=30,
   IF(SUM(N(ISNUMBER(FIND(R74,#REF!,1))),
     N(ISNUMBER(FIND(R75,#REF!,1))),
     N(ISNUMBER(FIND(SUBSTITUTE(SUBSTITUTE(J2,R74,),R75,),#REF!,1))))=3,G2*N76,0),
   IF(R76=20,
    IF(SUM(N(ISNUMBER(FIND(R74,#REF!,1))),
      N(ISNUMBER(FIND(LEFT(SUBSTITUTE(J2,R74,),1),#REF!,1))),
      N(ISNUMBER(FIND(RIGHT(SUBSTITUTE(J2,R74,),1),#REF!,1))))=3,G2*N76,0),0))))</f>
        <v>0</v>
      </c>
      <c r="L76" s="29" t="e">
        <f t="shared" ca="1" si="4"/>
        <v>#VALUE!</v>
      </c>
      <c r="N76" s="29">
        <v>45.05</v>
      </c>
      <c r="Q76" s="29">
        <f>IF(X76=120,
 IF(SUM(N(ISNUMBER(FIND(MID(P2,1,1),#REF!,1))),
   N(ISNUMBER(FIND(MID(P2,2,1),#REF!,1))),
   N(ISNUMBER(FIND(MID(P2,3,1),#REF!,1))),
   N(ISNUMBER(FIND(MID(P2,4,1),#REF!,1))),
   N(ISNUMBER(FIND(MID(P2,5,1),#REF!,1))))&gt;=3,
  M2*T76*COMBIN(SUM(N(ISNUMBER(FIND(MID(P2,1,1),#REF!,1))),
       N(ISNUMBER(FIND(MID(P2,2,1),#REF!,1))),
       N(ISNUMBER(FIND(MID(P2,3,1),#REF!,1))),
       N(ISNUMBER(FIND(MID(P2,4,1),#REF!,1))),
       N(ISNUMBER(FIND(MID(P2,5,1),#REF!,1)))),3),0),
 IF(X76=60,
  IF(SUM(N(ISNUMBER(FIND(X74,#REF!,1))),
    N(ISNUMBER(FIND(MID(SUBSTITUTE(P2,X74,),1,1),#REF!,1))),
    N(ISNUMBER(FIND(MID(SUBSTITUTE(P2,X74,),2,1),#REF!,1))),
    N(ISNUMBER(FIND(MID(SUBSTITUTE(P2,X74,),3,1),#REF!,1)))
   )&gt;=3,M2*T76*COMBIN(SUM(N(ISNUMBER(FIND(X74,#REF!,1))),
         N(ISNUMBER(FIND(MID(SUBSTITUTE(P2,X74,),1,1),#REF!,1))),
         N(ISNUMBER(FIND(MID(SUBSTITUTE(P2,X74,),2,1),#REF!,1))),
         N(ISNUMBER(FIND(MID(SUBSTITUTE(P2,X74,),3,1),#REF!,1)))),3),0),
  IF(X76=30,
   IF(SUM(N(ISNUMBER(FIND(X74,#REF!,1))),
     N(ISNUMBER(FIND(X75,#REF!,1))),
     N(ISNUMBER(FIND(SUBSTITUTE(SUBSTITUTE(P2,X74,),X75,),#REF!,1))))=3,M2*T76,0),
   IF(X76=20,
    IF(SUM(N(ISNUMBER(FIND(X74,#REF!,1))),
      N(ISNUMBER(FIND(LEFT(SUBSTITUTE(P2,X74,),1),#REF!,1))),
      N(ISNUMBER(FIND(RIGHT(SUBSTITUTE(P2,X74,),1),#REF!,1))))=3,M2*T76,0),0))))</f>
        <v>0</v>
      </c>
      <c r="R76" s="29">
        <f ca="1">LOOKUP(SUM(LEN(SUBSTITUTE(J2,MID(J2,{1,2,3,4,5},1),))),{8,12,14,16,18,20;5,10,20,30,60,120})</f>
        <v>60</v>
      </c>
    </row>
    <row r="77" spans="4:19" x14ac:dyDescent="0.15">
      <c r="D77" s="29" t="s">
        <v>62</v>
      </c>
      <c r="E77" s="29" t="s">
        <v>82</v>
      </c>
      <c r="F77" s="29" t="str">
        <f>Sheet2!$N103</f>
        <v>0 1 2 3 4 5 6 7 8 9</v>
      </c>
      <c r="G77" s="29">
        <v>5</v>
      </c>
      <c r="H77" s="29">
        <v>1</v>
      </c>
      <c r="I77" s="29">
        <f t="shared" si="3"/>
        <v>0</v>
      </c>
      <c r="J77" s="29" t="str">
        <f ca="1">Sheet2!K$2</f>
        <v>35411</v>
      </c>
      <c r="K77" s="29">
        <f ca="1">IF(OR(ISNUMBER(FIND(MID(J2,1,1),#REF!,1)),ISNUMBER(FIND(MID(J2,2,1),#REF!,1)),ISNUMBER(FIND(MID(J2,3,1),#REF!,1)),ISNUMBER(FIND(MID(J2,4,1),#REF!,1)),ISNUMBER(FIND(MID(J2,5,1),#REF!,1))),G2*N77,0)</f>
        <v>0</v>
      </c>
      <c r="L77" s="29" t="e">
        <f t="shared" ca="1" si="4"/>
        <v>#VALUE!</v>
      </c>
      <c r="M77" s="29" t="s">
        <v>81</v>
      </c>
      <c r="N77" s="29">
        <v>4.78</v>
      </c>
      <c r="Q77" s="29">
        <f>IF(OR(ISNUMBER(FIND(MID(P2,1,1),#REF!,1)),ISNUMBER(FIND(MID(P2,2,1),#REF!,1)),ISNUMBER(FIND(MID(P2,3,1),#REF!,1)),ISNUMBER(FIND(MID(P2,4,1),#REF!,1)),ISNUMBER(FIND(MID(P2,5,1),#REF!,1))),M2*T77,0)</f>
        <v>0</v>
      </c>
    </row>
    <row r="78" spans="4:19" x14ac:dyDescent="0.15">
      <c r="D78" s="29" t="s">
        <v>62</v>
      </c>
      <c r="E78" s="29" t="s">
        <v>83</v>
      </c>
      <c r="F78" s="29" t="str">
        <f>Sheet2!$N104</f>
        <v>0 1 2 3 4 5 6 7</v>
      </c>
      <c r="G78" s="29">
        <v>5</v>
      </c>
      <c r="H78" s="29">
        <v>1</v>
      </c>
      <c r="I78" s="29" t="e">
        <f t="shared" si="3"/>
        <v>#N/A</v>
      </c>
      <c r="J78" s="29" t="str">
        <f ca="1">Sheet2!K$2</f>
        <v>35411</v>
      </c>
      <c r="K78" s="29">
        <f ca="1">IF(AND(LOOKUP(SUM(LEN(SUBSTITUTE(J2,MID(J2,{1,2,3,4,5},1),))),{8,12,14,16,18,20;5,10,20,30,60,120})=60,
 ISNUMBER(FIND(_xlfn.MODE.SNGL(INT(LEFT(J2,1)),INT(MID(J2,2,1)),INT(MID(J2,3,1)),INT(MID(J2,4,1)),INT(MID(J2,5,1))),#REF!,1))),
 G2*N78,
 IF(AND(LOOKUP(SUM(LEN(SUBSTITUTE(J2,MID(J2,{1,2,3,4,5},1),))),{8,12,14,16,18,20;5,10,20,30,60,120})=30,
   OR(ISNUMBER(FIND(_xlfn.MODE.SNGL(INT(LEFT(J2,1)),INT(MID(J2,2,1)),INT(MID(J2,3,1)),INT(MID(J2,4,1)),INT(MID(J2,5,1))),#REF!,1)),
      ISNUMBER(FIND(_xlfn.MODE.SNGL(INT(LEFT(SUBSTITUTE(J2,_xlfn.MODE.SNGL(INT(LEFT(J2,1)),INT(MID(J2,2,1)),INT(MID(J2,3,1)),INT(MID(J2,4,1)),INT(MID(J2,5,1))),),1)),
            INT(MID(SUBSTITUTE(J2,_xlfn.MODE.SNGL(INT(LEFT(J2,1)),INT(MID(J2,2,1)),INT(MID(J2,3,1)),INT(MID(J2,4,1)),INT(MID(J2,5,1))),),2,1)),
            INT(MID(SUBSTITUTE(J2,_xlfn.MODE.SNGL(INT(LEFT(J2,1)),INT(MID(J2,2,1)),INT(MID(J2,3,1)),INT(MID(J2,4,1)),INT(MID(J2,5,1))),),3,1))),#REF!,1))
   )
  ),G2*N78,
  IF(AND(LOOKUP(SUM(LEN(SUBSTITUTE(J2,MID(J2,{1,2,3,4,5},1),))),{8,12,14,16,18,20;5,10,20,30,60,120})=10,
   ISNUMBER(FIND((SUM(MID(J2,{1,2,3,4,5},1)*1)-_xlfn.MODE.SNGL(INT(LEFT(J2,1)),INT(MID(J2,2,1)),INT(MID(J2,3,1)),INT(MID(J2,4,1)),INT(MID(J2,5,1)))*3)/2,#REF!,1))),
   G2*N78,0
  )
 )
)</f>
        <v>0</v>
      </c>
      <c r="L78" s="29" t="e">
        <f t="shared" ca="1" si="4"/>
        <v>#VALUE!</v>
      </c>
      <c r="N78" s="29">
        <v>24.06</v>
      </c>
      <c r="Q78" s="29" t="e">
        <f>IF(AND(LOOKUP(SUM(LEN(SUBSTITUTE(P2,MID(P2,{1,2,3,4,5},1),))),{8,12,14,16,18,20;5,10,20,30,60,120})=60,
 ISNUMBER(FIND(_xlfn.MODE.SNGL(INT(LEFT(P2,1)),INT(MID(P2,2,1)),INT(MID(P2,3,1)),INT(MID(P2,4,1)),INT(MID(P2,5,1))),#REF!,1))),
 M2*T78,
 IF(AND(LOOKUP(SUM(LEN(SUBSTITUTE(P2,MID(P2,{1,2,3,4,5},1),))),{8,12,14,16,18,20;5,10,20,30,60,120})=30,
   OR(ISNUMBER(FIND(_xlfn.MODE.SNGL(INT(LEFT(P2,1)),INT(MID(P2,2,1)),INT(MID(P2,3,1)),INT(MID(P2,4,1)),INT(MID(P2,5,1))),#REF!,1)),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INT(MID(SUBSTITUTE(P2,_xlfn.MODE.SNGL(INT(LEFT(P2,1)),INT(MID(P2,2,1)),INT(MID(P2,3,1)),INT(MID(P2,4,1)),INT(MID(P2,5,1))),),3,1))),#REF!,1))
   )
  ),M2*T78,
  IF(AND(LOOKUP(SUM(LEN(SUBSTITUTE(P2,MID(P2,{1,2,3,4,5},1),))),{8,12,14,16,18,20;5,10,20,30,60,120})=10,
   ISNUMBER(FIND((SUM(MID(P2,{1,2,3,4,5},1)*1)-_xlfn.MODE.SNGL(INT(LEFT(P2,1)),INT(MID(P2,2,1)),INT(MID(P2,3,1)),INT(MID(P2,4,1)),INT(MID(P2,5,1)))*3)/2,#REF!,1))),
   M2*T78,0
  )
 )
)</f>
        <v>#N/A</v>
      </c>
    </row>
    <row r="79" spans="4:19" x14ac:dyDescent="0.15">
      <c r="D79" s="29" t="s">
        <v>62</v>
      </c>
      <c r="E79" s="29" t="s">
        <v>84</v>
      </c>
      <c r="F79" s="29" t="str">
        <f>Sheet2!$N105</f>
        <v>1 2</v>
      </c>
      <c r="G79" s="29">
        <v>5</v>
      </c>
      <c r="H79" s="29">
        <v>1</v>
      </c>
      <c r="I79" s="29" t="e">
        <f t="shared" si="3"/>
        <v>#N/A</v>
      </c>
      <c r="J79" s="29" t="str">
        <f ca="1">Sheet2!K$2</f>
        <v>35411</v>
      </c>
      <c r="K79" s="29">
        <f ca="1">IF(OR(LOOKUP(SUM(LEN(SUBSTITUTE(J2,MID(J2,{1,2,3,4,5},1),))),{8,12,14,16,18,20;5,10,20,30,60,120})=20,
LOOKUP(SUM(LEN(SUBSTITUTE(J2,MID(J2,{1,2,3,4,5},1),))),{8,12,14,16,18,20;5,10,20,30,60,120})=10),
IF(ISNUMBER(FIND(_xlfn.MODE.SNGL(INT(LEFT(J2,1)),INT(MID(J2,2,1)),INT(MID(J2,3,1)),INT(MID(J2,4,1)),INT(MID(J2,5,1))),#REF!,1)),G2*N79,0),0)</f>
        <v>0</v>
      </c>
      <c r="L79" s="29" t="e">
        <f t="shared" ca="1" si="4"/>
        <v>#VALUE!</v>
      </c>
      <c r="N79" s="29">
        <v>228.97</v>
      </c>
      <c r="Q79" s="29" t="e">
        <f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IF(ISNUMBER(FIND(_xlfn.MODE.SNGL(INT(LEFT(P2,1)),INT(MID(P2,2,1)),INT(MID(P2,3,1)),INT(MID(P2,4,1)),INT(MID(P2,5,1))),#REF!,1)),M2*T79,0),0)</f>
        <v>#N/A</v>
      </c>
    </row>
    <row r="80" spans="4:19" x14ac:dyDescent="0.15">
      <c r="D80" s="29" t="s">
        <v>62</v>
      </c>
      <c r="E80" s="29" t="s">
        <v>85</v>
      </c>
      <c r="F80" s="29" t="str">
        <f>Sheet2!$N106</f>
        <v>0 1 2 3 4 5 6 7 8 9</v>
      </c>
      <c r="G80" s="29">
        <v>5</v>
      </c>
      <c r="H80" s="29">
        <v>1</v>
      </c>
      <c r="I80" s="29" t="e">
        <f t="shared" si="3"/>
        <v>#N/A</v>
      </c>
      <c r="J80" s="29" t="str">
        <f ca="1">Sheet2!K$2</f>
        <v>35411</v>
      </c>
      <c r="K80" s="29">
        <f ca="1">IF(LOOKUP(SUM(LEN(SUBSTITUTE(J2,MID(J2,{1,2,3,4,5},1),))),{8,12,14,16,18,20;5,10,20,30,60,120})=5,
 IF(ISNUMBER(FIND(_xlfn.MODE.SNGL(INT(LEFT(J2,1)),INT(MID(J2,2,1)),INT(MID(J2,3,1)),INT(MID(J2,4,1)),INT(MID(J2,5,1))),#REF!,1)),G2*N80,0
 ),0)</f>
        <v>0</v>
      </c>
      <c r="L80" s="29" t="e">
        <f t="shared" ca="1" si="4"/>
        <v>#VALUE!</v>
      </c>
      <c r="N80" s="29">
        <v>4260.8599999999997</v>
      </c>
      <c r="Q80" s="29" t="e">
        <f>IF(LOOKUP(SUM(LEN(SUBSTITUTE(P2,MID(P2,{1,2,3,4,5},1),))),{8,12,14,16,18,20;5,10,20,30,60,120})=5,
 IF(ISNUMBER(FIND(_xlfn.MODE.SNGL(INT(LEFT(P2,1)),INT(MID(P2,2,1)),INT(MID(P2,3,1)),INT(MID(P2,4,1)),INT(MID(P2,5,1))),#REF!,1)),M2*T80,0
 ),0)</f>
        <v>#N/A</v>
      </c>
    </row>
    <row r="81" spans="4:17" x14ac:dyDescent="0.15">
      <c r="D81" s="29" t="s">
        <v>86</v>
      </c>
      <c r="E81" s="29" t="s">
        <v>88</v>
      </c>
      <c r="F81" s="29" t="str">
        <f>Sheet2!$N107</f>
        <v>大 小 单 双,大 小 单 双</v>
      </c>
      <c r="G81" s="29">
        <v>5</v>
      </c>
      <c r="H81" s="29">
        <v>1</v>
      </c>
      <c r="I81" s="29" t="e">
        <f t="shared" si="3"/>
        <v>#VALUE!</v>
      </c>
      <c r="J81" s="29" t="str">
        <f ca="1">Sheet2!K$2</f>
        <v>35411</v>
      </c>
      <c r="K81" s="29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)=2,G2*N81,0)</f>
        <v>0</v>
      </c>
      <c r="L81" s="29" t="e">
        <f t="shared" ca="1" si="4"/>
        <v>#VALUE!</v>
      </c>
      <c r="M81" s="29" t="s">
        <v>87</v>
      </c>
      <c r="N81" s="29">
        <v>7.84</v>
      </c>
      <c r="O81" s="29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1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)=2,M2*T81,0)</f>
        <v>#VALUE!</v>
      </c>
    </row>
    <row r="82" spans="4:17" x14ac:dyDescent="0.15">
      <c r="D82" s="29" t="s">
        <v>86</v>
      </c>
      <c r="E82" s="29" t="s">
        <v>91</v>
      </c>
      <c r="F82" s="29" t="str">
        <f>Sheet2!$N109</f>
        <v>大 小 单 双,大 小 单 双</v>
      </c>
      <c r="G82" s="29">
        <v>3</v>
      </c>
      <c r="H82" s="29">
        <v>1</v>
      </c>
      <c r="I82" s="29" t="e">
        <f t="shared" si="3"/>
        <v>#VALUE!</v>
      </c>
      <c r="J82" s="29" t="str">
        <f ca="1">Sheet2!K$2</f>
        <v>35411</v>
      </c>
      <c r="K82" s="29">
        <f ca="1">IF(IF(INT(MID(J2,4,1))&lt;5,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)=2,G2*N82,0)</f>
        <v>0</v>
      </c>
      <c r="L82" s="29" t="e">
        <f t="shared" ca="1" si="4"/>
        <v>#VALUE!</v>
      </c>
      <c r="N82" s="29">
        <v>7.84</v>
      </c>
      <c r="O82" s="29" t="b">
        <f ca="1">IF(INT(MID(J2,4,1))&lt;5,
 IF(MOD(MID(J2,4,1),2)=1,
  IF(OR(ISNUMBER(FIND("小",#REF!,1)),ISNUMBER(FIND("单",#REF!,1))),TRUE,FALSE),
   IF(OR(ISNUMBER(FIND("小",#REF!,1)),ISNUMBER(FIND("双",#REF!,1))),TRUE,FALSE)),
 IF(MOD(MID(J2,4,1),2)=1,
  IF(OR(ISNUMBER(FIND("大",#REF!,1)),ISNUMBER(FIND("单",#REF!,1))),TRUE,FALSE),
   IF(OR(ISNUMBER(FIND("大",#REF!,1)),ISNUMBER(FIND("双",#REF!,1))),TRUE,FALSE))
)</f>
        <v>0</v>
      </c>
      <c r="Q82" s="29" t="e">
        <f>IF(IF(INT(MID(P2,4,1))&lt;5,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)=2,M2*T82,0)</f>
        <v>#VALUE!</v>
      </c>
    </row>
    <row r="83" spans="4:17" x14ac:dyDescent="0.15">
      <c r="D83" s="29" t="s">
        <v>86</v>
      </c>
      <c r="E83" s="29" t="s">
        <v>94</v>
      </c>
      <c r="F83" s="29" t="str">
        <f>Sheet2!$N111</f>
        <v>大 小 单 双,大 小 单 双,大 小 单 双</v>
      </c>
      <c r="G83" s="29">
        <v>2</v>
      </c>
      <c r="H83" s="29">
        <v>1</v>
      </c>
      <c r="I83" s="29" t="e">
        <f t="shared" si="3"/>
        <v>#VALUE!</v>
      </c>
      <c r="J83" s="29" t="str">
        <f ca="1">Sheet2!K$2</f>
        <v>35411</v>
      </c>
      <c r="K83" s="29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)+IF(INT(MID(J2,3,1))&lt;5,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)=3,G2*N83,0)</f>
        <v>0</v>
      </c>
      <c r="L83" s="29" t="e">
        <f t="shared" ca="1" si="4"/>
        <v>#VALUE!</v>
      </c>
      <c r="N83" s="29">
        <v>15.68</v>
      </c>
      <c r="O83" s="29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3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)+IF(INT(MID(P2,3,1))&lt;5,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)=3,M2*T83,0)</f>
        <v>#VALUE!</v>
      </c>
    </row>
    <row r="84" spans="4:17" x14ac:dyDescent="0.15">
      <c r="D84" s="29" t="s">
        <v>86</v>
      </c>
      <c r="E84" s="29" t="s">
        <v>44</v>
      </c>
      <c r="F84" s="29" t="str">
        <f>Sheet2!$N114</f>
        <v>大 小 单 双,大 小 单 双,大 小 单 双</v>
      </c>
      <c r="G84" s="29">
        <v>3</v>
      </c>
      <c r="H84" s="29">
        <v>1</v>
      </c>
      <c r="I84" s="29" t="e">
        <f t="shared" si="3"/>
        <v>#VALUE!</v>
      </c>
      <c r="J84" s="29" t="str">
        <f ca="1">Sheet2!K$2</f>
        <v>35411</v>
      </c>
      <c r="K84" s="29">
        <f ca="1">IF(IF(INT(MID(J2,3,1))&lt;5,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)+IF(INT(MID(J2,4,1))&lt;5,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)=3,G2*N84,0)</f>
        <v>0</v>
      </c>
      <c r="L84" s="29" t="e">
        <f t="shared" ca="1" si="4"/>
        <v>#VALUE!</v>
      </c>
      <c r="N84" s="29">
        <v>15.68</v>
      </c>
      <c r="O84" s="29" t="b">
        <f ca="1">IF(INT(MID(J2,3,1))&lt;5,
 IF(MOD(MID(J2,3,1),2)=1,
  IF(OR(ISNUMBER(FIND("小",#REF!,1)),ISNUMBER(FIND("单",#REF!,1))),TRUE,FALSE),
   IF(OR(ISNUMBER(FIND("小",#REF!,1)),ISNUMBER(FIND("双",#REF!,1))),TRUE,FALSE)),
 IF(MOD(MID(J2,3,1),2)=1,
  IF(OR(ISNUMBER(FIND("大",#REF!,1)),ISNUMBER(FIND("单",#REF!,1))),TRUE,FALSE),
   IF(OR(ISNUMBER(FIND("大",#REF!,1)),ISNUMBER(FIND("双",#REF!,1))),TRUE,FALSE))
)</f>
        <v>0</v>
      </c>
      <c r="Q84" s="29" t="e">
        <f>IF(IF(INT(MID(P2,3,1))&lt;5,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)+IF(INT(MID(P2,4,1))&lt;5,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)=3,M2*T84,0)</f>
        <v>#VALUE!</v>
      </c>
    </row>
    <row r="85" spans="4:17" x14ac:dyDescent="0.15">
      <c r="D85" s="29" t="s">
        <v>99</v>
      </c>
      <c r="E85" s="29" t="s">
        <v>99</v>
      </c>
      <c r="F85" s="29" t="str">
        <f>Sheet2!$N117</f>
        <v>和大 和小 和单 和双,大 小 单 双 质 合,大 小 单 双 质 合,大 小 单 双 质 合,大 小 单 双 质 合,大 小 单 双 质 合</v>
      </c>
      <c r="G85" s="29">
        <v>1</v>
      </c>
      <c r="H85" s="29">
        <v>3</v>
      </c>
      <c r="I85" s="29">
        <f t="shared" si="3"/>
        <v>0</v>
      </c>
      <c r="J85" s="29" t="str">
        <f ca="1">Sheet2!K$2</f>
        <v>35411</v>
      </c>
      <c r="K85" s="29">
        <f ca="1">IF(SUM(O85:O85)&gt;0,SUM(O85:O85)*G2*N85,0)</f>
        <v>0</v>
      </c>
      <c r="L85" s="29" t="e">
        <f t="shared" ca="1" si="4"/>
        <v>#VALUE!</v>
      </c>
      <c r="M85" s="29" t="s">
        <v>103</v>
      </c>
      <c r="N85" s="29">
        <v>1.96</v>
      </c>
      <c r="O85" s="29">
        <f ca="1">IF(SUM(MID(J2,1,1),MID(J2,2,1),MID(J2,3,1),MID(J2,4,1),MID(J2,5,1))&lt;23,
 IF(MOD(SUM(MID(J2,1,1),MID(J2,2,1),MID(J2,3,1),MID(J2,4,1),MID(J2,5,1)),2)=1,
  IF(OR(ISNUMBER(FIND("和小",#REF!,1)),ISNUMBER(FIND("和单",#REF!,1))),1,0),
  IF(OR(ISNUMBER(FIND("和小",#REF!,1)),ISNUMBER(FIND("和双",#REF!,1))),1,0)),
 IF(MOD(SUM(MID(J2,1,1),MID(J2,2,1),MID(J2,3,1),MID(J2,4,1),MID(J2,5,1)),2)=1,
  IF(OR(ISNUMBER(FIND("和大",#REF!,1)),ISNUMBER(FIND("和单",#REF!,1))),1,0),
  IF(OR(ISNUMBER(FIND("和大",#REF!,1)),ISNUMBER(FIND("和双",#REF!,1))),1,0))
)</f>
        <v>0</v>
      </c>
      <c r="Q85" s="29">
        <f>IF(SUM(U85:U85)&gt;0,SUM(U85:U85)*M2*T85,0)</f>
        <v>0</v>
      </c>
    </row>
    <row r="86" spans="4:17" x14ac:dyDescent="0.15">
      <c r="D86" s="29" t="s">
        <v>102</v>
      </c>
      <c r="E86" s="29" t="s">
        <v>105</v>
      </c>
      <c r="F86" s="29" t="str">
        <f>Sheet2!$N123</f>
        <v>龙 虎 和,龙 虎 和,龙 虎 和,龙 虎 和,龙 虎 和,龙 虎 和,龙 虎 和,龙 虎 和,龙 虎 和,龙 虎 和</v>
      </c>
      <c r="G86" s="29">
        <v>1</v>
      </c>
      <c r="H86" s="29">
        <v>4</v>
      </c>
      <c r="I86" s="29">
        <f t="shared" si="3"/>
        <v>0</v>
      </c>
      <c r="J86" s="29" t="str">
        <f ca="1">Sheet2!K$2</f>
        <v>35411</v>
      </c>
      <c r="K86" s="29">
        <f ca="1">IF(SUM(O86:O86)&gt;0,IF(SUM(O86:O86)=1000,G2*#REF!*10,IF(SUM(O86:O86)&gt;=100,LEFT(SUM(O86:O86),1)*G2*#REF!+RIGHT(SUM(O86:O86),1)*G2*N86,SUM(O86:O86)*N86*G2)),0)</f>
        <v>0</v>
      </c>
      <c r="L86" s="29" t="e">
        <f t="shared" ca="1" si="4"/>
        <v>#VALUE!</v>
      </c>
      <c r="M86" s="29" t="s">
        <v>104</v>
      </c>
      <c r="N86" s="29">
        <v>2.177</v>
      </c>
      <c r="O86" s="29">
        <f ca="1">IF(LEFT(J2,1)=MID(J2,2,1),IF(ISNUMBER(FIND("和",#REF!,1)),100,0),IF(LEFT(J2,1)&gt;MID(J2,2,1),IF(ISNUMBER(FIND("龙",#REF!,1)),1,0),IF(ISNUMBER(FIND("虎",#REF!,1)),1,0)))</f>
        <v>0</v>
      </c>
      <c r="Q86" s="29">
        <f>IF(SUM(U86:U86)&gt;0,IF(SUM(U86:U86)=1000,M2*#REF!*10,IF(SUM(U86:U86)&gt;=100,LEFT(SUM(U86:U86),1)*M2*#REF!+RIGHT(SUM(U86:U86),1)*M2*T86,SUM(U86:U86)*T86*M2)),0)</f>
        <v>0</v>
      </c>
    </row>
    <row r="87" spans="4:17" x14ac:dyDescent="0.15">
      <c r="D87" s="29" t="s">
        <v>116</v>
      </c>
      <c r="E87" s="29" t="s">
        <v>117</v>
      </c>
      <c r="F87" s="29" t="str">
        <f>Sheet2!$N133</f>
        <v>0 1 2 3 4 5 6 7 8 9</v>
      </c>
      <c r="G87" s="29">
        <v>2</v>
      </c>
      <c r="H87" s="29">
        <v>1</v>
      </c>
      <c r="I87" s="29" t="e">
        <f t="shared" si="3"/>
        <v>#VALUE!</v>
      </c>
      <c r="J87" s="29" t="str">
        <f ca="1">Sheet2!K$2</f>
        <v>35411</v>
      </c>
      <c r="K87" s="29">
        <f ca="1">IF(SUM(LEFT(J2,1),MID(J2,2,1),MID(J2,3,1),MID(J2,4,1),MID(J2,5,1))=LEFT(J2,1)*5,G2*N87,0)</f>
        <v>0</v>
      </c>
      <c r="L87" s="29" t="e">
        <f t="shared" ca="1" si="4"/>
        <v>#VALUE!</v>
      </c>
      <c r="M87" s="29" t="s">
        <v>100</v>
      </c>
      <c r="N87" s="29">
        <v>98000</v>
      </c>
      <c r="Q87" s="29" t="e">
        <f>IF(SUM(LEFT(P2,1),MID(P2,2,1),MID(P2,3,1),MID(P2,4,1),MID(P2,5,1))=LEFT(P2,1)*5,M2*T87,0)</f>
        <v>#VALUE!</v>
      </c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3"/>
  <sheetViews>
    <sheetView workbookViewId="0">
      <pane ySplit="1" topLeftCell="A2" activePane="bottomLeft" state="frozen"/>
      <selection pane="bottomLeft" activeCell="J24" sqref="J24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4" width="9" style="2" bestFit="1" customWidth="1"/>
    <col min="5" max="5" width="5.25" style="4" customWidth="1"/>
    <col min="6" max="6" width="6.5" style="2" bestFit="1" customWidth="1"/>
    <col min="7" max="7" width="9.5" style="7" bestFit="1" customWidth="1"/>
    <col min="8" max="8" width="12.125" style="7" customWidth="1"/>
    <col min="9" max="9" width="9.875" style="7" customWidth="1"/>
    <col min="10" max="10" width="30.875" style="6" customWidth="1"/>
    <col min="11" max="11" width="12.75" style="7" bestFit="1" customWidth="1"/>
    <col min="12" max="12" width="9" style="8"/>
    <col min="13" max="13" width="9" style="2"/>
    <col min="14" max="14" width="28.625" style="10" customWidth="1"/>
    <col min="15" max="16384" width="9" style="2"/>
  </cols>
  <sheetData>
    <row r="1" spans="1:15" ht="20.100000000000001" customHeight="1" x14ac:dyDescent="0.15">
      <c r="A1" s="3" t="s">
        <v>132</v>
      </c>
      <c r="B1" s="3" t="s">
        <v>134</v>
      </c>
      <c r="C1" s="3" t="s">
        <v>237</v>
      </c>
      <c r="D1" s="3" t="s">
        <v>238</v>
      </c>
      <c r="E1" s="5" t="s">
        <v>239</v>
      </c>
      <c r="F1" s="3" t="s">
        <v>135</v>
      </c>
      <c r="G1" s="7" t="s">
        <v>0</v>
      </c>
      <c r="H1" s="7" t="s">
        <v>1</v>
      </c>
      <c r="I1" s="7" t="s">
        <v>2</v>
      </c>
      <c r="J1" s="10" t="s">
        <v>3</v>
      </c>
      <c r="K1" s="19" t="s">
        <v>250</v>
      </c>
      <c r="M1" s="22" t="s">
        <v>253</v>
      </c>
      <c r="O1" s="2" t="s">
        <v>251</v>
      </c>
    </row>
    <row r="2" spans="1:15" ht="20.100000000000001" customHeight="1" x14ac:dyDescent="0.15">
      <c r="A2" s="32" t="s">
        <v>133</v>
      </c>
      <c r="B2" s="3" t="s">
        <v>142</v>
      </c>
      <c r="C2" s="2">
        <f>IF(ISNUMBER(FIND($B2,$J$10,1)),$F2,0)</f>
        <v>0</v>
      </c>
      <c r="E2" s="2">
        <f>IF(ISNUMBER(FIND($B2,J$19,1)),$F2,0)</f>
        <v>1</v>
      </c>
      <c r="F2" s="2">
        <v>1</v>
      </c>
      <c r="G2" s="30" t="s">
        <v>4</v>
      </c>
      <c r="H2" s="30" t="s">
        <v>5</v>
      </c>
      <c r="I2" s="7" t="s">
        <v>6</v>
      </c>
      <c r="J2" s="11" t="s">
        <v>216</v>
      </c>
      <c r="K2" s="30" t="str">
        <f ca="1">RANDBETWEEN(0,9)&amp;RANDBETWEEN(0,9)&amp;RANDBETWEEN(0,9)&amp;RANDBETWEEN(0,9)&amp;RANDBETWEEN(0,9)</f>
        <v>35411</v>
      </c>
      <c r="L2" s="9">
        <f ca="1">IF(AND(ISNUMBER(FIND(LEFT($K$2,1),J2,1)),LEN($K$2)&lt;&gt;0),1,0)</f>
        <v>0</v>
      </c>
      <c r="M2" s="30">
        <f ca="1">SUM(L2:L6)</f>
        <v>0</v>
      </c>
      <c r="N2" s="31" t="str">
        <f>TRIM(IF(LEN(Sheet2!J2)=0,"-",SUBSTITUTE(Sheet2!J2,","," ")))&amp;","&amp;TRIM(IF(LEN(Sheet2!J3)=0,"-",SUBSTITUTE(Sheet2!J3,","," ")))&amp;","&amp;TRIM(IF(LEN(Sheet2!J4)=0,"-",SUBSTITUTE(Sheet2!J4,","," ")))&amp;","&amp;TRIM(IF(LEN(Sheet2!J5)=0,"-",SUBSTITUTE(Sheet2!J5,","," ")))&amp;","&amp;TRIM(IF(LEN(Sheet2!J6)=0,"-",SUBSTITUTE(Sheet2!J6,","," ")))</f>
        <v>0 1 4 5,0 1 2,1 9,2 5,3 6</v>
      </c>
    </row>
    <row r="3" spans="1:15" ht="20.100000000000001" customHeight="1" x14ac:dyDescent="0.15">
      <c r="A3" s="32"/>
      <c r="B3" s="3" t="s">
        <v>143</v>
      </c>
      <c r="C3" s="16">
        <f t="shared" ref="C3:C20" si="0">IF(ISNUMBER(FIND($B3,$J$10,1)),$F3,0)</f>
        <v>2</v>
      </c>
      <c r="E3" s="16">
        <f t="shared" ref="E3:E20" si="1">IF(ISNUMBER(FIND($B3,J$19,1)),$F3,0)</f>
        <v>2</v>
      </c>
      <c r="F3" s="2">
        <v>2</v>
      </c>
      <c r="G3" s="30"/>
      <c r="H3" s="30"/>
      <c r="I3" s="7" t="s">
        <v>7</v>
      </c>
      <c r="J3" s="11" t="s">
        <v>217</v>
      </c>
      <c r="K3" s="30"/>
      <c r="L3" s="9">
        <f ca="1">IF(AND(ISNUMBER(FIND(MID($K$2,2,1),J3,1)),LEN($K$2)&lt;&gt;0),1,0)</f>
        <v>0</v>
      </c>
      <c r="M3" s="30"/>
      <c r="N3" s="31"/>
    </row>
    <row r="4" spans="1:15" ht="20.100000000000001" customHeight="1" x14ac:dyDescent="0.15">
      <c r="A4" s="32"/>
      <c r="B4" s="3" t="s">
        <v>144</v>
      </c>
      <c r="C4" s="16">
        <f t="shared" si="0"/>
        <v>0</v>
      </c>
      <c r="E4" s="16">
        <f t="shared" si="1"/>
        <v>0</v>
      </c>
      <c r="F4" s="2">
        <v>3</v>
      </c>
      <c r="G4" s="30"/>
      <c r="H4" s="30"/>
      <c r="I4" s="7" t="s">
        <v>8</v>
      </c>
      <c r="J4" s="11" t="s">
        <v>218</v>
      </c>
      <c r="K4" s="30"/>
      <c r="L4" s="9">
        <f ca="1">IF(AND(ISNUMBER(FIND(MID($K$2,3,1),J4,1)),LEN($K$2)&lt;&gt;0),1,0)</f>
        <v>0</v>
      </c>
      <c r="M4" s="30"/>
      <c r="N4" s="31"/>
    </row>
    <row r="5" spans="1:15" ht="20.100000000000001" customHeight="1" x14ac:dyDescent="0.15">
      <c r="A5" s="32"/>
      <c r="B5" s="3" t="s">
        <v>145</v>
      </c>
      <c r="C5" s="16">
        <f t="shared" si="0"/>
        <v>0</v>
      </c>
      <c r="E5" s="16">
        <f t="shared" si="1"/>
        <v>0</v>
      </c>
      <c r="F5" s="2">
        <v>4</v>
      </c>
      <c r="G5" s="30"/>
      <c r="H5" s="30"/>
      <c r="I5" s="7" t="s">
        <v>16</v>
      </c>
      <c r="J5" s="11" t="s">
        <v>219</v>
      </c>
      <c r="K5" s="30"/>
      <c r="L5" s="9">
        <f ca="1">IF(AND(ISNUMBER(FIND(MID($K$2,4,1),J5,1)),LEN($K$2)&lt;&gt;0),1,0)</f>
        <v>0</v>
      </c>
      <c r="M5" s="30"/>
      <c r="N5" s="31"/>
    </row>
    <row r="6" spans="1:15" ht="20.100000000000001" customHeight="1" x14ac:dyDescent="0.15">
      <c r="A6" s="32"/>
      <c r="B6" s="3" t="s">
        <v>146</v>
      </c>
      <c r="C6" s="16">
        <f t="shared" si="0"/>
        <v>0</v>
      </c>
      <c r="E6" s="16">
        <f t="shared" si="1"/>
        <v>0</v>
      </c>
      <c r="F6" s="2">
        <v>5</v>
      </c>
      <c r="G6" s="30"/>
      <c r="H6" s="30"/>
      <c r="I6" s="7" t="s">
        <v>17</v>
      </c>
      <c r="J6" s="11" t="s">
        <v>220</v>
      </c>
      <c r="K6" s="30"/>
      <c r="L6" s="9">
        <f ca="1">IF(AND(ISNUMBER(FIND(RIGHT($K$2,1),J6,1)),LEN($K$2)&lt;&gt;0),1,0)</f>
        <v>0</v>
      </c>
      <c r="M6" s="30"/>
      <c r="N6" s="31"/>
    </row>
    <row r="7" spans="1:15" ht="20.100000000000001" customHeight="1" x14ac:dyDescent="0.15">
      <c r="A7" s="32"/>
      <c r="B7" s="3" t="s">
        <v>147</v>
      </c>
      <c r="C7" s="16">
        <f t="shared" si="0"/>
        <v>6</v>
      </c>
      <c r="E7" s="16">
        <f t="shared" si="1"/>
        <v>0</v>
      </c>
      <c r="F7" s="2">
        <v>6</v>
      </c>
      <c r="G7" s="30" t="s">
        <v>18</v>
      </c>
      <c r="H7" s="30" t="s">
        <v>20</v>
      </c>
      <c r="I7" s="7" t="s">
        <v>6</v>
      </c>
      <c r="J7" s="11" t="s">
        <v>217</v>
      </c>
      <c r="K7" s="30"/>
      <c r="L7" s="9">
        <f ca="1">IF(AND(ISNUMBER(FIND(LEFT($K$2,1),J7,1)),LEN($K$2)&lt;&gt;0),1,0)</f>
        <v>0</v>
      </c>
      <c r="M7" s="30">
        <f ca="1">IF(SUM(L7:L8)=2,1,0)</f>
        <v>0</v>
      </c>
      <c r="N7" s="31" t="str">
        <f>TRIM(IF(LEN($J7)=0,"-",SUBSTITUTE($J7,","," ")))&amp;","&amp;TRIM(IF(LEN($J8)=0,"-",SUBSTITUTE($J8,","," ")))</f>
        <v>0 1 2,3 4 5 6</v>
      </c>
    </row>
    <row r="8" spans="1:15" ht="20.100000000000001" customHeight="1" x14ac:dyDescent="0.15">
      <c r="A8" s="32"/>
      <c r="B8" s="3" t="s">
        <v>148</v>
      </c>
      <c r="C8" s="16">
        <f t="shared" si="0"/>
        <v>0</v>
      </c>
      <c r="E8" s="16">
        <f t="shared" si="1"/>
        <v>7</v>
      </c>
      <c r="F8" s="2">
        <v>7</v>
      </c>
      <c r="G8" s="30"/>
      <c r="H8" s="30"/>
      <c r="I8" s="7" t="s">
        <v>7</v>
      </c>
      <c r="J8" s="11" t="s">
        <v>221</v>
      </c>
      <c r="K8" s="30"/>
      <c r="L8" s="8">
        <f ca="1">IF(AND(ISNUMBER(FIND(MID($K$2,2,1),J8,1)),LEN($K$2)&lt;&gt;0),1,0)</f>
        <v>1</v>
      </c>
      <c r="M8" s="30"/>
      <c r="N8" s="31"/>
    </row>
    <row r="9" spans="1:15" ht="20.100000000000001" customHeight="1" x14ac:dyDescent="0.15">
      <c r="A9" s="32"/>
      <c r="B9" s="3" t="s">
        <v>149</v>
      </c>
      <c r="C9" s="16">
        <f t="shared" si="0"/>
        <v>0</v>
      </c>
      <c r="E9" s="16">
        <f t="shared" si="1"/>
        <v>8</v>
      </c>
      <c r="F9" s="2">
        <v>8</v>
      </c>
      <c r="G9" s="30"/>
      <c r="H9" s="7" t="s">
        <v>21</v>
      </c>
      <c r="I9" s="7" t="s">
        <v>22</v>
      </c>
      <c r="J9" s="11" t="s">
        <v>365</v>
      </c>
      <c r="K9" s="30"/>
      <c r="L9" s="8" t="b">
        <f ca="1">ISNUMBER(FIND(","&amp;LEFT(K$2,2),J9))</f>
        <v>0</v>
      </c>
      <c r="M9" s="2">
        <f ca="1">N(L9)</f>
        <v>0</v>
      </c>
      <c r="N9" s="10" t="str">
        <f t="shared" ref="N9:N15" si="2">TRIM(IF(LEN($J9)=0,"-",SUBSTITUTE($J9,","," ")))</f>
        <v>23 98 47</v>
      </c>
    </row>
    <row r="10" spans="1:15" ht="20.100000000000001" customHeight="1" x14ac:dyDescent="0.15">
      <c r="A10" s="32"/>
      <c r="B10" s="3" t="s">
        <v>150</v>
      </c>
      <c r="C10" s="16">
        <f t="shared" si="0"/>
        <v>9</v>
      </c>
      <c r="E10" s="16">
        <f t="shared" si="1"/>
        <v>0</v>
      </c>
      <c r="F10" s="2">
        <v>9</v>
      </c>
      <c r="G10" s="30"/>
      <c r="H10" s="7" t="s">
        <v>23</v>
      </c>
      <c r="I10" s="7" t="s">
        <v>24</v>
      </c>
      <c r="J10" s="11" t="s">
        <v>236</v>
      </c>
      <c r="K10" s="30"/>
      <c r="L10" s="8" t="b">
        <f ca="1">ISNUMBER(FIND(","&amp;SUM(MID(K$2,1,1),MID(K$2,2,1)),J10,1))</f>
        <v>1</v>
      </c>
      <c r="M10" s="8">
        <f ca="1">N(L10)</f>
        <v>1</v>
      </c>
      <c r="N10" s="12" t="str">
        <f t="shared" si="2"/>
        <v>1 5 8 14 15 18</v>
      </c>
    </row>
    <row r="11" spans="1:15" ht="20.100000000000001" customHeight="1" x14ac:dyDescent="0.15">
      <c r="A11" s="32"/>
      <c r="B11" s="3" t="s">
        <v>151</v>
      </c>
      <c r="C11" s="16">
        <f t="shared" si="0"/>
        <v>0</v>
      </c>
      <c r="E11" s="16">
        <f t="shared" si="1"/>
        <v>0</v>
      </c>
      <c r="F11" s="2">
        <v>10</v>
      </c>
      <c r="G11" s="30"/>
      <c r="H11" s="7" t="s">
        <v>25</v>
      </c>
      <c r="I11" s="7" t="s">
        <v>25</v>
      </c>
      <c r="J11" s="10" t="s">
        <v>141</v>
      </c>
      <c r="K11" s="30"/>
      <c r="L11" s="9" t="b">
        <f ca="1">ISNUMBER(FIND(MAX(LEFT(K$2,1),MID(K$2,2,1))-MIN(LEFT(K$2,1),MID(K$2,2,1)),J11,1))</f>
        <v>1</v>
      </c>
      <c r="M11" s="8">
        <f ca="1">N(L11)</f>
        <v>1</v>
      </c>
      <c r="N11" s="12" t="str">
        <f t="shared" si="2"/>
        <v>0 1 2 7 8 9</v>
      </c>
    </row>
    <row r="12" spans="1:15" ht="20.100000000000001" customHeight="1" x14ac:dyDescent="0.15">
      <c r="A12" s="32"/>
      <c r="B12" s="3" t="s">
        <v>152</v>
      </c>
      <c r="C12" s="16">
        <f t="shared" si="0"/>
        <v>0</v>
      </c>
      <c r="E12" s="16">
        <f t="shared" si="1"/>
        <v>9</v>
      </c>
      <c r="F12" s="2">
        <v>9</v>
      </c>
      <c r="G12" s="30"/>
      <c r="H12" s="7" t="s">
        <v>27</v>
      </c>
      <c r="I12" s="7" t="s">
        <v>26</v>
      </c>
      <c r="J12" s="10" t="s">
        <v>192</v>
      </c>
      <c r="K12" s="30"/>
      <c r="N12" s="12" t="str">
        <f t="shared" si="2"/>
        <v>0 1 2 7 8 9</v>
      </c>
      <c r="O12" s="2">
        <f>COMBIN(LEN(SUBSTITUTE(J12,",",)),2)</f>
        <v>15</v>
      </c>
    </row>
    <row r="13" spans="1:15" ht="20.100000000000001" customHeight="1" x14ac:dyDescent="0.15">
      <c r="A13" s="32"/>
      <c r="B13" s="3" t="s">
        <v>153</v>
      </c>
      <c r="C13" s="16">
        <f t="shared" si="0"/>
        <v>0</v>
      </c>
      <c r="E13" s="16">
        <f t="shared" si="1"/>
        <v>8</v>
      </c>
      <c r="F13" s="2">
        <v>8</v>
      </c>
      <c r="G13" s="30"/>
      <c r="H13" s="7" t="s">
        <v>28</v>
      </c>
      <c r="I13" s="7" t="s">
        <v>22</v>
      </c>
      <c r="J13" s="11" t="s">
        <v>206</v>
      </c>
      <c r="K13" s="30"/>
      <c r="N13" s="12" t="str">
        <f t="shared" si="2"/>
        <v>01 02 03</v>
      </c>
    </row>
    <row r="14" spans="1:15" ht="20.100000000000001" customHeight="1" x14ac:dyDescent="0.15">
      <c r="A14" s="32"/>
      <c r="B14" s="3" t="s">
        <v>154</v>
      </c>
      <c r="C14" s="16">
        <f t="shared" si="0"/>
        <v>0</v>
      </c>
      <c r="E14" s="16">
        <f t="shared" si="1"/>
        <v>0</v>
      </c>
      <c r="F14" s="2">
        <v>7</v>
      </c>
      <c r="G14" s="30"/>
      <c r="H14" s="7" t="s">
        <v>29</v>
      </c>
      <c r="I14" s="7" t="s">
        <v>24</v>
      </c>
      <c r="J14" s="11" t="s">
        <v>207</v>
      </c>
      <c r="K14" s="30"/>
      <c r="N14" s="12" t="str">
        <f t="shared" si="2"/>
        <v>1 2 3 8 14 15</v>
      </c>
    </row>
    <row r="15" spans="1:15" ht="20.100000000000001" customHeight="1" x14ac:dyDescent="0.15">
      <c r="A15" s="32"/>
      <c r="B15" s="3" t="s">
        <v>155</v>
      </c>
      <c r="C15" s="16">
        <f t="shared" si="0"/>
        <v>0</v>
      </c>
      <c r="E15" s="16">
        <f t="shared" si="1"/>
        <v>0</v>
      </c>
      <c r="F15" s="2">
        <v>6</v>
      </c>
      <c r="G15" s="30"/>
      <c r="H15" s="7" t="s">
        <v>30</v>
      </c>
      <c r="I15" s="7" t="s">
        <v>31</v>
      </c>
      <c r="J15" s="10" t="s">
        <v>193</v>
      </c>
      <c r="K15" s="30"/>
      <c r="N15" s="12" t="str">
        <f t="shared" si="2"/>
        <v>0 1 3 5 6</v>
      </c>
    </row>
    <row r="16" spans="1:15" ht="20.100000000000001" customHeight="1" x14ac:dyDescent="0.15">
      <c r="A16" s="32"/>
      <c r="B16" s="3" t="s">
        <v>156</v>
      </c>
      <c r="C16" s="16">
        <f t="shared" si="0"/>
        <v>5</v>
      </c>
      <c r="E16" s="16">
        <f t="shared" si="1"/>
        <v>0</v>
      </c>
      <c r="F16" s="2">
        <v>5</v>
      </c>
      <c r="G16" s="30" t="s">
        <v>32</v>
      </c>
      <c r="H16" s="30" t="s">
        <v>20</v>
      </c>
      <c r="I16" s="7" t="s">
        <v>119</v>
      </c>
      <c r="J16" s="11" t="s">
        <v>208</v>
      </c>
      <c r="K16" s="30"/>
      <c r="L16" s="8">
        <f>COMBIN(LEN(SUBSTITUTE(J16,",",)),1)</f>
        <v>4</v>
      </c>
      <c r="M16" s="30"/>
      <c r="N16" s="31" t="str">
        <f>TRIM(IF(LEN($J16)=0,"-",SUBSTITUTE($J16,","," ")))&amp;","&amp;TRIM(IF(LEN($J17)=0,"-",SUBSTITUTE($J17,","," ")))</f>
        <v>1 2 8 9,2 3 4</v>
      </c>
    </row>
    <row r="17" spans="1:14" ht="20.100000000000001" customHeight="1" x14ac:dyDescent="0.15">
      <c r="A17" s="32"/>
      <c r="B17" s="3" t="s">
        <v>157</v>
      </c>
      <c r="C17" s="16">
        <f t="shared" si="0"/>
        <v>4</v>
      </c>
      <c r="E17" s="16">
        <f t="shared" si="1"/>
        <v>0</v>
      </c>
      <c r="F17" s="2">
        <v>4</v>
      </c>
      <c r="G17" s="30"/>
      <c r="H17" s="30"/>
      <c r="I17" s="7" t="s">
        <v>120</v>
      </c>
      <c r="J17" s="11" t="s">
        <v>222</v>
      </c>
      <c r="K17" s="30"/>
      <c r="L17" s="8">
        <f>COMBIN(LEN(SUBSTITUTE(J17,",",)),1)</f>
        <v>3</v>
      </c>
      <c r="M17" s="30"/>
      <c r="N17" s="31"/>
    </row>
    <row r="18" spans="1:14" ht="20.100000000000001" customHeight="1" x14ac:dyDescent="0.15">
      <c r="A18" s="32"/>
      <c r="B18" s="3" t="s">
        <v>158</v>
      </c>
      <c r="C18" s="16">
        <f t="shared" si="0"/>
        <v>0</v>
      </c>
      <c r="E18" s="16">
        <f t="shared" si="1"/>
        <v>0</v>
      </c>
      <c r="F18" s="2">
        <v>3</v>
      </c>
      <c r="G18" s="30"/>
      <c r="H18" s="7" t="s">
        <v>21</v>
      </c>
      <c r="I18" s="7" t="s">
        <v>22</v>
      </c>
      <c r="J18" s="17" t="s">
        <v>223</v>
      </c>
      <c r="K18" s="30"/>
      <c r="N18" s="12" t="str">
        <f>TRIM(IF(LEN($J18)=0,"-",SUBSTITUTE($J18,","," ")))</f>
        <v>12 12 13 21 31</v>
      </c>
    </row>
    <row r="19" spans="1:14" ht="20.100000000000001" customHeight="1" x14ac:dyDescent="0.15">
      <c r="A19" s="32"/>
      <c r="B19" s="3" t="s">
        <v>159</v>
      </c>
      <c r="C19" s="16">
        <f t="shared" si="0"/>
        <v>0</v>
      </c>
      <c r="E19" s="16">
        <f t="shared" si="1"/>
        <v>2</v>
      </c>
      <c r="F19" s="2">
        <v>2</v>
      </c>
      <c r="G19" s="30"/>
      <c r="H19" s="7" t="s">
        <v>23</v>
      </c>
      <c r="I19" s="7" t="s">
        <v>24</v>
      </c>
      <c r="J19" s="11" t="s">
        <v>209</v>
      </c>
      <c r="K19" s="30"/>
      <c r="N19" s="12" t="str">
        <f>TRIM(IF(LEN($J19)=0,"-",SUBSTITUTE($J19,","," ")))</f>
        <v>0 1 6 7 10 11 17</v>
      </c>
    </row>
    <row r="20" spans="1:14" ht="20.100000000000001" customHeight="1" x14ac:dyDescent="0.15">
      <c r="A20" s="32"/>
      <c r="B20" s="3" t="s">
        <v>160</v>
      </c>
      <c r="C20" s="16">
        <f t="shared" si="0"/>
        <v>1</v>
      </c>
      <c r="E20" s="16">
        <f t="shared" si="1"/>
        <v>0</v>
      </c>
      <c r="F20" s="2">
        <v>1</v>
      </c>
      <c r="G20" s="30"/>
      <c r="H20" s="7" t="s">
        <v>25</v>
      </c>
      <c r="I20" s="7" t="s">
        <v>25</v>
      </c>
      <c r="J20" s="17" t="s">
        <v>224</v>
      </c>
      <c r="K20" s="30"/>
      <c r="N20" s="12" t="str">
        <f>TRIM(IF(LEN($J20)=0,"-",SUBSTITUTE($J20,","," ")))</f>
        <v>0 2 3 5 6 7 9</v>
      </c>
    </row>
    <row r="21" spans="1:14" ht="20.100000000000001" customHeight="1" x14ac:dyDescent="0.15">
      <c r="A21" s="32" t="s">
        <v>136</v>
      </c>
      <c r="B21" s="3" t="s">
        <v>161</v>
      </c>
      <c r="C21" s="18">
        <f>IF(ISNUMBER(FIND($B21,$J$11,1)),$F21,0)</f>
        <v>10</v>
      </c>
      <c r="E21" s="18">
        <f>IF(ISNUMBER(FIND($B21,J$20,1)),$F21,0)</f>
        <v>10</v>
      </c>
      <c r="F21" s="2">
        <v>10</v>
      </c>
      <c r="G21" s="30"/>
      <c r="H21" s="7" t="s">
        <v>27</v>
      </c>
      <c r="I21" s="7" t="s">
        <v>26</v>
      </c>
      <c r="J21" s="17" t="s">
        <v>225</v>
      </c>
      <c r="K21" s="30"/>
      <c r="N21" s="27" t="str">
        <f t="shared" ref="N21:N24" si="3">TRIM(IF(LEN($J21)=0,"-",SUBSTITUTE($J21,","," ")))</f>
        <v>0 1 2 7 8 9</v>
      </c>
    </row>
    <row r="22" spans="1:14" ht="20.100000000000001" customHeight="1" x14ac:dyDescent="0.15">
      <c r="A22" s="32"/>
      <c r="B22" s="3" t="s">
        <v>162</v>
      </c>
      <c r="C22" s="18">
        <f t="shared" ref="C22:C30" si="4">IF(ISNUMBER(FIND($B22,$J$11,1)),$F22,0)</f>
        <v>18</v>
      </c>
      <c r="E22" s="18">
        <f t="shared" ref="E22:E30" si="5">IF(ISNUMBER(FIND($B22,J$20,1)),$F22,0)</f>
        <v>0</v>
      </c>
      <c r="F22" s="2">
        <v>18</v>
      </c>
      <c r="G22" s="30"/>
      <c r="H22" s="7" t="s">
        <v>28</v>
      </c>
      <c r="I22" s="7" t="s">
        <v>22</v>
      </c>
      <c r="J22" s="10"/>
      <c r="K22" s="30"/>
      <c r="N22" s="27" t="str">
        <f t="shared" si="3"/>
        <v>-</v>
      </c>
    </row>
    <row r="23" spans="1:14" ht="20.100000000000001" customHeight="1" x14ac:dyDescent="0.15">
      <c r="A23" s="32"/>
      <c r="B23" s="3" t="s">
        <v>163</v>
      </c>
      <c r="C23" s="18">
        <f t="shared" si="4"/>
        <v>16</v>
      </c>
      <c r="E23" s="18">
        <f t="shared" si="5"/>
        <v>16</v>
      </c>
      <c r="F23" s="2">
        <v>16</v>
      </c>
      <c r="G23" s="30"/>
      <c r="H23" s="7" t="s">
        <v>29</v>
      </c>
      <c r="I23" s="7" t="s">
        <v>24</v>
      </c>
      <c r="J23" s="17" t="s">
        <v>226</v>
      </c>
      <c r="K23" s="30"/>
      <c r="N23" s="27" t="str">
        <f t="shared" si="3"/>
        <v>1 2 3 7 8 9 17</v>
      </c>
    </row>
    <row r="24" spans="1:14" ht="20.100000000000001" customHeight="1" x14ac:dyDescent="0.15">
      <c r="A24" s="32"/>
      <c r="B24" s="3" t="s">
        <v>164</v>
      </c>
      <c r="C24" s="18">
        <f t="shared" si="4"/>
        <v>0</v>
      </c>
      <c r="E24" s="18">
        <f t="shared" si="5"/>
        <v>14</v>
      </c>
      <c r="F24" s="2">
        <v>14</v>
      </c>
      <c r="G24" s="30"/>
      <c r="H24" s="7" t="s">
        <v>30</v>
      </c>
      <c r="I24" s="7" t="s">
        <v>31</v>
      </c>
      <c r="J24" s="17" t="s">
        <v>227</v>
      </c>
      <c r="K24" s="30"/>
      <c r="N24" s="27" t="str">
        <f t="shared" si="3"/>
        <v>0 1 4 5 6</v>
      </c>
    </row>
    <row r="25" spans="1:14" ht="20.100000000000001" customHeight="1" x14ac:dyDescent="0.15">
      <c r="A25" s="32"/>
      <c r="B25" s="3" t="s">
        <v>165</v>
      </c>
      <c r="C25" s="18">
        <f t="shared" si="4"/>
        <v>0</v>
      </c>
      <c r="E25" s="18">
        <f t="shared" si="5"/>
        <v>0</v>
      </c>
      <c r="F25" s="2">
        <v>12</v>
      </c>
      <c r="G25" s="31" t="s">
        <v>33</v>
      </c>
      <c r="H25" s="30" t="s">
        <v>5</v>
      </c>
      <c r="I25" s="7" t="s">
        <v>6</v>
      </c>
      <c r="J25" s="11" t="s">
        <v>228</v>
      </c>
      <c r="K25" s="30"/>
      <c r="N25" s="33" t="str">
        <f>TRIM(IF(LEN($J25)=0,"-",SUBSTITUTE($J25,","," ")))&amp;","&amp;TRIM(IF(LEN($J26)=0,"-",SUBSTITUTE($J26,","," ")))&amp;","&amp;TRIM(IF(LEN($J27)=0,"-",SUBSTITUTE($J27,","," ")))</f>
        <v>0 3 4 7 8 9,5 6 7 8 9,1 2 3 4 7</v>
      </c>
    </row>
    <row r="26" spans="1:14" ht="20.100000000000001" customHeight="1" x14ac:dyDescent="0.15">
      <c r="A26" s="32"/>
      <c r="B26" s="3" t="s">
        <v>166</v>
      </c>
      <c r="C26" s="18">
        <f t="shared" si="4"/>
        <v>0</v>
      </c>
      <c r="E26" s="18">
        <f t="shared" si="5"/>
        <v>10</v>
      </c>
      <c r="F26" s="2">
        <v>10</v>
      </c>
      <c r="G26" s="31"/>
      <c r="H26" s="30"/>
      <c r="I26" s="7" t="s">
        <v>7</v>
      </c>
      <c r="J26" s="11" t="s">
        <v>229</v>
      </c>
      <c r="K26" s="30"/>
      <c r="N26" s="31"/>
    </row>
    <row r="27" spans="1:14" ht="20.100000000000001" customHeight="1" x14ac:dyDescent="0.15">
      <c r="A27" s="32"/>
      <c r="B27" s="3" t="s">
        <v>167</v>
      </c>
      <c r="C27" s="18">
        <f t="shared" si="4"/>
        <v>0</v>
      </c>
      <c r="E27" s="18">
        <f t="shared" si="5"/>
        <v>8</v>
      </c>
      <c r="F27" s="2">
        <v>8</v>
      </c>
      <c r="G27" s="31"/>
      <c r="H27" s="30"/>
      <c r="I27" s="7" t="s">
        <v>8</v>
      </c>
      <c r="J27" s="11" t="s">
        <v>230</v>
      </c>
      <c r="K27" s="30"/>
      <c r="N27" s="31"/>
    </row>
    <row r="28" spans="1:14" ht="20.100000000000001" customHeight="1" x14ac:dyDescent="0.15">
      <c r="A28" s="32"/>
      <c r="B28" s="3" t="s">
        <v>168</v>
      </c>
      <c r="C28" s="18">
        <f t="shared" si="4"/>
        <v>6</v>
      </c>
      <c r="E28" s="18">
        <f t="shared" si="5"/>
        <v>6</v>
      </c>
      <c r="F28" s="2">
        <v>6</v>
      </c>
      <c r="G28" s="31"/>
      <c r="H28" s="7" t="s">
        <v>34</v>
      </c>
      <c r="I28" s="7" t="s">
        <v>22</v>
      </c>
      <c r="J28" s="17" t="s">
        <v>231</v>
      </c>
      <c r="K28" s="30"/>
      <c r="N28" s="27" t="str">
        <f t="shared" ref="N28:N39" si="6">TRIM(IF(LEN($J28)=0,"-",SUBSTITUTE($J28,","," ")))</f>
        <v>123 123 321</v>
      </c>
    </row>
    <row r="29" spans="1:14" ht="33" customHeight="1" x14ac:dyDescent="0.15">
      <c r="A29" s="32"/>
      <c r="B29" s="3" t="s">
        <v>169</v>
      </c>
      <c r="C29" s="18">
        <f t="shared" si="4"/>
        <v>4</v>
      </c>
      <c r="E29" s="18">
        <f t="shared" si="5"/>
        <v>0</v>
      </c>
      <c r="F29" s="2">
        <v>4</v>
      </c>
      <c r="G29" s="31"/>
      <c r="H29" s="7" t="s">
        <v>23</v>
      </c>
      <c r="I29" s="7" t="s">
        <v>24</v>
      </c>
      <c r="J29" s="11" t="s">
        <v>232</v>
      </c>
      <c r="K29" s="30"/>
      <c r="N29" s="27" t="str">
        <f t="shared" si="6"/>
        <v>1 2 3 4 6 10 11 16 17 18</v>
      </c>
    </row>
    <row r="30" spans="1:14" ht="20.100000000000001" customHeight="1" x14ac:dyDescent="0.15">
      <c r="A30" s="32"/>
      <c r="B30" s="3" t="s">
        <v>170</v>
      </c>
      <c r="C30" s="18">
        <f t="shared" si="4"/>
        <v>2</v>
      </c>
      <c r="E30" s="18">
        <f t="shared" si="5"/>
        <v>2</v>
      </c>
      <c r="F30" s="2">
        <v>2</v>
      </c>
      <c r="G30" s="31"/>
      <c r="H30" s="7" t="s">
        <v>25</v>
      </c>
      <c r="I30" s="7" t="s">
        <v>25</v>
      </c>
      <c r="J30" s="17" t="s">
        <v>233</v>
      </c>
      <c r="K30" s="30"/>
      <c r="N30" s="27" t="str">
        <f t="shared" si="6"/>
        <v>0 3 4 5 6 9</v>
      </c>
    </row>
    <row r="31" spans="1:14" ht="20.100000000000001" customHeight="1" x14ac:dyDescent="0.15">
      <c r="A31" s="32" t="s">
        <v>137</v>
      </c>
      <c r="B31" s="3" t="s">
        <v>171</v>
      </c>
      <c r="C31" s="21">
        <f>IF(ISNUMBER(FIND($B31,$J$14,1)),$F31,0)</f>
        <v>1</v>
      </c>
      <c r="E31" s="21">
        <f>IF(ISNUMBER(FIND($B31,J$23,1)),$F31,0)</f>
        <v>1</v>
      </c>
      <c r="F31" s="2">
        <v>1</v>
      </c>
      <c r="G31" s="31"/>
      <c r="H31" s="7" t="s">
        <v>29</v>
      </c>
      <c r="I31" s="7" t="s">
        <v>24</v>
      </c>
      <c r="J31" s="11" t="s">
        <v>210</v>
      </c>
      <c r="K31" s="30"/>
      <c r="N31" s="27" t="str">
        <f t="shared" si="6"/>
        <v>1 3 4 6 15 16 24 25 26</v>
      </c>
    </row>
    <row r="32" spans="1:14" ht="20.100000000000001" customHeight="1" x14ac:dyDescent="0.15">
      <c r="A32" s="32"/>
      <c r="B32" s="3" t="s">
        <v>163</v>
      </c>
      <c r="C32" s="21">
        <f t="shared" ref="C32:C47" si="7">IF(ISNUMBER(FIND($B32,$J$14,1)),$F32,0)</f>
        <v>1</v>
      </c>
      <c r="E32" s="21">
        <f t="shared" ref="E32:E47" si="8">IF(ISNUMBER(FIND($B32,J$23,1)),$F32,0)</f>
        <v>1</v>
      </c>
      <c r="F32" s="2">
        <v>1</v>
      </c>
      <c r="G32" s="31"/>
      <c r="H32" s="7" t="s">
        <v>35</v>
      </c>
      <c r="I32" s="7" t="s">
        <v>35</v>
      </c>
      <c r="J32" s="17" t="s">
        <v>234</v>
      </c>
      <c r="K32" s="30"/>
      <c r="N32" s="27" t="str">
        <f t="shared" si="6"/>
        <v>0 2 3 6 7 9</v>
      </c>
    </row>
    <row r="33" spans="1:14" ht="20.100000000000001" customHeight="1" x14ac:dyDescent="0.15">
      <c r="A33" s="32"/>
      <c r="B33" s="3" t="s">
        <v>164</v>
      </c>
      <c r="C33" s="21">
        <f t="shared" si="7"/>
        <v>2</v>
      </c>
      <c r="E33" s="21">
        <f t="shared" si="8"/>
        <v>2</v>
      </c>
      <c r="F33" s="2">
        <v>2</v>
      </c>
      <c r="G33" s="31"/>
      <c r="H33" s="7" t="s">
        <v>36</v>
      </c>
      <c r="I33" s="7" t="s">
        <v>36</v>
      </c>
      <c r="J33" s="17" t="s">
        <v>235</v>
      </c>
      <c r="K33" s="30"/>
      <c r="N33" s="27" t="str">
        <f t="shared" si="6"/>
        <v>0 1 2 7 8 9</v>
      </c>
    </row>
    <row r="34" spans="1:14" ht="20.100000000000001" customHeight="1" x14ac:dyDescent="0.15">
      <c r="A34" s="32"/>
      <c r="B34" s="3" t="s">
        <v>165</v>
      </c>
      <c r="C34" s="21">
        <f t="shared" si="7"/>
        <v>0</v>
      </c>
      <c r="E34" s="21">
        <f t="shared" si="8"/>
        <v>0</v>
      </c>
      <c r="F34" s="2">
        <v>2</v>
      </c>
      <c r="G34" s="31"/>
      <c r="H34" s="7" t="s">
        <v>37</v>
      </c>
      <c r="I34" s="7" t="s">
        <v>22</v>
      </c>
      <c r="J34" s="28" t="s">
        <v>364</v>
      </c>
      <c r="K34" s="30"/>
      <c r="N34" s="27" t="str">
        <f t="shared" si="6"/>
        <v>212 321 312 132 231</v>
      </c>
    </row>
    <row r="35" spans="1:14" ht="20.100000000000001" customHeight="1" x14ac:dyDescent="0.15">
      <c r="A35" s="32"/>
      <c r="B35" s="3" t="s">
        <v>166</v>
      </c>
      <c r="C35" s="21">
        <f t="shared" si="7"/>
        <v>0</v>
      </c>
      <c r="E35" s="21">
        <f t="shared" si="8"/>
        <v>0</v>
      </c>
      <c r="F35" s="2">
        <v>3</v>
      </c>
      <c r="G35" s="31"/>
      <c r="H35" s="7" t="s">
        <v>30</v>
      </c>
      <c r="I35" s="7" t="s">
        <v>31</v>
      </c>
      <c r="J35" s="28" t="s">
        <v>363</v>
      </c>
      <c r="K35" s="30"/>
      <c r="N35" s="27" t="str">
        <f t="shared" si="6"/>
        <v>7</v>
      </c>
    </row>
    <row r="36" spans="1:14" ht="20.100000000000001" customHeight="1" x14ac:dyDescent="0.15">
      <c r="A36" s="32"/>
      <c r="B36" s="3" t="s">
        <v>167</v>
      </c>
      <c r="C36" s="21">
        <f t="shared" si="7"/>
        <v>0</v>
      </c>
      <c r="E36" s="21">
        <f t="shared" si="8"/>
        <v>0</v>
      </c>
      <c r="F36" s="2">
        <v>3</v>
      </c>
      <c r="G36" s="31"/>
      <c r="H36" s="7" t="s">
        <v>38</v>
      </c>
      <c r="I36" s="7" t="s">
        <v>22</v>
      </c>
      <c r="J36" s="28" t="s">
        <v>366</v>
      </c>
      <c r="K36" s="30"/>
      <c r="N36" s="27" t="str">
        <f t="shared" si="6"/>
        <v>122</v>
      </c>
    </row>
    <row r="37" spans="1:14" ht="20.100000000000001" customHeight="1" x14ac:dyDescent="0.15">
      <c r="A37" s="32"/>
      <c r="B37" s="3" t="s">
        <v>168</v>
      </c>
      <c r="C37" s="21">
        <f t="shared" si="7"/>
        <v>0</v>
      </c>
      <c r="E37" s="21">
        <f t="shared" si="8"/>
        <v>4</v>
      </c>
      <c r="F37" s="2">
        <v>4</v>
      </c>
      <c r="G37" s="31"/>
      <c r="H37" s="7" t="s">
        <v>39</v>
      </c>
      <c r="I37" s="7" t="s">
        <v>22</v>
      </c>
      <c r="J37" s="28" t="s">
        <v>367</v>
      </c>
      <c r="K37" s="30"/>
      <c r="N37" s="27" t="str">
        <f t="shared" si="6"/>
        <v>132</v>
      </c>
    </row>
    <row r="38" spans="1:14" ht="20.100000000000001" customHeight="1" x14ac:dyDescent="0.15">
      <c r="A38" s="32"/>
      <c r="B38" s="3" t="s">
        <v>169</v>
      </c>
      <c r="C38" s="21">
        <f t="shared" si="7"/>
        <v>4</v>
      </c>
      <c r="E38" s="21">
        <f t="shared" si="8"/>
        <v>4</v>
      </c>
      <c r="F38" s="2">
        <v>4</v>
      </c>
      <c r="G38" s="31"/>
      <c r="H38" s="7" t="s">
        <v>41</v>
      </c>
      <c r="I38" s="7" t="s">
        <v>40</v>
      </c>
      <c r="J38" s="23" t="s">
        <v>228</v>
      </c>
      <c r="K38" s="30"/>
      <c r="N38" s="27" t="str">
        <f t="shared" si="6"/>
        <v>0 3 4 7 8 9</v>
      </c>
    </row>
    <row r="39" spans="1:14" ht="20.100000000000001" customHeight="1" x14ac:dyDescent="0.15">
      <c r="A39" s="32"/>
      <c r="B39" s="3" t="s">
        <v>170</v>
      </c>
      <c r="C39" s="21">
        <f t="shared" si="7"/>
        <v>0</v>
      </c>
      <c r="E39" s="21">
        <f t="shared" si="8"/>
        <v>5</v>
      </c>
      <c r="F39" s="2">
        <v>5</v>
      </c>
      <c r="G39" s="31"/>
      <c r="H39" s="7" t="s">
        <v>42</v>
      </c>
      <c r="I39" s="7" t="s">
        <v>40</v>
      </c>
      <c r="J39" s="28" t="s">
        <v>358</v>
      </c>
      <c r="K39" s="30"/>
      <c r="N39" s="27" t="str">
        <f t="shared" si="6"/>
        <v>2 3 4 5 6 7 8</v>
      </c>
    </row>
    <row r="40" spans="1:14" ht="20.100000000000001" customHeight="1" x14ac:dyDescent="0.15">
      <c r="A40" s="32"/>
      <c r="B40" s="3" t="s">
        <v>172</v>
      </c>
      <c r="C40" s="21">
        <f t="shared" si="7"/>
        <v>0</v>
      </c>
      <c r="E40" s="21">
        <f t="shared" si="8"/>
        <v>0</v>
      </c>
      <c r="F40" s="2">
        <v>4</v>
      </c>
      <c r="G40" s="30" t="s">
        <v>43</v>
      </c>
      <c r="H40" s="30" t="s">
        <v>5</v>
      </c>
      <c r="I40" s="7" t="s">
        <v>121</v>
      </c>
      <c r="J40" s="28" t="s">
        <v>362</v>
      </c>
      <c r="K40" s="30"/>
      <c r="N40" s="33" t="str">
        <f>TRIM(IF(LEN($J40)=0,"-",SUBSTITUTE($J40,","," ")))&amp;","&amp;TRIM(IF(LEN($J41)=0,"-",SUBSTITUTE($J41,","," ")))&amp;","&amp;TRIM(IF(LEN($J42)=0,"-",SUBSTITUTE($J42,","," ")))</f>
        <v>0 3 4 8 9,0 1 2 5 6 7,2 3 7 8 9</v>
      </c>
    </row>
    <row r="41" spans="1:14" ht="20.100000000000001" customHeight="1" x14ac:dyDescent="0.15">
      <c r="A41" s="32"/>
      <c r="B41" s="3" t="s">
        <v>173</v>
      </c>
      <c r="C41" s="21">
        <f t="shared" si="7"/>
        <v>0</v>
      </c>
      <c r="E41" s="21">
        <f t="shared" si="8"/>
        <v>0</v>
      </c>
      <c r="F41" s="2">
        <v>4</v>
      </c>
      <c r="G41" s="30"/>
      <c r="H41" s="30"/>
      <c r="I41" s="7" t="s">
        <v>122</v>
      </c>
      <c r="J41" s="28" t="s">
        <v>359</v>
      </c>
      <c r="K41" s="30"/>
      <c r="N41" s="31"/>
    </row>
    <row r="42" spans="1:14" ht="20.100000000000001" customHeight="1" x14ac:dyDescent="0.15">
      <c r="A42" s="32"/>
      <c r="B42" s="3" t="s">
        <v>174</v>
      </c>
      <c r="C42" s="21">
        <f t="shared" si="7"/>
        <v>0</v>
      </c>
      <c r="E42" s="21">
        <f t="shared" si="8"/>
        <v>0</v>
      </c>
      <c r="F42" s="2">
        <v>3</v>
      </c>
      <c r="G42" s="30"/>
      <c r="H42" s="30"/>
      <c r="I42" s="7" t="s">
        <v>123</v>
      </c>
      <c r="J42" s="28" t="s">
        <v>368</v>
      </c>
      <c r="K42" s="30"/>
      <c r="N42" s="31"/>
    </row>
    <row r="43" spans="1:14" ht="20.100000000000001" customHeight="1" x14ac:dyDescent="0.15">
      <c r="A43" s="32"/>
      <c r="B43" s="3" t="s">
        <v>175</v>
      </c>
      <c r="C43" s="21">
        <f t="shared" si="7"/>
        <v>0</v>
      </c>
      <c r="E43" s="21">
        <f t="shared" si="8"/>
        <v>0</v>
      </c>
      <c r="F43" s="2">
        <v>3</v>
      </c>
      <c r="G43" s="30"/>
      <c r="H43" s="7" t="s">
        <v>34</v>
      </c>
      <c r="I43" s="7" t="s">
        <v>22</v>
      </c>
      <c r="J43" s="23" t="s">
        <v>361</v>
      </c>
      <c r="K43" s="30"/>
      <c r="N43" s="27" t="str">
        <f t="shared" ref="N43:N54" si="9">TRIM(IF(LEN($J43)=0,"-",SUBSTITUTE($J43,","," ")))</f>
        <v>456</v>
      </c>
    </row>
    <row r="44" spans="1:14" ht="20.100000000000001" customHeight="1" x14ac:dyDescent="0.15">
      <c r="A44" s="32"/>
      <c r="B44" s="3" t="s">
        <v>176</v>
      </c>
      <c r="C44" s="21">
        <f t="shared" si="7"/>
        <v>2</v>
      </c>
      <c r="E44" s="21">
        <f t="shared" si="8"/>
        <v>0</v>
      </c>
      <c r="F44" s="2">
        <v>2</v>
      </c>
      <c r="G44" s="30"/>
      <c r="H44" s="7" t="s">
        <v>23</v>
      </c>
      <c r="I44" s="7" t="s">
        <v>24</v>
      </c>
      <c r="J44" s="17" t="s">
        <v>215</v>
      </c>
      <c r="K44" s="30"/>
      <c r="N44" s="27" t="str">
        <f t="shared" si="9"/>
        <v>0 1 4 6 11 12 13 14 17 18</v>
      </c>
    </row>
    <row r="45" spans="1:14" ht="20.100000000000001" customHeight="1" x14ac:dyDescent="0.15">
      <c r="A45" s="32"/>
      <c r="B45" s="3" t="s">
        <v>177</v>
      </c>
      <c r="C45" s="21">
        <f t="shared" si="7"/>
        <v>2</v>
      </c>
      <c r="E45" s="21">
        <f t="shared" si="8"/>
        <v>0</v>
      </c>
      <c r="F45" s="2">
        <v>2</v>
      </c>
      <c r="G45" s="30"/>
      <c r="H45" s="7" t="s">
        <v>25</v>
      </c>
      <c r="I45" s="7" t="s">
        <v>25</v>
      </c>
      <c r="J45" s="28" t="s">
        <v>360</v>
      </c>
      <c r="K45" s="30"/>
      <c r="N45" s="27" t="str">
        <f t="shared" si="9"/>
        <v>0 1 2 8 9</v>
      </c>
    </row>
    <row r="46" spans="1:14" ht="20.100000000000001" customHeight="1" x14ac:dyDescent="0.15">
      <c r="A46" s="32"/>
      <c r="B46" s="3" t="s">
        <v>178</v>
      </c>
      <c r="C46" s="21">
        <f t="shared" si="7"/>
        <v>0</v>
      </c>
      <c r="E46" s="21">
        <f t="shared" si="8"/>
        <v>0</v>
      </c>
      <c r="F46" s="2">
        <v>1</v>
      </c>
      <c r="G46" s="30"/>
      <c r="H46" s="7" t="s">
        <v>29</v>
      </c>
      <c r="I46" s="7" t="s">
        <v>24</v>
      </c>
      <c r="J46" s="17" t="s">
        <v>214</v>
      </c>
      <c r="K46" s="30"/>
      <c r="N46" s="27" t="str">
        <f t="shared" si="9"/>
        <v>1 7 8 13 14 16 18 20 25 26</v>
      </c>
    </row>
    <row r="47" spans="1:14" ht="20.100000000000001" customHeight="1" x14ac:dyDescent="0.15">
      <c r="A47" s="32"/>
      <c r="B47" s="3" t="s">
        <v>179</v>
      </c>
      <c r="C47" s="21">
        <f t="shared" si="7"/>
        <v>0</v>
      </c>
      <c r="E47" s="21">
        <f t="shared" si="8"/>
        <v>1</v>
      </c>
      <c r="F47" s="2">
        <v>1</v>
      </c>
      <c r="G47" s="30"/>
      <c r="H47" s="7" t="s">
        <v>35</v>
      </c>
      <c r="I47" s="7" t="s">
        <v>35</v>
      </c>
      <c r="J47" s="28" t="s">
        <v>369</v>
      </c>
      <c r="K47" s="30"/>
      <c r="N47" s="27" t="str">
        <f t="shared" si="9"/>
        <v>0 1 5 6 7 8 9</v>
      </c>
    </row>
    <row r="48" spans="1:14" ht="20.100000000000001" customHeight="1" x14ac:dyDescent="0.15">
      <c r="A48" s="32" t="s">
        <v>138</v>
      </c>
      <c r="B48" s="3" t="s">
        <v>180</v>
      </c>
      <c r="C48" s="21">
        <f>IF(ISNUMBER(FIND($B48,$J$29,1)),$F48,0)</f>
        <v>0</v>
      </c>
      <c r="D48" s="21">
        <f>IF(ISNUMBER(FIND($B48,$J$44,1)),$F48,0)</f>
        <v>1</v>
      </c>
      <c r="E48" s="21">
        <f>IF(ISNUMBER(FIND($B48,$J$59,1)),$F48,0)</f>
        <v>0</v>
      </c>
      <c r="F48" s="2">
        <v>1</v>
      </c>
      <c r="G48" s="30"/>
      <c r="H48" s="7" t="s">
        <v>36</v>
      </c>
      <c r="I48" s="7" t="s">
        <v>36</v>
      </c>
      <c r="J48" s="28" t="s">
        <v>370</v>
      </c>
      <c r="K48" s="30"/>
      <c r="N48" s="27" t="str">
        <f t="shared" si="9"/>
        <v>0 1 2 3 4 8 9</v>
      </c>
    </row>
    <row r="49" spans="1:14" ht="20.100000000000001" customHeight="1" x14ac:dyDescent="0.15">
      <c r="A49" s="32"/>
      <c r="B49" s="3" t="s">
        <v>162</v>
      </c>
      <c r="C49" s="21">
        <f t="shared" ref="C49:C75" si="10">IF(ISNUMBER(FIND($B49,$J$29,1)),$F49,0)</f>
        <v>3</v>
      </c>
      <c r="D49" s="21">
        <f t="shared" ref="D49:D75" si="11">IF(ISNUMBER(FIND($B49,$J$44,1)),$F49,0)</f>
        <v>3</v>
      </c>
      <c r="E49" s="21">
        <f t="shared" ref="E49:E75" si="12">IF(ISNUMBER(FIND($B49,$J$59,1)),$F49,0)</f>
        <v>3</v>
      </c>
      <c r="F49" s="2">
        <v>3</v>
      </c>
      <c r="G49" s="30"/>
      <c r="H49" s="7" t="s">
        <v>37</v>
      </c>
      <c r="I49" s="7" t="s">
        <v>22</v>
      </c>
      <c r="J49" s="28" t="s">
        <v>371</v>
      </c>
      <c r="K49" s="30"/>
      <c r="N49" s="27" t="str">
        <f t="shared" si="9"/>
        <v>122</v>
      </c>
    </row>
    <row r="50" spans="1:14" ht="20.100000000000001" customHeight="1" x14ac:dyDescent="0.15">
      <c r="A50" s="32"/>
      <c r="B50" s="3" t="s">
        <v>163</v>
      </c>
      <c r="C50" s="21">
        <f t="shared" si="10"/>
        <v>6</v>
      </c>
      <c r="D50" s="21">
        <f t="shared" si="11"/>
        <v>0</v>
      </c>
      <c r="E50" s="21">
        <f t="shared" si="12"/>
        <v>6</v>
      </c>
      <c r="F50" s="2">
        <v>6</v>
      </c>
      <c r="G50" s="30"/>
      <c r="H50" s="7" t="s">
        <v>30</v>
      </c>
      <c r="I50" s="7" t="s">
        <v>31</v>
      </c>
      <c r="J50" s="28" t="s">
        <v>373</v>
      </c>
      <c r="K50" s="30"/>
      <c r="N50" s="27" t="str">
        <f t="shared" si="9"/>
        <v>6</v>
      </c>
    </row>
    <row r="51" spans="1:14" ht="20.100000000000001" customHeight="1" x14ac:dyDescent="0.15">
      <c r="A51" s="32"/>
      <c r="B51" s="3" t="s">
        <v>164</v>
      </c>
      <c r="C51" s="21">
        <f t="shared" si="10"/>
        <v>10</v>
      </c>
      <c r="D51" s="21">
        <f t="shared" si="11"/>
        <v>0</v>
      </c>
      <c r="E51" s="21">
        <f t="shared" si="12"/>
        <v>10</v>
      </c>
      <c r="F51" s="2">
        <v>10</v>
      </c>
      <c r="G51" s="30"/>
      <c r="H51" s="7" t="s">
        <v>38</v>
      </c>
      <c r="I51" s="7" t="s">
        <v>22</v>
      </c>
      <c r="J51" s="28" t="s">
        <v>372</v>
      </c>
      <c r="K51" s="30"/>
      <c r="N51" s="27" t="str">
        <f t="shared" si="9"/>
        <v>121</v>
      </c>
    </row>
    <row r="52" spans="1:14" ht="20.100000000000001" customHeight="1" x14ac:dyDescent="0.15">
      <c r="A52" s="32"/>
      <c r="B52" s="3" t="s">
        <v>165</v>
      </c>
      <c r="C52" s="21">
        <f t="shared" si="10"/>
        <v>15</v>
      </c>
      <c r="D52" s="21">
        <f t="shared" si="11"/>
        <v>15</v>
      </c>
      <c r="E52" s="21">
        <f t="shared" si="12"/>
        <v>0</v>
      </c>
      <c r="F52" s="2">
        <v>15</v>
      </c>
      <c r="G52" s="30"/>
      <c r="H52" s="7" t="s">
        <v>39</v>
      </c>
      <c r="I52" s="7" t="s">
        <v>22</v>
      </c>
      <c r="J52" s="28" t="s">
        <v>374</v>
      </c>
      <c r="K52" s="30"/>
      <c r="N52" s="27" t="str">
        <f t="shared" si="9"/>
        <v>214</v>
      </c>
    </row>
    <row r="53" spans="1:14" ht="20.100000000000001" customHeight="1" x14ac:dyDescent="0.15">
      <c r="A53" s="32"/>
      <c r="B53" s="3" t="s">
        <v>166</v>
      </c>
      <c r="C53" s="21">
        <f t="shared" si="10"/>
        <v>0</v>
      </c>
      <c r="D53" s="21">
        <f t="shared" si="11"/>
        <v>0</v>
      </c>
      <c r="E53" s="21">
        <f t="shared" si="12"/>
        <v>0</v>
      </c>
      <c r="F53" s="2">
        <v>21</v>
      </c>
      <c r="G53" s="30"/>
      <c r="H53" s="7" t="s">
        <v>41</v>
      </c>
      <c r="I53" s="7" t="s">
        <v>40</v>
      </c>
      <c r="J53" s="28" t="s">
        <v>375</v>
      </c>
      <c r="K53" s="30"/>
      <c r="N53" s="27" t="str">
        <f t="shared" si="9"/>
        <v>0 1 2 8 9</v>
      </c>
    </row>
    <row r="54" spans="1:14" ht="20.100000000000001" customHeight="1" x14ac:dyDescent="0.15">
      <c r="A54" s="32"/>
      <c r="B54" s="3" t="s">
        <v>167</v>
      </c>
      <c r="C54" s="21">
        <f t="shared" si="10"/>
        <v>28</v>
      </c>
      <c r="D54" s="21">
        <f t="shared" si="11"/>
        <v>28</v>
      </c>
      <c r="E54" s="21">
        <f t="shared" si="12"/>
        <v>0</v>
      </c>
      <c r="F54" s="2">
        <v>28</v>
      </c>
      <c r="G54" s="30"/>
      <c r="H54" s="7" t="s">
        <v>42</v>
      </c>
      <c r="I54" s="7" t="s">
        <v>40</v>
      </c>
      <c r="J54" s="28" t="s">
        <v>376</v>
      </c>
      <c r="K54" s="30"/>
      <c r="N54" s="27" t="str">
        <f t="shared" si="9"/>
        <v>7 8 9</v>
      </c>
    </row>
    <row r="55" spans="1:14" ht="20.100000000000001" customHeight="1" x14ac:dyDescent="0.15">
      <c r="A55" s="32"/>
      <c r="B55" s="3" t="s">
        <v>168</v>
      </c>
      <c r="C55" s="21">
        <f t="shared" si="10"/>
        <v>0</v>
      </c>
      <c r="D55" s="21">
        <f t="shared" si="11"/>
        <v>0</v>
      </c>
      <c r="E55" s="21">
        <f t="shared" si="12"/>
        <v>0</v>
      </c>
      <c r="F55" s="2">
        <v>36</v>
      </c>
      <c r="G55" s="7" t="s">
        <v>44</v>
      </c>
      <c r="H55" s="30" t="s">
        <v>5</v>
      </c>
      <c r="I55" s="7" t="s">
        <v>125</v>
      </c>
      <c r="J55" s="28" t="s">
        <v>377</v>
      </c>
      <c r="K55" s="30"/>
      <c r="N55" s="33" t="str">
        <f>TRIM(IF(LEN($J55)=0,"-",SUBSTITUTE($J55,","," ")))&amp;","&amp;TRIM(IF(LEN($J56)=0,"-",SUBSTITUTE($J56,","," ")))&amp;","&amp;TRIM(IF(LEN($J57)=0,"-",SUBSTITUTE($J57,","," ")))</f>
        <v>1 2 6 7 8,1 3 4 6 7,0 1 2 3 4 5 6 7 8 9</v>
      </c>
    </row>
    <row r="56" spans="1:14" ht="20.100000000000001" customHeight="1" x14ac:dyDescent="0.15">
      <c r="A56" s="32"/>
      <c r="B56" s="3" t="s">
        <v>169</v>
      </c>
      <c r="C56" s="21">
        <f t="shared" si="10"/>
        <v>0</v>
      </c>
      <c r="D56" s="21">
        <f t="shared" si="11"/>
        <v>0</v>
      </c>
      <c r="E56" s="21">
        <f t="shared" si="12"/>
        <v>0</v>
      </c>
      <c r="F56" s="2">
        <v>45</v>
      </c>
      <c r="H56" s="30"/>
      <c r="I56" s="7" t="s">
        <v>126</v>
      </c>
      <c r="J56" s="28" t="s">
        <v>378</v>
      </c>
      <c r="K56" s="30"/>
      <c r="N56" s="31"/>
    </row>
    <row r="57" spans="1:14" ht="20.100000000000001" customHeight="1" x14ac:dyDescent="0.15">
      <c r="A57" s="32"/>
      <c r="B57" s="3" t="s">
        <v>170</v>
      </c>
      <c r="C57" s="21">
        <f t="shared" si="10"/>
        <v>0</v>
      </c>
      <c r="D57" s="21">
        <f t="shared" si="11"/>
        <v>0</v>
      </c>
      <c r="E57" s="21">
        <f t="shared" si="12"/>
        <v>55</v>
      </c>
      <c r="F57" s="2">
        <v>55</v>
      </c>
      <c r="H57" s="30"/>
      <c r="I57" s="7" t="s">
        <v>127</v>
      </c>
      <c r="J57" s="28" t="s">
        <v>379</v>
      </c>
      <c r="K57" s="30"/>
      <c r="N57" s="31"/>
    </row>
    <row r="58" spans="1:14" ht="20.100000000000001" customHeight="1" x14ac:dyDescent="0.15">
      <c r="A58" s="32"/>
      <c r="B58" s="3" t="s">
        <v>172</v>
      </c>
      <c r="C58" s="21">
        <f t="shared" si="10"/>
        <v>63</v>
      </c>
      <c r="D58" s="21">
        <f t="shared" si="11"/>
        <v>0</v>
      </c>
      <c r="E58" s="21">
        <f t="shared" si="12"/>
        <v>63</v>
      </c>
      <c r="F58" s="2">
        <v>63</v>
      </c>
      <c r="H58" s="7" t="s">
        <v>34</v>
      </c>
      <c r="I58" s="7" t="s">
        <v>22</v>
      </c>
      <c r="J58" s="10"/>
      <c r="K58" s="30"/>
      <c r="N58" s="27" t="str">
        <f t="shared" ref="N58:N69" si="13">TRIM(IF(LEN($J58)=0,"-",SUBSTITUTE($J58,","," ")))</f>
        <v>-</v>
      </c>
    </row>
    <row r="59" spans="1:14" ht="20.100000000000001" customHeight="1" x14ac:dyDescent="0.15">
      <c r="A59" s="32"/>
      <c r="B59" s="3" t="s">
        <v>173</v>
      </c>
      <c r="C59" s="21">
        <f t="shared" si="10"/>
        <v>69</v>
      </c>
      <c r="D59" s="21">
        <f t="shared" si="11"/>
        <v>69</v>
      </c>
      <c r="E59" s="21">
        <f t="shared" si="12"/>
        <v>69</v>
      </c>
      <c r="F59" s="2">
        <v>69</v>
      </c>
      <c r="H59" s="7" t="s">
        <v>23</v>
      </c>
      <c r="I59" s="7" t="s">
        <v>24</v>
      </c>
      <c r="J59" s="11" t="s">
        <v>380</v>
      </c>
      <c r="K59" s="30"/>
      <c r="N59" s="27" t="str">
        <f t="shared" si="13"/>
        <v>1 2 3 9 10 11 12 13 14</v>
      </c>
    </row>
    <row r="60" spans="1:14" ht="20.100000000000001" customHeight="1" x14ac:dyDescent="0.15">
      <c r="A60" s="32"/>
      <c r="B60" s="3" t="s">
        <v>174</v>
      </c>
      <c r="C60" s="21">
        <f t="shared" si="10"/>
        <v>0</v>
      </c>
      <c r="D60" s="21">
        <f t="shared" si="11"/>
        <v>73</v>
      </c>
      <c r="E60" s="21">
        <f t="shared" si="12"/>
        <v>73</v>
      </c>
      <c r="F60" s="2">
        <v>73</v>
      </c>
      <c r="H60" s="7" t="s">
        <v>25</v>
      </c>
      <c r="I60" s="7" t="s">
        <v>25</v>
      </c>
      <c r="J60" s="28" t="s">
        <v>381</v>
      </c>
      <c r="K60" s="30"/>
      <c r="N60" s="27" t="str">
        <f t="shared" si="13"/>
        <v>0 1 2 3 4 5 6 7 8 9</v>
      </c>
    </row>
    <row r="61" spans="1:14" ht="20.100000000000001" customHeight="1" x14ac:dyDescent="0.15">
      <c r="A61" s="32"/>
      <c r="B61" s="3" t="s">
        <v>175</v>
      </c>
      <c r="C61" s="21">
        <f t="shared" si="10"/>
        <v>0</v>
      </c>
      <c r="D61" s="21">
        <f t="shared" si="11"/>
        <v>75</v>
      </c>
      <c r="E61" s="21">
        <f t="shared" si="12"/>
        <v>75</v>
      </c>
      <c r="F61" s="2">
        <v>75</v>
      </c>
      <c r="H61" s="7" t="s">
        <v>29</v>
      </c>
      <c r="I61" s="7" t="s">
        <v>24</v>
      </c>
      <c r="J61" s="11" t="s">
        <v>211</v>
      </c>
      <c r="K61" s="30"/>
      <c r="N61" s="27" t="str">
        <f t="shared" si="13"/>
        <v>1 2 3 4 6 7 25 26</v>
      </c>
    </row>
    <row r="62" spans="1:14" ht="20.100000000000001" customHeight="1" x14ac:dyDescent="0.15">
      <c r="A62" s="32"/>
      <c r="B62" s="3" t="s">
        <v>176</v>
      </c>
      <c r="C62" s="21">
        <f t="shared" si="10"/>
        <v>0</v>
      </c>
      <c r="D62" s="21">
        <f t="shared" si="11"/>
        <v>75</v>
      </c>
      <c r="E62" s="21">
        <f t="shared" si="12"/>
        <v>75</v>
      </c>
      <c r="F62" s="2">
        <v>75</v>
      </c>
      <c r="H62" s="7" t="s">
        <v>35</v>
      </c>
      <c r="I62" s="7" t="s">
        <v>35</v>
      </c>
      <c r="J62" s="28" t="s">
        <v>382</v>
      </c>
      <c r="K62" s="30"/>
      <c r="N62" s="27" t="str">
        <f t="shared" si="13"/>
        <v>0 1 2 3 4 5 6 7 8 9</v>
      </c>
    </row>
    <row r="63" spans="1:14" ht="20.100000000000001" customHeight="1" x14ac:dyDescent="0.15">
      <c r="A63" s="32"/>
      <c r="B63" s="3" t="s">
        <v>177</v>
      </c>
      <c r="C63" s="21">
        <f t="shared" si="10"/>
        <v>0</v>
      </c>
      <c r="D63" s="21">
        <f t="shared" si="11"/>
        <v>0</v>
      </c>
      <c r="E63" s="21">
        <f t="shared" si="12"/>
        <v>0</v>
      </c>
      <c r="F63" s="2">
        <v>73</v>
      </c>
      <c r="H63" s="7" t="s">
        <v>36</v>
      </c>
      <c r="I63" s="7" t="s">
        <v>36</v>
      </c>
      <c r="J63" s="28" t="s">
        <v>381</v>
      </c>
      <c r="K63" s="30"/>
      <c r="N63" s="27" t="str">
        <f t="shared" si="13"/>
        <v>0 1 2 3 4 5 6 7 8 9</v>
      </c>
    </row>
    <row r="64" spans="1:14" ht="20.100000000000001" customHeight="1" x14ac:dyDescent="0.15">
      <c r="A64" s="32"/>
      <c r="B64" s="3" t="s">
        <v>178</v>
      </c>
      <c r="C64" s="21">
        <f t="shared" si="10"/>
        <v>69</v>
      </c>
      <c r="D64" s="21">
        <f t="shared" si="11"/>
        <v>0</v>
      </c>
      <c r="E64" s="21">
        <f t="shared" si="12"/>
        <v>0</v>
      </c>
      <c r="F64" s="2">
        <v>69</v>
      </c>
      <c r="H64" s="7" t="s">
        <v>37</v>
      </c>
      <c r="I64" s="7" t="s">
        <v>22</v>
      </c>
      <c r="J64" s="28" t="s">
        <v>383</v>
      </c>
      <c r="K64" s="30"/>
      <c r="N64" s="27" t="str">
        <f t="shared" si="13"/>
        <v>222</v>
      </c>
    </row>
    <row r="65" spans="1:14" ht="20.100000000000001" customHeight="1" x14ac:dyDescent="0.15">
      <c r="A65" s="32"/>
      <c r="B65" s="3" t="s">
        <v>179</v>
      </c>
      <c r="C65" s="21">
        <f t="shared" si="10"/>
        <v>63</v>
      </c>
      <c r="D65" s="21">
        <f t="shared" si="11"/>
        <v>63</v>
      </c>
      <c r="E65" s="21">
        <f t="shared" si="12"/>
        <v>0</v>
      </c>
      <c r="F65" s="2">
        <v>63</v>
      </c>
      <c r="H65" s="7" t="s">
        <v>30</v>
      </c>
      <c r="I65" s="7" t="s">
        <v>31</v>
      </c>
      <c r="J65" s="28" t="s">
        <v>384</v>
      </c>
      <c r="K65" s="30"/>
      <c r="N65" s="27" t="str">
        <f t="shared" si="13"/>
        <v>8</v>
      </c>
    </row>
    <row r="66" spans="1:14" ht="20.100000000000001" customHeight="1" x14ac:dyDescent="0.15">
      <c r="A66" s="32"/>
      <c r="B66" s="3" t="s">
        <v>181</v>
      </c>
      <c r="C66" s="21">
        <f t="shared" si="10"/>
        <v>55</v>
      </c>
      <c r="D66" s="21">
        <f t="shared" si="11"/>
        <v>55</v>
      </c>
      <c r="E66" s="21">
        <f t="shared" si="12"/>
        <v>0</v>
      </c>
      <c r="F66" s="2">
        <v>55</v>
      </c>
      <c r="H66" s="7" t="s">
        <v>38</v>
      </c>
      <c r="I66" s="7" t="s">
        <v>22</v>
      </c>
      <c r="J66" s="28" t="s">
        <v>385</v>
      </c>
      <c r="K66" s="30"/>
      <c r="N66" s="27" t="str">
        <f t="shared" si="13"/>
        <v>122</v>
      </c>
    </row>
    <row r="67" spans="1:14" ht="20.100000000000001" customHeight="1" x14ac:dyDescent="0.15">
      <c r="A67" s="32"/>
      <c r="B67" s="3" t="s">
        <v>182</v>
      </c>
      <c r="C67" s="21">
        <f t="shared" si="10"/>
        <v>0</v>
      </c>
      <c r="D67" s="21">
        <f t="shared" si="11"/>
        <v>0</v>
      </c>
      <c r="E67" s="21">
        <f t="shared" si="12"/>
        <v>0</v>
      </c>
      <c r="F67" s="2">
        <v>45</v>
      </c>
      <c r="H67" s="7" t="s">
        <v>39</v>
      </c>
      <c r="I67" s="7" t="s">
        <v>22</v>
      </c>
      <c r="J67" s="28" t="s">
        <v>386</v>
      </c>
      <c r="K67" s="30"/>
      <c r="N67" s="27" t="str">
        <f t="shared" si="13"/>
        <v>144</v>
      </c>
    </row>
    <row r="68" spans="1:14" ht="20.100000000000001" customHeight="1" x14ac:dyDescent="0.15">
      <c r="A68" s="32"/>
      <c r="B68" s="3" t="s">
        <v>183</v>
      </c>
      <c r="C68" s="21">
        <f t="shared" si="10"/>
        <v>0</v>
      </c>
      <c r="D68" s="21">
        <f t="shared" si="11"/>
        <v>0</v>
      </c>
      <c r="E68" s="21">
        <f t="shared" si="12"/>
        <v>0</v>
      </c>
      <c r="F68" s="2">
        <v>36</v>
      </c>
      <c r="H68" s="7" t="s">
        <v>41</v>
      </c>
      <c r="I68" s="7" t="s">
        <v>40</v>
      </c>
      <c r="J68" s="28" t="s">
        <v>387</v>
      </c>
      <c r="K68" s="30"/>
      <c r="N68" s="27" t="str">
        <f t="shared" si="13"/>
        <v>0 1 2 6 7 8 9</v>
      </c>
    </row>
    <row r="69" spans="1:14" ht="20.100000000000001" customHeight="1" x14ac:dyDescent="0.15">
      <c r="A69" s="32"/>
      <c r="B69" s="3" t="s">
        <v>184</v>
      </c>
      <c r="C69" s="21">
        <f t="shared" si="10"/>
        <v>0</v>
      </c>
      <c r="D69" s="21">
        <f t="shared" si="11"/>
        <v>0</v>
      </c>
      <c r="E69" s="21">
        <f t="shared" si="12"/>
        <v>0</v>
      </c>
      <c r="F69" s="2">
        <v>28</v>
      </c>
      <c r="H69" s="7" t="s">
        <v>42</v>
      </c>
      <c r="I69" s="7" t="s">
        <v>40</v>
      </c>
      <c r="J69" s="28" t="s">
        <v>388</v>
      </c>
      <c r="K69" s="30"/>
      <c r="N69" s="27" t="str">
        <f t="shared" si="13"/>
        <v>0 2 3 4 5 8 9</v>
      </c>
    </row>
    <row r="70" spans="1:14" ht="20.100000000000001" customHeight="1" x14ac:dyDescent="0.15">
      <c r="A70" s="32"/>
      <c r="B70" s="3" t="s">
        <v>185</v>
      </c>
      <c r="C70" s="21">
        <f t="shared" si="10"/>
        <v>0</v>
      </c>
      <c r="D70" s="21">
        <f t="shared" si="11"/>
        <v>0</v>
      </c>
      <c r="E70" s="21">
        <f t="shared" si="12"/>
        <v>0</v>
      </c>
      <c r="F70" s="2">
        <v>21</v>
      </c>
      <c r="G70" s="7" t="s">
        <v>45</v>
      </c>
      <c r="H70" s="30" t="s">
        <v>47</v>
      </c>
      <c r="I70" s="7" t="s">
        <v>7</v>
      </c>
      <c r="J70" s="28" t="s">
        <v>389</v>
      </c>
      <c r="K70" s="30"/>
      <c r="N70" s="31" t="str">
        <f>TRIM(IF(LEN($J70)=0,"-",SUBSTITUTE($J70,","," ")))&amp;","&amp;TRIM(IF(LEN($J71)=0,"-",SUBSTITUTE($J71,","," ")))&amp;","&amp;TRIM(IF(LEN($J72)=0,"-",SUBSTITUTE($J72,","," ")))&amp;","&amp;TRIM(IF(LEN($J73)=0,"-",SUBSTITUTE($J73,","," ")))</f>
        <v>2 3 4 5 6 7 8 9,0 1 4 5 6 7 8 9,0 1 2 3 6 7 8 9,0 1 2 3 4 5 8 9</v>
      </c>
    </row>
    <row r="71" spans="1:14" ht="20.100000000000001" customHeight="1" x14ac:dyDescent="0.15">
      <c r="A71" s="32"/>
      <c r="B71" s="3" t="s">
        <v>186</v>
      </c>
      <c r="C71" s="21">
        <f t="shared" si="10"/>
        <v>0</v>
      </c>
      <c r="D71" s="21">
        <f t="shared" si="11"/>
        <v>0</v>
      </c>
      <c r="E71" s="21">
        <f t="shared" si="12"/>
        <v>0</v>
      </c>
      <c r="F71" s="2">
        <v>15</v>
      </c>
      <c r="H71" s="30"/>
      <c r="I71" s="7" t="s">
        <v>8</v>
      </c>
      <c r="J71" s="28" t="s">
        <v>390</v>
      </c>
      <c r="K71" s="30"/>
      <c r="N71" s="31"/>
    </row>
    <row r="72" spans="1:14" ht="20.100000000000001" customHeight="1" x14ac:dyDescent="0.15">
      <c r="A72" s="32"/>
      <c r="B72" s="3" t="s">
        <v>187</v>
      </c>
      <c r="C72" s="21">
        <f t="shared" si="10"/>
        <v>0</v>
      </c>
      <c r="D72" s="21">
        <f t="shared" si="11"/>
        <v>0</v>
      </c>
      <c r="E72" s="21">
        <f t="shared" si="12"/>
        <v>0</v>
      </c>
      <c r="F72" s="2">
        <v>10</v>
      </c>
      <c r="H72" s="30"/>
      <c r="I72" s="7" t="s">
        <v>16</v>
      </c>
      <c r="J72" s="28" t="s">
        <v>391</v>
      </c>
      <c r="K72" s="30"/>
      <c r="N72" s="31"/>
    </row>
    <row r="73" spans="1:14" ht="20.100000000000001" customHeight="1" x14ac:dyDescent="0.15">
      <c r="A73" s="32"/>
      <c r="B73" s="3" t="s">
        <v>188</v>
      </c>
      <c r="C73" s="21">
        <f t="shared" si="10"/>
        <v>0</v>
      </c>
      <c r="D73" s="21">
        <f t="shared" si="11"/>
        <v>0</v>
      </c>
      <c r="E73" s="21">
        <f t="shared" si="12"/>
        <v>0</v>
      </c>
      <c r="F73" s="2">
        <v>6</v>
      </c>
      <c r="H73" s="30"/>
      <c r="I73" s="7" t="s">
        <v>17</v>
      </c>
      <c r="J73" s="28" t="s">
        <v>392</v>
      </c>
      <c r="K73" s="30"/>
      <c r="N73" s="31"/>
    </row>
    <row r="74" spans="1:14" ht="20.100000000000001" customHeight="1" x14ac:dyDescent="0.15">
      <c r="A74" s="32"/>
      <c r="B74" s="3" t="s">
        <v>189</v>
      </c>
      <c r="C74" s="21">
        <f t="shared" si="10"/>
        <v>0</v>
      </c>
      <c r="D74" s="21">
        <f t="shared" si="11"/>
        <v>0</v>
      </c>
      <c r="E74" s="21">
        <f t="shared" si="12"/>
        <v>0</v>
      </c>
      <c r="F74" s="2">
        <v>3</v>
      </c>
      <c r="H74" s="7" t="s">
        <v>48</v>
      </c>
      <c r="I74" s="7" t="s">
        <v>49</v>
      </c>
      <c r="J74" s="28" t="s">
        <v>393</v>
      </c>
      <c r="K74" s="30"/>
      <c r="N74" s="27" t="str">
        <f t="shared" ref="N74:N75" si="14">TRIM(IF(LEN($J74)=0,"-",SUBSTITUTE($J74,","," ")))</f>
        <v>7113</v>
      </c>
    </row>
    <row r="75" spans="1:14" ht="20.100000000000001" customHeight="1" x14ac:dyDescent="0.15">
      <c r="A75" s="32"/>
      <c r="B75" s="3" t="s">
        <v>190</v>
      </c>
      <c r="C75" s="21">
        <f t="shared" si="10"/>
        <v>0</v>
      </c>
      <c r="D75" s="21">
        <f t="shared" si="11"/>
        <v>0</v>
      </c>
      <c r="E75" s="21">
        <f t="shared" si="12"/>
        <v>0</v>
      </c>
      <c r="F75" s="2">
        <v>1</v>
      </c>
      <c r="H75" s="7" t="s">
        <v>51</v>
      </c>
      <c r="I75" s="7" t="s">
        <v>51</v>
      </c>
      <c r="J75" s="28" t="s">
        <v>394</v>
      </c>
      <c r="K75" s="30"/>
      <c r="N75" s="27" t="str">
        <f t="shared" si="14"/>
        <v>0 1 2 4 5 6 8 9</v>
      </c>
    </row>
    <row r="76" spans="1:14" ht="20.100000000000001" customHeight="1" x14ac:dyDescent="0.15">
      <c r="A76" s="32" t="s">
        <v>139</v>
      </c>
      <c r="B76" s="3" t="s">
        <v>180</v>
      </c>
      <c r="C76" s="21">
        <f>IF(ISNUMBER(FIND($B76,$J$30,1)),$F76,0)</f>
        <v>10</v>
      </c>
      <c r="D76" s="21">
        <f>IF(ISNUMBER(FIND($B76,$J$45,1)),$F76,0)</f>
        <v>10</v>
      </c>
      <c r="E76" s="21">
        <f>IF(ISNUMBER(FIND($B76,$J$60,1)),$F76,0)</f>
        <v>10</v>
      </c>
      <c r="F76" s="2">
        <v>10</v>
      </c>
      <c r="H76" s="32" t="s">
        <v>212</v>
      </c>
      <c r="I76" s="7" t="s">
        <v>52</v>
      </c>
      <c r="J76" s="28" t="s">
        <v>395</v>
      </c>
      <c r="K76" s="30"/>
      <c r="N76" s="31" t="str">
        <f>TRIM(IF(LEN($J76)=0,"-",SUBSTITUTE($J76,","," ")))&amp;","&amp;TRIM(IF(LEN($J77)=0,"-",SUBSTITUTE($J77,","," ")))</f>
        <v>0 1 2 6 7 8 9,0 1 2 3 4 5</v>
      </c>
    </row>
    <row r="77" spans="1:14" ht="20.100000000000001" customHeight="1" x14ac:dyDescent="0.15">
      <c r="A77" s="32"/>
      <c r="B77" s="3" t="s">
        <v>162</v>
      </c>
      <c r="C77" s="21">
        <f t="shared" ref="C77:C85" si="15">IF(ISNUMBER(FIND($B77,$J$30,1)),$F77,0)</f>
        <v>0</v>
      </c>
      <c r="D77" s="21">
        <f t="shared" ref="D77:D85" si="16">IF(ISNUMBER(FIND($B77,$J$45,1)),$F77,0)</f>
        <v>54</v>
      </c>
      <c r="E77" s="21">
        <f t="shared" ref="E77:E85" si="17">IF(ISNUMBER(FIND($B77,$J$60,1)),$F77,0)</f>
        <v>54</v>
      </c>
      <c r="F77" s="2">
        <v>54</v>
      </c>
      <c r="H77" s="30"/>
      <c r="I77" s="7" t="s">
        <v>53</v>
      </c>
      <c r="J77" s="28" t="s">
        <v>396</v>
      </c>
      <c r="K77" s="30"/>
      <c r="N77" s="31"/>
    </row>
    <row r="78" spans="1:14" ht="20.100000000000001" customHeight="1" x14ac:dyDescent="0.15">
      <c r="A78" s="32"/>
      <c r="B78" s="3" t="s">
        <v>163</v>
      </c>
      <c r="C78" s="21">
        <f t="shared" si="15"/>
        <v>0</v>
      </c>
      <c r="D78" s="21">
        <f t="shared" si="16"/>
        <v>96</v>
      </c>
      <c r="E78" s="21">
        <f t="shared" si="17"/>
        <v>96</v>
      </c>
      <c r="F78" s="2">
        <v>96</v>
      </c>
      <c r="H78" s="9" t="s">
        <v>54</v>
      </c>
      <c r="I78" s="7" t="s">
        <v>52</v>
      </c>
      <c r="J78" s="28" t="s">
        <v>397</v>
      </c>
      <c r="K78" s="30"/>
      <c r="N78" s="27" t="str">
        <f t="shared" ref="N78" si="18">TRIM(IF(LEN($J78)=0,"-",SUBSTITUTE($J78,","," ")))</f>
        <v>4 5 6 7 8 9</v>
      </c>
    </row>
    <row r="79" spans="1:14" ht="20.100000000000001" customHeight="1" x14ac:dyDescent="0.15">
      <c r="A79" s="32"/>
      <c r="B79" s="3" t="s">
        <v>164</v>
      </c>
      <c r="C79" s="21">
        <f t="shared" si="15"/>
        <v>126</v>
      </c>
      <c r="D79" s="21">
        <f t="shared" si="16"/>
        <v>0</v>
      </c>
      <c r="E79" s="21">
        <f t="shared" si="17"/>
        <v>126</v>
      </c>
      <c r="F79" s="2">
        <v>126</v>
      </c>
      <c r="H79" s="32" t="s">
        <v>213</v>
      </c>
      <c r="I79" s="7" t="s">
        <v>57</v>
      </c>
      <c r="J79" s="28" t="s">
        <v>398</v>
      </c>
      <c r="K79" s="30"/>
      <c r="N79" s="31" t="str">
        <f>TRIM(IF(LEN($J79)=0,"-",SUBSTITUTE($J79,","," ")))&amp;","&amp;TRIM(IF(LEN($J80)=0,"-",SUBSTITUTE($J80,","," ")))</f>
        <v>0 1 2 3 4 5 6 7 8,0 1 2 7 8 9</v>
      </c>
    </row>
    <row r="80" spans="1:14" ht="20.100000000000001" customHeight="1" x14ac:dyDescent="0.15">
      <c r="A80" s="32"/>
      <c r="B80" s="3" t="s">
        <v>165</v>
      </c>
      <c r="C80" s="21">
        <f t="shared" si="15"/>
        <v>144</v>
      </c>
      <c r="D80" s="21">
        <f t="shared" si="16"/>
        <v>0</v>
      </c>
      <c r="E80" s="21">
        <f t="shared" si="17"/>
        <v>144</v>
      </c>
      <c r="F80" s="2">
        <v>144</v>
      </c>
      <c r="H80" s="30"/>
      <c r="I80" s="7" t="s">
        <v>56</v>
      </c>
      <c r="J80" s="28" t="s">
        <v>399</v>
      </c>
      <c r="K80" s="30"/>
      <c r="N80" s="31"/>
    </row>
    <row r="81" spans="1:14" ht="20.100000000000001" customHeight="1" x14ac:dyDescent="0.15">
      <c r="A81" s="32"/>
      <c r="B81" s="3" t="s">
        <v>166</v>
      </c>
      <c r="C81" s="21">
        <f t="shared" si="15"/>
        <v>150</v>
      </c>
      <c r="D81" s="21">
        <f t="shared" si="16"/>
        <v>0</v>
      </c>
      <c r="E81" s="21">
        <f t="shared" si="17"/>
        <v>150</v>
      </c>
      <c r="F81" s="2">
        <v>150</v>
      </c>
      <c r="H81" s="7" t="s">
        <v>59</v>
      </c>
      <c r="I81" s="7" t="s">
        <v>61</v>
      </c>
      <c r="J81" s="28" t="s">
        <v>400</v>
      </c>
      <c r="K81" s="30"/>
      <c r="N81" s="27" t="str">
        <f t="shared" ref="N81:N82" si="19">TRIM(IF(LEN($J81)=0,"-",SUBSTITUTE($J81,","," ")))</f>
        <v>0 6 7 8 9</v>
      </c>
    </row>
    <row r="82" spans="1:14" ht="20.100000000000001" customHeight="1" x14ac:dyDescent="0.15">
      <c r="A82" s="32"/>
      <c r="B82" s="3" t="s">
        <v>167</v>
      </c>
      <c r="C82" s="21">
        <f t="shared" si="15"/>
        <v>144</v>
      </c>
      <c r="D82" s="21">
        <f t="shared" si="16"/>
        <v>0</v>
      </c>
      <c r="E82" s="21">
        <f t="shared" si="17"/>
        <v>144</v>
      </c>
      <c r="F82" s="2">
        <v>144</v>
      </c>
      <c r="H82" s="7" t="s">
        <v>60</v>
      </c>
      <c r="I82" s="7" t="s">
        <v>58</v>
      </c>
      <c r="J82" s="28" t="s">
        <v>401</v>
      </c>
      <c r="K82" s="30"/>
      <c r="N82" s="27" t="str">
        <f t="shared" si="19"/>
        <v>0 1 2 3</v>
      </c>
    </row>
    <row r="83" spans="1:14" ht="20.100000000000001" customHeight="1" x14ac:dyDescent="0.15">
      <c r="A83" s="32"/>
      <c r="B83" s="3" t="s">
        <v>168</v>
      </c>
      <c r="C83" s="21">
        <f t="shared" si="15"/>
        <v>0</v>
      </c>
      <c r="D83" s="21">
        <f t="shared" si="16"/>
        <v>0</v>
      </c>
      <c r="E83" s="21">
        <f t="shared" si="17"/>
        <v>126</v>
      </c>
      <c r="F83" s="2">
        <v>126</v>
      </c>
      <c r="G83" s="7" t="s">
        <v>62</v>
      </c>
      <c r="H83" s="30" t="s">
        <v>64</v>
      </c>
      <c r="I83" s="7" t="s">
        <v>6</v>
      </c>
      <c r="J83" s="28" t="s">
        <v>402</v>
      </c>
      <c r="K83" s="30"/>
      <c r="N83" s="31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0 1 2 6 7 8 9,0 1 2 3 4 5 6 7 8 9,0 1 2 7 8 9,0 1 2 3 4 5 6 7 8 9,0 1 2 3 4 5 6 7</v>
      </c>
    </row>
    <row r="84" spans="1:14" ht="20.100000000000001" customHeight="1" x14ac:dyDescent="0.15">
      <c r="A84" s="32"/>
      <c r="B84" s="3" t="s">
        <v>169</v>
      </c>
      <c r="C84" s="21">
        <f t="shared" si="15"/>
        <v>0</v>
      </c>
      <c r="D84" s="21">
        <f t="shared" si="16"/>
        <v>96</v>
      </c>
      <c r="E84" s="21">
        <f t="shared" si="17"/>
        <v>96</v>
      </c>
      <c r="F84" s="2">
        <v>96</v>
      </c>
      <c r="H84" s="30"/>
      <c r="I84" s="7" t="s">
        <v>7</v>
      </c>
      <c r="J84" s="28" t="s">
        <v>403</v>
      </c>
      <c r="K84" s="30"/>
      <c r="N84" s="31"/>
    </row>
    <row r="85" spans="1:14" ht="20.100000000000001" customHeight="1" x14ac:dyDescent="0.15">
      <c r="A85" s="32"/>
      <c r="B85" s="3" t="s">
        <v>170</v>
      </c>
      <c r="C85" s="21">
        <f t="shared" si="15"/>
        <v>54</v>
      </c>
      <c r="D85" s="21">
        <f t="shared" si="16"/>
        <v>54</v>
      </c>
      <c r="E85" s="21">
        <f t="shared" si="17"/>
        <v>54</v>
      </c>
      <c r="F85" s="2">
        <v>54</v>
      </c>
      <c r="H85" s="30"/>
      <c r="I85" s="7" t="s">
        <v>8</v>
      </c>
      <c r="J85" s="23" t="s">
        <v>192</v>
      </c>
      <c r="K85" s="30"/>
      <c r="N85" s="31"/>
    </row>
    <row r="86" spans="1:14" ht="20.100000000000001" customHeight="1" x14ac:dyDescent="0.15">
      <c r="A86" s="32" t="s">
        <v>140</v>
      </c>
      <c r="B86" s="3" t="s">
        <v>191</v>
      </c>
      <c r="C86" s="21">
        <f>IF(ISNUMBER(FIND($B86,$J$31,1)),$F86,0)</f>
        <v>1</v>
      </c>
      <c r="D86" s="21">
        <f>IF(ISNUMBER(FIND($B86,$J$46,1)),$F86,0)</f>
        <v>1</v>
      </c>
      <c r="E86" s="21">
        <f>IF(ISNUMBER(FIND($B86,$J$61,1)),$F86,0)</f>
        <v>1</v>
      </c>
      <c r="F86" s="2">
        <v>1</v>
      </c>
      <c r="H86" s="30"/>
      <c r="I86" s="7" t="s">
        <v>16</v>
      </c>
      <c r="J86" s="28" t="s">
        <v>404</v>
      </c>
      <c r="K86" s="30"/>
      <c r="N86" s="31"/>
    </row>
    <row r="87" spans="1:14" ht="20.100000000000001" customHeight="1" x14ac:dyDescent="0.15">
      <c r="A87" s="32"/>
      <c r="B87" s="3" t="s">
        <v>163</v>
      </c>
      <c r="C87" s="21">
        <f t="shared" ref="C87:C111" si="20">IF(ISNUMBER(FIND($B87,$J$31,1)),$F87,0)</f>
        <v>0</v>
      </c>
      <c r="D87" s="21">
        <f t="shared" ref="D87:D111" si="21">IF(ISNUMBER(FIND($B87,$J$46,1)),$F87,0)</f>
        <v>0</v>
      </c>
      <c r="E87" s="21">
        <f t="shared" ref="E87:E111" si="22">IF(ISNUMBER(FIND($B87,$J$61,1)),$F87,0)</f>
        <v>2</v>
      </c>
      <c r="F87" s="2">
        <v>2</v>
      </c>
      <c r="H87" s="30"/>
      <c r="I87" s="7" t="s">
        <v>17</v>
      </c>
      <c r="J87" s="23" t="s">
        <v>405</v>
      </c>
      <c r="K87" s="30"/>
      <c r="N87" s="31"/>
    </row>
    <row r="88" spans="1:14" ht="20.100000000000001" customHeight="1" x14ac:dyDescent="0.15">
      <c r="A88" s="32"/>
      <c r="B88" s="3" t="s">
        <v>164</v>
      </c>
      <c r="C88" s="21">
        <f t="shared" si="20"/>
        <v>2</v>
      </c>
      <c r="D88" s="21">
        <f t="shared" si="21"/>
        <v>0</v>
      </c>
      <c r="E88" s="21">
        <f t="shared" si="22"/>
        <v>2</v>
      </c>
      <c r="F88" s="2">
        <v>2</v>
      </c>
      <c r="H88" s="7" t="s">
        <v>65</v>
      </c>
      <c r="I88" s="7" t="s">
        <v>66</v>
      </c>
      <c r="J88" s="10" t="s">
        <v>130</v>
      </c>
      <c r="K88" s="30"/>
      <c r="N88" s="27" t="str">
        <f t="shared" ref="N88:N89" si="23">TRIM(IF(LEN($J88)=0,"-",SUBSTITUTE($J88,","," ")))</f>
        <v>12212</v>
      </c>
    </row>
    <row r="89" spans="1:14" ht="20.100000000000001" customHeight="1" x14ac:dyDescent="0.15">
      <c r="A89" s="32"/>
      <c r="B89" s="3" t="s">
        <v>165</v>
      </c>
      <c r="C89" s="21">
        <f t="shared" si="20"/>
        <v>4</v>
      </c>
      <c r="D89" s="21">
        <f t="shared" si="21"/>
        <v>0</v>
      </c>
      <c r="E89" s="21">
        <f t="shared" si="22"/>
        <v>4</v>
      </c>
      <c r="F89" s="2">
        <v>4</v>
      </c>
      <c r="H89" s="7" t="s">
        <v>68</v>
      </c>
      <c r="I89" s="7" t="s">
        <v>71</v>
      </c>
      <c r="J89" s="28" t="s">
        <v>406</v>
      </c>
      <c r="K89" s="30"/>
      <c r="N89" s="27" t="str">
        <f t="shared" si="23"/>
        <v>0 1 2 3 4 5 6 7 8 9</v>
      </c>
    </row>
    <row r="90" spans="1:14" ht="20.100000000000001" customHeight="1" x14ac:dyDescent="0.15">
      <c r="A90" s="32"/>
      <c r="B90" s="3" t="s">
        <v>166</v>
      </c>
      <c r="C90" s="21">
        <f t="shared" si="20"/>
        <v>0</v>
      </c>
      <c r="D90" s="21">
        <f t="shared" si="21"/>
        <v>0</v>
      </c>
      <c r="E90" s="21">
        <f t="shared" si="22"/>
        <v>0</v>
      </c>
      <c r="F90" s="2">
        <v>5</v>
      </c>
      <c r="H90" s="30" t="s">
        <v>198</v>
      </c>
      <c r="I90" s="7" t="s">
        <v>72</v>
      </c>
      <c r="J90" s="28" t="s">
        <v>415</v>
      </c>
      <c r="K90" s="30"/>
      <c r="N90" s="31" t="str">
        <f>TRIM(IF(LEN($J90)=0,"-",SUBSTITUTE($J90,","," ")))&amp;","&amp;TRIM(IF(LEN($J91)=0,"-",SUBSTITUTE($J91,","," ")))</f>
        <v>0 1 5 7 8 9 6,0 1 2 3 4 5 6</v>
      </c>
    </row>
    <row r="91" spans="1:14" ht="20.100000000000001" customHeight="1" x14ac:dyDescent="0.15">
      <c r="A91" s="32"/>
      <c r="B91" s="3" t="s">
        <v>167</v>
      </c>
      <c r="C91" s="21">
        <f t="shared" si="20"/>
        <v>6</v>
      </c>
      <c r="D91" s="21">
        <f t="shared" si="21"/>
        <v>0</v>
      </c>
      <c r="E91" s="21">
        <f t="shared" si="22"/>
        <v>6</v>
      </c>
      <c r="F91" s="2">
        <v>6</v>
      </c>
      <c r="H91" s="30"/>
      <c r="I91" s="7" t="s">
        <v>53</v>
      </c>
      <c r="J91" s="28" t="s">
        <v>407</v>
      </c>
      <c r="K91" s="30"/>
      <c r="N91" s="31"/>
    </row>
    <row r="92" spans="1:14" ht="20.100000000000001" customHeight="1" x14ac:dyDescent="0.15">
      <c r="A92" s="32"/>
      <c r="B92" s="3" t="s">
        <v>168</v>
      </c>
      <c r="C92" s="21">
        <f t="shared" si="20"/>
        <v>0</v>
      </c>
      <c r="D92" s="21">
        <f t="shared" si="21"/>
        <v>8</v>
      </c>
      <c r="E92" s="21">
        <f t="shared" si="22"/>
        <v>8</v>
      </c>
      <c r="F92" s="2">
        <v>8</v>
      </c>
      <c r="H92" s="30" t="s">
        <v>69</v>
      </c>
      <c r="I92" s="7" t="s">
        <v>72</v>
      </c>
      <c r="J92" s="28" t="s">
        <v>414</v>
      </c>
      <c r="K92" s="30"/>
      <c r="N92" s="31" t="str">
        <f t="shared" ref="N92" si="24">TRIM(IF(LEN($J92)=0,"-",SUBSTITUTE($J92,","," ")))&amp;","&amp;TRIM(IF(LEN($J93)=0,"-",SUBSTITUTE($J93,","," ")))</f>
        <v>0 1 2 7,1 3 4 5 6 7</v>
      </c>
    </row>
    <row r="93" spans="1:14" ht="20.100000000000001" customHeight="1" x14ac:dyDescent="0.15">
      <c r="A93" s="32"/>
      <c r="B93" s="3" t="s">
        <v>169</v>
      </c>
      <c r="C93" s="21">
        <f t="shared" si="20"/>
        <v>0</v>
      </c>
      <c r="D93" s="21">
        <f t="shared" si="21"/>
        <v>10</v>
      </c>
      <c r="E93" s="21">
        <f t="shared" si="22"/>
        <v>0</v>
      </c>
      <c r="F93" s="2">
        <v>10</v>
      </c>
      <c r="H93" s="30"/>
      <c r="I93" s="7" t="s">
        <v>53</v>
      </c>
      <c r="J93" s="28" t="s">
        <v>413</v>
      </c>
      <c r="K93" s="30"/>
      <c r="N93" s="31"/>
    </row>
    <row r="94" spans="1:14" ht="20.100000000000001" customHeight="1" x14ac:dyDescent="0.15">
      <c r="A94" s="32"/>
      <c r="B94" s="3" t="s">
        <v>170</v>
      </c>
      <c r="C94" s="21">
        <f t="shared" si="20"/>
        <v>0</v>
      </c>
      <c r="D94" s="21">
        <f t="shared" si="21"/>
        <v>0</v>
      </c>
      <c r="E94" s="21">
        <f t="shared" si="22"/>
        <v>0</v>
      </c>
      <c r="F94" s="2">
        <v>11</v>
      </c>
      <c r="H94" s="30" t="s">
        <v>199</v>
      </c>
      <c r="I94" s="7" t="s">
        <v>73</v>
      </c>
      <c r="J94" s="10" t="s">
        <v>194</v>
      </c>
      <c r="K94" s="30"/>
      <c r="N94" s="31" t="str">
        <f t="shared" ref="N94" si="25">TRIM(IF(LEN($J94)=0,"-",SUBSTITUTE($J94,","," ")))&amp;","&amp;TRIM(IF(LEN($J95)=0,"-",SUBSTITUTE($J95,","," ")))</f>
        <v>0 1 2 3,0 1 9</v>
      </c>
    </row>
    <row r="95" spans="1:14" ht="20.100000000000001" customHeight="1" x14ac:dyDescent="0.15">
      <c r="A95" s="32"/>
      <c r="B95" s="3" t="s">
        <v>172</v>
      </c>
      <c r="C95" s="21">
        <f t="shared" si="20"/>
        <v>0</v>
      </c>
      <c r="D95" s="21">
        <f t="shared" si="21"/>
        <v>0</v>
      </c>
      <c r="E95" s="21">
        <f t="shared" si="22"/>
        <v>0</v>
      </c>
      <c r="F95" s="2">
        <v>13</v>
      </c>
      <c r="H95" s="30"/>
      <c r="I95" s="7" t="s">
        <v>53</v>
      </c>
      <c r="J95" s="23" t="s">
        <v>408</v>
      </c>
      <c r="K95" s="30"/>
      <c r="N95" s="31"/>
    </row>
    <row r="96" spans="1:14" ht="20.100000000000001" customHeight="1" x14ac:dyDescent="0.15">
      <c r="A96" s="32"/>
      <c r="B96" s="3" t="s">
        <v>173</v>
      </c>
      <c r="C96" s="21">
        <f t="shared" si="20"/>
        <v>0</v>
      </c>
      <c r="D96" s="21">
        <f t="shared" si="21"/>
        <v>0</v>
      </c>
      <c r="E96" s="21">
        <f t="shared" si="22"/>
        <v>0</v>
      </c>
      <c r="F96" s="2">
        <v>14</v>
      </c>
      <c r="H96" s="30" t="s">
        <v>200</v>
      </c>
      <c r="I96" s="7" t="s">
        <v>74</v>
      </c>
      <c r="J96" s="23" t="s">
        <v>412</v>
      </c>
      <c r="K96" s="30"/>
      <c r="N96" s="31" t="str">
        <f t="shared" ref="N96" si="26">TRIM(IF(LEN($J96)=0,"-",SUBSTITUTE($J96,","," ")))&amp;","&amp;TRIM(IF(LEN($J97)=0,"-",SUBSTITUTE($J97,","," ")))</f>
        <v>0 4,0 1</v>
      </c>
    </row>
    <row r="97" spans="1:14" ht="20.100000000000001" customHeight="1" x14ac:dyDescent="0.15">
      <c r="A97" s="32"/>
      <c r="B97" s="3" t="s">
        <v>174</v>
      </c>
      <c r="C97" s="21">
        <f t="shared" si="20"/>
        <v>0</v>
      </c>
      <c r="D97" s="21">
        <f t="shared" si="21"/>
        <v>0</v>
      </c>
      <c r="E97" s="21">
        <f t="shared" si="22"/>
        <v>0</v>
      </c>
      <c r="F97" s="2">
        <v>14</v>
      </c>
      <c r="H97" s="30"/>
      <c r="I97" s="7" t="s">
        <v>128</v>
      </c>
      <c r="J97" s="23" t="s">
        <v>411</v>
      </c>
      <c r="K97" s="30"/>
      <c r="N97" s="31"/>
    </row>
    <row r="98" spans="1:14" ht="20.100000000000001" customHeight="1" x14ac:dyDescent="0.15">
      <c r="A98" s="32"/>
      <c r="B98" s="3" t="s">
        <v>175</v>
      </c>
      <c r="C98" s="21">
        <f t="shared" si="20"/>
        <v>0</v>
      </c>
      <c r="D98" s="21">
        <f t="shared" si="21"/>
        <v>15</v>
      </c>
      <c r="E98" s="21">
        <f t="shared" si="22"/>
        <v>0</v>
      </c>
      <c r="F98" s="2">
        <v>15</v>
      </c>
      <c r="H98" s="30" t="s">
        <v>70</v>
      </c>
      <c r="I98" s="7" t="s">
        <v>75</v>
      </c>
      <c r="J98" s="23" t="s">
        <v>409</v>
      </c>
      <c r="K98" s="30"/>
      <c r="N98" s="31" t="str">
        <f t="shared" ref="N98" si="27">TRIM(IF(LEN($J98)=0,"-",SUBSTITUTE($J98,","," ")))&amp;","&amp;TRIM(IF(LEN($J99)=0,"-",SUBSTITUTE($J99,","," ")))</f>
        <v>4 1 5,1 2 3</v>
      </c>
    </row>
    <row r="99" spans="1:14" ht="20.100000000000001" customHeight="1" x14ac:dyDescent="0.15">
      <c r="A99" s="32"/>
      <c r="B99" s="3" t="s">
        <v>176</v>
      </c>
      <c r="C99" s="21">
        <f t="shared" si="20"/>
        <v>0</v>
      </c>
      <c r="D99" s="21">
        <f t="shared" si="21"/>
        <v>15</v>
      </c>
      <c r="E99" s="21">
        <f t="shared" si="22"/>
        <v>0</v>
      </c>
      <c r="F99" s="2">
        <v>15</v>
      </c>
      <c r="H99" s="30"/>
      <c r="I99" s="7" t="s">
        <v>76</v>
      </c>
      <c r="J99" s="23" t="s">
        <v>410</v>
      </c>
      <c r="K99" s="30"/>
      <c r="N99" s="31"/>
    </row>
    <row r="100" spans="1:14" ht="20.100000000000001" customHeight="1" x14ac:dyDescent="0.15">
      <c r="A100" s="32"/>
      <c r="B100" s="3" t="s">
        <v>177</v>
      </c>
      <c r="C100" s="21">
        <f t="shared" si="20"/>
        <v>14</v>
      </c>
      <c r="D100" s="21">
        <f t="shared" si="21"/>
        <v>0</v>
      </c>
      <c r="E100" s="21">
        <f t="shared" si="22"/>
        <v>0</v>
      </c>
      <c r="F100" s="2">
        <v>14</v>
      </c>
      <c r="H100" s="7" t="s">
        <v>77</v>
      </c>
      <c r="I100" s="7" t="s">
        <v>80</v>
      </c>
      <c r="J100" s="28" t="s">
        <v>407</v>
      </c>
      <c r="K100" s="30"/>
      <c r="N100" s="27" t="str">
        <f t="shared" ref="N100:N106" si="28">TRIM(IF(LEN($J100)=0,"-",SUBSTITUTE($J100,","," ")))</f>
        <v>0 1 2 3 4 5 6</v>
      </c>
    </row>
    <row r="101" spans="1:14" ht="20.100000000000001" customHeight="1" x14ac:dyDescent="0.15">
      <c r="A101" s="32"/>
      <c r="B101" s="3" t="s">
        <v>178</v>
      </c>
      <c r="C101" s="21">
        <f t="shared" si="20"/>
        <v>14</v>
      </c>
      <c r="D101" s="21">
        <f t="shared" si="21"/>
        <v>14</v>
      </c>
      <c r="E101" s="21">
        <f t="shared" si="22"/>
        <v>0</v>
      </c>
      <c r="F101" s="2">
        <v>14</v>
      </c>
      <c r="H101" s="7" t="s">
        <v>78</v>
      </c>
      <c r="I101" s="7" t="s">
        <v>80</v>
      </c>
      <c r="J101" s="23" t="s">
        <v>326</v>
      </c>
      <c r="K101" s="30"/>
      <c r="N101" s="27" t="str">
        <f t="shared" si="28"/>
        <v>0 1 2 3 4 5 6</v>
      </c>
    </row>
    <row r="102" spans="1:14" ht="20.100000000000001" customHeight="1" x14ac:dyDescent="0.15">
      <c r="A102" s="32"/>
      <c r="B102" s="3" t="s">
        <v>179</v>
      </c>
      <c r="C102" s="21">
        <f t="shared" si="20"/>
        <v>0</v>
      </c>
      <c r="D102" s="21">
        <f t="shared" si="21"/>
        <v>0</v>
      </c>
      <c r="E102" s="21">
        <f t="shared" si="22"/>
        <v>0</v>
      </c>
      <c r="F102" s="2">
        <v>13</v>
      </c>
      <c r="H102" s="7" t="s">
        <v>79</v>
      </c>
      <c r="I102" s="7" t="s">
        <v>80</v>
      </c>
      <c r="J102" s="28" t="s">
        <v>192</v>
      </c>
      <c r="K102" s="30"/>
      <c r="N102" s="27" t="str">
        <f t="shared" si="28"/>
        <v>0 1 2 7 8 9</v>
      </c>
    </row>
    <row r="103" spans="1:14" ht="20.100000000000001" customHeight="1" x14ac:dyDescent="0.15">
      <c r="A103" s="32"/>
      <c r="B103" s="3" t="s">
        <v>181</v>
      </c>
      <c r="C103" s="21">
        <f t="shared" si="20"/>
        <v>0</v>
      </c>
      <c r="D103" s="21">
        <f t="shared" si="21"/>
        <v>11</v>
      </c>
      <c r="E103" s="21">
        <f t="shared" si="22"/>
        <v>0</v>
      </c>
      <c r="F103" s="2">
        <v>11</v>
      </c>
      <c r="H103" s="7" t="s">
        <v>82</v>
      </c>
      <c r="I103" s="7" t="s">
        <v>82</v>
      </c>
      <c r="J103" s="28" t="s">
        <v>404</v>
      </c>
      <c r="K103" s="30"/>
      <c r="N103" s="27" t="str">
        <f t="shared" si="28"/>
        <v>0 1 2 3 4 5 6 7 8 9</v>
      </c>
    </row>
    <row r="104" spans="1:14" ht="20.100000000000001" customHeight="1" x14ac:dyDescent="0.15">
      <c r="A104" s="32"/>
      <c r="B104" s="3" t="s">
        <v>182</v>
      </c>
      <c r="C104" s="21">
        <f t="shared" si="20"/>
        <v>0</v>
      </c>
      <c r="D104" s="21">
        <f t="shared" si="21"/>
        <v>0</v>
      </c>
      <c r="E104" s="21">
        <f t="shared" si="22"/>
        <v>0</v>
      </c>
      <c r="F104" s="2">
        <v>10</v>
      </c>
      <c r="H104" s="7" t="s">
        <v>83</v>
      </c>
      <c r="I104" s="7" t="s">
        <v>83</v>
      </c>
      <c r="J104" s="28" t="s">
        <v>405</v>
      </c>
      <c r="K104" s="30"/>
      <c r="N104" s="27" t="str">
        <f t="shared" si="28"/>
        <v>0 1 2 3 4 5 6 7</v>
      </c>
    </row>
    <row r="105" spans="1:14" ht="20.100000000000001" customHeight="1" x14ac:dyDescent="0.15">
      <c r="A105" s="32"/>
      <c r="B105" s="3" t="s">
        <v>183</v>
      </c>
      <c r="C105" s="21">
        <f t="shared" si="20"/>
        <v>0</v>
      </c>
      <c r="D105" s="21">
        <f t="shared" si="21"/>
        <v>8</v>
      </c>
      <c r="E105" s="21">
        <f t="shared" si="22"/>
        <v>0</v>
      </c>
      <c r="F105" s="2">
        <v>8</v>
      </c>
      <c r="H105" s="7" t="s">
        <v>84</v>
      </c>
      <c r="I105" s="7" t="s">
        <v>84</v>
      </c>
      <c r="J105" s="28" t="s">
        <v>416</v>
      </c>
      <c r="K105" s="30"/>
      <c r="N105" s="27" t="str">
        <f t="shared" si="28"/>
        <v>1 2</v>
      </c>
    </row>
    <row r="106" spans="1:14" ht="20.100000000000001" customHeight="1" x14ac:dyDescent="0.15">
      <c r="A106" s="32"/>
      <c r="B106" s="3" t="s">
        <v>184</v>
      </c>
      <c r="C106" s="21">
        <f t="shared" si="20"/>
        <v>0</v>
      </c>
      <c r="D106" s="21">
        <f t="shared" si="21"/>
        <v>0</v>
      </c>
      <c r="E106" s="21">
        <f t="shared" si="22"/>
        <v>0</v>
      </c>
      <c r="F106" s="2">
        <v>6</v>
      </c>
      <c r="H106" s="7" t="s">
        <v>85</v>
      </c>
      <c r="I106" s="7" t="s">
        <v>85</v>
      </c>
      <c r="J106" s="28" t="s">
        <v>406</v>
      </c>
      <c r="K106" s="30"/>
      <c r="N106" s="27" t="str">
        <f t="shared" si="28"/>
        <v>0 1 2 3 4 5 6 7 8 9</v>
      </c>
    </row>
    <row r="107" spans="1:14" ht="20.100000000000001" customHeight="1" x14ac:dyDescent="0.15">
      <c r="A107" s="32"/>
      <c r="B107" s="3" t="s">
        <v>185</v>
      </c>
      <c r="C107" s="21">
        <f t="shared" si="20"/>
        <v>0</v>
      </c>
      <c r="D107" s="21">
        <f t="shared" si="21"/>
        <v>0</v>
      </c>
      <c r="E107" s="21">
        <f t="shared" si="22"/>
        <v>0</v>
      </c>
      <c r="F107" s="2">
        <v>5</v>
      </c>
      <c r="G107" s="7" t="s">
        <v>86</v>
      </c>
      <c r="H107" s="30" t="s">
        <v>88</v>
      </c>
      <c r="I107" s="7" t="s">
        <v>89</v>
      </c>
      <c r="J107" s="23" t="s">
        <v>417</v>
      </c>
      <c r="K107" s="30"/>
      <c r="N107" s="31" t="str">
        <f t="shared" ref="N107:N109" si="29">TRIM(IF(LEN($J107)=0,"-",SUBSTITUTE($J107,","," ")))&amp;","&amp;TRIM(IF(LEN($J108)=0,"-",SUBSTITUTE($J108,","," ")))</f>
        <v>大 小 单 双,大 小 单 双</v>
      </c>
    </row>
    <row r="108" spans="1:14" ht="20.100000000000001" customHeight="1" x14ac:dyDescent="0.15">
      <c r="A108" s="32"/>
      <c r="B108" s="3" t="s">
        <v>186</v>
      </c>
      <c r="C108" s="21">
        <f t="shared" si="20"/>
        <v>0</v>
      </c>
      <c r="D108" s="21">
        <f t="shared" si="21"/>
        <v>0</v>
      </c>
      <c r="E108" s="21">
        <f t="shared" si="22"/>
        <v>0</v>
      </c>
      <c r="F108" s="2">
        <v>4</v>
      </c>
      <c r="H108" s="30"/>
      <c r="I108" s="7" t="s">
        <v>90</v>
      </c>
      <c r="J108" s="28" t="s">
        <v>418</v>
      </c>
      <c r="K108" s="30"/>
      <c r="N108" s="31"/>
    </row>
    <row r="109" spans="1:14" ht="20.100000000000001" customHeight="1" x14ac:dyDescent="0.15">
      <c r="A109" s="32"/>
      <c r="B109" s="3" t="s">
        <v>187</v>
      </c>
      <c r="C109" s="21">
        <f t="shared" si="20"/>
        <v>2</v>
      </c>
      <c r="D109" s="21">
        <f t="shared" si="21"/>
        <v>0</v>
      </c>
      <c r="E109" s="21">
        <f t="shared" si="22"/>
        <v>0</v>
      </c>
      <c r="F109" s="2">
        <v>2</v>
      </c>
      <c r="H109" s="30" t="s">
        <v>91</v>
      </c>
      <c r="I109" s="7" t="s">
        <v>92</v>
      </c>
      <c r="J109" s="28" t="s">
        <v>419</v>
      </c>
      <c r="K109" s="30"/>
      <c r="N109" s="31" t="str">
        <f t="shared" si="29"/>
        <v>大 小 单 双,大 小 单 双</v>
      </c>
    </row>
    <row r="110" spans="1:14" ht="20.100000000000001" customHeight="1" x14ac:dyDescent="0.15">
      <c r="A110" s="32"/>
      <c r="B110" s="3" t="s">
        <v>188</v>
      </c>
      <c r="C110" s="21">
        <f t="shared" si="20"/>
        <v>2</v>
      </c>
      <c r="D110" s="21">
        <f t="shared" si="21"/>
        <v>2</v>
      </c>
      <c r="E110" s="21">
        <f t="shared" si="22"/>
        <v>2</v>
      </c>
      <c r="F110" s="2">
        <v>2</v>
      </c>
      <c r="H110" s="30"/>
      <c r="I110" s="7" t="s">
        <v>93</v>
      </c>
      <c r="J110" s="28" t="s">
        <v>345</v>
      </c>
      <c r="K110" s="30"/>
      <c r="N110" s="31"/>
    </row>
    <row r="111" spans="1:14" ht="20.100000000000001" customHeight="1" x14ac:dyDescent="0.15">
      <c r="A111" s="32"/>
      <c r="B111" s="3" t="s">
        <v>189</v>
      </c>
      <c r="C111" s="21">
        <f t="shared" si="20"/>
        <v>1</v>
      </c>
      <c r="D111" s="21">
        <f t="shared" si="21"/>
        <v>1</v>
      </c>
      <c r="E111" s="21">
        <f t="shared" si="22"/>
        <v>1</v>
      </c>
      <c r="F111" s="2">
        <v>1</v>
      </c>
      <c r="H111" s="30" t="s">
        <v>94</v>
      </c>
      <c r="I111" s="7" t="s">
        <v>95</v>
      </c>
      <c r="J111" s="28" t="s">
        <v>345</v>
      </c>
      <c r="K111" s="30"/>
      <c r="N111" s="31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</row>
    <row r="112" spans="1:14" ht="20.100000000000001" customHeight="1" x14ac:dyDescent="0.15">
      <c r="H112" s="30"/>
      <c r="I112" s="7" t="s">
        <v>96</v>
      </c>
      <c r="J112" s="28" t="s">
        <v>345</v>
      </c>
      <c r="K112" s="30"/>
      <c r="N112" s="31"/>
    </row>
    <row r="113" spans="7:14" ht="20.100000000000001" customHeight="1" x14ac:dyDescent="0.15">
      <c r="H113" s="30"/>
      <c r="I113" s="7" t="s">
        <v>97</v>
      </c>
      <c r="J113" s="28" t="s">
        <v>345</v>
      </c>
      <c r="K113" s="30"/>
      <c r="N113" s="31"/>
    </row>
    <row r="114" spans="7:14" ht="20.100000000000001" customHeight="1" x14ac:dyDescent="0.15">
      <c r="H114" s="30" t="s">
        <v>44</v>
      </c>
      <c r="I114" s="7" t="s">
        <v>97</v>
      </c>
      <c r="J114" s="28" t="s">
        <v>345</v>
      </c>
      <c r="K114" s="30"/>
      <c r="N114" s="31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</row>
    <row r="115" spans="7:14" ht="20.100000000000001" customHeight="1" x14ac:dyDescent="0.15">
      <c r="H115" s="30"/>
      <c r="I115" s="7" t="s">
        <v>98</v>
      </c>
      <c r="J115" s="28" t="s">
        <v>345</v>
      </c>
      <c r="K115" s="30"/>
      <c r="N115" s="31"/>
    </row>
    <row r="116" spans="7:14" ht="20.100000000000001" customHeight="1" x14ac:dyDescent="0.15">
      <c r="H116" s="30"/>
      <c r="I116" s="7" t="s">
        <v>93</v>
      </c>
      <c r="J116" s="28" t="s">
        <v>346</v>
      </c>
      <c r="K116" s="30"/>
      <c r="N116" s="31"/>
    </row>
    <row r="117" spans="7:14" ht="20.100000000000001" customHeight="1" x14ac:dyDescent="0.15">
      <c r="G117" s="7" t="s">
        <v>99</v>
      </c>
      <c r="H117" s="30" t="s">
        <v>99</v>
      </c>
      <c r="I117" s="7" t="s">
        <v>101</v>
      </c>
      <c r="J117" s="28" t="s">
        <v>347</v>
      </c>
      <c r="K117" s="30"/>
      <c r="N117" s="31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</row>
    <row r="118" spans="7:14" ht="20.100000000000001" customHeight="1" x14ac:dyDescent="0.15">
      <c r="H118" s="30"/>
      <c r="I118" s="7" t="s">
        <v>6</v>
      </c>
      <c r="J118" s="28" t="s">
        <v>348</v>
      </c>
      <c r="K118" s="30"/>
      <c r="N118" s="31"/>
    </row>
    <row r="119" spans="7:14" ht="20.100000000000001" customHeight="1" x14ac:dyDescent="0.15">
      <c r="H119" s="30"/>
      <c r="I119" s="7" t="s">
        <v>7</v>
      </c>
      <c r="J119" s="28" t="s">
        <v>349</v>
      </c>
      <c r="K119" s="30"/>
      <c r="N119" s="31"/>
    </row>
    <row r="120" spans="7:14" ht="20.100000000000001" customHeight="1" x14ac:dyDescent="0.15">
      <c r="H120" s="30"/>
      <c r="I120" s="7" t="s">
        <v>8</v>
      </c>
      <c r="J120" s="28" t="s">
        <v>350</v>
      </c>
      <c r="K120" s="30"/>
      <c r="N120" s="31"/>
    </row>
    <row r="121" spans="7:14" ht="20.100000000000001" customHeight="1" x14ac:dyDescent="0.15">
      <c r="H121" s="30"/>
      <c r="I121" s="7" t="s">
        <v>16</v>
      </c>
      <c r="J121" s="28" t="s">
        <v>351</v>
      </c>
      <c r="K121" s="30"/>
      <c r="N121" s="31"/>
    </row>
    <row r="122" spans="7:14" ht="20.100000000000001" customHeight="1" x14ac:dyDescent="0.15">
      <c r="H122" s="30"/>
      <c r="I122" s="7" t="s">
        <v>17</v>
      </c>
      <c r="J122" s="28" t="s">
        <v>352</v>
      </c>
      <c r="K122" s="30"/>
      <c r="N122" s="31"/>
    </row>
    <row r="123" spans="7:14" ht="20.100000000000001" customHeight="1" x14ac:dyDescent="0.15">
      <c r="G123" s="7" t="s">
        <v>102</v>
      </c>
      <c r="H123" s="30" t="s">
        <v>105</v>
      </c>
      <c r="I123" s="7" t="s">
        <v>106</v>
      </c>
      <c r="J123" s="28" t="s">
        <v>353</v>
      </c>
      <c r="K123" s="30"/>
      <c r="N123" s="31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</row>
    <row r="124" spans="7:14" ht="20.100000000000001" customHeight="1" x14ac:dyDescent="0.15">
      <c r="H124" s="30"/>
      <c r="I124" s="7" t="s">
        <v>107</v>
      </c>
      <c r="J124" s="28" t="s">
        <v>354</v>
      </c>
      <c r="K124" s="30"/>
      <c r="N124" s="31"/>
    </row>
    <row r="125" spans="7:14" ht="20.100000000000001" customHeight="1" x14ac:dyDescent="0.15">
      <c r="H125" s="30"/>
      <c r="I125" s="7" t="s">
        <v>108</v>
      </c>
      <c r="J125" s="28" t="s">
        <v>355</v>
      </c>
      <c r="K125" s="30"/>
      <c r="N125" s="31"/>
    </row>
    <row r="126" spans="7:14" ht="20.100000000000001" customHeight="1" x14ac:dyDescent="0.15">
      <c r="H126" s="30"/>
      <c r="I126" s="7" t="s">
        <v>109</v>
      </c>
      <c r="J126" s="28" t="s">
        <v>355</v>
      </c>
      <c r="K126" s="30"/>
      <c r="N126" s="31"/>
    </row>
    <row r="127" spans="7:14" ht="20.100000000000001" customHeight="1" x14ac:dyDescent="0.15">
      <c r="H127" s="30"/>
      <c r="I127" s="7" t="s">
        <v>110</v>
      </c>
      <c r="J127" s="28" t="s">
        <v>354</v>
      </c>
      <c r="K127" s="30"/>
      <c r="N127" s="31"/>
    </row>
    <row r="128" spans="7:14" ht="20.100000000000001" customHeight="1" x14ac:dyDescent="0.15">
      <c r="H128" s="30"/>
      <c r="I128" s="7" t="s">
        <v>111</v>
      </c>
      <c r="J128" s="28" t="s">
        <v>356</v>
      </c>
      <c r="K128" s="30"/>
      <c r="N128" s="31"/>
    </row>
    <row r="129" spans="7:14" ht="20.100000000000001" customHeight="1" x14ac:dyDescent="0.15">
      <c r="H129" s="30"/>
      <c r="I129" s="7" t="s">
        <v>112</v>
      </c>
      <c r="J129" s="28" t="s">
        <v>353</v>
      </c>
      <c r="K129" s="30"/>
      <c r="N129" s="31"/>
    </row>
    <row r="130" spans="7:14" ht="20.100000000000001" customHeight="1" x14ac:dyDescent="0.15">
      <c r="H130" s="30"/>
      <c r="I130" s="7" t="s">
        <v>113</v>
      </c>
      <c r="J130" s="28" t="s">
        <v>357</v>
      </c>
      <c r="K130" s="30"/>
      <c r="N130" s="31"/>
    </row>
    <row r="131" spans="7:14" ht="20.100000000000001" customHeight="1" x14ac:dyDescent="0.15">
      <c r="H131" s="30"/>
      <c r="I131" s="7" t="s">
        <v>114</v>
      </c>
      <c r="J131" s="28" t="s">
        <v>354</v>
      </c>
      <c r="K131" s="30"/>
      <c r="N131" s="31"/>
    </row>
    <row r="132" spans="7:14" ht="20.100000000000001" customHeight="1" x14ac:dyDescent="0.15">
      <c r="H132" s="30"/>
      <c r="I132" s="7" t="s">
        <v>115</v>
      </c>
      <c r="J132" s="23" t="s">
        <v>252</v>
      </c>
      <c r="K132" s="30"/>
      <c r="N132" s="31"/>
    </row>
    <row r="133" spans="7:14" ht="20.100000000000001" customHeight="1" x14ac:dyDescent="0.15">
      <c r="G133" s="7" t="s">
        <v>116</v>
      </c>
      <c r="H133" s="7" t="s">
        <v>117</v>
      </c>
      <c r="I133" s="7" t="s">
        <v>118</v>
      </c>
      <c r="J133" s="10" t="s">
        <v>124</v>
      </c>
      <c r="K133" s="30"/>
      <c r="N133" s="27" t="str">
        <f t="shared" ref="N133" si="30">TRIM(IF(LEN($J133)=0,"-",SUBSTITUTE($J133,","," ")))</f>
        <v>0 1 2 3 4 5 6 7 8 9</v>
      </c>
    </row>
  </sheetData>
  <mergeCells count="57">
    <mergeCell ref="M16:M17"/>
    <mergeCell ref="H123:H132"/>
    <mergeCell ref="N123:N132"/>
    <mergeCell ref="N117:N122"/>
    <mergeCell ref="N114:N116"/>
    <mergeCell ref="N111:N113"/>
    <mergeCell ref="H114:H116"/>
    <mergeCell ref="H117:H122"/>
    <mergeCell ref="K2:K133"/>
    <mergeCell ref="N109:N110"/>
    <mergeCell ref="N107:N108"/>
    <mergeCell ref="H107:H108"/>
    <mergeCell ref="H109:H110"/>
    <mergeCell ref="H111:H113"/>
    <mergeCell ref="H92:H93"/>
    <mergeCell ref="H94:H95"/>
    <mergeCell ref="H96:H97"/>
    <mergeCell ref="N83:N87"/>
    <mergeCell ref="H90:H91"/>
    <mergeCell ref="N90:N91"/>
    <mergeCell ref="H98:H99"/>
    <mergeCell ref="N98:N99"/>
    <mergeCell ref="N96:N97"/>
    <mergeCell ref="N94:N95"/>
    <mergeCell ref="N92:N93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M2:M6"/>
    <mergeCell ref="N2:N6"/>
    <mergeCell ref="A31:A47"/>
    <mergeCell ref="A48:A75"/>
    <mergeCell ref="A76:A85"/>
    <mergeCell ref="N7:N8"/>
    <mergeCell ref="M7:M8"/>
    <mergeCell ref="N25:N27"/>
    <mergeCell ref="N16:N17"/>
    <mergeCell ref="N40:N42"/>
    <mergeCell ref="N55:N57"/>
    <mergeCell ref="N70:N73"/>
    <mergeCell ref="H79:H80"/>
    <mergeCell ref="N79:N80"/>
    <mergeCell ref="N76:N77"/>
    <mergeCell ref="H83:H8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topLeftCell="A67" workbookViewId="0">
      <selection activeCell="D2" sqref="D2:E87"/>
    </sheetView>
  </sheetViews>
  <sheetFormatPr defaultRowHeight="13.5" x14ac:dyDescent="0.15"/>
  <cols>
    <col min="1" max="2" width="14.75" style="7" customWidth="1"/>
    <col min="3" max="3" width="21.75" style="10" customWidth="1"/>
    <col min="4" max="4" width="13.625" style="7" bestFit="1" customWidth="1"/>
    <col min="5" max="5" width="12.5" style="7" bestFit="1" customWidth="1"/>
    <col min="6" max="6" width="11.375" style="7" customWidth="1"/>
    <col min="7" max="7" width="18.5" style="7" bestFit="1" customWidth="1"/>
    <col min="8" max="8" width="15.75" style="7" customWidth="1"/>
    <col min="9" max="9" width="12.25" style="7" customWidth="1"/>
    <col min="10" max="10" width="9" style="7"/>
    <col min="11" max="11" width="15.125" style="7" customWidth="1"/>
    <col min="12" max="12" width="97.125" style="7" bestFit="1" customWidth="1"/>
    <col min="13" max="13" width="14.75" style="7" bestFit="1" customWidth="1"/>
    <col min="14" max="14" width="17.25" style="7" bestFit="1" customWidth="1"/>
    <col min="15" max="15" width="13.625" style="7" bestFit="1" customWidth="1"/>
    <col min="16" max="16" width="12.5" style="7" bestFit="1" customWidth="1"/>
    <col min="17" max="17" width="11.375" style="7" bestFit="1" customWidth="1"/>
    <col min="18" max="18" width="16" style="7" bestFit="1" customWidth="1"/>
    <col min="19" max="19" width="18.5" style="7" bestFit="1" customWidth="1"/>
    <col min="20" max="20" width="13.625" style="7" bestFit="1" customWidth="1"/>
    <col min="21" max="16384" width="9" style="7"/>
  </cols>
  <sheetData>
    <row r="1" spans="1:12" x14ac:dyDescent="0.15">
      <c r="A1" s="7" t="s">
        <v>241</v>
      </c>
      <c r="B1" s="7" t="s">
        <v>242</v>
      </c>
      <c r="C1" s="7" t="s">
        <v>243</v>
      </c>
      <c r="D1" s="7" t="s">
        <v>244</v>
      </c>
      <c r="E1" s="7" t="s">
        <v>245</v>
      </c>
      <c r="F1" s="7" t="s">
        <v>246</v>
      </c>
      <c r="G1" s="7" t="s">
        <v>247</v>
      </c>
      <c r="H1" s="7" t="s">
        <v>248</v>
      </c>
      <c r="I1" s="7" t="s">
        <v>249</v>
      </c>
    </row>
    <row r="2" spans="1:12" x14ac:dyDescent="0.15">
      <c r="A2" s="14" t="s">
        <v>4</v>
      </c>
      <c r="B2" s="14" t="s">
        <v>5</v>
      </c>
      <c r="C2" s="13" t="s">
        <v>323</v>
      </c>
      <c r="D2" s="13" t="s">
        <v>337</v>
      </c>
      <c r="E2" s="14"/>
      <c r="F2" s="13" t="s">
        <v>344</v>
      </c>
      <c r="G2" s="14" t="s">
        <v>254</v>
      </c>
      <c r="H2" s="14">
        <v>3175.2000000000003</v>
      </c>
      <c r="I2" s="14">
        <v>7941.2000000000007</v>
      </c>
      <c r="J2" s="7">
        <f>11*2*2</f>
        <v>44</v>
      </c>
      <c r="K2" s="22"/>
      <c r="L2" s="22"/>
    </row>
    <row r="3" spans="1:12" x14ac:dyDescent="0.15">
      <c r="A3" s="14" t="s">
        <v>18</v>
      </c>
      <c r="B3" s="14" t="s">
        <v>20</v>
      </c>
      <c r="C3" s="13" t="s">
        <v>324</v>
      </c>
      <c r="D3" s="13" t="s">
        <v>337</v>
      </c>
      <c r="E3" s="14"/>
      <c r="F3" s="14">
        <v>120</v>
      </c>
      <c r="G3" s="14" t="s">
        <v>254</v>
      </c>
      <c r="H3" s="14">
        <v>0</v>
      </c>
      <c r="I3" s="14">
        <v>7821.2000000000007</v>
      </c>
      <c r="K3" s="22"/>
      <c r="L3" s="22"/>
    </row>
    <row r="4" spans="1:12" x14ac:dyDescent="0.15">
      <c r="A4" s="14" t="s">
        <v>18</v>
      </c>
      <c r="B4" s="14" t="s">
        <v>21</v>
      </c>
      <c r="C4" s="13" t="s">
        <v>293</v>
      </c>
      <c r="D4" s="13" t="s">
        <v>336</v>
      </c>
      <c r="E4" s="14"/>
      <c r="F4" s="14">
        <v>18</v>
      </c>
      <c r="G4" s="14" t="s">
        <v>254</v>
      </c>
      <c r="H4" s="14">
        <v>0</v>
      </c>
      <c r="I4" s="14">
        <v>7803.2000000000007</v>
      </c>
      <c r="K4" s="22"/>
      <c r="L4" s="22"/>
    </row>
    <row r="5" spans="1:12" x14ac:dyDescent="0.15">
      <c r="A5" s="14" t="s">
        <v>18</v>
      </c>
      <c r="B5" s="14" t="s">
        <v>23</v>
      </c>
      <c r="C5" s="13" t="s">
        <v>294</v>
      </c>
      <c r="D5" s="13" t="s">
        <v>336</v>
      </c>
      <c r="E5" s="14"/>
      <c r="F5" s="14">
        <v>270</v>
      </c>
      <c r="G5" s="14" t="s">
        <v>254</v>
      </c>
      <c r="H5" s="14">
        <v>0</v>
      </c>
      <c r="I5" s="14">
        <v>7533.2000000000007</v>
      </c>
      <c r="K5" s="22"/>
      <c r="L5" s="21"/>
    </row>
    <row r="6" spans="1:12" x14ac:dyDescent="0.15">
      <c r="A6" s="14" t="s">
        <v>18</v>
      </c>
      <c r="B6" s="14" t="s">
        <v>25</v>
      </c>
      <c r="C6" s="13" t="s">
        <v>295</v>
      </c>
      <c r="D6" s="13" t="s">
        <v>336</v>
      </c>
      <c r="E6" s="14"/>
      <c r="F6" s="14">
        <v>224</v>
      </c>
      <c r="G6" s="14" t="s">
        <v>254</v>
      </c>
      <c r="H6" s="14">
        <v>3528</v>
      </c>
      <c r="I6" s="14">
        <v>10837.2</v>
      </c>
      <c r="K6" s="22"/>
      <c r="L6" s="21"/>
    </row>
    <row r="7" spans="1:12" x14ac:dyDescent="0.15">
      <c r="A7" s="13" t="s">
        <v>18</v>
      </c>
      <c r="B7" s="13" t="s">
        <v>27</v>
      </c>
      <c r="C7" s="13" t="s">
        <v>295</v>
      </c>
      <c r="D7" s="13" t="s">
        <v>336</v>
      </c>
      <c r="E7" s="14"/>
      <c r="F7" s="14">
        <v>180</v>
      </c>
      <c r="G7" s="14" t="s">
        <v>254</v>
      </c>
      <c r="H7" s="14">
        <v>0</v>
      </c>
      <c r="I7" s="20">
        <v>10657.2</v>
      </c>
      <c r="K7" s="22"/>
      <c r="L7" s="21"/>
    </row>
    <row r="8" spans="1:12" x14ac:dyDescent="0.15">
      <c r="A8" s="13" t="s">
        <v>18</v>
      </c>
      <c r="B8" s="13" t="s">
        <v>28</v>
      </c>
      <c r="C8" s="13" t="s">
        <v>296</v>
      </c>
      <c r="D8" s="13" t="s">
        <v>336</v>
      </c>
      <c r="E8" s="21"/>
      <c r="F8" s="21">
        <v>30</v>
      </c>
      <c r="G8" s="21" t="s">
        <v>254</v>
      </c>
      <c r="H8" s="21">
        <v>0</v>
      </c>
      <c r="I8" s="20">
        <v>10627.2</v>
      </c>
      <c r="K8" s="22"/>
      <c r="L8" s="21"/>
    </row>
    <row r="9" spans="1:12" x14ac:dyDescent="0.15">
      <c r="A9" s="13" t="s">
        <v>18</v>
      </c>
      <c r="B9" s="13" t="s">
        <v>29</v>
      </c>
      <c r="C9" s="13" t="s">
        <v>297</v>
      </c>
      <c r="D9" s="13" t="s">
        <v>336</v>
      </c>
      <c r="E9" s="21"/>
      <c r="F9" s="21">
        <v>120</v>
      </c>
      <c r="G9" s="21" t="s">
        <v>254</v>
      </c>
      <c r="H9" s="21">
        <v>0</v>
      </c>
      <c r="I9" s="20">
        <v>10507.2</v>
      </c>
      <c r="K9" s="22"/>
      <c r="L9" s="21"/>
    </row>
    <row r="10" spans="1:12" x14ac:dyDescent="0.15">
      <c r="A10" s="13" t="s">
        <v>18</v>
      </c>
      <c r="B10" s="13" t="s">
        <v>30</v>
      </c>
      <c r="C10" s="13" t="s">
        <v>298</v>
      </c>
      <c r="D10" s="13" t="s">
        <v>336</v>
      </c>
      <c r="E10" s="21"/>
      <c r="F10" s="21">
        <v>30</v>
      </c>
      <c r="G10" s="21" t="s">
        <v>254</v>
      </c>
      <c r="H10" s="21">
        <v>0</v>
      </c>
      <c r="I10" s="20">
        <v>10477.200000000001</v>
      </c>
      <c r="K10" s="22"/>
      <c r="L10" s="21"/>
    </row>
    <row r="11" spans="1:12" x14ac:dyDescent="0.15">
      <c r="A11" s="13" t="s">
        <v>32</v>
      </c>
      <c r="B11" s="13" t="s">
        <v>20</v>
      </c>
      <c r="C11" s="13" t="s">
        <v>299</v>
      </c>
      <c r="D11" s="13" t="s">
        <v>340</v>
      </c>
      <c r="E11" s="14"/>
      <c r="F11" s="14">
        <v>24</v>
      </c>
      <c r="G11" s="14" t="s">
        <v>254</v>
      </c>
      <c r="H11" s="14">
        <v>0</v>
      </c>
      <c r="I11" s="20">
        <v>10453.200000000001</v>
      </c>
      <c r="K11" s="22"/>
      <c r="L11" s="21"/>
    </row>
    <row r="12" spans="1:12" x14ac:dyDescent="0.15">
      <c r="A12" s="13" t="s">
        <v>32</v>
      </c>
      <c r="B12" s="13" t="s">
        <v>21</v>
      </c>
      <c r="C12" s="13" t="s">
        <v>300</v>
      </c>
      <c r="D12" s="13" t="s">
        <v>341</v>
      </c>
      <c r="E12" s="14"/>
      <c r="F12" s="14">
        <v>48</v>
      </c>
      <c r="G12" s="14" t="s">
        <v>254</v>
      </c>
      <c r="H12" s="14">
        <v>0</v>
      </c>
      <c r="I12" s="20">
        <v>10405.200000000001</v>
      </c>
      <c r="K12" s="22"/>
      <c r="L12" s="21"/>
    </row>
    <row r="13" spans="1:12" x14ac:dyDescent="0.15">
      <c r="A13" s="13" t="s">
        <v>32</v>
      </c>
      <c r="B13" s="13" t="s">
        <v>23</v>
      </c>
      <c r="C13" s="13" t="s">
        <v>301</v>
      </c>
      <c r="D13" s="13" t="s">
        <v>338</v>
      </c>
      <c r="E13" s="14"/>
      <c r="F13" s="14">
        <v>518</v>
      </c>
      <c r="G13" s="14" t="s">
        <v>254</v>
      </c>
      <c r="H13" s="14">
        <v>0</v>
      </c>
      <c r="I13" s="20">
        <v>9887.2000000000007</v>
      </c>
      <c r="K13" s="22"/>
      <c r="L13" s="21"/>
    </row>
    <row r="14" spans="1:12" x14ac:dyDescent="0.15">
      <c r="A14" s="13" t="s">
        <v>32</v>
      </c>
      <c r="B14" s="13" t="s">
        <v>25</v>
      </c>
      <c r="C14" s="13" t="s">
        <v>302</v>
      </c>
      <c r="D14" s="13" t="s">
        <v>338</v>
      </c>
      <c r="E14" s="14"/>
      <c r="F14" s="14">
        <v>396</v>
      </c>
      <c r="G14" s="14" t="s">
        <v>254</v>
      </c>
      <c r="H14" s="14">
        <v>0</v>
      </c>
      <c r="I14" s="20">
        <v>9491.2000000000007</v>
      </c>
      <c r="K14" s="22"/>
      <c r="L14" s="21"/>
    </row>
    <row r="15" spans="1:12" x14ac:dyDescent="0.15">
      <c r="A15" s="13" t="s">
        <v>32</v>
      </c>
      <c r="B15" s="13" t="s">
        <v>27</v>
      </c>
      <c r="C15" s="13" t="s">
        <v>295</v>
      </c>
      <c r="D15" s="13" t="s">
        <v>338</v>
      </c>
      <c r="E15" s="14"/>
      <c r="F15" s="14">
        <v>210</v>
      </c>
      <c r="G15" s="14" t="s">
        <v>254</v>
      </c>
      <c r="H15" s="14">
        <v>0</v>
      </c>
      <c r="I15" s="20">
        <v>9281.2000000000007</v>
      </c>
      <c r="K15" s="22"/>
      <c r="L15" s="21"/>
    </row>
    <row r="16" spans="1:12" x14ac:dyDescent="0.15">
      <c r="A16" s="13" t="s">
        <v>32</v>
      </c>
      <c r="B16" s="13" t="s">
        <v>28</v>
      </c>
      <c r="C16" s="13" t="s">
        <v>255</v>
      </c>
      <c r="D16" s="13" t="s">
        <v>338</v>
      </c>
      <c r="E16" s="14"/>
      <c r="F16" s="14">
        <v>0</v>
      </c>
      <c r="G16" s="14" t="s">
        <v>254</v>
      </c>
      <c r="H16" s="14">
        <v>0</v>
      </c>
      <c r="I16" s="20">
        <v>9281.2000000000007</v>
      </c>
      <c r="K16" s="22"/>
      <c r="L16" s="21"/>
    </row>
    <row r="17" spans="1:12" x14ac:dyDescent="0.15">
      <c r="A17" s="13" t="s">
        <v>32</v>
      </c>
      <c r="B17" s="13" t="s">
        <v>29</v>
      </c>
      <c r="C17" s="13" t="s">
        <v>303</v>
      </c>
      <c r="D17" s="13" t="s">
        <v>338</v>
      </c>
      <c r="E17" s="14"/>
      <c r="F17" s="14">
        <v>72</v>
      </c>
      <c r="G17" s="14" t="s">
        <v>254</v>
      </c>
      <c r="H17" s="14">
        <v>0</v>
      </c>
      <c r="I17" s="20">
        <v>9209.2000000000007</v>
      </c>
      <c r="K17" s="22"/>
      <c r="L17" s="21"/>
    </row>
    <row r="18" spans="1:12" x14ac:dyDescent="0.15">
      <c r="A18" s="13" t="s">
        <v>32</v>
      </c>
      <c r="B18" s="13" t="s">
        <v>30</v>
      </c>
      <c r="C18" s="13" t="s">
        <v>304</v>
      </c>
      <c r="D18" s="13" t="s">
        <v>338</v>
      </c>
      <c r="E18" s="14"/>
      <c r="F18" s="14">
        <v>540</v>
      </c>
      <c r="G18" s="14" t="s">
        <v>254</v>
      </c>
      <c r="H18" s="14">
        <v>0</v>
      </c>
      <c r="I18" s="20">
        <v>8669.2000000000007</v>
      </c>
      <c r="K18" s="22"/>
      <c r="L18" s="21"/>
    </row>
    <row r="19" spans="1:12" x14ac:dyDescent="0.15">
      <c r="A19" s="13" t="s">
        <v>33</v>
      </c>
      <c r="B19" s="13" t="s">
        <v>5</v>
      </c>
      <c r="C19" s="13" t="s">
        <v>322</v>
      </c>
      <c r="D19" s="13" t="s">
        <v>338</v>
      </c>
      <c r="E19" s="14"/>
      <c r="F19" s="14">
        <v>600</v>
      </c>
      <c r="G19" s="14" t="s">
        <v>254</v>
      </c>
      <c r="H19" s="14">
        <v>0</v>
      </c>
      <c r="I19" s="20">
        <v>8069.2000000000007</v>
      </c>
      <c r="K19" s="22"/>
      <c r="L19" s="22"/>
    </row>
    <row r="20" spans="1:12" x14ac:dyDescent="0.15">
      <c r="A20" s="13" t="s">
        <v>33</v>
      </c>
      <c r="B20" s="13" t="s">
        <v>34</v>
      </c>
      <c r="C20" s="13" t="s">
        <v>305</v>
      </c>
      <c r="D20" s="13" t="s">
        <v>338</v>
      </c>
      <c r="E20" s="14"/>
      <c r="F20" s="14">
        <v>20</v>
      </c>
      <c r="G20" s="14" t="s">
        <v>254</v>
      </c>
      <c r="H20" s="14">
        <v>0</v>
      </c>
      <c r="I20" s="20">
        <v>8049.2000000000007</v>
      </c>
      <c r="K20" s="22"/>
      <c r="L20" s="21"/>
    </row>
    <row r="21" spans="1:12" x14ac:dyDescent="0.15">
      <c r="A21" s="13" t="s">
        <v>33</v>
      </c>
      <c r="B21" s="13" t="s">
        <v>23</v>
      </c>
      <c r="C21" s="13" t="s">
        <v>306</v>
      </c>
      <c r="D21" s="13" t="s">
        <v>338</v>
      </c>
      <c r="E21" s="14"/>
      <c r="F21" s="14">
        <v>4572</v>
      </c>
      <c r="G21" s="14" t="s">
        <v>254</v>
      </c>
      <c r="H21" s="14">
        <v>0</v>
      </c>
      <c r="I21" s="20">
        <v>3477.2000000000007</v>
      </c>
      <c r="K21" s="22"/>
      <c r="L21" s="21"/>
    </row>
    <row r="22" spans="1:12" x14ac:dyDescent="0.15">
      <c r="A22" s="13" t="s">
        <v>33</v>
      </c>
      <c r="B22" s="13" t="s">
        <v>25</v>
      </c>
      <c r="C22" s="13" t="s">
        <v>307</v>
      </c>
      <c r="D22" s="13" t="s">
        <v>342</v>
      </c>
      <c r="E22" s="14"/>
      <c r="F22" s="14">
        <v>8792</v>
      </c>
      <c r="G22" s="14" t="s">
        <v>254</v>
      </c>
      <c r="H22" s="14">
        <v>0</v>
      </c>
      <c r="I22" s="20">
        <v>-5314.7999999999993</v>
      </c>
      <c r="K22" s="22"/>
      <c r="L22" s="21"/>
    </row>
    <row r="23" spans="1:12" x14ac:dyDescent="0.15">
      <c r="A23" s="13" t="s">
        <v>33</v>
      </c>
      <c r="B23" s="13" t="s">
        <v>29</v>
      </c>
      <c r="C23" s="13" t="s">
        <v>308</v>
      </c>
      <c r="D23" s="13" t="s">
        <v>343</v>
      </c>
      <c r="E23" s="14"/>
      <c r="F23" s="14">
        <v>0</v>
      </c>
      <c r="G23" s="14" t="s">
        <v>254</v>
      </c>
      <c r="H23" s="14">
        <v>0</v>
      </c>
      <c r="I23" s="20">
        <v>-5314.7999999999993</v>
      </c>
      <c r="K23" s="22"/>
      <c r="L23" s="21"/>
    </row>
    <row r="24" spans="1:12" x14ac:dyDescent="0.15">
      <c r="A24" s="13" t="s">
        <v>33</v>
      </c>
      <c r="B24" s="13" t="s">
        <v>35</v>
      </c>
      <c r="C24" s="13" t="s">
        <v>309</v>
      </c>
      <c r="D24" s="13" t="s">
        <v>339</v>
      </c>
      <c r="E24" s="14"/>
      <c r="F24" s="14">
        <v>0</v>
      </c>
      <c r="G24" s="14" t="s">
        <v>254</v>
      </c>
      <c r="H24" s="14">
        <v>0</v>
      </c>
      <c r="I24" s="20">
        <v>-5314.7999999999993</v>
      </c>
      <c r="K24" s="22"/>
      <c r="L24" s="21"/>
    </row>
    <row r="25" spans="1:12" x14ac:dyDescent="0.15">
      <c r="A25" s="13" t="s">
        <v>33</v>
      </c>
      <c r="B25" s="13" t="s">
        <v>36</v>
      </c>
      <c r="C25" s="13" t="s">
        <v>295</v>
      </c>
      <c r="D25" s="13" t="s">
        <v>339</v>
      </c>
      <c r="E25" s="14"/>
      <c r="F25" s="14">
        <v>0</v>
      </c>
      <c r="G25" s="14" t="s">
        <v>254</v>
      </c>
      <c r="H25" s="14">
        <v>0</v>
      </c>
      <c r="I25" s="20">
        <v>-5314.7999999999993</v>
      </c>
      <c r="K25" s="22"/>
      <c r="L25" s="21"/>
    </row>
    <row r="26" spans="1:12" x14ac:dyDescent="0.15">
      <c r="A26" s="13" t="s">
        <v>33</v>
      </c>
      <c r="B26" s="13" t="s">
        <v>37</v>
      </c>
      <c r="C26" s="13" t="s">
        <v>310</v>
      </c>
      <c r="D26" s="13" t="s">
        <v>339</v>
      </c>
      <c r="E26" s="14"/>
      <c r="F26" s="14">
        <v>20</v>
      </c>
      <c r="G26" s="14" t="s">
        <v>254</v>
      </c>
      <c r="H26" s="14">
        <v>0</v>
      </c>
      <c r="I26" s="20">
        <v>-5334.7999999999993</v>
      </c>
      <c r="K26" s="22"/>
      <c r="L26" s="21"/>
    </row>
    <row r="27" spans="1:12" x14ac:dyDescent="0.15">
      <c r="A27" s="13" t="s">
        <v>33</v>
      </c>
      <c r="B27" s="13" t="s">
        <v>30</v>
      </c>
      <c r="C27" s="13" t="s">
        <v>256</v>
      </c>
      <c r="D27" s="13" t="s">
        <v>339</v>
      </c>
      <c r="E27" s="14"/>
      <c r="F27" s="14">
        <v>0</v>
      </c>
      <c r="G27" s="14" t="s">
        <v>254</v>
      </c>
      <c r="H27" s="14">
        <v>0</v>
      </c>
      <c r="I27" s="20">
        <v>-5334.7999999999993</v>
      </c>
      <c r="K27" s="22"/>
      <c r="L27" s="21"/>
    </row>
    <row r="28" spans="1:12" x14ac:dyDescent="0.15">
      <c r="A28" s="13" t="s">
        <v>33</v>
      </c>
      <c r="B28" s="13" t="s">
        <v>38</v>
      </c>
      <c r="C28" s="13" t="s">
        <v>311</v>
      </c>
      <c r="D28" s="13" t="s">
        <v>339</v>
      </c>
      <c r="E28" s="14"/>
      <c r="F28" s="14">
        <v>2</v>
      </c>
      <c r="G28" s="14" t="s">
        <v>254</v>
      </c>
      <c r="H28" s="14">
        <v>0</v>
      </c>
      <c r="I28" s="20">
        <v>-5336.7999999999993</v>
      </c>
      <c r="K28" s="22"/>
      <c r="L28" s="21"/>
    </row>
    <row r="29" spans="1:12" x14ac:dyDescent="0.15">
      <c r="A29" s="13" t="s">
        <v>33</v>
      </c>
      <c r="B29" s="13" t="s">
        <v>39</v>
      </c>
      <c r="C29" s="13" t="s">
        <v>312</v>
      </c>
      <c r="D29" s="13" t="s">
        <v>339</v>
      </c>
      <c r="E29" s="14"/>
      <c r="F29" s="14">
        <v>8</v>
      </c>
      <c r="G29" s="14" t="s">
        <v>254</v>
      </c>
      <c r="H29" s="14">
        <v>0</v>
      </c>
      <c r="I29" s="20">
        <v>-5344.7999999999993</v>
      </c>
      <c r="K29" s="22"/>
      <c r="L29" s="21"/>
    </row>
    <row r="30" spans="1:12" x14ac:dyDescent="0.15">
      <c r="A30" s="13" t="s">
        <v>33</v>
      </c>
      <c r="B30" s="13" t="s">
        <v>41</v>
      </c>
      <c r="C30" s="13" t="s">
        <v>257</v>
      </c>
      <c r="D30" s="13" t="s">
        <v>339</v>
      </c>
      <c r="E30" s="14"/>
      <c r="F30" s="14">
        <v>0</v>
      </c>
      <c r="G30" s="14" t="s">
        <v>254</v>
      </c>
      <c r="H30" s="14">
        <v>0</v>
      </c>
      <c r="I30" s="20">
        <v>-5344.7999999999993</v>
      </c>
      <c r="K30" s="22"/>
      <c r="L30" s="21"/>
    </row>
    <row r="31" spans="1:12" x14ac:dyDescent="0.15">
      <c r="A31" s="13" t="s">
        <v>33</v>
      </c>
      <c r="B31" s="13" t="s">
        <v>42</v>
      </c>
      <c r="C31" s="13" t="s">
        <v>257</v>
      </c>
      <c r="D31" s="13" t="s">
        <v>339</v>
      </c>
      <c r="E31" s="21"/>
      <c r="F31" s="21">
        <v>0</v>
      </c>
      <c r="G31" s="21" t="s">
        <v>254</v>
      </c>
      <c r="H31" s="21">
        <v>0</v>
      </c>
      <c r="I31" s="21">
        <v>-5344.7999999999993</v>
      </c>
      <c r="K31" s="22"/>
      <c r="L31" s="21"/>
    </row>
    <row r="32" spans="1:12" x14ac:dyDescent="0.15">
      <c r="A32" s="13" t="s">
        <v>258</v>
      </c>
      <c r="B32" s="13" t="s">
        <v>5</v>
      </c>
      <c r="C32" s="13" t="s">
        <v>259</v>
      </c>
      <c r="D32" s="13" t="s">
        <v>339</v>
      </c>
      <c r="E32" s="21"/>
      <c r="F32" s="21">
        <v>0</v>
      </c>
      <c r="G32" s="21" t="s">
        <v>254</v>
      </c>
      <c r="H32" s="21">
        <v>0</v>
      </c>
      <c r="I32" s="21">
        <v>-5344.7999999999993</v>
      </c>
      <c r="K32" s="22"/>
      <c r="L32" s="22"/>
    </row>
    <row r="33" spans="1:12" x14ac:dyDescent="0.15">
      <c r="A33" s="13" t="s">
        <v>258</v>
      </c>
      <c r="B33" s="13" t="s">
        <v>34</v>
      </c>
      <c r="C33" s="13" t="s">
        <v>313</v>
      </c>
      <c r="D33" s="13" t="s">
        <v>339</v>
      </c>
      <c r="E33" s="21"/>
      <c r="F33" s="21">
        <v>6</v>
      </c>
      <c r="G33" s="21" t="s">
        <v>254</v>
      </c>
      <c r="H33" s="21">
        <v>0</v>
      </c>
      <c r="I33" s="21">
        <v>-5350.7999999999993</v>
      </c>
      <c r="K33" s="22"/>
      <c r="L33" s="21"/>
    </row>
    <row r="34" spans="1:12" x14ac:dyDescent="0.15">
      <c r="A34" s="13" t="s">
        <v>258</v>
      </c>
      <c r="B34" s="13" t="s">
        <v>23</v>
      </c>
      <c r="C34" s="13" t="s">
        <v>314</v>
      </c>
      <c r="D34" s="13" t="s">
        <v>339</v>
      </c>
      <c r="E34" s="21"/>
      <c r="F34" s="21">
        <v>0</v>
      </c>
      <c r="G34" s="21" t="s">
        <v>254</v>
      </c>
      <c r="H34" s="21">
        <v>0</v>
      </c>
      <c r="I34" s="21">
        <v>-5350.7999999999993</v>
      </c>
      <c r="K34" s="22"/>
      <c r="L34" s="21"/>
    </row>
    <row r="35" spans="1:12" x14ac:dyDescent="0.15">
      <c r="A35" s="13" t="s">
        <v>258</v>
      </c>
      <c r="B35" s="13" t="s">
        <v>25</v>
      </c>
      <c r="C35" s="13" t="s">
        <v>260</v>
      </c>
      <c r="D35" s="13" t="s">
        <v>339</v>
      </c>
      <c r="E35" s="21"/>
      <c r="F35" s="21">
        <v>3444</v>
      </c>
      <c r="G35" s="21" t="s">
        <v>254</v>
      </c>
      <c r="H35" s="21">
        <v>0</v>
      </c>
      <c r="I35" s="21">
        <v>-8794.7999999999993</v>
      </c>
      <c r="K35" s="22"/>
      <c r="L35" s="21"/>
    </row>
    <row r="36" spans="1:12" x14ac:dyDescent="0.15">
      <c r="A36" s="13" t="s">
        <v>258</v>
      </c>
      <c r="B36" s="13" t="s">
        <v>29</v>
      </c>
      <c r="C36" s="13" t="s">
        <v>315</v>
      </c>
      <c r="D36" s="13" t="s">
        <v>339</v>
      </c>
      <c r="E36" s="21"/>
      <c r="F36" s="21">
        <v>0</v>
      </c>
      <c r="G36" s="21" t="s">
        <v>254</v>
      </c>
      <c r="H36" s="21">
        <v>0</v>
      </c>
      <c r="I36" s="21">
        <v>-8794.7999999999993</v>
      </c>
      <c r="K36" s="22"/>
      <c r="L36" s="21"/>
    </row>
    <row r="37" spans="1:12" x14ac:dyDescent="0.15">
      <c r="A37" s="13" t="s">
        <v>258</v>
      </c>
      <c r="B37" s="13" t="s">
        <v>35</v>
      </c>
      <c r="C37" s="13" t="s">
        <v>257</v>
      </c>
      <c r="D37" s="13" t="s">
        <v>339</v>
      </c>
      <c r="E37" s="21"/>
      <c r="F37" s="21">
        <v>0</v>
      </c>
      <c r="G37" s="21" t="s">
        <v>254</v>
      </c>
      <c r="H37" s="21">
        <v>0</v>
      </c>
      <c r="I37" s="21">
        <v>-8794.7999999999993</v>
      </c>
      <c r="K37" s="22"/>
      <c r="L37" s="21"/>
    </row>
    <row r="38" spans="1:12" x14ac:dyDescent="0.15">
      <c r="A38" s="13" t="s">
        <v>258</v>
      </c>
      <c r="B38" s="13" t="s">
        <v>36</v>
      </c>
      <c r="C38" s="13" t="s">
        <v>257</v>
      </c>
      <c r="D38" s="13" t="s">
        <v>339</v>
      </c>
      <c r="E38" s="21"/>
      <c r="F38" s="21">
        <v>0</v>
      </c>
      <c r="G38" s="21" t="s">
        <v>254</v>
      </c>
      <c r="H38" s="21">
        <v>0</v>
      </c>
      <c r="I38" s="21">
        <v>-8794.7999999999993</v>
      </c>
      <c r="K38" s="22"/>
      <c r="L38" s="21"/>
    </row>
    <row r="39" spans="1:12" x14ac:dyDescent="0.15">
      <c r="A39" s="13" t="s">
        <v>258</v>
      </c>
      <c r="B39" s="13" t="s">
        <v>37</v>
      </c>
      <c r="C39" s="13" t="s">
        <v>311</v>
      </c>
      <c r="D39" s="13" t="s">
        <v>339</v>
      </c>
      <c r="E39" s="21"/>
      <c r="F39" s="21">
        <v>12</v>
      </c>
      <c r="G39" s="21" t="s">
        <v>254</v>
      </c>
      <c r="H39" s="21">
        <v>0</v>
      </c>
      <c r="I39" s="21">
        <v>-8806.7999999999993</v>
      </c>
      <c r="K39" s="22"/>
      <c r="L39" s="21"/>
    </row>
    <row r="40" spans="1:12" x14ac:dyDescent="0.15">
      <c r="A40" s="13" t="s">
        <v>258</v>
      </c>
      <c r="B40" s="13" t="s">
        <v>30</v>
      </c>
      <c r="C40" s="13" t="s">
        <v>257</v>
      </c>
      <c r="D40" s="13" t="s">
        <v>339</v>
      </c>
      <c r="E40" s="21"/>
      <c r="F40" s="21">
        <v>0</v>
      </c>
      <c r="G40" s="21" t="s">
        <v>254</v>
      </c>
      <c r="H40" s="21">
        <v>0</v>
      </c>
      <c r="I40" s="21">
        <v>-8806.7999999999993</v>
      </c>
      <c r="K40" s="22"/>
      <c r="L40" s="21"/>
    </row>
    <row r="41" spans="1:12" x14ac:dyDescent="0.15">
      <c r="A41" s="13" t="s">
        <v>258</v>
      </c>
      <c r="B41" s="13" t="s">
        <v>38</v>
      </c>
      <c r="C41" s="13" t="s">
        <v>316</v>
      </c>
      <c r="D41" s="21">
        <v>1</v>
      </c>
      <c r="E41" s="21"/>
      <c r="F41" s="21">
        <v>8</v>
      </c>
      <c r="G41" s="21" t="s">
        <v>254</v>
      </c>
      <c r="H41" s="21">
        <v>0</v>
      </c>
      <c r="I41" s="21">
        <v>-8814.7999999999993</v>
      </c>
      <c r="K41" s="22"/>
      <c r="L41" s="21"/>
    </row>
    <row r="42" spans="1:12" x14ac:dyDescent="0.15">
      <c r="A42" s="13" t="s">
        <v>258</v>
      </c>
      <c r="B42" s="13" t="s">
        <v>39</v>
      </c>
      <c r="C42" s="13" t="s">
        <v>317</v>
      </c>
      <c r="D42" s="21">
        <v>1</v>
      </c>
      <c r="E42" s="21"/>
      <c r="F42" s="21">
        <v>8</v>
      </c>
      <c r="G42" s="21" t="s">
        <v>254</v>
      </c>
      <c r="H42" s="21">
        <v>0</v>
      </c>
      <c r="I42" s="21">
        <v>-8822.7999999999993</v>
      </c>
      <c r="K42" s="22"/>
      <c r="L42" s="21"/>
    </row>
    <row r="43" spans="1:12" x14ac:dyDescent="0.15">
      <c r="A43" s="13" t="s">
        <v>258</v>
      </c>
      <c r="B43" s="13" t="s">
        <v>41</v>
      </c>
      <c r="C43" s="13" t="s">
        <v>257</v>
      </c>
      <c r="D43" s="26">
        <v>1</v>
      </c>
      <c r="E43" s="21"/>
      <c r="F43" s="21">
        <v>0</v>
      </c>
      <c r="G43" s="21" t="s">
        <v>254</v>
      </c>
      <c r="H43" s="21">
        <v>0</v>
      </c>
      <c r="I43" s="21">
        <v>-8822.7999999999993</v>
      </c>
      <c r="K43" s="22"/>
      <c r="L43" s="21"/>
    </row>
    <row r="44" spans="1:12" x14ac:dyDescent="0.15">
      <c r="A44" s="13" t="s">
        <v>258</v>
      </c>
      <c r="B44" s="13" t="s">
        <v>42</v>
      </c>
      <c r="C44" s="13" t="s">
        <v>257</v>
      </c>
      <c r="D44" s="26">
        <v>1</v>
      </c>
      <c r="E44" s="21"/>
      <c r="F44" s="21">
        <v>0</v>
      </c>
      <c r="G44" s="21" t="s">
        <v>254</v>
      </c>
      <c r="H44" s="21">
        <v>0</v>
      </c>
      <c r="I44" s="21">
        <v>-8822.7999999999993</v>
      </c>
      <c r="K44" s="22"/>
      <c r="L44" s="21"/>
    </row>
    <row r="45" spans="1:12" x14ac:dyDescent="0.15">
      <c r="A45" s="13" t="s">
        <v>261</v>
      </c>
      <c r="B45" s="13" t="s">
        <v>5</v>
      </c>
      <c r="C45" s="13" t="s">
        <v>262</v>
      </c>
      <c r="D45" s="26">
        <v>1</v>
      </c>
      <c r="E45" s="21"/>
      <c r="F45" s="21">
        <v>0</v>
      </c>
      <c r="G45" s="21" t="s">
        <v>254</v>
      </c>
      <c r="H45" s="21">
        <v>0</v>
      </c>
      <c r="I45" s="21">
        <v>-8822.7999999999993</v>
      </c>
      <c r="K45" s="22"/>
      <c r="L45" s="21"/>
    </row>
    <row r="46" spans="1:12" x14ac:dyDescent="0.15">
      <c r="A46" s="13" t="s">
        <v>261</v>
      </c>
      <c r="B46" s="13" t="s">
        <v>34</v>
      </c>
      <c r="C46" s="13" t="s">
        <v>255</v>
      </c>
      <c r="D46" s="26">
        <v>1</v>
      </c>
      <c r="E46" s="21"/>
      <c r="F46" s="21">
        <v>0</v>
      </c>
      <c r="G46" s="21" t="s">
        <v>254</v>
      </c>
      <c r="H46" s="21">
        <v>0</v>
      </c>
      <c r="I46" s="21">
        <v>-8822.7999999999993</v>
      </c>
      <c r="K46" s="22"/>
      <c r="L46" s="21"/>
    </row>
    <row r="47" spans="1:12" x14ac:dyDescent="0.15">
      <c r="A47" s="13" t="s">
        <v>261</v>
      </c>
      <c r="B47" s="13" t="s">
        <v>23</v>
      </c>
      <c r="C47" s="13" t="s">
        <v>263</v>
      </c>
      <c r="D47" s="26">
        <v>1</v>
      </c>
      <c r="E47" s="21"/>
      <c r="F47" s="21">
        <v>0</v>
      </c>
      <c r="G47" s="21" t="s">
        <v>254</v>
      </c>
      <c r="H47" s="21">
        <v>0</v>
      </c>
      <c r="I47" s="21">
        <v>-8822.7999999999993</v>
      </c>
      <c r="K47" s="22"/>
      <c r="L47" s="21"/>
    </row>
    <row r="48" spans="1:12" x14ac:dyDescent="0.15">
      <c r="A48" s="13" t="s">
        <v>261</v>
      </c>
      <c r="B48" s="13" t="s">
        <v>25</v>
      </c>
      <c r="C48" s="13" t="s">
        <v>257</v>
      </c>
      <c r="D48" s="26">
        <v>1</v>
      </c>
      <c r="E48" s="21"/>
      <c r="F48" s="21">
        <v>13104</v>
      </c>
      <c r="G48" s="21" t="s">
        <v>254</v>
      </c>
      <c r="H48" s="21">
        <v>0</v>
      </c>
      <c r="I48" s="21">
        <v>-21926.799999999999</v>
      </c>
      <c r="K48" s="22"/>
      <c r="L48" s="21"/>
    </row>
    <row r="49" spans="1:12" x14ac:dyDescent="0.15">
      <c r="A49" s="13" t="s">
        <v>261</v>
      </c>
      <c r="B49" s="13" t="s">
        <v>29</v>
      </c>
      <c r="C49" s="13" t="s">
        <v>318</v>
      </c>
      <c r="D49" s="26">
        <v>1</v>
      </c>
      <c r="E49" s="21"/>
      <c r="F49" s="21">
        <v>0</v>
      </c>
      <c r="G49" s="21" t="s">
        <v>254</v>
      </c>
      <c r="H49" s="21">
        <v>0</v>
      </c>
      <c r="I49" s="21">
        <v>-21926.799999999999</v>
      </c>
      <c r="K49" s="22"/>
      <c r="L49" s="21"/>
    </row>
    <row r="50" spans="1:12" x14ac:dyDescent="0.15">
      <c r="A50" s="13" t="s">
        <v>261</v>
      </c>
      <c r="B50" s="13" t="s">
        <v>35</v>
      </c>
      <c r="C50" s="13" t="s">
        <v>257</v>
      </c>
      <c r="D50" s="26">
        <v>1</v>
      </c>
      <c r="E50" s="21"/>
      <c r="F50" s="21">
        <v>0</v>
      </c>
      <c r="G50" s="21" t="s">
        <v>254</v>
      </c>
      <c r="H50" s="21">
        <v>0</v>
      </c>
      <c r="I50" s="21">
        <v>-21926.799999999999</v>
      </c>
      <c r="K50" s="22"/>
      <c r="L50" s="21"/>
    </row>
    <row r="51" spans="1:12" x14ac:dyDescent="0.15">
      <c r="A51" s="13" t="s">
        <v>261</v>
      </c>
      <c r="B51" s="13" t="s">
        <v>36</v>
      </c>
      <c r="C51" s="13" t="s">
        <v>257</v>
      </c>
      <c r="D51" s="26">
        <v>1</v>
      </c>
      <c r="E51" s="21"/>
      <c r="F51" s="21">
        <v>0</v>
      </c>
      <c r="G51" s="21" t="s">
        <v>254</v>
      </c>
      <c r="H51" s="21">
        <v>0</v>
      </c>
      <c r="I51" s="21">
        <v>-21926.799999999999</v>
      </c>
      <c r="K51" s="22"/>
      <c r="L51" s="21"/>
    </row>
    <row r="52" spans="1:12" x14ac:dyDescent="0.15">
      <c r="A52" s="13" t="s">
        <v>261</v>
      </c>
      <c r="B52" s="13" t="s">
        <v>37</v>
      </c>
      <c r="C52" s="13" t="s">
        <v>319</v>
      </c>
      <c r="D52" s="26">
        <v>1</v>
      </c>
      <c r="E52" s="21"/>
      <c r="F52" s="21">
        <v>12</v>
      </c>
      <c r="G52" s="21" t="s">
        <v>254</v>
      </c>
      <c r="H52" s="21">
        <v>0</v>
      </c>
      <c r="I52" s="21">
        <v>-21938.799999999999</v>
      </c>
      <c r="K52" s="22"/>
      <c r="L52" s="21"/>
    </row>
    <row r="53" spans="1:12" x14ac:dyDescent="0.15">
      <c r="A53" s="13" t="s">
        <v>261</v>
      </c>
      <c r="B53" s="13" t="s">
        <v>30</v>
      </c>
      <c r="C53" s="13" t="s">
        <v>257</v>
      </c>
      <c r="D53" s="26">
        <v>1</v>
      </c>
      <c r="E53" s="21"/>
      <c r="F53" s="21">
        <v>0</v>
      </c>
      <c r="G53" s="21" t="s">
        <v>254</v>
      </c>
      <c r="H53" s="21">
        <v>0</v>
      </c>
      <c r="I53" s="21">
        <v>-21938.799999999999</v>
      </c>
      <c r="K53" s="22"/>
      <c r="L53" s="21"/>
    </row>
    <row r="54" spans="1:12" x14ac:dyDescent="0.15">
      <c r="A54" s="13" t="s">
        <v>261</v>
      </c>
      <c r="B54" s="13" t="s">
        <v>38</v>
      </c>
      <c r="C54" s="13" t="s">
        <v>311</v>
      </c>
      <c r="D54" s="26">
        <v>1</v>
      </c>
      <c r="E54" s="21"/>
      <c r="F54" s="21">
        <v>12</v>
      </c>
      <c r="G54" s="21" t="s">
        <v>254</v>
      </c>
      <c r="H54" s="21">
        <v>0</v>
      </c>
      <c r="I54" s="21">
        <v>-21950.799999999999</v>
      </c>
      <c r="K54" s="22"/>
      <c r="L54" s="21"/>
    </row>
    <row r="55" spans="1:12" x14ac:dyDescent="0.15">
      <c r="A55" s="13" t="s">
        <v>261</v>
      </c>
      <c r="B55" s="13" t="s">
        <v>39</v>
      </c>
      <c r="C55" s="13" t="s">
        <v>320</v>
      </c>
      <c r="D55" s="26">
        <v>1</v>
      </c>
      <c r="E55" s="21"/>
      <c r="F55" s="21">
        <v>10</v>
      </c>
      <c r="G55" s="21" t="s">
        <v>254</v>
      </c>
      <c r="H55" s="21">
        <v>0</v>
      </c>
      <c r="I55" s="21">
        <v>-21960.799999999999</v>
      </c>
      <c r="K55" s="22"/>
      <c r="L55" s="21"/>
    </row>
    <row r="56" spans="1:12" x14ac:dyDescent="0.15">
      <c r="A56" s="13" t="s">
        <v>261</v>
      </c>
      <c r="B56" s="13" t="s">
        <v>41</v>
      </c>
      <c r="C56" s="13" t="s">
        <v>257</v>
      </c>
      <c r="D56" s="26">
        <v>1</v>
      </c>
      <c r="E56" s="21"/>
      <c r="F56" s="21">
        <v>0</v>
      </c>
      <c r="G56" s="21" t="s">
        <v>254</v>
      </c>
      <c r="H56" s="21">
        <v>0</v>
      </c>
      <c r="I56" s="21">
        <v>-21960.799999999999</v>
      </c>
      <c r="K56" s="22"/>
      <c r="L56" s="21"/>
    </row>
    <row r="57" spans="1:12" x14ac:dyDescent="0.15">
      <c r="A57" s="13" t="s">
        <v>261</v>
      </c>
      <c r="B57" s="13" t="s">
        <v>42</v>
      </c>
      <c r="C57" s="13" t="s">
        <v>257</v>
      </c>
      <c r="D57" s="26">
        <v>1</v>
      </c>
      <c r="E57" s="21"/>
      <c r="F57" s="21">
        <v>0</v>
      </c>
      <c r="G57" s="21" t="s">
        <v>254</v>
      </c>
      <c r="H57" s="21">
        <v>0</v>
      </c>
      <c r="I57" s="21">
        <v>-21960.799999999999</v>
      </c>
      <c r="K57" s="22"/>
      <c r="L57" s="21"/>
    </row>
    <row r="58" spans="1:12" x14ac:dyDescent="0.15">
      <c r="A58" s="13" t="s">
        <v>264</v>
      </c>
      <c r="B58" s="13" t="s">
        <v>5</v>
      </c>
      <c r="C58" s="13" t="s">
        <v>268</v>
      </c>
      <c r="D58" s="26">
        <v>1</v>
      </c>
      <c r="E58" s="21"/>
      <c r="F58" s="21">
        <v>0</v>
      </c>
      <c r="G58" s="21" t="s">
        <v>254</v>
      </c>
      <c r="H58" s="21">
        <v>0</v>
      </c>
      <c r="I58" s="21">
        <v>-21960.799999999999</v>
      </c>
      <c r="K58" s="22"/>
      <c r="L58" s="21"/>
    </row>
    <row r="59" spans="1:12" x14ac:dyDescent="0.15">
      <c r="A59" s="13" t="s">
        <v>264</v>
      </c>
      <c r="B59" s="13" t="s">
        <v>34</v>
      </c>
      <c r="C59" s="13" t="s">
        <v>271</v>
      </c>
      <c r="D59" s="26">
        <v>1</v>
      </c>
      <c r="E59" s="21"/>
      <c r="F59" s="21">
        <v>0</v>
      </c>
      <c r="G59" s="21" t="s">
        <v>254</v>
      </c>
      <c r="H59" s="21">
        <v>0</v>
      </c>
      <c r="I59" s="21">
        <v>-21960.799999999999</v>
      </c>
      <c r="K59" s="22"/>
      <c r="L59" s="21"/>
    </row>
    <row r="60" spans="1:12" x14ac:dyDescent="0.15">
      <c r="A60" s="13" t="s">
        <v>264</v>
      </c>
      <c r="B60" s="13" t="s">
        <v>265</v>
      </c>
      <c r="C60" s="13" t="s">
        <v>272</v>
      </c>
      <c r="D60" s="26">
        <v>1</v>
      </c>
      <c r="E60" s="21"/>
      <c r="F60" s="21">
        <v>0</v>
      </c>
      <c r="G60" s="21" t="s">
        <v>254</v>
      </c>
      <c r="H60" s="21">
        <v>0</v>
      </c>
      <c r="I60" s="21">
        <v>-21960.799999999999</v>
      </c>
      <c r="K60" s="22"/>
      <c r="L60" s="21"/>
    </row>
    <row r="61" spans="1:12" x14ac:dyDescent="0.15">
      <c r="A61" s="13" t="s">
        <v>264</v>
      </c>
      <c r="B61" s="13" t="s">
        <v>266</v>
      </c>
      <c r="C61" s="13" t="s">
        <v>274</v>
      </c>
      <c r="D61" s="26">
        <v>1</v>
      </c>
      <c r="E61" s="21"/>
      <c r="F61" s="21">
        <v>0</v>
      </c>
      <c r="G61" s="21" t="s">
        <v>254</v>
      </c>
      <c r="H61" s="21">
        <v>0</v>
      </c>
      <c r="I61" s="21">
        <v>0</v>
      </c>
      <c r="K61" s="22"/>
      <c r="L61" s="21"/>
    </row>
    <row r="62" spans="1:12" x14ac:dyDescent="0.15">
      <c r="A62" s="13" t="s">
        <v>264</v>
      </c>
      <c r="B62" s="13" t="s">
        <v>267</v>
      </c>
      <c r="C62" s="13" t="s">
        <v>257</v>
      </c>
      <c r="D62" s="26">
        <v>1</v>
      </c>
      <c r="E62" s="21"/>
      <c r="F62" s="24">
        <v>0</v>
      </c>
      <c r="G62" s="21" t="s">
        <v>254</v>
      </c>
      <c r="H62" s="21">
        <v>0</v>
      </c>
      <c r="I62" s="24">
        <v>0</v>
      </c>
      <c r="K62" s="22"/>
      <c r="L62" s="21"/>
    </row>
    <row r="63" spans="1:12" x14ac:dyDescent="0.15">
      <c r="A63" s="13" t="s">
        <v>264</v>
      </c>
      <c r="B63" s="13" t="s">
        <v>269</v>
      </c>
      <c r="C63" s="13" t="s">
        <v>278</v>
      </c>
      <c r="D63" s="26">
        <v>1</v>
      </c>
      <c r="E63" s="21"/>
      <c r="F63" s="24">
        <v>0</v>
      </c>
      <c r="G63" s="21" t="s">
        <v>254</v>
      </c>
      <c r="H63" s="21">
        <v>0</v>
      </c>
      <c r="I63" s="24">
        <v>0</v>
      </c>
      <c r="K63" s="22"/>
      <c r="L63" s="21"/>
    </row>
    <row r="64" spans="1:12" x14ac:dyDescent="0.15">
      <c r="A64" s="13" t="s">
        <v>264</v>
      </c>
      <c r="B64" s="13" t="s">
        <v>41</v>
      </c>
      <c r="C64" s="13" t="s">
        <v>257</v>
      </c>
      <c r="D64" s="21">
        <v>5</v>
      </c>
      <c r="E64" s="21"/>
      <c r="F64" s="24">
        <v>0</v>
      </c>
      <c r="G64" s="21" t="s">
        <v>254</v>
      </c>
      <c r="H64" s="21">
        <v>0</v>
      </c>
      <c r="I64" s="24">
        <v>0</v>
      </c>
      <c r="K64" s="22"/>
      <c r="L64" s="21"/>
    </row>
    <row r="65" spans="1:12" x14ac:dyDescent="0.15">
      <c r="A65" s="13" t="s">
        <v>264</v>
      </c>
      <c r="B65" s="13" t="s">
        <v>42</v>
      </c>
      <c r="C65" s="13" t="s">
        <v>257</v>
      </c>
      <c r="D65" s="21">
        <v>5</v>
      </c>
      <c r="E65" s="21"/>
      <c r="F65" s="24">
        <v>0</v>
      </c>
      <c r="G65" s="21" t="s">
        <v>254</v>
      </c>
      <c r="H65" s="21">
        <v>0</v>
      </c>
      <c r="I65" s="24">
        <v>0</v>
      </c>
      <c r="K65" s="22"/>
      <c r="L65" s="21"/>
    </row>
    <row r="66" spans="1:12" x14ac:dyDescent="0.15">
      <c r="A66" s="13" t="s">
        <v>270</v>
      </c>
      <c r="B66" s="13" t="s">
        <v>5</v>
      </c>
      <c r="C66" s="13" t="s">
        <v>281</v>
      </c>
      <c r="D66" s="26">
        <v>5</v>
      </c>
      <c r="E66" s="21"/>
      <c r="F66" s="24">
        <v>0</v>
      </c>
      <c r="G66" s="21" t="s">
        <v>254</v>
      </c>
      <c r="H66" s="21">
        <v>0</v>
      </c>
      <c r="I66" s="24">
        <v>0</v>
      </c>
      <c r="K66" s="22"/>
      <c r="L66" s="21"/>
    </row>
    <row r="67" spans="1:12" x14ac:dyDescent="0.15">
      <c r="A67" s="13" t="s">
        <v>270</v>
      </c>
      <c r="B67" s="13" t="s">
        <v>34</v>
      </c>
      <c r="C67" s="13" t="s">
        <v>321</v>
      </c>
      <c r="D67" s="26">
        <v>5</v>
      </c>
      <c r="E67" s="21"/>
      <c r="F67" s="24">
        <v>0</v>
      </c>
      <c r="G67" s="21" t="s">
        <v>254</v>
      </c>
      <c r="H67" s="21">
        <v>0</v>
      </c>
      <c r="I67" s="24">
        <v>0</v>
      </c>
      <c r="K67" s="22"/>
      <c r="L67" s="21"/>
    </row>
    <row r="68" spans="1:12" x14ac:dyDescent="0.15">
      <c r="A68" s="13" t="s">
        <v>270</v>
      </c>
      <c r="B68" s="13" t="s">
        <v>273</v>
      </c>
      <c r="C68" s="13" t="s">
        <v>257</v>
      </c>
      <c r="D68" s="26">
        <v>5</v>
      </c>
      <c r="E68" s="21"/>
      <c r="F68" s="24">
        <v>0</v>
      </c>
      <c r="G68" s="21" t="s">
        <v>254</v>
      </c>
      <c r="H68" s="21">
        <v>0</v>
      </c>
      <c r="I68" s="24">
        <v>0</v>
      </c>
      <c r="K68" s="22"/>
      <c r="L68" s="21"/>
    </row>
    <row r="69" spans="1:12" x14ac:dyDescent="0.15">
      <c r="A69" s="13" t="s">
        <v>270</v>
      </c>
      <c r="B69" s="13" t="s">
        <v>275</v>
      </c>
      <c r="C69" s="13" t="s">
        <v>288</v>
      </c>
      <c r="D69" s="26">
        <v>5</v>
      </c>
      <c r="E69" s="21"/>
      <c r="F69" s="24">
        <v>0</v>
      </c>
      <c r="G69" s="21" t="s">
        <v>254</v>
      </c>
      <c r="H69" s="21">
        <v>0</v>
      </c>
      <c r="I69" s="24">
        <v>0</v>
      </c>
      <c r="K69" s="22"/>
      <c r="L69" s="21"/>
    </row>
    <row r="70" spans="1:12" x14ac:dyDescent="0.15">
      <c r="A70" s="13" t="s">
        <v>270</v>
      </c>
      <c r="B70" s="13" t="s">
        <v>276</v>
      </c>
      <c r="C70" s="13" t="s">
        <v>289</v>
      </c>
      <c r="D70" s="26">
        <v>5</v>
      </c>
      <c r="E70" s="21"/>
      <c r="F70" s="24">
        <v>0</v>
      </c>
      <c r="G70" s="21" t="s">
        <v>254</v>
      </c>
      <c r="H70" s="21">
        <v>0</v>
      </c>
      <c r="I70" s="24">
        <v>0</v>
      </c>
      <c r="K70" s="22"/>
      <c r="L70" s="21"/>
    </row>
    <row r="71" spans="1:12" x14ac:dyDescent="0.15">
      <c r="A71" s="13" t="s">
        <v>270</v>
      </c>
      <c r="B71" s="13" t="s">
        <v>277</v>
      </c>
      <c r="C71" s="13" t="s">
        <v>325</v>
      </c>
      <c r="D71" s="26">
        <v>5</v>
      </c>
      <c r="E71" s="21"/>
      <c r="F71" s="24">
        <v>0</v>
      </c>
      <c r="G71" s="21" t="s">
        <v>254</v>
      </c>
      <c r="H71" s="21">
        <v>0</v>
      </c>
      <c r="I71" s="24">
        <v>0</v>
      </c>
      <c r="K71" s="22"/>
      <c r="L71" s="22"/>
    </row>
    <row r="72" spans="1:12" x14ac:dyDescent="0.15">
      <c r="A72" s="13" t="s">
        <v>270</v>
      </c>
      <c r="B72" s="13" t="s">
        <v>279</v>
      </c>
      <c r="C72" s="13" t="s">
        <v>329</v>
      </c>
      <c r="D72" s="26">
        <v>5</v>
      </c>
      <c r="E72" s="21"/>
      <c r="F72" s="24">
        <v>0</v>
      </c>
      <c r="G72" s="21" t="s">
        <v>254</v>
      </c>
      <c r="H72" s="21">
        <v>0</v>
      </c>
      <c r="I72" s="24">
        <v>0</v>
      </c>
      <c r="K72" s="22"/>
      <c r="L72" s="22"/>
    </row>
    <row r="73" spans="1:12" x14ac:dyDescent="0.15">
      <c r="A73" s="13" t="s">
        <v>270</v>
      </c>
      <c r="B73" s="13" t="s">
        <v>280</v>
      </c>
      <c r="C73" s="13" t="s">
        <v>335</v>
      </c>
      <c r="D73" s="26">
        <v>5</v>
      </c>
      <c r="E73" s="21"/>
      <c r="F73" s="24">
        <v>0</v>
      </c>
      <c r="G73" s="21" t="s">
        <v>254</v>
      </c>
      <c r="H73" s="21">
        <v>0</v>
      </c>
      <c r="I73" s="24">
        <v>0</v>
      </c>
      <c r="K73" s="22"/>
      <c r="L73" s="25"/>
    </row>
    <row r="74" spans="1:12" x14ac:dyDescent="0.15">
      <c r="A74" s="13" t="s">
        <v>270</v>
      </c>
      <c r="B74" s="13" t="s">
        <v>41</v>
      </c>
      <c r="C74" s="13" t="s">
        <v>257</v>
      </c>
      <c r="D74" s="26">
        <v>5</v>
      </c>
      <c r="E74" s="21"/>
      <c r="F74" s="24">
        <v>0</v>
      </c>
      <c r="G74" s="21" t="s">
        <v>254</v>
      </c>
      <c r="H74" s="21">
        <v>0</v>
      </c>
      <c r="I74" s="24">
        <v>0</v>
      </c>
      <c r="K74" s="22"/>
      <c r="L74" s="21"/>
    </row>
    <row r="75" spans="1:12" x14ac:dyDescent="0.15">
      <c r="A75" s="13" t="s">
        <v>270</v>
      </c>
      <c r="B75" s="13" t="s">
        <v>42</v>
      </c>
      <c r="C75" s="13" t="s">
        <v>328</v>
      </c>
      <c r="D75" s="26">
        <v>5</v>
      </c>
      <c r="E75" s="21"/>
      <c r="F75" s="24">
        <v>0</v>
      </c>
      <c r="G75" s="21" t="s">
        <v>254</v>
      </c>
      <c r="H75" s="21">
        <v>0</v>
      </c>
      <c r="I75" s="24">
        <v>0</v>
      </c>
      <c r="K75" s="22"/>
      <c r="L75" s="21"/>
    </row>
    <row r="76" spans="1:12" x14ac:dyDescent="0.15">
      <c r="A76" s="13" t="s">
        <v>270</v>
      </c>
      <c r="B76" s="13" t="s">
        <v>282</v>
      </c>
      <c r="C76" s="13" t="s">
        <v>257</v>
      </c>
      <c r="D76" s="26">
        <v>5</v>
      </c>
      <c r="E76" s="21"/>
      <c r="F76" s="24">
        <v>0</v>
      </c>
      <c r="G76" s="21" t="s">
        <v>254</v>
      </c>
      <c r="H76" s="21">
        <v>0</v>
      </c>
      <c r="I76" s="24">
        <v>0</v>
      </c>
      <c r="K76" s="22"/>
      <c r="L76" s="21"/>
    </row>
    <row r="77" spans="1:12" x14ac:dyDescent="0.15">
      <c r="A77" s="13" t="s">
        <v>270</v>
      </c>
      <c r="B77" s="13" t="s">
        <v>283</v>
      </c>
      <c r="C77" s="13" t="s">
        <v>257</v>
      </c>
      <c r="D77" s="26">
        <v>5</v>
      </c>
      <c r="E77" s="21"/>
      <c r="F77" s="24">
        <v>0</v>
      </c>
      <c r="G77" s="21" t="s">
        <v>254</v>
      </c>
      <c r="H77" s="21">
        <v>0</v>
      </c>
      <c r="I77" s="24">
        <v>0</v>
      </c>
      <c r="K77" s="22"/>
      <c r="L77" s="21"/>
    </row>
    <row r="78" spans="1:12" x14ac:dyDescent="0.15">
      <c r="A78" s="13" t="s">
        <v>270</v>
      </c>
      <c r="B78" s="13" t="s">
        <v>284</v>
      </c>
      <c r="C78" s="13" t="s">
        <v>257</v>
      </c>
      <c r="D78" s="26">
        <v>5</v>
      </c>
      <c r="E78" s="21"/>
      <c r="F78" s="24">
        <v>0</v>
      </c>
      <c r="G78" s="21" t="s">
        <v>254</v>
      </c>
      <c r="H78" s="21">
        <v>0</v>
      </c>
      <c r="I78" s="24">
        <v>0</v>
      </c>
      <c r="K78" s="22"/>
      <c r="L78" s="21"/>
    </row>
    <row r="79" spans="1:12" x14ac:dyDescent="0.15">
      <c r="A79" s="13" t="s">
        <v>270</v>
      </c>
      <c r="B79" s="13" t="s">
        <v>285</v>
      </c>
      <c r="C79" s="13" t="s">
        <v>327</v>
      </c>
      <c r="D79" s="26">
        <v>5</v>
      </c>
      <c r="E79" s="21"/>
      <c r="F79" s="24">
        <v>0</v>
      </c>
      <c r="G79" s="21" t="s">
        <v>254</v>
      </c>
      <c r="H79" s="21">
        <v>0</v>
      </c>
      <c r="I79" s="24">
        <v>0</v>
      </c>
      <c r="K79" s="22"/>
      <c r="L79" s="21"/>
    </row>
    <row r="80" spans="1:12" x14ac:dyDescent="0.15">
      <c r="A80" s="13" t="s">
        <v>270</v>
      </c>
      <c r="B80" s="13" t="s">
        <v>286</v>
      </c>
      <c r="C80" s="13" t="s">
        <v>257</v>
      </c>
      <c r="D80" s="26">
        <v>5</v>
      </c>
      <c r="E80" s="21"/>
      <c r="F80" s="24">
        <v>0</v>
      </c>
      <c r="G80" s="21" t="s">
        <v>254</v>
      </c>
      <c r="H80" s="21">
        <v>0</v>
      </c>
      <c r="I80" s="24">
        <v>0</v>
      </c>
      <c r="K80" s="22"/>
      <c r="L80" s="21"/>
    </row>
    <row r="81" spans="1:12" x14ac:dyDescent="0.15">
      <c r="A81" s="13" t="s">
        <v>287</v>
      </c>
      <c r="B81" s="13" t="s">
        <v>18</v>
      </c>
      <c r="C81" s="13" t="s">
        <v>330</v>
      </c>
      <c r="D81" s="26">
        <v>5</v>
      </c>
      <c r="E81" s="21"/>
      <c r="F81" s="24">
        <v>0</v>
      </c>
      <c r="G81" s="21" t="s">
        <v>254</v>
      </c>
      <c r="H81" s="21">
        <v>0</v>
      </c>
      <c r="I81" s="24">
        <v>0</v>
      </c>
      <c r="K81" s="22"/>
      <c r="L81" s="22"/>
    </row>
    <row r="82" spans="1:12" x14ac:dyDescent="0.15">
      <c r="A82" s="13" t="s">
        <v>287</v>
      </c>
      <c r="B82" s="13" t="s">
        <v>32</v>
      </c>
      <c r="C82" s="13" t="s">
        <v>330</v>
      </c>
      <c r="D82" s="21">
        <v>3</v>
      </c>
      <c r="E82" s="21"/>
      <c r="F82" s="24">
        <v>0</v>
      </c>
      <c r="G82" s="21" t="s">
        <v>254</v>
      </c>
      <c r="H82" s="21">
        <v>0</v>
      </c>
      <c r="I82" s="24">
        <v>0</v>
      </c>
      <c r="K82" s="22"/>
      <c r="L82" s="22"/>
    </row>
    <row r="83" spans="1:12" x14ac:dyDescent="0.15">
      <c r="A83" s="13" t="s">
        <v>287</v>
      </c>
      <c r="B83" s="13" t="s">
        <v>33</v>
      </c>
      <c r="C83" s="13" t="s">
        <v>331</v>
      </c>
      <c r="D83" s="21">
        <v>2</v>
      </c>
      <c r="E83" s="21"/>
      <c r="F83" s="24">
        <v>0</v>
      </c>
      <c r="G83" s="21" t="s">
        <v>254</v>
      </c>
      <c r="H83" s="21">
        <v>0</v>
      </c>
      <c r="I83" s="24">
        <v>0</v>
      </c>
      <c r="K83" s="22"/>
      <c r="L83" s="22"/>
    </row>
    <row r="84" spans="1:12" x14ac:dyDescent="0.15">
      <c r="A84" s="13" t="s">
        <v>287</v>
      </c>
      <c r="B84" s="13" t="s">
        <v>261</v>
      </c>
      <c r="C84" s="13" t="s">
        <v>331</v>
      </c>
      <c r="D84" s="21">
        <v>3</v>
      </c>
      <c r="E84" s="21"/>
      <c r="F84" s="24">
        <v>0</v>
      </c>
      <c r="G84" s="21" t="s">
        <v>254</v>
      </c>
      <c r="H84" s="21">
        <v>0</v>
      </c>
      <c r="I84" s="24">
        <v>0</v>
      </c>
      <c r="K84" s="22"/>
      <c r="L84" s="22"/>
    </row>
    <row r="85" spans="1:12" x14ac:dyDescent="0.15">
      <c r="A85" s="13" t="s">
        <v>290</v>
      </c>
      <c r="B85" s="13" t="s">
        <v>290</v>
      </c>
      <c r="C85" s="13" t="s">
        <v>332</v>
      </c>
      <c r="D85" s="21">
        <v>1</v>
      </c>
      <c r="E85" s="21">
        <v>3</v>
      </c>
      <c r="F85" s="24">
        <v>0</v>
      </c>
      <c r="G85" s="21" t="s">
        <v>254</v>
      </c>
      <c r="H85" s="21">
        <v>0</v>
      </c>
      <c r="I85" s="24">
        <v>0</v>
      </c>
      <c r="K85" s="22"/>
      <c r="L85" s="22"/>
    </row>
    <row r="86" spans="1:12" x14ac:dyDescent="0.15">
      <c r="A86" s="13" t="s">
        <v>291</v>
      </c>
      <c r="B86" s="13" t="s">
        <v>291</v>
      </c>
      <c r="C86" s="13" t="s">
        <v>333</v>
      </c>
      <c r="D86" s="21">
        <v>3</v>
      </c>
      <c r="E86" s="21">
        <v>4</v>
      </c>
      <c r="F86" s="24">
        <v>0</v>
      </c>
      <c r="G86" s="21" t="s">
        <v>254</v>
      </c>
      <c r="H86" s="21">
        <v>0</v>
      </c>
      <c r="I86" s="24">
        <v>0</v>
      </c>
      <c r="K86" s="22"/>
      <c r="L86" s="22"/>
    </row>
    <row r="87" spans="1:12" x14ac:dyDescent="0.15">
      <c r="A87" s="13" t="s">
        <v>292</v>
      </c>
      <c r="B87" s="13" t="s">
        <v>292</v>
      </c>
      <c r="C87" s="13" t="s">
        <v>334</v>
      </c>
      <c r="D87" s="21">
        <v>2</v>
      </c>
      <c r="E87" s="21"/>
      <c r="F87" s="24">
        <v>0</v>
      </c>
      <c r="G87" s="21" t="s">
        <v>254</v>
      </c>
      <c r="H87" s="21">
        <v>0</v>
      </c>
      <c r="I87" s="24">
        <v>0</v>
      </c>
      <c r="K87" s="22"/>
      <c r="L87" s="21"/>
    </row>
    <row r="88" spans="1:12" x14ac:dyDescent="0.15">
      <c r="A88" s="13"/>
      <c r="B88" s="13"/>
      <c r="C88" s="15"/>
    </row>
    <row r="89" spans="1:12" x14ac:dyDescent="0.15">
      <c r="A89" s="13"/>
      <c r="B89" s="13"/>
      <c r="C89" s="15"/>
    </row>
    <row r="90" spans="1:12" x14ac:dyDescent="0.15">
      <c r="A90" s="13"/>
      <c r="B90" s="13"/>
      <c r="C90" s="15"/>
    </row>
    <row r="91" spans="1:12" x14ac:dyDescent="0.15">
      <c r="A91" s="13"/>
      <c r="B91" s="13"/>
      <c r="C91" s="15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2018-06-11T06:53:21Z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