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SC" sheetId="2" r:id="rId2"/>
    <sheet name="agent" sheetId="7" r:id="rId3"/>
    <sheet name="层级关系" sheetId="8" r:id="rId4"/>
    <sheet name="导出XML" sheetId="4" r:id="rId5"/>
  </sheets>
  <functionGroups builtInGroupCount="18"/>
  <definedNames>
    <definedName name="_xlnm._FilterDatabase" localSheetId="2" hidden="1">agent!$O$1:$P$30</definedName>
    <definedName name="_xlnm._FilterDatabase" localSheetId="0" hidden="1">Sheet1!$A$1:$W$88</definedName>
  </definedNames>
  <calcPr calcId="162913" iterate="1" iterateCount="101"/>
</workbook>
</file>

<file path=xl/calcChain.xml><?xml version="1.0" encoding="utf-8"?>
<calcChain xmlns="http://schemas.openxmlformats.org/spreadsheetml/2006/main">
  <c r="H80" i="1" l="1"/>
  <c r="X87" i="1"/>
  <c r="X8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8" i="1"/>
  <c r="X2" i="1"/>
  <c r="Q133" i="2"/>
  <c r="Q123" i="2"/>
  <c r="Q117" i="2"/>
  <c r="Q114" i="2"/>
  <c r="Q111" i="2"/>
  <c r="Q109" i="2"/>
  <c r="Q107" i="2"/>
  <c r="L124" i="2"/>
  <c r="L132" i="2"/>
  <c r="L123" i="2"/>
  <c r="K132" i="2"/>
  <c r="K131" i="2"/>
  <c r="L131" i="2" s="1"/>
  <c r="K130" i="2"/>
  <c r="L130" i="2" s="1"/>
  <c r="K129" i="2"/>
  <c r="L129" i="2" s="1"/>
  <c r="K128" i="2"/>
  <c r="L128" i="2" s="1"/>
  <c r="K127" i="2"/>
  <c r="L127" i="2" s="1"/>
  <c r="K126" i="2"/>
  <c r="L126" i="2" s="1"/>
  <c r="K125" i="2"/>
  <c r="L125" i="2" s="1"/>
  <c r="K124" i="2"/>
  <c r="K122" i="2"/>
  <c r="K121" i="2"/>
  <c r="K120" i="2"/>
  <c r="K118" i="2"/>
  <c r="K119" i="2" s="1"/>
  <c r="L120" i="2" s="1"/>
  <c r="L119" i="2"/>
  <c r="L121" i="2"/>
  <c r="L118" i="2"/>
  <c r="L117" i="2"/>
  <c r="L2" i="8"/>
  <c r="L122" i="2" l="1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L6" i="7" s="1"/>
  <c r="M6" i="7" s="1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G6" i="7" l="1"/>
  <c r="C10" i="7" s="1"/>
  <c r="E10" i="7" s="1"/>
  <c r="I6" i="7"/>
  <c r="G5" i="7"/>
  <c r="C8" i="7" s="1"/>
  <c r="E8" i="7" s="1"/>
  <c r="I5" i="7"/>
  <c r="C9" i="7" s="1"/>
  <c r="E9" i="7" s="1"/>
  <c r="L9" i="7"/>
  <c r="M9" i="7" s="1"/>
  <c r="I2" i="7"/>
  <c r="C4" i="7" s="1"/>
  <c r="E4" i="7" s="1"/>
  <c r="K104" i="2"/>
  <c r="Q104" i="2"/>
  <c r="Q105" i="2"/>
  <c r="Q106" i="2"/>
  <c r="Q103" i="2"/>
  <c r="Q102" i="2"/>
  <c r="Q101" i="2"/>
  <c r="Q100" i="2"/>
  <c r="R94" i="2"/>
  <c r="K96" i="2"/>
  <c r="O78" i="2"/>
  <c r="K94" i="2"/>
  <c r="K89" i="2"/>
  <c r="L89" i="2" s="1"/>
  <c r="L90" i="2" s="1"/>
  <c r="Q89" i="2"/>
  <c r="Q83" i="2"/>
  <c r="Q70" i="2"/>
  <c r="Q82" i="2"/>
  <c r="K82" i="2"/>
  <c r="L82" i="2" s="1"/>
  <c r="Q81" i="2"/>
  <c r="K81" i="2"/>
  <c r="L88" i="2"/>
  <c r="M98" i="2" s="1"/>
  <c r="H73" i="1" s="1"/>
  <c r="T102" i="2"/>
  <c r="Q78" i="2"/>
  <c r="L77" i="2"/>
  <c r="L78" i="2" s="1"/>
  <c r="L76" i="2"/>
  <c r="T98" i="2" a="1"/>
  <c r="T98" i="2" s="1"/>
  <c r="Q98" i="2" s="1"/>
  <c r="T96" i="2" a="1"/>
  <c r="T96" i="2" s="1"/>
  <c r="Q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D71" i="1" l="1"/>
  <c r="M105" i="2"/>
  <c r="H79" i="1" s="1"/>
  <c r="M106" i="2"/>
  <c r="L91" i="2"/>
  <c r="L12" i="7"/>
  <c r="M12" i="7" s="1"/>
  <c r="N9" i="7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M75" i="2"/>
  <c r="H60" i="1" s="1"/>
  <c r="I16" i="7" l="1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N6" i="7"/>
  <c r="O6" i="7" s="1"/>
  <c r="G19" i="7"/>
  <c r="C34" i="7" s="1"/>
  <c r="E34" i="7" s="1"/>
  <c r="I19" i="7"/>
  <c r="C35" i="7" s="1"/>
  <c r="E35" i="7" s="1"/>
  <c r="N12" i="7"/>
  <c r="O9" i="7" s="1"/>
  <c r="L15" i="7"/>
  <c r="M15" i="7" s="1"/>
  <c r="L86" i="1" l="1"/>
  <c r="L87" i="1"/>
  <c r="M86" i="1"/>
  <c r="M87" i="1"/>
  <c r="G12" i="7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N15" i="7"/>
  <c r="O12" i="7" s="1"/>
  <c r="L18" i="7"/>
  <c r="M18" i="7" s="1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N86" i="1" l="1"/>
  <c r="N87" i="1"/>
  <c r="I45" i="7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L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N18" i="7"/>
  <c r="O15" i="7" s="1"/>
  <c r="L21" i="7"/>
  <c r="M21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O86" i="1" l="1"/>
  <c r="O87" i="1"/>
  <c r="G80" i="7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L24" i="7"/>
  <c r="M24" i="7" s="1"/>
  <c r="N21" i="7"/>
  <c r="O18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P86" i="1" l="1"/>
  <c r="P87" i="1"/>
  <c r="G121" i="7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N24" i="7"/>
  <c r="O21" i="7" s="1"/>
  <c r="L27" i="7"/>
  <c r="M27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Q86" i="1" l="1"/>
  <c r="Q87" i="1"/>
  <c r="G160" i="7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N27" i="7"/>
  <c r="O24" i="7" s="1"/>
  <c r="L30" i="7"/>
  <c r="M30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R87" i="1" l="1"/>
  <c r="R86" i="1"/>
  <c r="N30" i="7"/>
  <c r="O27" i="7" s="1"/>
  <c r="L33" i="7"/>
  <c r="M33" i="7" s="1"/>
  <c r="N33" i="7" s="1"/>
  <c r="O33" i="7" s="1"/>
  <c r="G185" i="7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S87" i="1" l="1"/>
  <c r="S86" i="1"/>
  <c r="O30" i="7"/>
  <c r="I193" i="7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T86" i="1" l="1"/>
  <c r="T87" i="1"/>
  <c r="U86" i="1"/>
  <c r="U87" i="1"/>
  <c r="G200" i="7"/>
  <c r="I200" i="7"/>
  <c r="G201" i="7"/>
  <c r="I201" i="7"/>
  <c r="Q75" i="2" l="1"/>
  <c r="Q55" i="2"/>
  <c r="Q69" i="2"/>
  <c r="Q68" i="2"/>
  <c r="Q63" i="2"/>
  <c r="Q62" i="2"/>
  <c r="M48" i="2"/>
  <c r="H38" i="1" s="1"/>
  <c r="Q40" i="2"/>
  <c r="Q54" i="2"/>
  <c r="Q53" i="2"/>
  <c r="Q48" i="2"/>
  <c r="Q47" i="2"/>
  <c r="Q32" i="2"/>
  <c r="Q33" i="2"/>
  <c r="Q39" i="2"/>
  <c r="Q38" i="2"/>
  <c r="Q74" i="2"/>
  <c r="Q66" i="2"/>
  <c r="Q64" i="2"/>
  <c r="Q67" i="2"/>
  <c r="Q58" i="2"/>
  <c r="Q36" i="2"/>
  <c r="Q37" i="2"/>
  <c r="Q52" i="2"/>
  <c r="Q51" i="2"/>
  <c r="Q43" i="2"/>
  <c r="Q49" i="2"/>
  <c r="Q34" i="2"/>
  <c r="D5" i="2" l="1"/>
  <c r="D3" i="2"/>
  <c r="Q16" i="2"/>
  <c r="Q21" i="2"/>
  <c r="Q25" i="2"/>
  <c r="L21" i="2"/>
  <c r="L20" i="2"/>
  <c r="L19" i="2"/>
  <c r="L18" i="2"/>
  <c r="L17" i="2"/>
  <c r="L16" i="2"/>
  <c r="O15" i="2"/>
  <c r="L12" i="2"/>
  <c r="Q12" i="2"/>
  <c r="Q7" i="2"/>
  <c r="S133" i="2"/>
  <c r="S123" i="2"/>
  <c r="S117" i="2"/>
  <c r="S114" i="2"/>
  <c r="S111" i="2"/>
  <c r="S109" i="2"/>
  <c r="S101" i="2"/>
  <c r="S102" i="2"/>
  <c r="S103" i="2"/>
  <c r="S104" i="2"/>
  <c r="S105" i="2"/>
  <c r="S106" i="2"/>
  <c r="S107" i="2"/>
  <c r="S100" i="2"/>
  <c r="S98" i="2"/>
  <c r="S96" i="2"/>
  <c r="S94" i="2"/>
  <c r="S92" i="2"/>
  <c r="S89" i="2"/>
  <c r="S90" i="2"/>
  <c r="S88" i="2"/>
  <c r="S82" i="2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S2" i="2"/>
  <c r="R7" i="2"/>
  <c r="R9" i="2"/>
  <c r="R10" i="2"/>
  <c r="D5" i="1" s="1"/>
  <c r="R11" i="2"/>
  <c r="D6" i="1" s="1"/>
  <c r="R12" i="2"/>
  <c r="D7" i="1" s="1"/>
  <c r="R13" i="2"/>
  <c r="D8" i="1" s="1"/>
  <c r="R14" i="2"/>
  <c r="D9" i="1" s="1"/>
  <c r="R15" i="2"/>
  <c r="D10" i="1" s="1"/>
  <c r="R16" i="2"/>
  <c r="D11" i="1" s="1"/>
  <c r="R18" i="2"/>
  <c r="R19" i="2"/>
  <c r="D13" i="1" s="1"/>
  <c r="R20" i="2"/>
  <c r="D14" i="1" s="1"/>
  <c r="R21" i="2"/>
  <c r="D15" i="1" s="1"/>
  <c r="R22" i="2"/>
  <c r="D16" i="1" s="1"/>
  <c r="R23" i="2"/>
  <c r="D17" i="1" s="1"/>
  <c r="R24" i="2"/>
  <c r="D18" i="1" s="1"/>
  <c r="R25" i="2"/>
  <c r="D19" i="1" s="1"/>
  <c r="R28" i="2"/>
  <c r="R29" i="2"/>
  <c r="D21" i="1" s="1"/>
  <c r="R30" i="2"/>
  <c r="D22" i="1" s="1"/>
  <c r="R31" i="2"/>
  <c r="R32" i="2"/>
  <c r="D24" i="1" s="1"/>
  <c r="R33" i="2"/>
  <c r="R34" i="2"/>
  <c r="D26" i="1" s="1"/>
  <c r="R35" i="2"/>
  <c r="M35" i="2" s="1"/>
  <c r="R36" i="2"/>
  <c r="D28" i="1" s="1"/>
  <c r="R37" i="2"/>
  <c r="R38" i="2"/>
  <c r="D30" i="1" s="1"/>
  <c r="R39" i="2"/>
  <c r="D31" i="1" s="1"/>
  <c r="R40" i="2"/>
  <c r="D32" i="1" s="1"/>
  <c r="R43" i="2"/>
  <c r="R44" i="2"/>
  <c r="D34" i="1" s="1"/>
  <c r="R45" i="2"/>
  <c r="D35" i="1" s="1"/>
  <c r="R46" i="2"/>
  <c r="D36" i="1" s="1"/>
  <c r="R47" i="2"/>
  <c r="D37" i="1" s="1"/>
  <c r="R48" i="2"/>
  <c r="R49" i="2"/>
  <c r="D39" i="1" s="1"/>
  <c r="R50" i="2"/>
  <c r="D40" i="1" s="1"/>
  <c r="R51" i="2"/>
  <c r="D41" i="1" s="1"/>
  <c r="R52" i="2"/>
  <c r="R53" i="2"/>
  <c r="D43" i="1" s="1"/>
  <c r="R54" i="2"/>
  <c r="D44" i="1" s="1"/>
  <c r="R55" i="2"/>
  <c r="D45" i="1" s="1"/>
  <c r="R58" i="2"/>
  <c r="R59" i="2"/>
  <c r="D47" i="1" s="1"/>
  <c r="R60" i="2"/>
  <c r="D48" i="1" s="1"/>
  <c r="R61" i="2"/>
  <c r="D49" i="1" s="1"/>
  <c r="R62" i="2"/>
  <c r="R63" i="2"/>
  <c r="D51" i="1" s="1"/>
  <c r="R64" i="2"/>
  <c r="D52" i="1" s="1"/>
  <c r="R65" i="2"/>
  <c r="D53" i="1" s="1"/>
  <c r="R66" i="2"/>
  <c r="R67" i="2"/>
  <c r="D55" i="1" s="1"/>
  <c r="R68" i="2"/>
  <c r="D56" i="1" s="1"/>
  <c r="R69" i="2"/>
  <c r="D57" i="1" s="1"/>
  <c r="R70" i="2"/>
  <c r="D58" i="1" s="1"/>
  <c r="R74" i="2"/>
  <c r="R75" i="2"/>
  <c r="R76" i="2"/>
  <c r="D61" i="1" s="1"/>
  <c r="R78" i="2"/>
  <c r="R79" i="2"/>
  <c r="R81" i="2"/>
  <c r="R82" i="2"/>
  <c r="D65" i="1" s="1"/>
  <c r="R83" i="2"/>
  <c r="D66" i="1" s="1"/>
  <c r="R88" i="2"/>
  <c r="R89" i="2"/>
  <c r="R90" i="2"/>
  <c r="R92" i="2"/>
  <c r="R96" i="2"/>
  <c r="R98" i="2"/>
  <c r="N98" i="2" s="1"/>
  <c r="K73" i="1" s="1"/>
  <c r="R100" i="2"/>
  <c r="R101" i="2"/>
  <c r="D75" i="1" s="1"/>
  <c r="R102" i="2"/>
  <c r="D76" i="1" s="1"/>
  <c r="R103" i="2"/>
  <c r="D77" i="1" s="1"/>
  <c r="R104" i="2"/>
  <c r="D78" i="1" s="1"/>
  <c r="R105" i="2"/>
  <c r="R106" i="2"/>
  <c r="R107" i="2"/>
  <c r="D81" i="1" s="1"/>
  <c r="R109" i="2"/>
  <c r="R111" i="2"/>
  <c r="D83" i="1" s="1"/>
  <c r="R114" i="2"/>
  <c r="R117" i="2"/>
  <c r="R123" i="2"/>
  <c r="E86" i="1" s="1"/>
  <c r="R133" i="2"/>
  <c r="R2" i="2"/>
  <c r="Q3" i="2"/>
  <c r="Q4" i="2"/>
  <c r="Q5" i="2"/>
  <c r="Q6" i="2"/>
  <c r="Q2" i="2"/>
  <c r="Q13" i="2"/>
  <c r="Q18" i="2"/>
  <c r="Q9" i="2"/>
  <c r="Q28" i="2"/>
  <c r="Q22" i="2"/>
  <c r="P73" i="1" l="1"/>
  <c r="M73" i="1"/>
  <c r="U73" i="1"/>
  <c r="Q73" i="1"/>
  <c r="R73" i="1"/>
  <c r="S73" i="1"/>
  <c r="N73" i="1"/>
  <c r="L73" i="1"/>
  <c r="T73" i="1"/>
  <c r="O73" i="1"/>
  <c r="N35" i="2"/>
  <c r="K27" i="1" s="1"/>
  <c r="H27" i="1"/>
  <c r="D88" i="1"/>
  <c r="D80" i="1"/>
  <c r="N106" i="2"/>
  <c r="K80" i="1" s="1"/>
  <c r="D79" i="1"/>
  <c r="N105" i="2"/>
  <c r="K79" i="1" s="1"/>
  <c r="D69" i="1"/>
  <c r="D68" i="1"/>
  <c r="D63" i="1"/>
  <c r="D62" i="1"/>
  <c r="D60" i="1"/>
  <c r="N75" i="2"/>
  <c r="K60" i="1" s="1"/>
  <c r="D54" i="1"/>
  <c r="D50" i="1"/>
  <c r="D42" i="1"/>
  <c r="D38" i="1"/>
  <c r="N48" i="2"/>
  <c r="K38" i="1" s="1"/>
  <c r="D23" i="1"/>
  <c r="M31" i="2"/>
  <c r="D27" i="1"/>
  <c r="D29" i="1"/>
  <c r="D25" i="1"/>
  <c r="E85" i="1"/>
  <c r="P114" i="2"/>
  <c r="F84" i="1" s="1"/>
  <c r="D84" i="1"/>
  <c r="D82" i="1"/>
  <c r="P111" i="2"/>
  <c r="F83" i="1" s="1"/>
  <c r="D74" i="1"/>
  <c r="D73" i="1"/>
  <c r="D72" i="1"/>
  <c r="D70" i="1"/>
  <c r="P106" i="2"/>
  <c r="F80" i="1" s="1"/>
  <c r="P105" i="2"/>
  <c r="F79" i="1" s="1"/>
  <c r="D67" i="1"/>
  <c r="D64" i="1"/>
  <c r="M101" i="2"/>
  <c r="H75" i="1" s="1"/>
  <c r="M100" i="2"/>
  <c r="H74" i="1" s="1"/>
  <c r="D59" i="1"/>
  <c r="P98" i="2"/>
  <c r="F73" i="1" s="1"/>
  <c r="D46" i="1"/>
  <c r="D33" i="1"/>
  <c r="D20" i="1"/>
  <c r="D12" i="1"/>
  <c r="D4" i="1"/>
  <c r="P90" i="2"/>
  <c r="F69" i="1" s="1"/>
  <c r="M89" i="2"/>
  <c r="H68" i="1" s="1"/>
  <c r="D3" i="1"/>
  <c r="P75" i="2"/>
  <c r="F60" i="1" s="1"/>
  <c r="M54" i="2"/>
  <c r="M46" i="2"/>
  <c r="P74" i="2"/>
  <c r="F59" i="1" s="1"/>
  <c r="M53" i="2"/>
  <c r="M34" i="2"/>
  <c r="P15" i="2"/>
  <c r="F10" i="1" s="1"/>
  <c r="M62" i="2"/>
  <c r="H50" i="1" s="1"/>
  <c r="M52" i="2"/>
  <c r="H42" i="1" s="1"/>
  <c r="P24" i="2"/>
  <c r="F18" i="1" s="1"/>
  <c r="M38" i="2"/>
  <c r="M66" i="2"/>
  <c r="H54" i="1" s="1"/>
  <c r="P48" i="2"/>
  <c r="F38" i="1" s="1"/>
  <c r="M55" i="2"/>
  <c r="M47" i="2"/>
  <c r="M37" i="2"/>
  <c r="H29" i="1" s="1"/>
  <c r="M19" i="2"/>
  <c r="D2" i="1"/>
  <c r="P103" i="2"/>
  <c r="M103" i="2"/>
  <c r="H77" i="1" s="1"/>
  <c r="P102" i="2"/>
  <c r="M102" i="2"/>
  <c r="H76" i="1" s="1"/>
  <c r="P101" i="2"/>
  <c r="F75" i="1" s="1"/>
  <c r="P12" i="2"/>
  <c r="F7" i="1" s="1"/>
  <c r="M12" i="2"/>
  <c r="P7" i="2"/>
  <c r="M59" i="2"/>
  <c r="M133" i="2"/>
  <c r="H88" i="1" s="1"/>
  <c r="P133" i="2"/>
  <c r="F88" i="1" s="1"/>
  <c r="M123" i="2"/>
  <c r="H86" i="1" s="1"/>
  <c r="P123" i="2"/>
  <c r="F86" i="1" s="1"/>
  <c r="M117" i="2"/>
  <c r="P117" i="2"/>
  <c r="F85" i="1" s="1"/>
  <c r="M111" i="2"/>
  <c r="M114" i="2"/>
  <c r="M109" i="2"/>
  <c r="P109" i="2"/>
  <c r="F82" i="1" s="1"/>
  <c r="M107" i="2"/>
  <c r="P107" i="2"/>
  <c r="M61" i="2"/>
  <c r="M81" i="2"/>
  <c r="M22" i="2"/>
  <c r="M29" i="2"/>
  <c r="M45" i="2"/>
  <c r="P2" i="2"/>
  <c r="M36" i="2"/>
  <c r="M14" i="2"/>
  <c r="M70" i="2"/>
  <c r="M68" i="2"/>
  <c r="M60" i="2"/>
  <c r="M39" i="2"/>
  <c r="M21" i="2"/>
  <c r="P104" i="2"/>
  <c r="M104" i="2"/>
  <c r="P96" i="2"/>
  <c r="M96" i="2"/>
  <c r="H72" i="1" s="1"/>
  <c r="P94" i="2"/>
  <c r="M94" i="2"/>
  <c r="H71" i="1" s="1"/>
  <c r="M92" i="2"/>
  <c r="P92" i="2"/>
  <c r="M90" i="2"/>
  <c r="H69" i="1" s="1"/>
  <c r="P89" i="2"/>
  <c r="F68" i="1" s="1"/>
  <c r="M88" i="2"/>
  <c r="P88" i="2"/>
  <c r="M83" i="2"/>
  <c r="H66" i="1" s="1"/>
  <c r="P83" i="2"/>
  <c r="F66" i="1" s="1"/>
  <c r="P82" i="2"/>
  <c r="F65" i="1" s="1"/>
  <c r="M82" i="2"/>
  <c r="H65" i="1" s="1"/>
  <c r="P81" i="2"/>
  <c r="P78" i="2"/>
  <c r="M78" i="2"/>
  <c r="H62" i="1" s="1"/>
  <c r="M79" i="2"/>
  <c r="H63" i="1" s="1"/>
  <c r="P79" i="2"/>
  <c r="F63" i="1" s="1"/>
  <c r="M76" i="2"/>
  <c r="P76" i="2"/>
  <c r="F61" i="1" s="1"/>
  <c r="M74" i="2"/>
  <c r="H59" i="1" s="1"/>
  <c r="M25" i="2"/>
  <c r="M16" i="2"/>
  <c r="M51" i="2"/>
  <c r="M40" i="2"/>
  <c r="M32" i="2"/>
  <c r="M69" i="2"/>
  <c r="P69" i="2"/>
  <c r="P67" i="2"/>
  <c r="M67" i="2"/>
  <c r="P66" i="2"/>
  <c r="F54" i="1" s="1"/>
  <c r="P65" i="2"/>
  <c r="F53" i="1" s="1"/>
  <c r="M65" i="2"/>
  <c r="P64" i="2"/>
  <c r="F52" i="1" s="1"/>
  <c r="M64" i="2"/>
  <c r="P63" i="2"/>
  <c r="F51" i="1" s="1"/>
  <c r="M63" i="2"/>
  <c r="P58" i="2"/>
  <c r="M58" i="2"/>
  <c r="P62" i="2"/>
  <c r="F50" i="1" s="1"/>
  <c r="P68" i="2"/>
  <c r="P55" i="2"/>
  <c r="P52" i="2"/>
  <c r="F42" i="1" s="1"/>
  <c r="P51" i="2"/>
  <c r="F41" i="1" s="1"/>
  <c r="P50" i="2"/>
  <c r="F40" i="1" s="1"/>
  <c r="M50" i="2"/>
  <c r="P49" i="2"/>
  <c r="F39" i="1" s="1"/>
  <c r="M49" i="2"/>
  <c r="M44" i="2"/>
  <c r="P43" i="2"/>
  <c r="M43" i="2"/>
  <c r="P40" i="2"/>
  <c r="F32" i="1" s="1"/>
  <c r="P47" i="2"/>
  <c r="F37" i="1" s="1"/>
  <c r="P54" i="2"/>
  <c r="P53" i="2"/>
  <c r="F43" i="1" s="1"/>
  <c r="P39" i="2"/>
  <c r="F31" i="1" s="1"/>
  <c r="P38" i="2"/>
  <c r="F30" i="1" s="1"/>
  <c r="P35" i="2"/>
  <c r="F27" i="1" s="1"/>
  <c r="P33" i="2"/>
  <c r="F25" i="1" s="1"/>
  <c r="M33" i="2"/>
  <c r="H25" i="1" s="1"/>
  <c r="P32" i="2"/>
  <c r="F24" i="1" s="1"/>
  <c r="P37" i="2"/>
  <c r="F29" i="1" s="1"/>
  <c r="P36" i="2"/>
  <c r="F28" i="1" s="1"/>
  <c r="P34" i="2"/>
  <c r="F26" i="1" s="1"/>
  <c r="M30" i="2"/>
  <c r="P28" i="2"/>
  <c r="M28" i="2"/>
  <c r="P25" i="2"/>
  <c r="F19" i="1" s="1"/>
  <c r="M18" i="2"/>
  <c r="P22" i="2"/>
  <c r="F16" i="1" s="1"/>
  <c r="P16" i="2"/>
  <c r="F11" i="1" s="1"/>
  <c r="M24" i="2"/>
  <c r="P13" i="2"/>
  <c r="F8" i="1" s="1"/>
  <c r="P18" i="2"/>
  <c r="P9" i="2"/>
  <c r="P21" i="2"/>
  <c r="F15" i="1" s="1"/>
  <c r="M20" i="2"/>
  <c r="M23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8" i="2"/>
  <c r="O83" i="2"/>
  <c r="O82" i="2"/>
  <c r="O81" i="2"/>
  <c r="O79" i="2"/>
  <c r="O76" i="2"/>
  <c r="O75" i="2"/>
  <c r="O74" i="2"/>
  <c r="O70" i="2"/>
  <c r="O59" i="2"/>
  <c r="O60" i="2"/>
  <c r="O61" i="2"/>
  <c r="O62" i="2"/>
  <c r="O63" i="2"/>
  <c r="O64" i="2"/>
  <c r="O65" i="2"/>
  <c r="O66" i="2"/>
  <c r="O67" i="2"/>
  <c r="O68" i="2"/>
  <c r="O69" i="2"/>
  <c r="O58" i="2"/>
  <c r="O55" i="2"/>
  <c r="O44" i="2"/>
  <c r="O45" i="2"/>
  <c r="O46" i="2"/>
  <c r="O47" i="2"/>
  <c r="O48" i="2"/>
  <c r="O49" i="2"/>
  <c r="O50" i="2"/>
  <c r="O51" i="2"/>
  <c r="O52" i="2"/>
  <c r="O53" i="2"/>
  <c r="O54" i="2"/>
  <c r="O43" i="2"/>
  <c r="O40" i="2"/>
  <c r="O29" i="2"/>
  <c r="O30" i="2"/>
  <c r="O31" i="2"/>
  <c r="O32" i="2"/>
  <c r="O33" i="2"/>
  <c r="O34" i="2"/>
  <c r="O35" i="2"/>
  <c r="O36" i="2"/>
  <c r="O37" i="2"/>
  <c r="O38" i="2"/>
  <c r="O39" i="2"/>
  <c r="O28" i="2"/>
  <c r="O25" i="2"/>
  <c r="O21" i="2"/>
  <c r="O22" i="2"/>
  <c r="O23" i="2"/>
  <c r="O24" i="2"/>
  <c r="O20" i="2"/>
  <c r="O19" i="2"/>
  <c r="O18" i="2"/>
  <c r="O16" i="2"/>
  <c r="O14" i="2"/>
  <c r="O13" i="2"/>
  <c r="O12" i="2"/>
  <c r="O11" i="2"/>
  <c r="O10" i="2"/>
  <c r="O9" i="2"/>
  <c r="O7" i="2"/>
  <c r="O2" i="2"/>
  <c r="C2" i="1" s="1"/>
  <c r="J2" i="4"/>
  <c r="R60" i="1" l="1"/>
  <c r="S60" i="1"/>
  <c r="L60" i="1"/>
  <c r="T60" i="1"/>
  <c r="M60" i="1"/>
  <c r="U60" i="1"/>
  <c r="N60" i="1"/>
  <c r="O60" i="1"/>
  <c r="P60" i="1"/>
  <c r="Q60" i="1"/>
  <c r="R80" i="1"/>
  <c r="S80" i="1"/>
  <c r="L80" i="1"/>
  <c r="T80" i="1"/>
  <c r="M80" i="1"/>
  <c r="U80" i="1"/>
  <c r="O80" i="1"/>
  <c r="P80" i="1"/>
  <c r="N80" i="1"/>
  <c r="Q80" i="1"/>
  <c r="N38" i="1"/>
  <c r="O38" i="1"/>
  <c r="P38" i="1"/>
  <c r="Q38" i="1"/>
  <c r="R38" i="1"/>
  <c r="S38" i="1"/>
  <c r="L38" i="1"/>
  <c r="T38" i="1"/>
  <c r="M38" i="1"/>
  <c r="U38" i="1"/>
  <c r="L27" i="1"/>
  <c r="T27" i="1"/>
  <c r="M27" i="1"/>
  <c r="U27" i="1"/>
  <c r="N27" i="1"/>
  <c r="O27" i="1"/>
  <c r="P27" i="1"/>
  <c r="Q27" i="1"/>
  <c r="R27" i="1"/>
  <c r="S27" i="1"/>
  <c r="L79" i="1"/>
  <c r="T79" i="1"/>
  <c r="M79" i="1"/>
  <c r="U79" i="1"/>
  <c r="N79" i="1"/>
  <c r="Q79" i="1"/>
  <c r="O79" i="1"/>
  <c r="R79" i="1"/>
  <c r="P79" i="1"/>
  <c r="S79" i="1"/>
  <c r="N33" i="2"/>
  <c r="K25" i="1" s="1"/>
  <c r="N52" i="2"/>
  <c r="K42" i="1" s="1"/>
  <c r="N117" i="2"/>
  <c r="K85" i="1" s="1"/>
  <c r="H85" i="1"/>
  <c r="N114" i="2"/>
  <c r="K84" i="1" s="1"/>
  <c r="H84" i="1"/>
  <c r="N111" i="2"/>
  <c r="K83" i="1" s="1"/>
  <c r="H83" i="1"/>
  <c r="N109" i="2"/>
  <c r="K82" i="1" s="1"/>
  <c r="H82" i="1"/>
  <c r="N107" i="2"/>
  <c r="K81" i="1" s="1"/>
  <c r="H81" i="1"/>
  <c r="N104" i="2"/>
  <c r="K78" i="1" s="1"/>
  <c r="H78" i="1"/>
  <c r="N92" i="2"/>
  <c r="K70" i="1" s="1"/>
  <c r="H70" i="1"/>
  <c r="N88" i="2"/>
  <c r="K67" i="1" s="1"/>
  <c r="H67" i="1"/>
  <c r="N81" i="2"/>
  <c r="K64" i="1" s="1"/>
  <c r="H64" i="1"/>
  <c r="N76" i="2"/>
  <c r="K61" i="1" s="1"/>
  <c r="H61" i="1"/>
  <c r="N70" i="2"/>
  <c r="K58" i="1" s="1"/>
  <c r="H58" i="1"/>
  <c r="N69" i="2"/>
  <c r="K57" i="1" s="1"/>
  <c r="H57" i="1"/>
  <c r="N68" i="2"/>
  <c r="K56" i="1" s="1"/>
  <c r="H56" i="1"/>
  <c r="N67" i="2"/>
  <c r="K55" i="1" s="1"/>
  <c r="H55" i="1"/>
  <c r="N65" i="2"/>
  <c r="K53" i="1" s="1"/>
  <c r="H53" i="1"/>
  <c r="N64" i="2"/>
  <c r="K52" i="1" s="1"/>
  <c r="H52" i="1"/>
  <c r="N63" i="2"/>
  <c r="K51" i="1" s="1"/>
  <c r="H51" i="1"/>
  <c r="N61" i="2"/>
  <c r="K49" i="1" s="1"/>
  <c r="H49" i="1"/>
  <c r="N60" i="2"/>
  <c r="K48" i="1" s="1"/>
  <c r="H48" i="1"/>
  <c r="N59" i="2"/>
  <c r="K47" i="1" s="1"/>
  <c r="H47" i="1"/>
  <c r="N58" i="2"/>
  <c r="K46" i="1" s="1"/>
  <c r="H46" i="1"/>
  <c r="N55" i="2"/>
  <c r="K45" i="1" s="1"/>
  <c r="H45" i="1"/>
  <c r="N54" i="2"/>
  <c r="K44" i="1" s="1"/>
  <c r="H44" i="1"/>
  <c r="N53" i="2"/>
  <c r="K43" i="1" s="1"/>
  <c r="H43" i="1"/>
  <c r="N51" i="2"/>
  <c r="K41" i="1" s="1"/>
  <c r="H41" i="1"/>
  <c r="N50" i="2"/>
  <c r="K40" i="1" s="1"/>
  <c r="H40" i="1"/>
  <c r="N49" i="2"/>
  <c r="K39" i="1" s="1"/>
  <c r="H39" i="1"/>
  <c r="N47" i="2"/>
  <c r="K37" i="1" s="1"/>
  <c r="H37" i="1"/>
  <c r="N46" i="2"/>
  <c r="K36" i="1" s="1"/>
  <c r="H36" i="1"/>
  <c r="N45" i="2"/>
  <c r="K35" i="1" s="1"/>
  <c r="H35" i="1"/>
  <c r="N44" i="2"/>
  <c r="K34" i="1" s="1"/>
  <c r="H34" i="1"/>
  <c r="N43" i="2"/>
  <c r="K33" i="1" s="1"/>
  <c r="H33" i="1"/>
  <c r="N40" i="2"/>
  <c r="K32" i="1" s="1"/>
  <c r="H32" i="1"/>
  <c r="N39" i="2"/>
  <c r="K31" i="1" s="1"/>
  <c r="H31" i="1"/>
  <c r="N38" i="2"/>
  <c r="K30" i="1" s="1"/>
  <c r="H30" i="1"/>
  <c r="N36" i="2"/>
  <c r="K28" i="1" s="1"/>
  <c r="H28" i="1"/>
  <c r="N34" i="2"/>
  <c r="K26" i="1" s="1"/>
  <c r="H26" i="1"/>
  <c r="N32" i="2"/>
  <c r="K24" i="1" s="1"/>
  <c r="H24" i="1"/>
  <c r="N31" i="2"/>
  <c r="K23" i="1" s="1"/>
  <c r="H23" i="1"/>
  <c r="N30" i="2"/>
  <c r="K22" i="1" s="1"/>
  <c r="H22" i="1"/>
  <c r="N29" i="2"/>
  <c r="K21" i="1" s="1"/>
  <c r="H21" i="1"/>
  <c r="N28" i="2"/>
  <c r="K20" i="1" s="1"/>
  <c r="H20" i="1"/>
  <c r="N25" i="2"/>
  <c r="K19" i="1" s="1"/>
  <c r="H19" i="1"/>
  <c r="N24" i="2"/>
  <c r="K18" i="1" s="1"/>
  <c r="H18" i="1"/>
  <c r="N23" i="2"/>
  <c r="K17" i="1" s="1"/>
  <c r="H17" i="1"/>
  <c r="N22" i="2"/>
  <c r="K16" i="1" s="1"/>
  <c r="H16" i="1"/>
  <c r="N21" i="2"/>
  <c r="K15" i="1" s="1"/>
  <c r="H15" i="1"/>
  <c r="N20" i="2"/>
  <c r="K14" i="1" s="1"/>
  <c r="H14" i="1"/>
  <c r="N19" i="2"/>
  <c r="K13" i="1" s="1"/>
  <c r="H13" i="1"/>
  <c r="N18" i="2"/>
  <c r="K12" i="1" s="1"/>
  <c r="H12" i="1"/>
  <c r="N16" i="2"/>
  <c r="K11" i="1" s="1"/>
  <c r="H11" i="1"/>
  <c r="N15" i="2"/>
  <c r="K10" i="1" s="1"/>
  <c r="H10" i="1"/>
  <c r="N14" i="2"/>
  <c r="K9" i="1" s="1"/>
  <c r="H9" i="1"/>
  <c r="N13" i="2"/>
  <c r="K8" i="1" s="1"/>
  <c r="H8" i="1"/>
  <c r="N12" i="2"/>
  <c r="K7" i="1" s="1"/>
  <c r="H7" i="1"/>
  <c r="N78" i="2"/>
  <c r="K62" i="1" s="1"/>
  <c r="N37" i="2"/>
  <c r="K29" i="1" s="1"/>
  <c r="N62" i="2"/>
  <c r="K50" i="1" s="1"/>
  <c r="N79" i="2"/>
  <c r="K63" i="1" s="1"/>
  <c r="N94" i="2"/>
  <c r="K71" i="1" s="1"/>
  <c r="N66" i="2"/>
  <c r="K54" i="1" s="1"/>
  <c r="N89" i="2"/>
  <c r="K68" i="1" s="1"/>
  <c r="N133" i="2"/>
  <c r="K88" i="1" s="1"/>
  <c r="N90" i="2"/>
  <c r="K69" i="1" s="1"/>
  <c r="N96" i="2"/>
  <c r="K72" i="1" s="1"/>
  <c r="N102" i="2"/>
  <c r="K76" i="1" s="1"/>
  <c r="N100" i="2"/>
  <c r="K74" i="1" s="1"/>
  <c r="N101" i="2"/>
  <c r="K75" i="1" s="1"/>
  <c r="N103" i="2"/>
  <c r="K77" i="1" s="1"/>
  <c r="N83" i="2"/>
  <c r="K66" i="1" s="1"/>
  <c r="N82" i="2"/>
  <c r="K65" i="1" s="1"/>
  <c r="N74" i="2"/>
  <c r="K59" i="1" s="1"/>
  <c r="F2" i="1"/>
  <c r="F81" i="1"/>
  <c r="F76" i="1"/>
  <c r="F77" i="1"/>
  <c r="F78" i="1"/>
  <c r="F72" i="1"/>
  <c r="F71" i="1"/>
  <c r="F70" i="1"/>
  <c r="F67" i="1"/>
  <c r="F64" i="1"/>
  <c r="F62" i="1"/>
  <c r="F55" i="1"/>
  <c r="F57" i="1"/>
  <c r="F56" i="1"/>
  <c r="F46" i="1"/>
  <c r="F44" i="1"/>
  <c r="F45" i="1"/>
  <c r="F33" i="1"/>
  <c r="F20" i="1"/>
  <c r="F12" i="1"/>
  <c r="F4" i="1"/>
  <c r="F3" i="1"/>
  <c r="P100" i="2"/>
  <c r="C88" i="1"/>
  <c r="C82" i="1"/>
  <c r="C81" i="1"/>
  <c r="C77" i="1"/>
  <c r="C78" i="1"/>
  <c r="C79" i="1"/>
  <c r="C80" i="1"/>
  <c r="C76" i="1"/>
  <c r="C74" i="1"/>
  <c r="C72" i="1"/>
  <c r="C71" i="1"/>
  <c r="C70" i="1"/>
  <c r="C69" i="1"/>
  <c r="C68" i="1"/>
  <c r="C67" i="1"/>
  <c r="C66" i="1"/>
  <c r="C65" i="1"/>
  <c r="C64" i="1"/>
  <c r="C63" i="1"/>
  <c r="C62" i="1"/>
  <c r="C60" i="1"/>
  <c r="C61" i="1"/>
  <c r="C59" i="1"/>
  <c r="C58" i="1"/>
  <c r="C47" i="1"/>
  <c r="C48" i="1"/>
  <c r="C49" i="1"/>
  <c r="C50" i="1"/>
  <c r="C51" i="1"/>
  <c r="C52" i="1"/>
  <c r="C53" i="1"/>
  <c r="C54" i="1"/>
  <c r="C55" i="1"/>
  <c r="C56" i="1"/>
  <c r="C57" i="1"/>
  <c r="C46" i="1"/>
  <c r="C45" i="1"/>
  <c r="C34" i="1"/>
  <c r="C35" i="1"/>
  <c r="C36" i="1"/>
  <c r="C37" i="1"/>
  <c r="C38" i="1"/>
  <c r="C39" i="1"/>
  <c r="C40" i="1"/>
  <c r="C41" i="1"/>
  <c r="C42" i="1"/>
  <c r="C43" i="1"/>
  <c r="C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C86" i="1"/>
  <c r="C85" i="1"/>
  <c r="C84" i="1"/>
  <c r="C83" i="1"/>
  <c r="C73" i="1"/>
  <c r="C32" i="1"/>
  <c r="C19" i="1"/>
  <c r="C21" i="1"/>
  <c r="C22" i="1"/>
  <c r="C23" i="1"/>
  <c r="C24" i="1"/>
  <c r="C25" i="1"/>
  <c r="C26" i="1"/>
  <c r="C27" i="1"/>
  <c r="C28" i="1"/>
  <c r="C29" i="1"/>
  <c r="C31" i="1"/>
  <c r="C20" i="1"/>
  <c r="C13" i="1"/>
  <c r="C14" i="1"/>
  <c r="C15" i="1"/>
  <c r="C16" i="1"/>
  <c r="C17" i="1"/>
  <c r="C18" i="1"/>
  <c r="C12" i="1"/>
  <c r="L75" i="1" l="1"/>
  <c r="T75" i="1"/>
  <c r="M75" i="1"/>
  <c r="U75" i="1"/>
  <c r="N75" i="1"/>
  <c r="O75" i="1"/>
  <c r="Q75" i="1"/>
  <c r="R75" i="1"/>
  <c r="P75" i="1"/>
  <c r="S75" i="1"/>
  <c r="L71" i="1"/>
  <c r="T71" i="1"/>
  <c r="M71" i="1"/>
  <c r="U71" i="1"/>
  <c r="N71" i="1"/>
  <c r="O71" i="1"/>
  <c r="Q71" i="1"/>
  <c r="R71" i="1"/>
  <c r="P71" i="1"/>
  <c r="S71" i="1"/>
  <c r="R8" i="1"/>
  <c r="S8" i="1"/>
  <c r="L8" i="1"/>
  <c r="T8" i="1"/>
  <c r="M8" i="1"/>
  <c r="U8" i="1"/>
  <c r="N8" i="1"/>
  <c r="O8" i="1"/>
  <c r="P8" i="1"/>
  <c r="Q8" i="1"/>
  <c r="R12" i="1"/>
  <c r="S12" i="1"/>
  <c r="L12" i="1"/>
  <c r="T12" i="1"/>
  <c r="M12" i="1"/>
  <c r="U12" i="1"/>
  <c r="N12" i="1"/>
  <c r="O12" i="1"/>
  <c r="P12" i="1"/>
  <c r="Q12" i="1"/>
  <c r="R16" i="1"/>
  <c r="S16" i="1"/>
  <c r="L16" i="1"/>
  <c r="T16" i="1"/>
  <c r="M16" i="1"/>
  <c r="U16" i="1"/>
  <c r="N16" i="1"/>
  <c r="O16" i="1"/>
  <c r="P16" i="1"/>
  <c r="Q16" i="1"/>
  <c r="R20" i="1"/>
  <c r="S20" i="1"/>
  <c r="L20" i="1"/>
  <c r="T20" i="1"/>
  <c r="M20" i="1"/>
  <c r="U20" i="1"/>
  <c r="N20" i="1"/>
  <c r="O20" i="1"/>
  <c r="P20" i="1"/>
  <c r="Q20" i="1"/>
  <c r="R24" i="1"/>
  <c r="S24" i="1"/>
  <c r="L24" i="1"/>
  <c r="T24" i="1"/>
  <c r="M24" i="1"/>
  <c r="U24" i="1"/>
  <c r="N24" i="1"/>
  <c r="O24" i="1"/>
  <c r="P24" i="1"/>
  <c r="Q24" i="1"/>
  <c r="L31" i="1"/>
  <c r="T31" i="1"/>
  <c r="M31" i="1"/>
  <c r="U31" i="1"/>
  <c r="N31" i="1"/>
  <c r="O31" i="1"/>
  <c r="P31" i="1"/>
  <c r="Q31" i="1"/>
  <c r="R31" i="1"/>
  <c r="S31" i="1"/>
  <c r="L35" i="1"/>
  <c r="T35" i="1"/>
  <c r="M35" i="1"/>
  <c r="U35" i="1"/>
  <c r="N35" i="1"/>
  <c r="O35" i="1"/>
  <c r="P35" i="1"/>
  <c r="Q35" i="1"/>
  <c r="R35" i="1"/>
  <c r="S35" i="1"/>
  <c r="R40" i="1"/>
  <c r="S40" i="1"/>
  <c r="L40" i="1"/>
  <c r="T40" i="1"/>
  <c r="M40" i="1"/>
  <c r="U40" i="1"/>
  <c r="N40" i="1"/>
  <c r="O40" i="1"/>
  <c r="P40" i="1"/>
  <c r="Q40" i="1"/>
  <c r="P45" i="1"/>
  <c r="Q45" i="1"/>
  <c r="R45" i="1"/>
  <c r="S45" i="1"/>
  <c r="L45" i="1"/>
  <c r="T45" i="1"/>
  <c r="M45" i="1"/>
  <c r="U45" i="1"/>
  <c r="N45" i="1"/>
  <c r="O45" i="1"/>
  <c r="P49" i="1"/>
  <c r="Q49" i="1"/>
  <c r="R49" i="1"/>
  <c r="S49" i="1"/>
  <c r="L49" i="1"/>
  <c r="T49" i="1"/>
  <c r="M49" i="1"/>
  <c r="U49" i="1"/>
  <c r="N49" i="1"/>
  <c r="O49" i="1"/>
  <c r="L55" i="1"/>
  <c r="T55" i="1"/>
  <c r="M55" i="1"/>
  <c r="U55" i="1"/>
  <c r="N55" i="1"/>
  <c r="O55" i="1"/>
  <c r="P55" i="1"/>
  <c r="Q55" i="1"/>
  <c r="R55" i="1"/>
  <c r="S55" i="1"/>
  <c r="P61" i="1"/>
  <c r="Q61" i="1"/>
  <c r="R61" i="1"/>
  <c r="S61" i="1"/>
  <c r="L61" i="1"/>
  <c r="T61" i="1"/>
  <c r="M61" i="1"/>
  <c r="U61" i="1"/>
  <c r="N61" i="1"/>
  <c r="O61" i="1"/>
  <c r="N78" i="1"/>
  <c r="S78" i="1"/>
  <c r="O78" i="1"/>
  <c r="P78" i="1"/>
  <c r="Q78" i="1"/>
  <c r="L78" i="1"/>
  <c r="T78" i="1"/>
  <c r="R78" i="1"/>
  <c r="M78" i="1"/>
  <c r="U78" i="1"/>
  <c r="R84" i="1"/>
  <c r="S84" i="1"/>
  <c r="L84" i="1"/>
  <c r="T84" i="1"/>
  <c r="O84" i="1"/>
  <c r="M84" i="1"/>
  <c r="U84" i="1"/>
  <c r="N84" i="1"/>
  <c r="Q84" i="1"/>
  <c r="P84" i="1"/>
  <c r="N74" i="1"/>
  <c r="O74" i="1"/>
  <c r="P74" i="1"/>
  <c r="S74" i="1"/>
  <c r="Q74" i="1"/>
  <c r="L74" i="1"/>
  <c r="T74" i="1"/>
  <c r="R74" i="1"/>
  <c r="M74" i="1"/>
  <c r="U74" i="1"/>
  <c r="L63" i="1"/>
  <c r="T63" i="1"/>
  <c r="M63" i="1"/>
  <c r="U63" i="1"/>
  <c r="N63" i="1"/>
  <c r="O63" i="1"/>
  <c r="P63" i="1"/>
  <c r="Q63" i="1"/>
  <c r="R63" i="1"/>
  <c r="S63" i="1"/>
  <c r="R88" i="1"/>
  <c r="S88" i="1"/>
  <c r="L88" i="1"/>
  <c r="T88" i="1"/>
  <c r="M88" i="1"/>
  <c r="U88" i="1"/>
  <c r="N88" i="1"/>
  <c r="O88" i="1"/>
  <c r="P88" i="1"/>
  <c r="Q88" i="1"/>
  <c r="N54" i="1"/>
  <c r="O54" i="1"/>
  <c r="P54" i="1"/>
  <c r="Q54" i="1"/>
  <c r="R54" i="1"/>
  <c r="S54" i="1"/>
  <c r="L54" i="1"/>
  <c r="T54" i="1"/>
  <c r="M54" i="1"/>
  <c r="U54" i="1"/>
  <c r="R76" i="1"/>
  <c r="O76" i="1"/>
  <c r="S76" i="1"/>
  <c r="L76" i="1"/>
  <c r="T76" i="1"/>
  <c r="M76" i="1"/>
  <c r="U76" i="1"/>
  <c r="P76" i="1"/>
  <c r="N76" i="1"/>
  <c r="Q76" i="1"/>
  <c r="N50" i="1"/>
  <c r="O50" i="1"/>
  <c r="P50" i="1"/>
  <c r="Q50" i="1"/>
  <c r="R50" i="1"/>
  <c r="S50" i="1"/>
  <c r="L50" i="1"/>
  <c r="T50" i="1"/>
  <c r="M50" i="1"/>
  <c r="U50" i="1"/>
  <c r="P9" i="1"/>
  <c r="Q9" i="1"/>
  <c r="R9" i="1"/>
  <c r="S9" i="1"/>
  <c r="L9" i="1"/>
  <c r="T9" i="1"/>
  <c r="M9" i="1"/>
  <c r="U9" i="1"/>
  <c r="N9" i="1"/>
  <c r="O9" i="1"/>
  <c r="P13" i="1"/>
  <c r="Q13" i="1"/>
  <c r="R13" i="1"/>
  <c r="S13" i="1"/>
  <c r="L13" i="1"/>
  <c r="T13" i="1"/>
  <c r="M13" i="1"/>
  <c r="U13" i="1"/>
  <c r="N13" i="1"/>
  <c r="O13" i="1"/>
  <c r="P17" i="1"/>
  <c r="Q17" i="1"/>
  <c r="R17" i="1"/>
  <c r="S17" i="1"/>
  <c r="L17" i="1"/>
  <c r="T17" i="1"/>
  <c r="M17" i="1"/>
  <c r="U17" i="1"/>
  <c r="N17" i="1"/>
  <c r="O17" i="1"/>
  <c r="P21" i="1"/>
  <c r="Q21" i="1"/>
  <c r="R21" i="1"/>
  <c r="S21" i="1"/>
  <c r="L21" i="1"/>
  <c r="T21" i="1"/>
  <c r="M21" i="1"/>
  <c r="U21" i="1"/>
  <c r="N21" i="1"/>
  <c r="O21" i="1"/>
  <c r="R36" i="1"/>
  <c r="S36" i="1"/>
  <c r="L36" i="1"/>
  <c r="T36" i="1"/>
  <c r="M36" i="1"/>
  <c r="U36" i="1"/>
  <c r="N36" i="1"/>
  <c r="O36" i="1"/>
  <c r="P36" i="1"/>
  <c r="Q36" i="1"/>
  <c r="P41" i="1"/>
  <c r="Q41" i="1"/>
  <c r="R41" i="1"/>
  <c r="S41" i="1"/>
  <c r="L41" i="1"/>
  <c r="T41" i="1"/>
  <c r="M41" i="1"/>
  <c r="U41" i="1"/>
  <c r="N41" i="1"/>
  <c r="O41" i="1"/>
  <c r="N46" i="1"/>
  <c r="O46" i="1"/>
  <c r="P46" i="1"/>
  <c r="Q46" i="1"/>
  <c r="R46" i="1"/>
  <c r="S46" i="1"/>
  <c r="L46" i="1"/>
  <c r="T46" i="1"/>
  <c r="M46" i="1"/>
  <c r="U46" i="1"/>
  <c r="L51" i="1"/>
  <c r="T51" i="1"/>
  <c r="M51" i="1"/>
  <c r="U51" i="1"/>
  <c r="N51" i="1"/>
  <c r="O51" i="1"/>
  <c r="P51" i="1"/>
  <c r="Q51" i="1"/>
  <c r="R51" i="1"/>
  <c r="S51" i="1"/>
  <c r="R56" i="1"/>
  <c r="S56" i="1"/>
  <c r="L56" i="1"/>
  <c r="T56" i="1"/>
  <c r="M56" i="1"/>
  <c r="U56" i="1"/>
  <c r="N56" i="1"/>
  <c r="O56" i="1"/>
  <c r="P56" i="1"/>
  <c r="Q56" i="1"/>
  <c r="R64" i="1"/>
  <c r="S64" i="1"/>
  <c r="L64" i="1"/>
  <c r="T64" i="1"/>
  <c r="M64" i="1"/>
  <c r="U64" i="1"/>
  <c r="N64" i="1"/>
  <c r="O64" i="1"/>
  <c r="P64" i="1"/>
  <c r="Q64" i="1"/>
  <c r="P81" i="1"/>
  <c r="M81" i="1"/>
  <c r="Q81" i="1"/>
  <c r="R81" i="1"/>
  <c r="U81" i="1"/>
  <c r="S81" i="1"/>
  <c r="N81" i="1"/>
  <c r="L81" i="1"/>
  <c r="T81" i="1"/>
  <c r="O81" i="1"/>
  <c r="P85" i="1"/>
  <c r="M85" i="1"/>
  <c r="Q85" i="1"/>
  <c r="R85" i="1"/>
  <c r="S85" i="1"/>
  <c r="U85" i="1"/>
  <c r="N85" i="1"/>
  <c r="L85" i="1"/>
  <c r="T85" i="1"/>
  <c r="O85" i="1"/>
  <c r="P77" i="1"/>
  <c r="Q77" i="1"/>
  <c r="R77" i="1"/>
  <c r="M77" i="1"/>
  <c r="S77" i="1"/>
  <c r="U77" i="1"/>
  <c r="N77" i="1"/>
  <c r="L77" i="1"/>
  <c r="T77" i="1"/>
  <c r="O77" i="1"/>
  <c r="N26" i="1"/>
  <c r="O26" i="1"/>
  <c r="P26" i="1"/>
  <c r="Q26" i="1"/>
  <c r="R26" i="1"/>
  <c r="S26" i="1"/>
  <c r="L26" i="1"/>
  <c r="T26" i="1"/>
  <c r="M26" i="1"/>
  <c r="U26" i="1"/>
  <c r="R32" i="1"/>
  <c r="S32" i="1"/>
  <c r="L32" i="1"/>
  <c r="T32" i="1"/>
  <c r="M32" i="1"/>
  <c r="U32" i="1"/>
  <c r="N32" i="1"/>
  <c r="O32" i="1"/>
  <c r="P32" i="1"/>
  <c r="Q32" i="1"/>
  <c r="R72" i="1"/>
  <c r="S72" i="1"/>
  <c r="L72" i="1"/>
  <c r="T72" i="1"/>
  <c r="O72" i="1"/>
  <c r="M72" i="1"/>
  <c r="U72" i="1"/>
  <c r="P72" i="1"/>
  <c r="N72" i="1"/>
  <c r="Q72" i="1"/>
  <c r="P29" i="1"/>
  <c r="Q29" i="1"/>
  <c r="R29" i="1"/>
  <c r="S29" i="1"/>
  <c r="L29" i="1"/>
  <c r="T29" i="1"/>
  <c r="M29" i="1"/>
  <c r="U29" i="1"/>
  <c r="N29" i="1"/>
  <c r="O29" i="1"/>
  <c r="N42" i="1"/>
  <c r="O42" i="1"/>
  <c r="P42" i="1"/>
  <c r="Q42" i="1"/>
  <c r="R42" i="1"/>
  <c r="S42" i="1"/>
  <c r="L42" i="1"/>
  <c r="T42" i="1"/>
  <c r="M42" i="1"/>
  <c r="U42" i="1"/>
  <c r="L59" i="1"/>
  <c r="T59" i="1"/>
  <c r="M59" i="1"/>
  <c r="U59" i="1"/>
  <c r="N59" i="1"/>
  <c r="O59" i="1"/>
  <c r="P59" i="1"/>
  <c r="Q59" i="1"/>
  <c r="R59" i="1"/>
  <c r="S59" i="1"/>
  <c r="P69" i="1"/>
  <c r="Q69" i="1"/>
  <c r="R69" i="1"/>
  <c r="S69" i="1"/>
  <c r="L69" i="1"/>
  <c r="T69" i="1"/>
  <c r="M69" i="1"/>
  <c r="U69" i="1"/>
  <c r="N69" i="1"/>
  <c r="O69" i="1"/>
  <c r="N62" i="1"/>
  <c r="O62" i="1"/>
  <c r="P62" i="1"/>
  <c r="Q62" i="1"/>
  <c r="R62" i="1"/>
  <c r="S62" i="1"/>
  <c r="L62" i="1"/>
  <c r="T62" i="1"/>
  <c r="M62" i="1"/>
  <c r="U62" i="1"/>
  <c r="N10" i="1"/>
  <c r="O10" i="1"/>
  <c r="P10" i="1"/>
  <c r="Q10" i="1"/>
  <c r="R10" i="1"/>
  <c r="S10" i="1"/>
  <c r="L10" i="1"/>
  <c r="T10" i="1"/>
  <c r="M10" i="1"/>
  <c r="U10" i="1"/>
  <c r="N14" i="1"/>
  <c r="O14" i="1"/>
  <c r="P14" i="1"/>
  <c r="Q14" i="1"/>
  <c r="R14" i="1"/>
  <c r="S14" i="1"/>
  <c r="L14" i="1"/>
  <c r="T14" i="1"/>
  <c r="M14" i="1"/>
  <c r="U14" i="1"/>
  <c r="N18" i="1"/>
  <c r="O18" i="1"/>
  <c r="P18" i="1"/>
  <c r="Q18" i="1"/>
  <c r="R18" i="1"/>
  <c r="S18" i="1"/>
  <c r="L18" i="1"/>
  <c r="T18" i="1"/>
  <c r="M18" i="1"/>
  <c r="U18" i="1"/>
  <c r="N22" i="1"/>
  <c r="O22" i="1"/>
  <c r="P22" i="1"/>
  <c r="Q22" i="1"/>
  <c r="R22" i="1"/>
  <c r="S22" i="1"/>
  <c r="L22" i="1"/>
  <c r="T22" i="1"/>
  <c r="M22" i="1"/>
  <c r="U22" i="1"/>
  <c r="R28" i="1"/>
  <c r="S28" i="1"/>
  <c r="L28" i="1"/>
  <c r="T28" i="1"/>
  <c r="M28" i="1"/>
  <c r="U28" i="1"/>
  <c r="N28" i="1"/>
  <c r="O28" i="1"/>
  <c r="P28" i="1"/>
  <c r="Q28" i="1"/>
  <c r="P33" i="1"/>
  <c r="Q33" i="1"/>
  <c r="R33" i="1"/>
  <c r="S33" i="1"/>
  <c r="L33" i="1"/>
  <c r="T33" i="1"/>
  <c r="M33" i="1"/>
  <c r="U33" i="1"/>
  <c r="N33" i="1"/>
  <c r="O33" i="1"/>
  <c r="P37" i="1"/>
  <c r="Q37" i="1"/>
  <c r="R37" i="1"/>
  <c r="S37" i="1"/>
  <c r="L37" i="1"/>
  <c r="T37" i="1"/>
  <c r="M37" i="1"/>
  <c r="U37" i="1"/>
  <c r="N37" i="1"/>
  <c r="O37" i="1"/>
  <c r="L43" i="1"/>
  <c r="T43" i="1"/>
  <c r="M43" i="1"/>
  <c r="U43" i="1"/>
  <c r="N43" i="1"/>
  <c r="O43" i="1"/>
  <c r="P43" i="1"/>
  <c r="Q43" i="1"/>
  <c r="R43" i="1"/>
  <c r="S43" i="1"/>
  <c r="L47" i="1"/>
  <c r="T47" i="1"/>
  <c r="M47" i="1"/>
  <c r="U47" i="1"/>
  <c r="N47" i="1"/>
  <c r="O47" i="1"/>
  <c r="P47" i="1"/>
  <c r="Q47" i="1"/>
  <c r="R47" i="1"/>
  <c r="S47" i="1"/>
  <c r="R52" i="1"/>
  <c r="S52" i="1"/>
  <c r="L52" i="1"/>
  <c r="T52" i="1"/>
  <c r="M52" i="1"/>
  <c r="U52" i="1"/>
  <c r="N52" i="1"/>
  <c r="O52" i="1"/>
  <c r="P52" i="1"/>
  <c r="Q52" i="1"/>
  <c r="P57" i="1"/>
  <c r="Q57" i="1"/>
  <c r="R57" i="1"/>
  <c r="S57" i="1"/>
  <c r="L57" i="1"/>
  <c r="T57" i="1"/>
  <c r="M57" i="1"/>
  <c r="U57" i="1"/>
  <c r="N57" i="1"/>
  <c r="O57" i="1"/>
  <c r="L67" i="1"/>
  <c r="T67" i="1"/>
  <c r="M67" i="1"/>
  <c r="U67" i="1"/>
  <c r="N67" i="1"/>
  <c r="O67" i="1"/>
  <c r="P67" i="1"/>
  <c r="Q67" i="1"/>
  <c r="R67" i="1"/>
  <c r="S67" i="1"/>
  <c r="N82" i="1"/>
  <c r="S82" i="1"/>
  <c r="O82" i="1"/>
  <c r="P82" i="1"/>
  <c r="Q82" i="1"/>
  <c r="L82" i="1"/>
  <c r="T82" i="1"/>
  <c r="R82" i="1"/>
  <c r="M82" i="1"/>
  <c r="U82" i="1"/>
  <c r="P25" i="1"/>
  <c r="Q25" i="1"/>
  <c r="R25" i="1"/>
  <c r="S25" i="1"/>
  <c r="L25" i="1"/>
  <c r="T25" i="1"/>
  <c r="M25" i="1"/>
  <c r="U25" i="1"/>
  <c r="N25" i="1"/>
  <c r="O25" i="1"/>
  <c r="P65" i="1"/>
  <c r="Q65" i="1"/>
  <c r="R65" i="1"/>
  <c r="S65" i="1"/>
  <c r="L65" i="1"/>
  <c r="T65" i="1"/>
  <c r="M65" i="1"/>
  <c r="U65" i="1"/>
  <c r="N65" i="1"/>
  <c r="O65" i="1"/>
  <c r="N66" i="1"/>
  <c r="O66" i="1"/>
  <c r="P66" i="1"/>
  <c r="Q66" i="1"/>
  <c r="R66" i="1"/>
  <c r="S66" i="1"/>
  <c r="L66" i="1"/>
  <c r="T66" i="1"/>
  <c r="M66" i="1"/>
  <c r="U66" i="1"/>
  <c r="R68" i="1"/>
  <c r="S68" i="1"/>
  <c r="L68" i="1"/>
  <c r="T68" i="1"/>
  <c r="M68" i="1"/>
  <c r="U68" i="1"/>
  <c r="N68" i="1"/>
  <c r="O68" i="1"/>
  <c r="P68" i="1"/>
  <c r="Q68" i="1"/>
  <c r="L7" i="1"/>
  <c r="T7" i="1"/>
  <c r="M7" i="1"/>
  <c r="U7" i="1"/>
  <c r="N7" i="1"/>
  <c r="O7" i="1"/>
  <c r="P7" i="1"/>
  <c r="Q7" i="1"/>
  <c r="R7" i="1"/>
  <c r="S7" i="1"/>
  <c r="L11" i="1"/>
  <c r="T11" i="1"/>
  <c r="M11" i="1"/>
  <c r="U11" i="1"/>
  <c r="N11" i="1"/>
  <c r="O11" i="1"/>
  <c r="P11" i="1"/>
  <c r="Q11" i="1"/>
  <c r="R11" i="1"/>
  <c r="S11" i="1"/>
  <c r="L15" i="1"/>
  <c r="T15" i="1"/>
  <c r="M15" i="1"/>
  <c r="U15" i="1"/>
  <c r="N15" i="1"/>
  <c r="O15" i="1"/>
  <c r="P15" i="1"/>
  <c r="Q15" i="1"/>
  <c r="R15" i="1"/>
  <c r="S15" i="1"/>
  <c r="L19" i="1"/>
  <c r="T19" i="1"/>
  <c r="M19" i="1"/>
  <c r="U19" i="1"/>
  <c r="N19" i="1"/>
  <c r="O19" i="1"/>
  <c r="P19" i="1"/>
  <c r="Q19" i="1"/>
  <c r="R19" i="1"/>
  <c r="S19" i="1"/>
  <c r="L23" i="1"/>
  <c r="T23" i="1"/>
  <c r="M23" i="1"/>
  <c r="U23" i="1"/>
  <c r="N23" i="1"/>
  <c r="O23" i="1"/>
  <c r="P23" i="1"/>
  <c r="Q23" i="1"/>
  <c r="R23" i="1"/>
  <c r="S23" i="1"/>
  <c r="N30" i="1"/>
  <c r="O30" i="1"/>
  <c r="P30" i="1"/>
  <c r="Q30" i="1"/>
  <c r="R30" i="1"/>
  <c r="S30" i="1"/>
  <c r="L30" i="1"/>
  <c r="T30" i="1"/>
  <c r="M30" i="1"/>
  <c r="U30" i="1"/>
  <c r="N34" i="1"/>
  <c r="O34" i="1"/>
  <c r="P34" i="1"/>
  <c r="Q34" i="1"/>
  <c r="R34" i="1"/>
  <c r="S34" i="1"/>
  <c r="L34" i="1"/>
  <c r="T34" i="1"/>
  <c r="M34" i="1"/>
  <c r="U34" i="1"/>
  <c r="L39" i="1"/>
  <c r="T39" i="1"/>
  <c r="M39" i="1"/>
  <c r="U39" i="1"/>
  <c r="N39" i="1"/>
  <c r="O39" i="1"/>
  <c r="P39" i="1"/>
  <c r="Q39" i="1"/>
  <c r="R39" i="1"/>
  <c r="S39" i="1"/>
  <c r="R44" i="1"/>
  <c r="S44" i="1"/>
  <c r="L44" i="1"/>
  <c r="T44" i="1"/>
  <c r="M44" i="1"/>
  <c r="U44" i="1"/>
  <c r="N44" i="1"/>
  <c r="O44" i="1"/>
  <c r="P44" i="1"/>
  <c r="Q44" i="1"/>
  <c r="R48" i="1"/>
  <c r="S48" i="1"/>
  <c r="L48" i="1"/>
  <c r="T48" i="1"/>
  <c r="M48" i="1"/>
  <c r="U48" i="1"/>
  <c r="N48" i="1"/>
  <c r="O48" i="1"/>
  <c r="P48" i="1"/>
  <c r="Q48" i="1"/>
  <c r="P53" i="1"/>
  <c r="Q53" i="1"/>
  <c r="R53" i="1"/>
  <c r="S53" i="1"/>
  <c r="L53" i="1"/>
  <c r="T53" i="1"/>
  <c r="M53" i="1"/>
  <c r="U53" i="1"/>
  <c r="N53" i="1"/>
  <c r="O53" i="1"/>
  <c r="N58" i="1"/>
  <c r="O58" i="1"/>
  <c r="P58" i="1"/>
  <c r="Q58" i="1"/>
  <c r="R58" i="1"/>
  <c r="S58" i="1"/>
  <c r="L58" i="1"/>
  <c r="T58" i="1"/>
  <c r="M58" i="1"/>
  <c r="U58" i="1"/>
  <c r="N70" i="1"/>
  <c r="O70" i="1"/>
  <c r="P70" i="1"/>
  <c r="Q70" i="1"/>
  <c r="R70" i="1"/>
  <c r="S70" i="1"/>
  <c r="L70" i="1"/>
  <c r="T70" i="1"/>
  <c r="M70" i="1"/>
  <c r="U70" i="1"/>
  <c r="L83" i="1"/>
  <c r="T83" i="1"/>
  <c r="M83" i="1"/>
  <c r="U83" i="1"/>
  <c r="N83" i="1"/>
  <c r="O83" i="1"/>
  <c r="Q83" i="1"/>
  <c r="R83" i="1"/>
  <c r="P83" i="1"/>
  <c r="S83" i="1"/>
  <c r="F74" i="1"/>
  <c r="Q59" i="2"/>
  <c r="P59" i="2" s="1"/>
  <c r="F47" i="1" s="1"/>
  <c r="Q14" i="2"/>
  <c r="P14" i="2" s="1"/>
  <c r="F9" i="1" s="1"/>
  <c r="Q23" i="2"/>
  <c r="P23" i="2" s="1"/>
  <c r="F17" i="1" s="1"/>
  <c r="P70" i="2"/>
  <c r="Q61" i="2"/>
  <c r="P61" i="2" s="1"/>
  <c r="F49" i="1" s="1"/>
  <c r="Q60" i="2"/>
  <c r="P60" i="2" s="1"/>
  <c r="F48" i="1" s="1"/>
  <c r="Q46" i="2"/>
  <c r="P46" i="2" s="1"/>
  <c r="F36" i="1" s="1"/>
  <c r="Q44" i="2"/>
  <c r="P44" i="2" s="1"/>
  <c r="F34" i="1" s="1"/>
  <c r="Q45" i="2"/>
  <c r="P45" i="2" s="1"/>
  <c r="F35" i="1" s="1"/>
  <c r="Q31" i="2"/>
  <c r="P31" i="2" s="1"/>
  <c r="F23" i="1" s="1"/>
  <c r="Q30" i="2"/>
  <c r="P30" i="2" s="1"/>
  <c r="F22" i="1" s="1"/>
  <c r="Q29" i="2"/>
  <c r="P29" i="2" s="1"/>
  <c r="F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F58" i="1" l="1"/>
  <c r="Q11" i="2"/>
  <c r="P11" i="2" s="1"/>
  <c r="F6" i="1" s="1"/>
  <c r="Q20" i="2"/>
  <c r="P20" i="2" s="1"/>
  <c r="F14" i="1" s="1"/>
  <c r="G3" i="1"/>
  <c r="G2" i="1"/>
  <c r="L11" i="2"/>
  <c r="M11" i="2" s="1"/>
  <c r="L10" i="2"/>
  <c r="M10" i="2" s="1"/>
  <c r="L9" i="2"/>
  <c r="M9" i="2" s="1"/>
  <c r="L8" i="2"/>
  <c r="L7" i="2"/>
  <c r="M7" i="2" s="1"/>
  <c r="N7" i="2" s="1"/>
  <c r="K3" i="1" s="1"/>
  <c r="G77" i="1"/>
  <c r="G61" i="1"/>
  <c r="G45" i="1"/>
  <c r="G29" i="1"/>
  <c r="G13" i="1"/>
  <c r="G84" i="1"/>
  <c r="G68" i="1"/>
  <c r="G52" i="1"/>
  <c r="G36" i="1"/>
  <c r="G20" i="1"/>
  <c r="G4" i="1"/>
  <c r="G75" i="1"/>
  <c r="G59" i="1"/>
  <c r="G43" i="1"/>
  <c r="G27" i="1"/>
  <c r="G11" i="1"/>
  <c r="G82" i="1"/>
  <c r="G66" i="1"/>
  <c r="G42" i="1"/>
  <c r="G18" i="1"/>
  <c r="G81" i="1"/>
  <c r="G73" i="1"/>
  <c r="G65" i="1"/>
  <c r="G57" i="1"/>
  <c r="G49" i="1"/>
  <c r="G41" i="1"/>
  <c r="G33" i="1"/>
  <c r="G25" i="1"/>
  <c r="G17" i="1"/>
  <c r="G9" i="1"/>
  <c r="G85" i="1"/>
  <c r="G69" i="1"/>
  <c r="G53" i="1"/>
  <c r="G37" i="1"/>
  <c r="G21" i="1"/>
  <c r="G5" i="1"/>
  <c r="G76" i="1"/>
  <c r="G60" i="1"/>
  <c r="G44" i="1"/>
  <c r="G28" i="1"/>
  <c r="G12" i="1"/>
  <c r="G83" i="1"/>
  <c r="G67" i="1"/>
  <c r="G51" i="1"/>
  <c r="G35" i="1"/>
  <c r="G19" i="1"/>
  <c r="G74" i="1"/>
  <c r="G58" i="1"/>
  <c r="G50" i="1"/>
  <c r="G34" i="1"/>
  <c r="G26" i="1"/>
  <c r="G10" i="1"/>
  <c r="G80" i="1"/>
  <c r="G64" i="1"/>
  <c r="G48" i="1"/>
  <c r="G32" i="1"/>
  <c r="G16" i="1"/>
  <c r="G88" i="1"/>
  <c r="G79" i="1"/>
  <c r="G71" i="1"/>
  <c r="G63" i="1"/>
  <c r="G55" i="1"/>
  <c r="G47" i="1"/>
  <c r="G39" i="1"/>
  <c r="G31" i="1"/>
  <c r="G23" i="1"/>
  <c r="G15" i="1"/>
  <c r="G7" i="1"/>
  <c r="G72" i="1"/>
  <c r="G56" i="1"/>
  <c r="G40" i="1"/>
  <c r="G24" i="1"/>
  <c r="G8" i="1"/>
  <c r="G86" i="1"/>
  <c r="G78" i="1"/>
  <c r="G70" i="1"/>
  <c r="G62" i="1"/>
  <c r="G54" i="1"/>
  <c r="G46" i="1"/>
  <c r="G38" i="1"/>
  <c r="G30" i="1"/>
  <c r="G22" i="1"/>
  <c r="G14" i="1"/>
  <c r="G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L3" i="1" l="1"/>
  <c r="T3" i="1"/>
  <c r="M3" i="1"/>
  <c r="U3" i="1"/>
  <c r="N3" i="1"/>
  <c r="O3" i="1"/>
  <c r="P3" i="1"/>
  <c r="Q3" i="1"/>
  <c r="R3" i="1"/>
  <c r="S3" i="1"/>
  <c r="N11" i="2"/>
  <c r="K6" i="1" s="1"/>
  <c r="H6" i="1"/>
  <c r="N10" i="2"/>
  <c r="K5" i="1" s="1"/>
  <c r="H5" i="1"/>
  <c r="N9" i="2"/>
  <c r="K4" i="1" s="1"/>
  <c r="H4" i="1"/>
  <c r="H3" i="1"/>
  <c r="Q19" i="2"/>
  <c r="P19" i="2" s="1"/>
  <c r="F13" i="1" s="1"/>
  <c r="Q10" i="2"/>
  <c r="P10" i="2" s="1"/>
  <c r="F5" i="1" s="1"/>
  <c r="C11" i="1"/>
  <c r="C3" i="1"/>
  <c r="C30" i="1"/>
  <c r="C75" i="1"/>
  <c r="C5" i="1"/>
  <c r="C6" i="1"/>
  <c r="C7" i="1"/>
  <c r="C8" i="1"/>
  <c r="C9" i="1"/>
  <c r="C10" i="1"/>
  <c r="C4" i="1"/>
  <c r="R4" i="1" l="1"/>
  <c r="S4" i="1"/>
  <c r="L4" i="1"/>
  <c r="T4" i="1"/>
  <c r="M4" i="1"/>
  <c r="U4" i="1"/>
  <c r="N4" i="1"/>
  <c r="O4" i="1"/>
  <c r="P4" i="1"/>
  <c r="Q4" i="1"/>
  <c r="P5" i="1"/>
  <c r="Q5" i="1"/>
  <c r="R5" i="1"/>
  <c r="S5" i="1"/>
  <c r="L5" i="1"/>
  <c r="T5" i="1"/>
  <c r="M5" i="1"/>
  <c r="U5" i="1"/>
  <c r="N5" i="1"/>
  <c r="O5" i="1"/>
  <c r="N6" i="1"/>
  <c r="O6" i="1"/>
  <c r="P6" i="1"/>
  <c r="Q6" i="1"/>
  <c r="R6" i="1"/>
  <c r="S6" i="1"/>
  <c r="L6" i="1"/>
  <c r="T6" i="1"/>
  <c r="M6" i="1"/>
  <c r="U6" i="1"/>
  <c r="C33" i="1"/>
  <c r="L3" i="2"/>
  <c r="L2" i="2" l="1"/>
  <c r="L6" i="2"/>
  <c r="L5" i="2"/>
  <c r="L4" i="2"/>
  <c r="M2" i="2" l="1"/>
  <c r="N2" i="2" s="1"/>
  <c r="K2" i="1" s="1"/>
  <c r="T2" i="1" l="1"/>
  <c r="U2" i="1"/>
  <c r="R2" i="1"/>
  <c r="S2" i="1"/>
  <c r="P2" i="1"/>
  <c r="Q2" i="1"/>
  <c r="N2" i="1"/>
  <c r="O2" i="1"/>
  <c r="L2" i="1"/>
  <c r="M2" i="1"/>
  <c r="T100" i="2"/>
  <c r="T101" i="2"/>
  <c r="H2" i="1"/>
  <c r="I2" i="1" s="1"/>
  <c r="I3" i="1" s="1"/>
  <c r="I4" i="1" s="1"/>
  <c r="I5" i="1" s="1"/>
  <c r="I6" i="1" l="1"/>
  <c r="I7" i="1" l="1"/>
  <c r="I8" i="1" l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8" i="1" s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W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W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T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<sst xmlns="http://schemas.openxmlformats.org/spreadsheetml/2006/main" count="1011" uniqueCount="490">
  <si>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</si>
  <si>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</si>
  <si>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</si>
  <si>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</si>
  <si>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</si>
  <si>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</si>
  <si>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</si>
  <si>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</si>
  <si>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</si>
  <si>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</si>
  <si>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Reward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</si>
  <si>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</si>
  <si>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</si>
  <si>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</si>
  <si>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</si>
  <si>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</si>
  <si>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</si>
  <si>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</si>
  <si>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</si>
  <si>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</si>
  <si>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</si>
  <si>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</si>
  <si>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</si>
  <si>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</si>
  <si>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</si>
  <si>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</si>
  <si>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</si>
  <si>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</si>
  <si>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</si>
  <si>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</si>
  <si>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</si>
  <si>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</si>
  <si>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</si>
  <si>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</si>
  <si>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</si>
  <si>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</si>
  <si>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</si>
  <si>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</si>
  <si>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</si>
  <si>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</si>
  <si>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</si>
  <si>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</si>
  <si>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</si>
  <si>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</si>
  <si>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</si>
  <si>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</si>
  <si>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</si>
  <si>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</si>
  <si>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</si>
  <si>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</si>
  <si>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</si>
  <si>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</si>
  <si>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</si>
  <si>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</si>
  <si>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</si>
  <si>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</si>
  <si>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</si>
  <si>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</si>
  <si>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</si>
  <si>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</si>
  <si>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</si>
  <si>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</si>
  <si>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</si>
  <si>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</si>
  <si>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</si>
  <si>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</si>
  <si>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</si>
  <si>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</si>
  <si>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</si>
  <si>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</si>
  <si>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</si>
  <si>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</si>
  <si>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</si>
  <si>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</si>
  <si>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</si>
  <si>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</si>
  <si>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</si>
  <si>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</si>
  <si>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</si>
  <si>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</si>
  <si>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</si>
  <si>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</si>
  <si>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</si>
  <si>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</si>
  <si>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</si>
  <si>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</si>
  <si>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</si>
  <si>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</si>
  <si>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</si>
  <si>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</si>
  <si>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</si>
  <si>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</si>
  <si>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</si>
  <si>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</si>
  <si>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</si>
  <si>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</si>
  <si>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</si>
  <si>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</si>
  <si>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</si>
  <si>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</si>
  <si>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</si>
  <si>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</si>
  <si>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</si>
  <si>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</si>
  <si>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</si>
  <si>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</si>
  <si>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</si>
  <si>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</si>
  <si>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</si>
  <si>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</si>
  <si>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</si>
  <si>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</si>
  <si>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</si>
  <si>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</si>
  <si>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</si>
  <si>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</si>
  <si>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</si>
  <si>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</si>
  <si>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</si>
  <si>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</si>
  <si>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</si>
  <si>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</si>
  <si>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</si>
  <si>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</si>
  <si>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</si>
  <si>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</si>
  <si>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</si>
  <si>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</si>
  <si>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</si>
  <si>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</si>
  <si>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</si>
  <si>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</si>
  <si>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</si>
  <si>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</si>
  <si>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</si>
  <si>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</si>
  <si>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</si>
  <si>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</si>
  <si>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</si>
  <si>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</si>
  <si>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</si>
  <si>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</si>
  <si>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</si>
  <si>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</si>
  <si>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</si>
  <si>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</si>
  <si>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</si>
  <si>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</si>
  <si>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</si>
  <si>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</si>
  <si>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</si>
  <si>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</si>
  <si>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</si>
  <si>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</si>
  <si>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</si>
  <si>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</si>
  <si>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</si>
  <si>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</si>
  <si>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</si>
  <si>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</si>
  <si>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</si>
  <si>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</si>
  <si>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</si>
  <si>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</si>
  <si>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</si>
  <si>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</si>
  <si>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</si>
  <si>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</si>
  <si>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</si>
  <si>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</si>
  <si>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</si>
  <si>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</si>
  <si>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</si>
  <si>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</si>
  <si>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</si>
  <si>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</si>
  <si>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</si>
  <si>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</si>
  <si>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</si>
  <si>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</si>
  <si>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</si>
  <si>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</si>
  <si>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</si>
  <si>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</si>
  <si>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</si>
  <si>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</si>
  <si>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</si>
  <si>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</si>
  <si>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</si>
  <si>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</si>
  <si>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</si>
  <si>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</si>
  <si>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</si>
  <si>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</si>
  <si>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</si>
  <si>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</si>
  <si>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</si>
  <si>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</si>
  <si>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</si>
  <si>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</si>
  <si>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</si>
  <si>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</si>
  <si>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</si>
  <si>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</si>
  <si>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</si>
  <si>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</si>
  <si>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</si>
  <si>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</si>
  <si>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</si>
  <si>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</si>
  <si>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</si>
  <si>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</si>
  <si>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</si>
  <si>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</si>
  <si>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</si>
  <si>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</si>
  <si>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</si>
  <si>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</si>
  <si>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</si>
  <si>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</si>
  <si>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</si>
  <si>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</si>
  <si>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</si>
  <si>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</si>
  <si>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</si>
  <si>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</si>
  <si>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</si>
  <si>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</si>
  <si>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</si>
  <si>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</si>
  <si>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</si>
  <si>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</si>
  <si>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</si>
  <si>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</si>
  <si>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</si>
  <si>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</si>
  <si>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</si>
  <si>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</si>
  <si>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</si>
  <si>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</si>
  <si>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</si>
  <si>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</si>
  <si>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</si>
  <si>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</si>
  <si>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</si>
  <si>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</si>
  <si>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</si>
  <si>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</si>
  <si>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</si>
  <si>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</si>
  <si>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</si>
  <si>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</si>
  <si>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</si>
  <si>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</si>
  <si>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</si>
  <si>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</si>
  <si>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</si>
  <si>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</si>
  <si>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</si>
  <si>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</si>
  <si>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</si>
  <si>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</si>
  <si>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</si>
  <si>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</si>
  <si>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</si>
  <si>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</si>
  <si>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</si>
  <si>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</si>
  <si>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</si>
  <si>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</si>
  <si>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</si>
  <si>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</si>
  <si>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</si>
  <si>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</si>
  <si>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</si>
  <si>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</si>
  <si>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</si>
  <si>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</si>
  <si>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</si>
  <si>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</si>
  <si>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</si>
  <si>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</si>
  <si>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</si>
  <si>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</si>
  <si>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</si>
  <si>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</si>
  <si>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</si>
  <si>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</si>
  <si>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</si>
  <si>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</si>
  <si>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</si>
  <si>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</si>
  <si>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</si>
  <si>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</si>
  <si>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,23,98,47,81</t>
    <phoneticPr fontId="1" type="noConversion"/>
  </si>
  <si>
    <t>,1,5,8,9，14,15,18,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</si>
  <si>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</si>
  <si>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</si>
  <si>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</si>
  <si>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</si>
  <si>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</si>
  <si>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</si>
  <si>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</si>
  <si>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</si>
  <si>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</si>
  <si>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</si>
  <si>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</si>
  <si>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</si>
  <si>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</si>
  <si>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</si>
  <si>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</si>
  <si>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</si>
  <si>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</si>
  <si>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</si>
  <si>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</si>
  <si>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</si>
  <si>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</si>
  <si>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</si>
  <si>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</si>
  <si>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</si>
  <si>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</si>
  <si>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</si>
  <si>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</si>
  <si>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</si>
  <si>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</si>
  <si>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</si>
  <si>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</si>
  <si>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</si>
  <si>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</si>
  <si>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</si>
  <si>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</si>
  <si>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</si>
  <si>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</si>
  <si>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</si>
  <si>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</si>
  <si>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</si>
  <si>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</si>
  <si>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</si>
  <si>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</si>
  <si>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</si>
  <si>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</si>
  <si>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</si>
  <si>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</si>
  <si>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</si>
  <si>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</si>
  <si>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</si>
  <si>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</si>
  <si>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</si>
  <si>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</si>
  <si>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</si>
  <si>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</si>
  <si>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</si>
  <si>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</si>
  <si>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</si>
  <si>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</si>
  <si>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</si>
  <si>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</si>
  <si>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</si>
  <si>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</si>
  <si>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</si>
  <si>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</si>
  <si>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</si>
  <si>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</si>
  <si>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</si>
  <si>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</si>
  <si>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</si>
  <si>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</si>
  <si>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</si>
  <si>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</si>
  <si>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</si>
  <si>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</si>
  <si>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</si>
  <si>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</si>
  <si>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</si>
  <si>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</si>
  <si>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</si>
  <si>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</si>
  <si>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</si>
  <si>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</si>
  <si>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</si>
  <si>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</si>
  <si>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</si>
  <si>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</si>
  <si>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</si>
  <si>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</si>
  <si>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</si>
  <si>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</si>
  <si>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</si>
  <si>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</si>
  <si>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</si>
  <si>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</si>
  <si>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</si>
  <si>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</si>
  <si>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</si>
  <si>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</si>
  <si>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dataValue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</si>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</sst>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 applyAlignment="1">
      <alignment horizontal="center" vertical="center" wrapText="1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I87" tableType="xml" totalsRowShown="0" headerRowDxfId="10" dataDxfId="9" connectionId="6">
  <autoFilter ref="A1:I87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88"/>
  <sheetViews>
    <sheetView tabSelected="1" zoomScaleNormal="100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L18" sqref="L18"/>
    </sheetView>
  </sheetViews>
  <sheetFormatPr defaultColWidth="9" defaultRowHeight="13.5" x14ac:dyDescent="0.15"/>
  <cols>
    <col min="1" max="2" width="9.5" style="28" bestFit="1" customWidth="1"/>
    <col min="3" max="3" width="29.125" style="28" customWidth="1"/>
    <col min="4" max="4" width="13.375" style="28" customWidth="1"/>
    <col min="5" max="5" width="12.75" style="28" customWidth="1"/>
    <col min="6" max="6" width="12.75" style="28" bestFit="1" customWidth="1"/>
    <col min="7" max="7" width="16.5" style="28" customWidth="1"/>
    <col min="8" max="8" width="16.75" style="28" bestFit="1" customWidth="1"/>
    <col min="9" max="9" width="16.25" style="28" customWidth="1"/>
    <col min="10" max="10" width="16.25" style="32" customWidth="1"/>
    <col min="11" max="11" width="16.75" style="32" customWidth="1"/>
    <col min="12" max="21" width="13.75" style="32" customWidth="1"/>
    <col min="22" max="22" width="10.25" style="28" customWidth="1"/>
    <col min="23" max="23" width="16.25" style="28" customWidth="1"/>
    <col min="24" max="24" width="11.625" style="28" customWidth="1"/>
    <col min="25" max="16384" width="9" style="28"/>
  </cols>
  <sheetData>
    <row r="1" spans="1:24" x14ac:dyDescent="0.15">
      <c r="A1" s="28" t="s">
        <v>0</v>
      </c>
      <c r="B1" s="28" t="s">
        <v>1</v>
      </c>
      <c r="C1" s="28" t="s">
        <v>181</v>
      </c>
      <c r="D1" s="28" t="s">
        <v>9</v>
      </c>
      <c r="E1" s="28" t="s">
        <v>182</v>
      </c>
      <c r="F1" s="28" t="s">
        <v>183</v>
      </c>
      <c r="G1" s="28" t="s">
        <v>203</v>
      </c>
      <c r="H1" s="28" t="s">
        <v>176</v>
      </c>
      <c r="I1" s="28" t="s">
        <v>184</v>
      </c>
      <c r="J1" s="33" t="s">
        <v>467</v>
      </c>
      <c r="K1" s="33" t="s">
        <v>480</v>
      </c>
      <c r="L1" s="33" t="s">
        <v>468</v>
      </c>
      <c r="M1" s="33" t="s">
        <v>469</v>
      </c>
      <c r="N1" s="33" t="s">
        <v>470</v>
      </c>
      <c r="O1" s="33" t="s">
        <v>471</v>
      </c>
      <c r="P1" s="33" t="s">
        <v>472</v>
      </c>
      <c r="Q1" s="33" t="s">
        <v>473</v>
      </c>
      <c r="R1" s="33" t="s">
        <v>474</v>
      </c>
      <c r="S1" s="33" t="s">
        <v>475</v>
      </c>
      <c r="T1" s="33" t="s">
        <v>476</v>
      </c>
      <c r="U1" s="33" t="s">
        <v>477</v>
      </c>
      <c r="V1" s="28" t="s">
        <v>180</v>
      </c>
      <c r="W1" s="28" t="s">
        <v>10</v>
      </c>
      <c r="X1" s="33" t="s">
        <v>478</v>
      </c>
    </row>
    <row r="2" spans="1:24" x14ac:dyDescent="0.15">
      <c r="A2" s="28" t="s">
        <v>4</v>
      </c>
      <c r="B2" s="28" t="s">
        <v>5</v>
      </c>
      <c r="C2" s="28" t="str">
        <f>SSC!$O2</f>
        <v>0 1 4 5,0 1 2,1 9,2 5,3 6</v>
      </c>
      <c r="D2" s="32">
        <f ca="1">SSC!$R2</f>
        <v>3</v>
      </c>
      <c r="E2" s="28">
        <v>1</v>
      </c>
      <c r="F2" s="32">
        <f ca="1">SSC!$P2</f>
        <v>78</v>
      </c>
      <c r="G2" s="28">
        <f>SSC!K$2</f>
        <v>81158</v>
      </c>
      <c r="H2" s="28">
        <f ca="1">SSC!M$2</f>
        <v>176.4</v>
      </c>
      <c r="I2" s="28">
        <f ca="1">V2-F2+H2</f>
        <v>1000098.4</v>
      </c>
      <c r="J2" s="32">
        <v>0.02</v>
      </c>
      <c r="K2" s="32">
        <f ca="1">SSC!N$2</f>
        <v>3</v>
      </c>
      <c r="L2" s="32">
        <f ca="1">IF(ISNUMBER(agent!$O$6*$J2*$K2),agent!$O$6*$J2*$K2,"没有上级")</f>
        <v>5.9999999999999793E-3</v>
      </c>
      <c r="M2" s="32">
        <f ca="1">IF(ISNUMBER(agent!$O$9*$J2*$K2),agent!$O$9*$J2*$K2,"没有上级")</f>
        <v>1.1999999999999959E-2</v>
      </c>
      <c r="N2" s="32">
        <f ca="1">IF(ISNUMBER(agent!$O$12*$J2*$K2),agent!$O$12*$J2*$K2,"没有上级")</f>
        <v>1.1999999999999959E-2</v>
      </c>
      <c r="O2" s="32">
        <f ca="1">IF(ISNUMBER(agent!$O$15*$J2*$K2),agent!$O$15*$J2*$K2,"没有上级")</f>
        <v>1.1999999999999959E-2</v>
      </c>
      <c r="P2" s="32">
        <f ca="1">IF(ISNUMBER(agent!$O$18*$J2*$K2),agent!$O$18*$J2*$K2,"没有上级")</f>
        <v>5.9999999999999793E-3</v>
      </c>
      <c r="Q2" s="32">
        <f ca="1">IF(ISNUMBER(agent!$O$21*$J2*$K2),agent!$O$21*$J2*$K2,"没有上级")</f>
        <v>1.1999999999999959E-2</v>
      </c>
      <c r="R2" s="32">
        <f ca="1">IF(ISNUMBER(agent!$O$24*$J2*$K2),agent!$O$24*$J2*$K2,"没有上级")</f>
        <v>5.9999999999999793E-3</v>
      </c>
      <c r="S2" s="32">
        <f ca="1">IF(ISNUMBER(agent!$O$27*$J2*$K2),agent!$O$27*$J2*$K2,"没有上级")</f>
        <v>5.9999999999999793E-3</v>
      </c>
      <c r="T2" s="32" t="str">
        <f ca="1">IF(ISNUMBER(agent!$O$30*$J2*$K2),agent!$O$30*$J2*$K2,"没有上级")</f>
        <v>没有上级</v>
      </c>
      <c r="U2" s="32" t="str">
        <f ca="1">IF(ISNUMBER(agent!$O$33*$J2*$K2),agent!$O$33*$J2*$K2,"没有上级")</f>
        <v>没有上级</v>
      </c>
      <c r="V2" s="28">
        <v>1000000</v>
      </c>
      <c r="W2" s="28">
        <v>19.600000000000001</v>
      </c>
      <c r="X2" s="28">
        <f>W2+J2*19</f>
        <v>19.98</v>
      </c>
    </row>
    <row r="3" spans="1:24" x14ac:dyDescent="0.15">
      <c r="A3" s="28" t="s">
        <v>13</v>
      </c>
      <c r="B3" s="28" t="s">
        <v>14</v>
      </c>
      <c r="C3" s="28" t="str">
        <f>SSC!$O7</f>
        <v>0 1 2 8,3 4 5 6 1</v>
      </c>
      <c r="D3" s="32">
        <f ca="1">SSC!$R7</f>
        <v>4</v>
      </c>
      <c r="E3" s="28">
        <v>1</v>
      </c>
      <c r="F3" s="32">
        <f ca="1">SSC!$P7</f>
        <v>160</v>
      </c>
      <c r="G3" s="28">
        <f>SSC!K$2</f>
        <v>81158</v>
      </c>
      <c r="H3" s="28">
        <f ca="1">SSC!M$7</f>
        <v>784</v>
      </c>
      <c r="I3" s="28">
        <f ca="1">$I2-$F3+$H3</f>
        <v>1000722.4</v>
      </c>
      <c r="J3" s="32">
        <v>0.2</v>
      </c>
      <c r="K3" s="32">
        <f ca="1">SSC!N$7</f>
        <v>1</v>
      </c>
      <c r="L3" s="32">
        <f ca="1">IF(ISNUMBER(agent!$O$6*$J3*$K3),agent!$O$6*$J3*$K3,"没有上级")</f>
        <v>1.9999999999999931E-2</v>
      </c>
      <c r="M3" s="32">
        <f ca="1">IF(ISNUMBER(agent!$O$9*$J3*$K3),agent!$O$9*$J3*$K3,"没有上级")</f>
        <v>3.9999999999999862E-2</v>
      </c>
      <c r="N3" s="32">
        <f ca="1">IF(ISNUMBER(agent!$O$12*$J3*$K3),agent!$O$12*$J3*$K3,"没有上级")</f>
        <v>3.9999999999999862E-2</v>
      </c>
      <c r="O3" s="32">
        <f ca="1">IF(ISNUMBER(agent!$O$15*$J3*$K3),agent!$O$15*$J3*$K3,"没有上级")</f>
        <v>3.9999999999999862E-2</v>
      </c>
      <c r="P3" s="32">
        <f ca="1">IF(ISNUMBER(agent!$O$18*$J3*$K3),agent!$O$18*$J3*$K3,"没有上级")</f>
        <v>1.9999999999999931E-2</v>
      </c>
      <c r="Q3" s="32">
        <f ca="1">IF(ISNUMBER(agent!$O$21*$J3*$K3),agent!$O$21*$J3*$K3,"没有上级")</f>
        <v>3.9999999999999862E-2</v>
      </c>
      <c r="R3" s="32">
        <f ca="1">IF(ISNUMBER(agent!$O$24*$J3*$K3),agent!$O$24*$J3*$K3,"没有上级")</f>
        <v>1.9999999999999931E-2</v>
      </c>
      <c r="S3" s="32">
        <f ca="1">IF(ISNUMBER(agent!$O$27*$J3*$K3),agent!$O$27*$J3*$K3,"没有上级")</f>
        <v>1.9999999999999931E-2</v>
      </c>
      <c r="T3" s="32" t="str">
        <f ca="1">IF(ISNUMBER(agent!$O$30*$J3*$K3),agent!$O$30*$J3*$K3,"没有上级")</f>
        <v>没有上级</v>
      </c>
      <c r="U3" s="32" t="str">
        <f ca="1">IF(ISNUMBER(agent!$O$33*$J3*$K3),agent!$O$33*$J3*$K3,"没有上级")</f>
        <v>没有上级</v>
      </c>
      <c r="W3" s="28">
        <v>196</v>
      </c>
      <c r="X3" s="32">
        <f t="shared" ref="X3:X66" si="0">W3+J3*19</f>
        <v>199.8</v>
      </c>
    </row>
    <row r="4" spans="1:24" x14ac:dyDescent="0.15">
      <c r="A4" s="28" t="s">
        <v>13</v>
      </c>
      <c r="B4" s="28" t="s">
        <v>15</v>
      </c>
      <c r="C4" s="28" t="str">
        <f>SSC!$O9</f>
        <v>23 98 47 81</v>
      </c>
      <c r="D4" s="32">
        <f ca="1">SSC!$R9</f>
        <v>4</v>
      </c>
      <c r="E4" s="28">
        <v>1</v>
      </c>
      <c r="F4" s="32">
        <f ca="1">SSC!$P9</f>
        <v>32</v>
      </c>
      <c r="G4" s="28">
        <f>SSC!K$2</f>
        <v>81158</v>
      </c>
      <c r="H4" s="28">
        <f ca="1">SSC!M9</f>
        <v>784</v>
      </c>
      <c r="I4" s="28">
        <f ca="1">$I3-$F4+$H4</f>
        <v>1001474.4</v>
      </c>
      <c r="J4" s="32">
        <v>0.2</v>
      </c>
      <c r="K4" s="32">
        <f ca="1">SSC!N9</f>
        <v>1</v>
      </c>
      <c r="L4" s="32">
        <f ca="1">IF(ISNUMBER(agent!$O$6*$J4*$K4),agent!$O$6*$J4*$K4,"没有上级")</f>
        <v>1.9999999999999931E-2</v>
      </c>
      <c r="M4" s="32">
        <f ca="1">IF(ISNUMBER(agent!$O$9*$J4*$K4),agent!$O$9*$J4*$K4,"没有上级")</f>
        <v>3.9999999999999862E-2</v>
      </c>
      <c r="N4" s="32">
        <f ca="1">IF(ISNUMBER(agent!$O$12*$J4*$K4),agent!$O$12*$J4*$K4,"没有上级")</f>
        <v>3.9999999999999862E-2</v>
      </c>
      <c r="O4" s="32">
        <f ca="1">IF(ISNUMBER(agent!$O$15*$J4*$K4),agent!$O$15*$J4*$K4,"没有上级")</f>
        <v>3.9999999999999862E-2</v>
      </c>
      <c r="P4" s="32">
        <f ca="1">IF(ISNUMBER(agent!$O$18*$J4*$K4),agent!$O$18*$J4*$K4,"没有上级")</f>
        <v>1.9999999999999931E-2</v>
      </c>
      <c r="Q4" s="32">
        <f ca="1">IF(ISNUMBER(agent!$O$21*$J4*$K4),agent!$O$21*$J4*$K4,"没有上级")</f>
        <v>3.9999999999999862E-2</v>
      </c>
      <c r="R4" s="32">
        <f ca="1">IF(ISNUMBER(agent!$O$24*$J4*$K4),agent!$O$24*$J4*$K4,"没有上级")</f>
        <v>1.9999999999999931E-2</v>
      </c>
      <c r="S4" s="32">
        <f ca="1">IF(ISNUMBER(agent!$O$27*$J4*$K4),agent!$O$27*$J4*$K4,"没有上级")</f>
        <v>1.9999999999999931E-2</v>
      </c>
      <c r="T4" s="32" t="str">
        <f ca="1">IF(ISNUMBER(agent!$O$30*$J4*$K4),agent!$O$30*$J4*$K4,"没有上级")</f>
        <v>没有上级</v>
      </c>
      <c r="U4" s="32" t="str">
        <f ca="1">IF(ISNUMBER(agent!$O$33*$J4*$K4),agent!$O$33*$J4*$K4,"没有上级")</f>
        <v>没有上级</v>
      </c>
      <c r="W4" s="28">
        <v>196</v>
      </c>
      <c r="X4" s="32">
        <f t="shared" si="0"/>
        <v>199.8</v>
      </c>
    </row>
    <row r="5" spans="1:24" x14ac:dyDescent="0.15">
      <c r="A5" s="28" t="s">
        <v>13</v>
      </c>
      <c r="B5" s="28" t="s">
        <v>17</v>
      </c>
      <c r="C5" s="28" t="str">
        <f>SSC!$O10</f>
        <v>1 5 8 9，14 15 18</v>
      </c>
      <c r="D5" s="32">
        <f ca="1">SSC!$R10</f>
        <v>4</v>
      </c>
      <c r="E5" s="28">
        <v>1</v>
      </c>
      <c r="F5" s="32">
        <f ca="1">SSC!$P10</f>
        <v>176</v>
      </c>
      <c r="G5" s="28">
        <f>SSC!K$2</f>
        <v>81158</v>
      </c>
      <c r="H5" s="28">
        <f ca="1">SSC!M10</f>
        <v>784</v>
      </c>
      <c r="I5" s="28">
        <f ca="1">$I4-$F5+$H5</f>
        <v>1002082.4</v>
      </c>
      <c r="J5" s="32">
        <v>0.2</v>
      </c>
      <c r="K5" s="32">
        <f ca="1">SSC!N10</f>
        <v>1</v>
      </c>
      <c r="L5" s="32">
        <f ca="1">IF(ISNUMBER(agent!$O$6*$J5*$K5),agent!$O$6*$J5*$K5,"没有上级")</f>
        <v>1.9999999999999931E-2</v>
      </c>
      <c r="M5" s="32">
        <f ca="1">IF(ISNUMBER(agent!$O$9*$J5*$K5),agent!$O$9*$J5*$K5,"没有上级")</f>
        <v>3.9999999999999862E-2</v>
      </c>
      <c r="N5" s="32">
        <f ca="1">IF(ISNUMBER(agent!$O$12*$J5*$K5),agent!$O$12*$J5*$K5,"没有上级")</f>
        <v>3.9999999999999862E-2</v>
      </c>
      <c r="O5" s="32">
        <f ca="1">IF(ISNUMBER(agent!$O$15*$J5*$K5),agent!$O$15*$J5*$K5,"没有上级")</f>
        <v>3.9999999999999862E-2</v>
      </c>
      <c r="P5" s="32">
        <f ca="1">IF(ISNUMBER(agent!$O$18*$J5*$K5),agent!$O$18*$J5*$K5,"没有上级")</f>
        <v>1.9999999999999931E-2</v>
      </c>
      <c r="Q5" s="32">
        <f ca="1">IF(ISNUMBER(agent!$O$21*$J5*$K5),agent!$O$21*$J5*$K5,"没有上级")</f>
        <v>3.9999999999999862E-2</v>
      </c>
      <c r="R5" s="32">
        <f ca="1">IF(ISNUMBER(agent!$O$24*$J5*$K5),agent!$O$24*$J5*$K5,"没有上级")</f>
        <v>1.9999999999999931E-2</v>
      </c>
      <c r="S5" s="32">
        <f ca="1">IF(ISNUMBER(agent!$O$27*$J5*$K5),agent!$O$27*$J5*$K5,"没有上级")</f>
        <v>1.9999999999999931E-2</v>
      </c>
      <c r="T5" s="32" t="str">
        <f ca="1">IF(ISNUMBER(agent!$O$30*$J5*$K5),agent!$O$30*$J5*$K5,"没有上级")</f>
        <v>没有上级</v>
      </c>
      <c r="U5" s="32" t="str">
        <f ca="1">IF(ISNUMBER(agent!$O$33*$J5*$K5),agent!$O$33*$J5*$K5,"没有上级")</f>
        <v>没有上级</v>
      </c>
      <c r="W5" s="28">
        <v>196</v>
      </c>
      <c r="X5" s="32">
        <f t="shared" si="0"/>
        <v>199.8</v>
      </c>
    </row>
    <row r="6" spans="1:24" x14ac:dyDescent="0.15">
      <c r="A6" s="28" t="s">
        <v>13</v>
      </c>
      <c r="B6" s="28" t="s">
        <v>19</v>
      </c>
      <c r="C6" s="28" t="str">
        <f>SSC!$O11</f>
        <v>0 1 2 7 8 9</v>
      </c>
      <c r="D6" s="32">
        <f ca="1">SSC!$R11</f>
        <v>2</v>
      </c>
      <c r="E6" s="28">
        <v>1</v>
      </c>
      <c r="F6" s="32">
        <f ca="1">SSC!$P11</f>
        <v>224</v>
      </c>
      <c r="G6" s="28">
        <f>SSC!K$2</f>
        <v>81158</v>
      </c>
      <c r="H6" s="28">
        <f ca="1">SSC!M11</f>
        <v>392</v>
      </c>
      <c r="I6" s="28">
        <f ca="1">$I5-$F6+$H6</f>
        <v>1002250.4</v>
      </c>
      <c r="J6" s="32">
        <v>0.2</v>
      </c>
      <c r="K6" s="32">
        <f ca="1">SSC!N11</f>
        <v>1</v>
      </c>
      <c r="L6" s="32">
        <f ca="1">IF(ISNUMBER(agent!$O$6*$J6*$K6),agent!$O$6*$J6*$K6,"没有上级")</f>
        <v>1.9999999999999931E-2</v>
      </c>
      <c r="M6" s="32">
        <f ca="1">IF(ISNUMBER(agent!$O$9*$J6*$K6),agent!$O$9*$J6*$K6,"没有上级")</f>
        <v>3.9999999999999862E-2</v>
      </c>
      <c r="N6" s="32">
        <f ca="1">IF(ISNUMBER(agent!$O$12*$J6*$K6),agent!$O$12*$J6*$K6,"没有上级")</f>
        <v>3.9999999999999862E-2</v>
      </c>
      <c r="O6" s="32">
        <f ca="1">IF(ISNUMBER(agent!$O$15*$J6*$K6),agent!$O$15*$J6*$K6,"没有上级")</f>
        <v>3.9999999999999862E-2</v>
      </c>
      <c r="P6" s="32">
        <f ca="1">IF(ISNUMBER(agent!$O$18*$J6*$K6),agent!$O$18*$J6*$K6,"没有上级")</f>
        <v>1.9999999999999931E-2</v>
      </c>
      <c r="Q6" s="32">
        <f ca="1">IF(ISNUMBER(agent!$O$21*$J6*$K6),agent!$O$21*$J6*$K6,"没有上级")</f>
        <v>3.9999999999999862E-2</v>
      </c>
      <c r="R6" s="32">
        <f ca="1">IF(ISNUMBER(agent!$O$24*$J6*$K6),agent!$O$24*$J6*$K6,"没有上级")</f>
        <v>1.9999999999999931E-2</v>
      </c>
      <c r="S6" s="32">
        <f ca="1">IF(ISNUMBER(agent!$O$27*$J6*$K6),agent!$O$27*$J6*$K6,"没有上级")</f>
        <v>1.9999999999999931E-2</v>
      </c>
      <c r="T6" s="32" t="str">
        <f ca="1">IF(ISNUMBER(agent!$O$30*$J6*$K6),agent!$O$30*$J6*$K6,"没有上级")</f>
        <v>没有上级</v>
      </c>
      <c r="U6" s="32" t="str">
        <f ca="1">IF(ISNUMBER(agent!$O$33*$J6*$K6),agent!$O$33*$J6*$K6,"没有上级")</f>
        <v>没有上级</v>
      </c>
      <c r="W6" s="28">
        <v>196</v>
      </c>
      <c r="X6" s="32">
        <f t="shared" si="0"/>
        <v>199.8</v>
      </c>
    </row>
    <row r="7" spans="1:24" x14ac:dyDescent="0.15">
      <c r="A7" s="28" t="s">
        <v>13</v>
      </c>
      <c r="B7" s="28" t="s">
        <v>21</v>
      </c>
      <c r="C7" s="28" t="str">
        <f>SSC!$O12</f>
        <v>0 1 2 7 8 9</v>
      </c>
      <c r="D7" s="32">
        <f ca="1">SSC!$R12</f>
        <v>2</v>
      </c>
      <c r="E7" s="28">
        <v>1</v>
      </c>
      <c r="F7" s="32">
        <f ca="1">SSC!$P12</f>
        <v>60</v>
      </c>
      <c r="G7" s="28">
        <f>SSC!K$2</f>
        <v>81158</v>
      </c>
      <c r="H7" s="32">
        <f ca="1">SSC!M12</f>
        <v>196</v>
      </c>
      <c r="I7" s="28">
        <f ca="1">$I6-$F7+$H7</f>
        <v>1002386.4</v>
      </c>
      <c r="J7" s="32">
        <v>0.1</v>
      </c>
      <c r="K7" s="32">
        <f ca="1">SSC!N12</f>
        <v>1</v>
      </c>
      <c r="L7" s="32">
        <f ca="1">IF(ISNUMBER(agent!$O$6*$J7*$K7),agent!$O$6*$J7*$K7,"没有上级")</f>
        <v>9.9999999999999655E-3</v>
      </c>
      <c r="M7" s="32">
        <f ca="1">IF(ISNUMBER(agent!$O$9*$J7*$K7),agent!$O$9*$J7*$K7,"没有上级")</f>
        <v>1.9999999999999931E-2</v>
      </c>
      <c r="N7" s="32">
        <f ca="1">IF(ISNUMBER(agent!$O$12*$J7*$K7),agent!$O$12*$J7*$K7,"没有上级")</f>
        <v>1.9999999999999931E-2</v>
      </c>
      <c r="O7" s="32">
        <f ca="1">IF(ISNUMBER(agent!$O$15*$J7*$K7),agent!$O$15*$J7*$K7,"没有上级")</f>
        <v>1.9999999999999931E-2</v>
      </c>
      <c r="P7" s="32">
        <f ca="1">IF(ISNUMBER(agent!$O$18*$J7*$K7),agent!$O$18*$J7*$K7,"没有上级")</f>
        <v>9.9999999999999655E-3</v>
      </c>
      <c r="Q7" s="32">
        <f ca="1">IF(ISNUMBER(agent!$O$21*$J7*$K7),agent!$O$21*$J7*$K7,"没有上级")</f>
        <v>1.9999999999999931E-2</v>
      </c>
      <c r="R7" s="32">
        <f ca="1">IF(ISNUMBER(agent!$O$24*$J7*$K7),agent!$O$24*$J7*$K7,"没有上级")</f>
        <v>9.9999999999999655E-3</v>
      </c>
      <c r="S7" s="32">
        <f ca="1">IF(ISNUMBER(agent!$O$27*$J7*$K7),agent!$O$27*$J7*$K7,"没有上级")</f>
        <v>9.9999999999999655E-3</v>
      </c>
      <c r="T7" s="32" t="str">
        <f ca="1">IF(ISNUMBER(agent!$O$30*$J7*$K7),agent!$O$30*$J7*$K7,"没有上级")</f>
        <v>没有上级</v>
      </c>
      <c r="U7" s="32" t="str">
        <f ca="1">IF(ISNUMBER(agent!$O$33*$J7*$K7),agent!$O$33*$J7*$K7,"没有上级")</f>
        <v>没有上级</v>
      </c>
      <c r="W7" s="28">
        <v>98</v>
      </c>
      <c r="X7" s="32">
        <f t="shared" si="0"/>
        <v>99.9</v>
      </c>
    </row>
    <row r="8" spans="1:24" x14ac:dyDescent="0.15">
      <c r="A8" s="28" t="s">
        <v>13</v>
      </c>
      <c r="B8" s="28" t="s">
        <v>22</v>
      </c>
      <c r="C8" s="28" t="str">
        <f>SSC!$O13</f>
        <v>01 02 03 18</v>
      </c>
      <c r="D8" s="32">
        <f ca="1">SSC!$R13</f>
        <v>2</v>
      </c>
      <c r="E8" s="28">
        <v>1</v>
      </c>
      <c r="F8" s="32">
        <f ca="1">SSC!$P13</f>
        <v>16</v>
      </c>
      <c r="G8" s="28">
        <f>SSC!K$2</f>
        <v>81158</v>
      </c>
      <c r="H8" s="32">
        <f ca="1">SSC!M13</f>
        <v>196</v>
      </c>
      <c r="I8" s="28">
        <f ca="1">$I7-$F8+$H8</f>
        <v>1002566.4</v>
      </c>
      <c r="J8" s="32">
        <v>0.1</v>
      </c>
      <c r="K8" s="32">
        <f ca="1">SSC!N13</f>
        <v>1</v>
      </c>
      <c r="L8" s="32">
        <f ca="1">IF(ISNUMBER(agent!$O$6*$J8*$K8),agent!$O$6*$J8*$K8,"没有上级")</f>
        <v>9.9999999999999655E-3</v>
      </c>
      <c r="M8" s="32">
        <f ca="1">IF(ISNUMBER(agent!$O$9*$J8*$K8),agent!$O$9*$J8*$K8,"没有上级")</f>
        <v>1.9999999999999931E-2</v>
      </c>
      <c r="N8" s="32">
        <f ca="1">IF(ISNUMBER(agent!$O$12*$J8*$K8),agent!$O$12*$J8*$K8,"没有上级")</f>
        <v>1.9999999999999931E-2</v>
      </c>
      <c r="O8" s="32">
        <f ca="1">IF(ISNUMBER(agent!$O$15*$J8*$K8),agent!$O$15*$J8*$K8,"没有上级")</f>
        <v>1.9999999999999931E-2</v>
      </c>
      <c r="P8" s="32">
        <f ca="1">IF(ISNUMBER(agent!$O$18*$J8*$K8),agent!$O$18*$J8*$K8,"没有上级")</f>
        <v>9.9999999999999655E-3</v>
      </c>
      <c r="Q8" s="32">
        <f ca="1">IF(ISNUMBER(agent!$O$21*$J8*$K8),agent!$O$21*$J8*$K8,"没有上级")</f>
        <v>1.9999999999999931E-2</v>
      </c>
      <c r="R8" s="32">
        <f ca="1">IF(ISNUMBER(agent!$O$24*$J8*$K8),agent!$O$24*$J8*$K8,"没有上级")</f>
        <v>9.9999999999999655E-3</v>
      </c>
      <c r="S8" s="32">
        <f ca="1">IF(ISNUMBER(agent!$O$27*$J8*$K8),agent!$O$27*$J8*$K8,"没有上级")</f>
        <v>9.9999999999999655E-3</v>
      </c>
      <c r="T8" s="32" t="str">
        <f ca="1">IF(ISNUMBER(agent!$O$30*$J8*$K8),agent!$O$30*$J8*$K8,"没有上级")</f>
        <v>没有上级</v>
      </c>
      <c r="U8" s="32" t="str">
        <f ca="1">IF(ISNUMBER(agent!$O$33*$J8*$K8),agent!$O$33*$J8*$K8,"没有上级")</f>
        <v>没有上级</v>
      </c>
      <c r="W8" s="28">
        <v>98</v>
      </c>
      <c r="X8" s="32">
        <f t="shared" si="0"/>
        <v>99.9</v>
      </c>
    </row>
    <row r="9" spans="1:24" x14ac:dyDescent="0.15">
      <c r="A9" s="28" t="s">
        <v>13</v>
      </c>
      <c r="B9" s="28" t="s">
        <v>23</v>
      </c>
      <c r="C9" s="28" t="str">
        <f>SSC!$O14</f>
        <v>1 2 3 8 14 15 9</v>
      </c>
      <c r="D9" s="32">
        <f ca="1">SSC!$R14</f>
        <v>3</v>
      </c>
      <c r="E9" s="28">
        <v>1</v>
      </c>
      <c r="F9" s="32">
        <f ca="1">SSC!$P14</f>
        <v>102</v>
      </c>
      <c r="G9" s="28">
        <f>SSC!K$2</f>
        <v>81158</v>
      </c>
      <c r="H9" s="32">
        <f ca="1">SSC!M14</f>
        <v>294</v>
      </c>
      <c r="I9" s="28">
        <f ca="1">$I8-$F9+$H9</f>
        <v>1002758.4</v>
      </c>
      <c r="J9" s="32">
        <v>0.1</v>
      </c>
      <c r="K9" s="32">
        <f ca="1">SSC!N14</f>
        <v>1</v>
      </c>
      <c r="L9" s="32">
        <f ca="1">IF(ISNUMBER(agent!$O$6*$J9*$K9),agent!$O$6*$J9*$K9,"没有上级")</f>
        <v>9.9999999999999655E-3</v>
      </c>
      <c r="M9" s="32">
        <f ca="1">IF(ISNUMBER(agent!$O$9*$J9*$K9),agent!$O$9*$J9*$K9,"没有上级")</f>
        <v>1.9999999999999931E-2</v>
      </c>
      <c r="N9" s="32">
        <f ca="1">IF(ISNUMBER(agent!$O$12*$J9*$K9),agent!$O$12*$J9*$K9,"没有上级")</f>
        <v>1.9999999999999931E-2</v>
      </c>
      <c r="O9" s="32">
        <f ca="1">IF(ISNUMBER(agent!$O$15*$J9*$K9),agent!$O$15*$J9*$K9,"没有上级")</f>
        <v>1.9999999999999931E-2</v>
      </c>
      <c r="P9" s="32">
        <f ca="1">IF(ISNUMBER(agent!$O$18*$J9*$K9),agent!$O$18*$J9*$K9,"没有上级")</f>
        <v>9.9999999999999655E-3</v>
      </c>
      <c r="Q9" s="32">
        <f ca="1">IF(ISNUMBER(agent!$O$21*$J9*$K9),agent!$O$21*$J9*$K9,"没有上级")</f>
        <v>1.9999999999999931E-2</v>
      </c>
      <c r="R9" s="32">
        <f ca="1">IF(ISNUMBER(agent!$O$24*$J9*$K9),agent!$O$24*$J9*$K9,"没有上级")</f>
        <v>9.9999999999999655E-3</v>
      </c>
      <c r="S9" s="32">
        <f ca="1">IF(ISNUMBER(agent!$O$27*$J9*$K9),agent!$O$27*$J9*$K9,"没有上级")</f>
        <v>9.9999999999999655E-3</v>
      </c>
      <c r="T9" s="32" t="str">
        <f ca="1">IF(ISNUMBER(agent!$O$30*$J9*$K9),agent!$O$30*$J9*$K9,"没有上级")</f>
        <v>没有上级</v>
      </c>
      <c r="U9" s="32" t="str">
        <f ca="1">IF(ISNUMBER(agent!$O$33*$J9*$K9),agent!$O$33*$J9*$K9,"没有上级")</f>
        <v>没有上级</v>
      </c>
      <c r="W9" s="28">
        <v>98</v>
      </c>
      <c r="X9" s="32">
        <f t="shared" si="0"/>
        <v>99.9</v>
      </c>
    </row>
    <row r="10" spans="1:24" x14ac:dyDescent="0.15">
      <c r="A10" s="28" t="s">
        <v>13</v>
      </c>
      <c r="B10" s="28" t="s">
        <v>24</v>
      </c>
      <c r="C10" s="28" t="str">
        <f>SSC!$O15</f>
        <v>1</v>
      </c>
      <c r="D10" s="32">
        <f ca="1">SSC!$R15</f>
        <v>3</v>
      </c>
      <c r="E10" s="28">
        <v>1</v>
      </c>
      <c r="F10" s="32">
        <f ca="1">SSC!$P15</f>
        <v>54</v>
      </c>
      <c r="G10" s="28">
        <f>SSC!K$2</f>
        <v>81158</v>
      </c>
      <c r="H10" s="32">
        <f ca="1">SSC!M15</f>
        <v>294</v>
      </c>
      <c r="I10" s="28">
        <f ca="1">$I9-$F10+$H10</f>
        <v>1002998.4</v>
      </c>
      <c r="J10" s="32">
        <v>0.1</v>
      </c>
      <c r="K10" s="32">
        <f ca="1">SSC!N15</f>
        <v>1</v>
      </c>
      <c r="L10" s="32">
        <f ca="1">IF(ISNUMBER(agent!$O$6*$J10*$K10),agent!$O$6*$J10*$K10,"没有上级")</f>
        <v>9.9999999999999655E-3</v>
      </c>
      <c r="M10" s="32">
        <f ca="1">IF(ISNUMBER(agent!$O$9*$J10*$K10),agent!$O$9*$J10*$K10,"没有上级")</f>
        <v>1.9999999999999931E-2</v>
      </c>
      <c r="N10" s="32">
        <f ca="1">IF(ISNUMBER(agent!$O$12*$J10*$K10),agent!$O$12*$J10*$K10,"没有上级")</f>
        <v>1.9999999999999931E-2</v>
      </c>
      <c r="O10" s="32">
        <f ca="1">IF(ISNUMBER(agent!$O$15*$J10*$K10),agent!$O$15*$J10*$K10,"没有上级")</f>
        <v>1.9999999999999931E-2</v>
      </c>
      <c r="P10" s="32">
        <f ca="1">IF(ISNUMBER(agent!$O$18*$J10*$K10),agent!$O$18*$J10*$K10,"没有上级")</f>
        <v>9.9999999999999655E-3</v>
      </c>
      <c r="Q10" s="32">
        <f ca="1">IF(ISNUMBER(agent!$O$21*$J10*$K10),agent!$O$21*$J10*$K10,"没有上级")</f>
        <v>1.9999999999999931E-2</v>
      </c>
      <c r="R10" s="32">
        <f ca="1">IF(ISNUMBER(agent!$O$24*$J10*$K10),agent!$O$24*$J10*$K10,"没有上级")</f>
        <v>9.9999999999999655E-3</v>
      </c>
      <c r="S10" s="32">
        <f ca="1">IF(ISNUMBER(agent!$O$27*$J10*$K10),agent!$O$27*$J10*$K10,"没有上级")</f>
        <v>9.9999999999999655E-3</v>
      </c>
      <c r="T10" s="32" t="str">
        <f ca="1">IF(ISNUMBER(agent!$O$30*$J10*$K10),agent!$O$30*$J10*$K10,"没有上级")</f>
        <v>没有上级</v>
      </c>
      <c r="U10" s="32" t="str">
        <f ca="1">IF(ISNUMBER(agent!$O$33*$J10*$K10),agent!$O$33*$J10*$K10,"没有上级")</f>
        <v>没有上级</v>
      </c>
      <c r="W10" s="28">
        <v>98</v>
      </c>
      <c r="X10" s="32">
        <f t="shared" si="0"/>
        <v>99.9</v>
      </c>
    </row>
    <row r="11" spans="1:24" x14ac:dyDescent="0.15">
      <c r="A11" s="28" t="s">
        <v>26</v>
      </c>
      <c r="B11" s="28" t="s">
        <v>14</v>
      </c>
      <c r="C11" s="28" t="str">
        <f>SSC!$O16</f>
        <v>1 2 8 9,2 3 4 1</v>
      </c>
      <c r="D11" s="32">
        <f ca="1">SSC!$R16</f>
        <v>2</v>
      </c>
      <c r="E11" s="28">
        <v>1</v>
      </c>
      <c r="F11" s="32">
        <f ca="1">SSC!$P16</f>
        <v>64</v>
      </c>
      <c r="G11" s="28">
        <f>SSC!K$2</f>
        <v>81158</v>
      </c>
      <c r="H11" s="32">
        <f ca="1">SSC!M16</f>
        <v>392</v>
      </c>
      <c r="I11" s="28">
        <f ca="1">$I10-$F11+$H11</f>
        <v>1003326.4</v>
      </c>
      <c r="J11" s="32">
        <v>0.2</v>
      </c>
      <c r="K11" s="32">
        <f ca="1">SSC!N16</f>
        <v>1</v>
      </c>
      <c r="L11" s="32">
        <f ca="1">IF(ISNUMBER(agent!$O$6*$J11*$K11),agent!$O$6*$J11*$K11,"没有上级")</f>
        <v>1.9999999999999931E-2</v>
      </c>
      <c r="M11" s="32">
        <f ca="1">IF(ISNUMBER(agent!$O$9*$J11*$K11),agent!$O$9*$J11*$K11,"没有上级")</f>
        <v>3.9999999999999862E-2</v>
      </c>
      <c r="N11" s="32">
        <f ca="1">IF(ISNUMBER(agent!$O$12*$J11*$K11),agent!$O$12*$J11*$K11,"没有上级")</f>
        <v>3.9999999999999862E-2</v>
      </c>
      <c r="O11" s="32">
        <f ca="1">IF(ISNUMBER(agent!$O$15*$J11*$K11),agent!$O$15*$J11*$K11,"没有上级")</f>
        <v>3.9999999999999862E-2</v>
      </c>
      <c r="P11" s="32">
        <f ca="1">IF(ISNUMBER(agent!$O$18*$J11*$K11),agent!$O$18*$J11*$K11,"没有上级")</f>
        <v>1.9999999999999931E-2</v>
      </c>
      <c r="Q11" s="32">
        <f ca="1">IF(ISNUMBER(agent!$O$21*$J11*$K11),agent!$O$21*$J11*$K11,"没有上级")</f>
        <v>3.9999999999999862E-2</v>
      </c>
      <c r="R11" s="32">
        <f ca="1">IF(ISNUMBER(agent!$O$24*$J11*$K11),agent!$O$24*$J11*$K11,"没有上级")</f>
        <v>1.9999999999999931E-2</v>
      </c>
      <c r="S11" s="32">
        <f ca="1">IF(ISNUMBER(agent!$O$27*$J11*$K11),agent!$O$27*$J11*$K11,"没有上级")</f>
        <v>1.9999999999999931E-2</v>
      </c>
      <c r="T11" s="32" t="str">
        <f ca="1">IF(ISNUMBER(agent!$O$30*$J11*$K11),agent!$O$30*$J11*$K11,"没有上级")</f>
        <v>没有上级</v>
      </c>
      <c r="U11" s="32" t="str">
        <f ca="1">IF(ISNUMBER(agent!$O$33*$J11*$K11),agent!$O$33*$J11*$K11,"没有上级")</f>
        <v>没有上级</v>
      </c>
      <c r="W11" s="28">
        <v>196</v>
      </c>
      <c r="X11" s="32">
        <f t="shared" si="0"/>
        <v>199.8</v>
      </c>
    </row>
    <row r="12" spans="1:24" x14ac:dyDescent="0.15">
      <c r="A12" s="28" t="s">
        <v>26</v>
      </c>
      <c r="B12" s="28" t="s">
        <v>15</v>
      </c>
      <c r="C12" s="28" t="str">
        <f>SSC!$O18</f>
        <v>12 12 13 21 81</v>
      </c>
      <c r="D12" s="32">
        <f ca="1">SSC!$R18</f>
        <v>1</v>
      </c>
      <c r="E12" s="28">
        <v>1</v>
      </c>
      <c r="F12" s="32">
        <f ca="1">SSC!$P18</f>
        <v>8</v>
      </c>
      <c r="G12" s="28">
        <f>SSC!K$2</f>
        <v>81158</v>
      </c>
      <c r="H12" s="32">
        <f ca="1">SSC!M18</f>
        <v>196</v>
      </c>
      <c r="I12" s="28">
        <f ca="1">$I11-$F12+$H12</f>
        <v>1003514.4</v>
      </c>
      <c r="J12" s="32">
        <v>0.2</v>
      </c>
      <c r="K12" s="32">
        <f ca="1">SSC!N18</f>
        <v>1</v>
      </c>
      <c r="L12" s="32">
        <f ca="1">IF(ISNUMBER(agent!$O$6*$J12*$K12),agent!$O$6*$J12*$K12,"没有上级")</f>
        <v>1.9999999999999931E-2</v>
      </c>
      <c r="M12" s="32">
        <f ca="1">IF(ISNUMBER(agent!$O$9*$J12*$K12),agent!$O$9*$J12*$K12,"没有上级")</f>
        <v>3.9999999999999862E-2</v>
      </c>
      <c r="N12" s="32">
        <f ca="1">IF(ISNUMBER(agent!$O$12*$J12*$K12),agent!$O$12*$J12*$K12,"没有上级")</f>
        <v>3.9999999999999862E-2</v>
      </c>
      <c r="O12" s="32">
        <f ca="1">IF(ISNUMBER(agent!$O$15*$J12*$K12),agent!$O$15*$J12*$K12,"没有上级")</f>
        <v>3.9999999999999862E-2</v>
      </c>
      <c r="P12" s="32">
        <f ca="1">IF(ISNUMBER(agent!$O$18*$J12*$K12),agent!$O$18*$J12*$K12,"没有上级")</f>
        <v>1.9999999999999931E-2</v>
      </c>
      <c r="Q12" s="32">
        <f ca="1">IF(ISNUMBER(agent!$O$21*$J12*$K12),agent!$O$21*$J12*$K12,"没有上级")</f>
        <v>3.9999999999999862E-2</v>
      </c>
      <c r="R12" s="32">
        <f ca="1">IF(ISNUMBER(agent!$O$24*$J12*$K12),agent!$O$24*$J12*$K12,"没有上级")</f>
        <v>1.9999999999999931E-2</v>
      </c>
      <c r="S12" s="32">
        <f ca="1">IF(ISNUMBER(agent!$O$27*$J12*$K12),agent!$O$27*$J12*$K12,"没有上级")</f>
        <v>1.9999999999999931E-2</v>
      </c>
      <c r="T12" s="32" t="str">
        <f ca="1">IF(ISNUMBER(agent!$O$30*$J12*$K12),agent!$O$30*$J12*$K12,"没有上级")</f>
        <v>没有上级</v>
      </c>
      <c r="U12" s="32" t="str">
        <f ca="1">IF(ISNUMBER(agent!$O$33*$J12*$K12),agent!$O$33*$J12*$K12,"没有上级")</f>
        <v>没有上级</v>
      </c>
      <c r="W12" s="28">
        <v>196</v>
      </c>
      <c r="X12" s="32">
        <f t="shared" si="0"/>
        <v>199.8</v>
      </c>
    </row>
    <row r="13" spans="1:24" x14ac:dyDescent="0.15">
      <c r="A13" s="28" t="s">
        <v>26</v>
      </c>
      <c r="B13" s="28" t="s">
        <v>17</v>
      </c>
      <c r="C13" s="28" t="str">
        <f>SSC!$O19</f>
        <v>0 1 6 7 10 11 17 9</v>
      </c>
      <c r="D13" s="32">
        <f ca="1">SSC!$R19</f>
        <v>3</v>
      </c>
      <c r="E13" s="28">
        <v>1</v>
      </c>
      <c r="F13" s="32">
        <f ca="1">SSC!$P19</f>
        <v>282</v>
      </c>
      <c r="G13" s="28">
        <f>SSC!K$2</f>
        <v>81158</v>
      </c>
      <c r="H13" s="32">
        <f ca="1">SSC!M19</f>
        <v>588</v>
      </c>
      <c r="I13" s="28">
        <f ca="1">$I12-$F13+$H13</f>
        <v>1003820.4</v>
      </c>
      <c r="J13" s="32">
        <v>0.2</v>
      </c>
      <c r="K13" s="32">
        <f ca="1">SSC!N19</f>
        <v>1</v>
      </c>
      <c r="L13" s="32">
        <f ca="1">IF(ISNUMBER(agent!$O$6*$J13*$K13),agent!$O$6*$J13*$K13,"没有上级")</f>
        <v>1.9999999999999931E-2</v>
      </c>
      <c r="M13" s="32">
        <f ca="1">IF(ISNUMBER(agent!$O$9*$J13*$K13),agent!$O$9*$J13*$K13,"没有上级")</f>
        <v>3.9999999999999862E-2</v>
      </c>
      <c r="N13" s="32">
        <f ca="1">IF(ISNUMBER(agent!$O$12*$J13*$K13),agent!$O$12*$J13*$K13,"没有上级")</f>
        <v>3.9999999999999862E-2</v>
      </c>
      <c r="O13" s="32">
        <f ca="1">IF(ISNUMBER(agent!$O$15*$J13*$K13),agent!$O$15*$J13*$K13,"没有上级")</f>
        <v>3.9999999999999862E-2</v>
      </c>
      <c r="P13" s="32">
        <f ca="1">IF(ISNUMBER(agent!$O$18*$J13*$K13),agent!$O$18*$J13*$K13,"没有上级")</f>
        <v>1.9999999999999931E-2</v>
      </c>
      <c r="Q13" s="32">
        <f ca="1">IF(ISNUMBER(agent!$O$21*$J13*$K13),agent!$O$21*$J13*$K13,"没有上级")</f>
        <v>3.9999999999999862E-2</v>
      </c>
      <c r="R13" s="32">
        <f ca="1">IF(ISNUMBER(agent!$O$24*$J13*$K13),agent!$O$24*$J13*$K13,"没有上级")</f>
        <v>1.9999999999999931E-2</v>
      </c>
      <c r="S13" s="32">
        <f ca="1">IF(ISNUMBER(agent!$O$27*$J13*$K13),agent!$O$27*$J13*$K13,"没有上级")</f>
        <v>1.9999999999999931E-2</v>
      </c>
      <c r="T13" s="32" t="str">
        <f ca="1">IF(ISNUMBER(agent!$O$30*$J13*$K13),agent!$O$30*$J13*$K13,"没有上级")</f>
        <v>没有上级</v>
      </c>
      <c r="U13" s="32" t="str">
        <f ca="1">IF(ISNUMBER(agent!$O$33*$J13*$K13),agent!$O$33*$J13*$K13,"没有上级")</f>
        <v>没有上级</v>
      </c>
      <c r="W13" s="28">
        <v>196</v>
      </c>
      <c r="X13" s="32">
        <f t="shared" si="0"/>
        <v>199.8</v>
      </c>
    </row>
    <row r="14" spans="1:24" x14ac:dyDescent="0.15">
      <c r="A14" s="28" t="s">
        <v>26</v>
      </c>
      <c r="B14" s="28" t="s">
        <v>19</v>
      </c>
      <c r="C14" s="28" t="str">
        <f>SSC!$O20</f>
        <v>0 2 3 5 6 7 9</v>
      </c>
      <c r="D14" s="32">
        <f ca="1">SSC!$R20</f>
        <v>3</v>
      </c>
      <c r="E14" s="28">
        <v>1</v>
      </c>
      <c r="F14" s="32">
        <f ca="1">SSC!$P20</f>
        <v>396</v>
      </c>
      <c r="G14" s="28">
        <f>SSC!K$2</f>
        <v>81158</v>
      </c>
      <c r="H14" s="32">
        <f ca="1">SSC!M20</f>
        <v>588</v>
      </c>
      <c r="I14" s="28">
        <f ca="1">$I13-$F14+$H14</f>
        <v>1004012.4</v>
      </c>
      <c r="J14" s="32">
        <v>0.2</v>
      </c>
      <c r="K14" s="32">
        <f ca="1">SSC!N20</f>
        <v>1</v>
      </c>
      <c r="L14" s="32">
        <f ca="1">IF(ISNUMBER(agent!$O$6*$J14*$K14),agent!$O$6*$J14*$K14,"没有上级")</f>
        <v>1.9999999999999931E-2</v>
      </c>
      <c r="M14" s="32">
        <f ca="1">IF(ISNUMBER(agent!$O$9*$J14*$K14),agent!$O$9*$J14*$K14,"没有上级")</f>
        <v>3.9999999999999862E-2</v>
      </c>
      <c r="N14" s="32">
        <f ca="1">IF(ISNUMBER(agent!$O$12*$J14*$K14),agent!$O$12*$J14*$K14,"没有上级")</f>
        <v>3.9999999999999862E-2</v>
      </c>
      <c r="O14" s="32">
        <f ca="1">IF(ISNUMBER(agent!$O$15*$J14*$K14),agent!$O$15*$J14*$K14,"没有上级")</f>
        <v>3.9999999999999862E-2</v>
      </c>
      <c r="P14" s="32">
        <f ca="1">IF(ISNUMBER(agent!$O$18*$J14*$K14),agent!$O$18*$J14*$K14,"没有上级")</f>
        <v>1.9999999999999931E-2</v>
      </c>
      <c r="Q14" s="32">
        <f ca="1">IF(ISNUMBER(agent!$O$21*$J14*$K14),agent!$O$21*$J14*$K14,"没有上级")</f>
        <v>3.9999999999999862E-2</v>
      </c>
      <c r="R14" s="32">
        <f ca="1">IF(ISNUMBER(agent!$O$24*$J14*$K14),agent!$O$24*$J14*$K14,"没有上级")</f>
        <v>1.9999999999999931E-2</v>
      </c>
      <c r="S14" s="32">
        <f ca="1">IF(ISNUMBER(agent!$O$27*$J14*$K14),agent!$O$27*$J14*$K14,"没有上级")</f>
        <v>1.9999999999999931E-2</v>
      </c>
      <c r="T14" s="32" t="str">
        <f ca="1">IF(ISNUMBER(agent!$O$30*$J14*$K14),agent!$O$30*$J14*$K14,"没有上级")</f>
        <v>没有上级</v>
      </c>
      <c r="U14" s="32" t="str">
        <f ca="1">IF(ISNUMBER(agent!$O$33*$J14*$K14),agent!$O$33*$J14*$K14,"没有上级")</f>
        <v>没有上级</v>
      </c>
      <c r="W14" s="28">
        <v>196</v>
      </c>
      <c r="X14" s="32">
        <f t="shared" si="0"/>
        <v>199.8</v>
      </c>
    </row>
    <row r="15" spans="1:24" x14ac:dyDescent="0.15">
      <c r="A15" s="28" t="s">
        <v>26</v>
      </c>
      <c r="B15" s="28" t="s">
        <v>21</v>
      </c>
      <c r="C15" s="28" t="str">
        <f>SSC!$O21</f>
        <v>0 1 2 7 8 9</v>
      </c>
      <c r="D15" s="32">
        <f ca="1">SSC!$R21</f>
        <v>1</v>
      </c>
      <c r="E15" s="28">
        <v>1</v>
      </c>
      <c r="F15" s="32">
        <f ca="1">SSC!$P21</f>
        <v>30</v>
      </c>
      <c r="G15" s="28">
        <f>SSC!K$2</f>
        <v>81158</v>
      </c>
      <c r="H15" s="32">
        <f ca="1">SSC!M21</f>
        <v>98</v>
      </c>
      <c r="I15" s="28">
        <f ca="1">$I14-$F15+$H15</f>
        <v>1004080.4</v>
      </c>
      <c r="J15" s="32">
        <v>0.1</v>
      </c>
      <c r="K15" s="32">
        <f ca="1">SSC!N21</f>
        <v>1</v>
      </c>
      <c r="L15" s="32">
        <f ca="1">IF(ISNUMBER(agent!$O$6*$J15*$K15),agent!$O$6*$J15*$K15,"没有上级")</f>
        <v>9.9999999999999655E-3</v>
      </c>
      <c r="M15" s="32">
        <f ca="1">IF(ISNUMBER(agent!$O$9*$J15*$K15),agent!$O$9*$J15*$K15,"没有上级")</f>
        <v>1.9999999999999931E-2</v>
      </c>
      <c r="N15" s="32">
        <f ca="1">IF(ISNUMBER(agent!$O$12*$J15*$K15),agent!$O$12*$J15*$K15,"没有上级")</f>
        <v>1.9999999999999931E-2</v>
      </c>
      <c r="O15" s="32">
        <f ca="1">IF(ISNUMBER(agent!$O$15*$J15*$K15),agent!$O$15*$J15*$K15,"没有上级")</f>
        <v>1.9999999999999931E-2</v>
      </c>
      <c r="P15" s="32">
        <f ca="1">IF(ISNUMBER(agent!$O$18*$J15*$K15),agent!$O$18*$J15*$K15,"没有上级")</f>
        <v>9.9999999999999655E-3</v>
      </c>
      <c r="Q15" s="32">
        <f ca="1">IF(ISNUMBER(agent!$O$21*$J15*$K15),agent!$O$21*$J15*$K15,"没有上级")</f>
        <v>1.9999999999999931E-2</v>
      </c>
      <c r="R15" s="32">
        <f ca="1">IF(ISNUMBER(agent!$O$24*$J15*$K15),agent!$O$24*$J15*$K15,"没有上级")</f>
        <v>9.9999999999999655E-3</v>
      </c>
      <c r="S15" s="32">
        <f ca="1">IF(ISNUMBER(agent!$O$27*$J15*$K15),agent!$O$27*$J15*$K15,"没有上级")</f>
        <v>9.9999999999999655E-3</v>
      </c>
      <c r="T15" s="32" t="str">
        <f ca="1">IF(ISNUMBER(agent!$O$30*$J15*$K15),agent!$O$30*$J15*$K15,"没有上级")</f>
        <v>没有上级</v>
      </c>
      <c r="U15" s="32" t="str">
        <f ca="1">IF(ISNUMBER(agent!$O$33*$J15*$K15),agent!$O$33*$J15*$K15,"没有上级")</f>
        <v>没有上级</v>
      </c>
      <c r="W15" s="28">
        <v>98</v>
      </c>
      <c r="X15" s="32">
        <f t="shared" si="0"/>
        <v>99.9</v>
      </c>
    </row>
    <row r="16" spans="1:24" x14ac:dyDescent="0.15">
      <c r="A16" s="28" t="s">
        <v>26</v>
      </c>
      <c r="B16" s="28" t="s">
        <v>22</v>
      </c>
      <c r="C16" s="28" t="str">
        <f>SSC!$O22</f>
        <v>15 58 68 96 18</v>
      </c>
      <c r="D16" s="32">
        <f ca="1">SSC!$R22</f>
        <v>2</v>
      </c>
      <c r="E16" s="28">
        <v>1</v>
      </c>
      <c r="F16" s="32">
        <f ca="1">SSC!$P22</f>
        <v>20</v>
      </c>
      <c r="G16" s="28">
        <f>SSC!K$2</f>
        <v>81158</v>
      </c>
      <c r="H16" s="32">
        <f ca="1">SSC!M22</f>
        <v>196</v>
      </c>
      <c r="I16" s="28">
        <f ca="1">$I15-$F16+$H16</f>
        <v>1004256.4</v>
      </c>
      <c r="J16" s="32">
        <v>0.1</v>
      </c>
      <c r="K16" s="32">
        <f ca="1">SSC!N22</f>
        <v>1</v>
      </c>
      <c r="L16" s="32">
        <f ca="1">IF(ISNUMBER(agent!$O$6*$J16*$K16),agent!$O$6*$J16*$K16,"没有上级")</f>
        <v>9.9999999999999655E-3</v>
      </c>
      <c r="M16" s="32">
        <f ca="1">IF(ISNUMBER(agent!$O$9*$J16*$K16),agent!$O$9*$J16*$K16,"没有上级")</f>
        <v>1.9999999999999931E-2</v>
      </c>
      <c r="N16" s="32">
        <f ca="1">IF(ISNUMBER(agent!$O$12*$J16*$K16),agent!$O$12*$J16*$K16,"没有上级")</f>
        <v>1.9999999999999931E-2</v>
      </c>
      <c r="O16" s="32">
        <f ca="1">IF(ISNUMBER(agent!$O$15*$J16*$K16),agent!$O$15*$J16*$K16,"没有上级")</f>
        <v>1.9999999999999931E-2</v>
      </c>
      <c r="P16" s="32">
        <f ca="1">IF(ISNUMBER(agent!$O$18*$J16*$K16),agent!$O$18*$J16*$K16,"没有上级")</f>
        <v>9.9999999999999655E-3</v>
      </c>
      <c r="Q16" s="32">
        <f ca="1">IF(ISNUMBER(agent!$O$21*$J16*$K16),agent!$O$21*$J16*$K16,"没有上级")</f>
        <v>1.9999999999999931E-2</v>
      </c>
      <c r="R16" s="32">
        <f ca="1">IF(ISNUMBER(agent!$O$24*$J16*$K16),agent!$O$24*$J16*$K16,"没有上级")</f>
        <v>9.9999999999999655E-3</v>
      </c>
      <c r="S16" s="32">
        <f ca="1">IF(ISNUMBER(agent!$O$27*$J16*$K16),agent!$O$27*$J16*$K16,"没有上级")</f>
        <v>9.9999999999999655E-3</v>
      </c>
      <c r="T16" s="32" t="str">
        <f ca="1">IF(ISNUMBER(agent!$O$30*$J16*$K16),agent!$O$30*$J16*$K16,"没有上级")</f>
        <v>没有上级</v>
      </c>
      <c r="U16" s="32" t="str">
        <f ca="1">IF(ISNUMBER(agent!$O$33*$J16*$K16),agent!$O$33*$J16*$K16,"没有上级")</f>
        <v>没有上级</v>
      </c>
      <c r="W16" s="28">
        <v>98</v>
      </c>
      <c r="X16" s="32">
        <f t="shared" si="0"/>
        <v>99.9</v>
      </c>
    </row>
    <row r="17" spans="1:24" x14ac:dyDescent="0.15">
      <c r="A17" s="28" t="s">
        <v>26</v>
      </c>
      <c r="B17" s="28" t="s">
        <v>23</v>
      </c>
      <c r="C17" s="28" t="str">
        <f>SSC!$O23</f>
        <v>1 2 3 7 8 9 17</v>
      </c>
      <c r="D17" s="32">
        <f ca="1">SSC!$R23</f>
        <v>2</v>
      </c>
      <c r="E17" s="28">
        <v>1</v>
      </c>
      <c r="F17" s="32">
        <f ca="1">SSC!$P23</f>
        <v>72</v>
      </c>
      <c r="G17" s="28">
        <f>SSC!K$2</f>
        <v>81158</v>
      </c>
      <c r="H17" s="32">
        <f ca="1">SSC!M23</f>
        <v>196</v>
      </c>
      <c r="I17" s="28">
        <f ca="1">$I16-$F17+$H17</f>
        <v>1004380.4</v>
      </c>
      <c r="J17" s="32">
        <v>0.1</v>
      </c>
      <c r="K17" s="32">
        <f ca="1">SSC!N23</f>
        <v>1</v>
      </c>
      <c r="L17" s="32">
        <f ca="1">IF(ISNUMBER(agent!$O$6*$J17*$K17),agent!$O$6*$J17*$K17,"没有上级")</f>
        <v>9.9999999999999655E-3</v>
      </c>
      <c r="M17" s="32">
        <f ca="1">IF(ISNUMBER(agent!$O$9*$J17*$K17),agent!$O$9*$J17*$K17,"没有上级")</f>
        <v>1.9999999999999931E-2</v>
      </c>
      <c r="N17" s="32">
        <f ca="1">IF(ISNUMBER(agent!$O$12*$J17*$K17),agent!$O$12*$J17*$K17,"没有上级")</f>
        <v>1.9999999999999931E-2</v>
      </c>
      <c r="O17" s="32">
        <f ca="1">IF(ISNUMBER(agent!$O$15*$J17*$K17),agent!$O$15*$J17*$K17,"没有上级")</f>
        <v>1.9999999999999931E-2</v>
      </c>
      <c r="P17" s="32">
        <f ca="1">IF(ISNUMBER(agent!$O$18*$J17*$K17),agent!$O$18*$J17*$K17,"没有上级")</f>
        <v>9.9999999999999655E-3</v>
      </c>
      <c r="Q17" s="32">
        <f ca="1">IF(ISNUMBER(agent!$O$21*$J17*$K17),agent!$O$21*$J17*$K17,"没有上级")</f>
        <v>1.9999999999999931E-2</v>
      </c>
      <c r="R17" s="32">
        <f ca="1">IF(ISNUMBER(agent!$O$24*$J17*$K17),agent!$O$24*$J17*$K17,"没有上级")</f>
        <v>9.9999999999999655E-3</v>
      </c>
      <c r="S17" s="32">
        <f ca="1">IF(ISNUMBER(agent!$O$27*$J17*$K17),agent!$O$27*$J17*$K17,"没有上级")</f>
        <v>9.9999999999999655E-3</v>
      </c>
      <c r="T17" s="32" t="str">
        <f ca="1">IF(ISNUMBER(agent!$O$30*$J17*$K17),agent!$O$30*$J17*$K17,"没有上级")</f>
        <v>没有上级</v>
      </c>
      <c r="U17" s="32" t="str">
        <f ca="1">IF(ISNUMBER(agent!$O$33*$J17*$K17),agent!$O$33*$J17*$K17,"没有上级")</f>
        <v>没有上级</v>
      </c>
      <c r="W17" s="28">
        <v>98</v>
      </c>
      <c r="X17" s="32">
        <f t="shared" si="0"/>
        <v>99.9</v>
      </c>
    </row>
    <row r="18" spans="1:24" x14ac:dyDescent="0.15">
      <c r="A18" s="28" t="s">
        <v>26</v>
      </c>
      <c r="B18" s="28" t="s">
        <v>24</v>
      </c>
      <c r="C18" s="28" t="str">
        <f>SSC!$O24</f>
        <v>0 1 4 5 6</v>
      </c>
      <c r="D18" s="32">
        <f ca="1">SSC!$R24</f>
        <v>2</v>
      </c>
      <c r="E18" s="28">
        <v>1</v>
      </c>
      <c r="F18" s="32">
        <f ca="1">SSC!$P24</f>
        <v>36</v>
      </c>
      <c r="G18" s="28">
        <f>SSC!K$2</f>
        <v>81158</v>
      </c>
      <c r="H18" s="32">
        <f ca="1">SSC!M24</f>
        <v>196</v>
      </c>
      <c r="I18" s="28">
        <f ca="1">$I17-$F18+$H18</f>
        <v>1004540.4</v>
      </c>
      <c r="J18" s="32">
        <v>0.1</v>
      </c>
      <c r="K18" s="32">
        <f ca="1">SSC!N24</f>
        <v>1</v>
      </c>
      <c r="L18" s="32">
        <f ca="1">IF(ISNUMBER(agent!$O$6*$J18*$K18),agent!$O$6*$J18*$K18,"没有上级")</f>
        <v>9.9999999999999655E-3</v>
      </c>
      <c r="M18" s="32">
        <f ca="1">IF(ISNUMBER(agent!$O$9*$J18*$K18),agent!$O$9*$J18*$K18,"没有上级")</f>
        <v>1.9999999999999931E-2</v>
      </c>
      <c r="N18" s="32">
        <f ca="1">IF(ISNUMBER(agent!$O$12*$J18*$K18),agent!$O$12*$J18*$K18,"没有上级")</f>
        <v>1.9999999999999931E-2</v>
      </c>
      <c r="O18" s="32">
        <f ca="1">IF(ISNUMBER(agent!$O$15*$J18*$K18),agent!$O$15*$J18*$K18,"没有上级")</f>
        <v>1.9999999999999931E-2</v>
      </c>
      <c r="P18" s="32">
        <f ca="1">IF(ISNUMBER(agent!$O$18*$J18*$K18),agent!$O$18*$J18*$K18,"没有上级")</f>
        <v>9.9999999999999655E-3</v>
      </c>
      <c r="Q18" s="32">
        <f ca="1">IF(ISNUMBER(agent!$O$21*$J18*$K18),agent!$O$21*$J18*$K18,"没有上级")</f>
        <v>1.9999999999999931E-2</v>
      </c>
      <c r="R18" s="32">
        <f ca="1">IF(ISNUMBER(agent!$O$24*$J18*$K18),agent!$O$24*$J18*$K18,"没有上级")</f>
        <v>9.9999999999999655E-3</v>
      </c>
      <c r="S18" s="32">
        <f ca="1">IF(ISNUMBER(agent!$O$27*$J18*$K18),agent!$O$27*$J18*$K18,"没有上级")</f>
        <v>9.9999999999999655E-3</v>
      </c>
      <c r="T18" s="32" t="str">
        <f ca="1">IF(ISNUMBER(agent!$O$30*$J18*$K18),agent!$O$30*$J18*$K18,"没有上级")</f>
        <v>没有上级</v>
      </c>
      <c r="U18" s="32" t="str">
        <f ca="1">IF(ISNUMBER(agent!$O$33*$J18*$K18),agent!$O$33*$J18*$K18,"没有上级")</f>
        <v>没有上级</v>
      </c>
      <c r="W18" s="28">
        <v>98</v>
      </c>
      <c r="X18" s="32">
        <f t="shared" si="0"/>
        <v>99.9</v>
      </c>
    </row>
    <row r="19" spans="1:24" x14ac:dyDescent="0.15">
      <c r="A19" s="28" t="s">
        <v>27</v>
      </c>
      <c r="B19" s="28" t="s">
        <v>5</v>
      </c>
      <c r="C19" s="28" t="str">
        <f>SSC!$O25</f>
        <v>0 3 4 7 8 9,5 6 7 8 9 1,1 2 3 4 7</v>
      </c>
      <c r="D19" s="32">
        <f ca="1">SSC!$R25</f>
        <v>2</v>
      </c>
      <c r="E19" s="28">
        <v>1</v>
      </c>
      <c r="F19" s="32">
        <f ca="1">SSC!$P25</f>
        <v>720</v>
      </c>
      <c r="G19" s="28">
        <f>SSC!K$2</f>
        <v>81158</v>
      </c>
      <c r="H19" s="32">
        <f ca="1">SSC!M25</f>
        <v>3920</v>
      </c>
      <c r="I19" s="28">
        <f ca="1">$I18-$F19+$H19</f>
        <v>1007740.4</v>
      </c>
      <c r="J19" s="32">
        <v>2</v>
      </c>
      <c r="K19" s="32">
        <f ca="1">SSC!N25</f>
        <v>1</v>
      </c>
      <c r="L19" s="32">
        <f ca="1">IF(ISNUMBER(agent!$O$6*$J19*$K19),agent!$O$6*$J19*$K19,"没有上级")</f>
        <v>0.19999999999999929</v>
      </c>
      <c r="M19" s="32">
        <f ca="1">IF(ISNUMBER(agent!$O$9*$J19*$K19),agent!$O$9*$J19*$K19,"没有上级")</f>
        <v>0.39999999999999858</v>
      </c>
      <c r="N19" s="32">
        <f ca="1">IF(ISNUMBER(agent!$O$12*$J19*$K19),agent!$O$12*$J19*$K19,"没有上级")</f>
        <v>0.39999999999999858</v>
      </c>
      <c r="O19" s="32">
        <f ca="1">IF(ISNUMBER(agent!$O$15*$J19*$K19),agent!$O$15*$J19*$K19,"没有上级")</f>
        <v>0.39999999999999858</v>
      </c>
      <c r="P19" s="32">
        <f ca="1">IF(ISNUMBER(agent!$O$18*$J19*$K19),agent!$O$18*$J19*$K19,"没有上级")</f>
        <v>0.19999999999999929</v>
      </c>
      <c r="Q19" s="32">
        <f ca="1">IF(ISNUMBER(agent!$O$21*$J19*$K19),agent!$O$21*$J19*$K19,"没有上级")</f>
        <v>0.39999999999999858</v>
      </c>
      <c r="R19" s="32">
        <f ca="1">IF(ISNUMBER(agent!$O$24*$J19*$K19),agent!$O$24*$J19*$K19,"没有上级")</f>
        <v>0.19999999999999929</v>
      </c>
      <c r="S19" s="32">
        <f ca="1">IF(ISNUMBER(agent!$O$27*$J19*$K19),agent!$O$27*$J19*$K19,"没有上级")</f>
        <v>0.19999999999999929</v>
      </c>
      <c r="T19" s="32" t="str">
        <f ca="1">IF(ISNUMBER(agent!$O$30*$J19*$K19),agent!$O$30*$J19*$K19,"没有上级")</f>
        <v>没有上级</v>
      </c>
      <c r="U19" s="32" t="str">
        <f ca="1">IF(ISNUMBER(agent!$O$33*$J19*$K19),agent!$O$33*$J19*$K19,"没有上级")</f>
        <v>没有上级</v>
      </c>
      <c r="W19" s="28">
        <v>1960</v>
      </c>
      <c r="X19" s="32">
        <f t="shared" si="0"/>
        <v>1998</v>
      </c>
    </row>
    <row r="20" spans="1:24" x14ac:dyDescent="0.15">
      <c r="A20" s="28" t="s">
        <v>27</v>
      </c>
      <c r="B20" s="28" t="s">
        <v>28</v>
      </c>
      <c r="C20" s="28" t="str">
        <f>SSC!$O28</f>
        <v>123 123 321 801 118 811</v>
      </c>
      <c r="D20" s="32">
        <f ca="1">SSC!$R28</f>
        <v>2</v>
      </c>
      <c r="E20" s="28">
        <v>1</v>
      </c>
      <c r="F20" s="32">
        <f ca="1">SSC!$P28</f>
        <v>20</v>
      </c>
      <c r="G20" s="28">
        <f>SSC!K$2</f>
        <v>81158</v>
      </c>
      <c r="H20" s="32">
        <f ca="1">SSC!M28</f>
        <v>3920</v>
      </c>
      <c r="I20" s="28">
        <f ca="1">$I19-$F20+$H20</f>
        <v>1011640.4</v>
      </c>
      <c r="J20" s="32">
        <v>2</v>
      </c>
      <c r="K20" s="32">
        <f ca="1">SSC!N28</f>
        <v>1</v>
      </c>
      <c r="L20" s="32">
        <f ca="1">IF(ISNUMBER(agent!$O$6*$J20*$K20),agent!$O$6*$J20*$K20,"没有上级")</f>
        <v>0.19999999999999929</v>
      </c>
      <c r="M20" s="32">
        <f ca="1">IF(ISNUMBER(agent!$O$9*$J20*$K20),agent!$O$9*$J20*$K20,"没有上级")</f>
        <v>0.39999999999999858</v>
      </c>
      <c r="N20" s="32">
        <f ca="1">IF(ISNUMBER(agent!$O$12*$J20*$K20),agent!$O$12*$J20*$K20,"没有上级")</f>
        <v>0.39999999999999858</v>
      </c>
      <c r="O20" s="32">
        <f ca="1">IF(ISNUMBER(agent!$O$15*$J20*$K20),agent!$O$15*$J20*$K20,"没有上级")</f>
        <v>0.39999999999999858</v>
      </c>
      <c r="P20" s="32">
        <f ca="1">IF(ISNUMBER(agent!$O$18*$J20*$K20),agent!$O$18*$J20*$K20,"没有上级")</f>
        <v>0.19999999999999929</v>
      </c>
      <c r="Q20" s="32">
        <f ca="1">IF(ISNUMBER(agent!$O$21*$J20*$K20),agent!$O$21*$J20*$K20,"没有上级")</f>
        <v>0.39999999999999858</v>
      </c>
      <c r="R20" s="32">
        <f ca="1">IF(ISNUMBER(agent!$O$24*$J20*$K20),agent!$O$24*$J20*$K20,"没有上级")</f>
        <v>0.19999999999999929</v>
      </c>
      <c r="S20" s="32">
        <f ca="1">IF(ISNUMBER(agent!$O$27*$J20*$K20),agent!$O$27*$J20*$K20,"没有上级")</f>
        <v>0.19999999999999929</v>
      </c>
      <c r="T20" s="32" t="str">
        <f ca="1">IF(ISNUMBER(agent!$O$30*$J20*$K20),agent!$O$30*$J20*$K20,"没有上级")</f>
        <v>没有上级</v>
      </c>
      <c r="U20" s="32" t="str">
        <f ca="1">IF(ISNUMBER(agent!$O$33*$J20*$K20),agent!$O$33*$J20*$K20,"没有上级")</f>
        <v>没有上级</v>
      </c>
      <c r="W20" s="28">
        <v>1960</v>
      </c>
      <c r="X20" s="32">
        <f t="shared" si="0"/>
        <v>1998</v>
      </c>
    </row>
    <row r="21" spans="1:24" x14ac:dyDescent="0.15">
      <c r="A21" s="28" t="s">
        <v>27</v>
      </c>
      <c r="B21" s="28" t="s">
        <v>17</v>
      </c>
      <c r="C21" s="28" t="str">
        <f>SSC!$O29</f>
        <v>1 2 3 4 6 10 11 16 17 18</v>
      </c>
      <c r="D21" s="32">
        <f ca="1">SSC!$R29</f>
        <v>4</v>
      </c>
      <c r="E21" s="28">
        <v>1</v>
      </c>
      <c r="F21" s="32">
        <f ca="1">SSC!$P29</f>
        <v>3048</v>
      </c>
      <c r="G21" s="28">
        <f>SSC!K$2</f>
        <v>81158</v>
      </c>
      <c r="H21" s="32">
        <f ca="1">SSC!M29</f>
        <v>7840</v>
      </c>
      <c r="I21" s="28">
        <f ca="1">$I20-$F21+$H21</f>
        <v>1016432.4</v>
      </c>
      <c r="J21" s="32">
        <v>2</v>
      </c>
      <c r="K21" s="32">
        <f ca="1">SSC!N29</f>
        <v>1</v>
      </c>
      <c r="L21" s="32">
        <f ca="1">IF(ISNUMBER(agent!$O$6*$J21*$K21),agent!$O$6*$J21*$K21,"没有上级")</f>
        <v>0.19999999999999929</v>
      </c>
      <c r="M21" s="32">
        <f ca="1">IF(ISNUMBER(agent!$O$9*$J21*$K21),agent!$O$9*$J21*$K21,"没有上级")</f>
        <v>0.39999999999999858</v>
      </c>
      <c r="N21" s="32">
        <f ca="1">IF(ISNUMBER(agent!$O$12*$J21*$K21),agent!$O$12*$J21*$K21,"没有上级")</f>
        <v>0.39999999999999858</v>
      </c>
      <c r="O21" s="32">
        <f ca="1">IF(ISNUMBER(agent!$O$15*$J21*$K21),agent!$O$15*$J21*$K21,"没有上级")</f>
        <v>0.39999999999999858</v>
      </c>
      <c r="P21" s="32">
        <f ca="1">IF(ISNUMBER(agent!$O$18*$J21*$K21),agent!$O$18*$J21*$K21,"没有上级")</f>
        <v>0.19999999999999929</v>
      </c>
      <c r="Q21" s="32">
        <f ca="1">IF(ISNUMBER(agent!$O$21*$J21*$K21),agent!$O$21*$J21*$K21,"没有上级")</f>
        <v>0.39999999999999858</v>
      </c>
      <c r="R21" s="32">
        <f ca="1">IF(ISNUMBER(agent!$O$24*$J21*$K21),agent!$O$24*$J21*$K21,"没有上级")</f>
        <v>0.19999999999999929</v>
      </c>
      <c r="S21" s="32">
        <f ca="1">IF(ISNUMBER(agent!$O$27*$J21*$K21),agent!$O$27*$J21*$K21,"没有上级")</f>
        <v>0.19999999999999929</v>
      </c>
      <c r="T21" s="32" t="str">
        <f ca="1">IF(ISNUMBER(agent!$O$30*$J21*$K21),agent!$O$30*$J21*$K21,"没有上级")</f>
        <v>没有上级</v>
      </c>
      <c r="U21" s="32" t="str">
        <f ca="1">IF(ISNUMBER(agent!$O$33*$J21*$K21),agent!$O$33*$J21*$K21,"没有上级")</f>
        <v>没有上级</v>
      </c>
      <c r="W21" s="28">
        <v>1960</v>
      </c>
      <c r="X21" s="32">
        <f t="shared" si="0"/>
        <v>1998</v>
      </c>
    </row>
    <row r="22" spans="1:24" x14ac:dyDescent="0.15">
      <c r="A22" s="28" t="s">
        <v>27</v>
      </c>
      <c r="B22" s="28" t="s">
        <v>19</v>
      </c>
      <c r="C22" s="28" t="str">
        <f>SSC!$O30</f>
        <v>0 3 4 5 6 7 9</v>
      </c>
      <c r="D22" s="32">
        <f ca="1">SSC!$R30</f>
        <v>4</v>
      </c>
      <c r="E22" s="28">
        <v>1</v>
      </c>
      <c r="F22" s="32">
        <f ca="1">SSC!$P30</f>
        <v>6032</v>
      </c>
      <c r="G22" s="28">
        <f>SSC!K$2</f>
        <v>81158</v>
      </c>
      <c r="H22" s="32">
        <f ca="1">SSC!M30</f>
        <v>7840</v>
      </c>
      <c r="I22" s="28">
        <f ca="1">$I21-$F22+$H22</f>
        <v>1018240.4</v>
      </c>
      <c r="J22" s="32">
        <v>2</v>
      </c>
      <c r="K22" s="32">
        <f ca="1">SSC!N30</f>
        <v>1</v>
      </c>
      <c r="L22" s="32">
        <f ca="1">IF(ISNUMBER(agent!$O$6*$J22*$K22),agent!$O$6*$J22*$K22,"没有上级")</f>
        <v>0.19999999999999929</v>
      </c>
      <c r="M22" s="32">
        <f ca="1">IF(ISNUMBER(agent!$O$9*$J22*$K22),agent!$O$9*$J22*$K22,"没有上级")</f>
        <v>0.39999999999999858</v>
      </c>
      <c r="N22" s="32">
        <f ca="1">IF(ISNUMBER(agent!$O$12*$J22*$K22),agent!$O$12*$J22*$K22,"没有上级")</f>
        <v>0.39999999999999858</v>
      </c>
      <c r="O22" s="32">
        <f ca="1">IF(ISNUMBER(agent!$O$15*$J22*$K22),agent!$O$15*$J22*$K22,"没有上级")</f>
        <v>0.39999999999999858</v>
      </c>
      <c r="P22" s="32">
        <f ca="1">IF(ISNUMBER(agent!$O$18*$J22*$K22),agent!$O$18*$J22*$K22,"没有上级")</f>
        <v>0.19999999999999929</v>
      </c>
      <c r="Q22" s="32">
        <f ca="1">IF(ISNUMBER(agent!$O$21*$J22*$K22),agent!$O$21*$J22*$K22,"没有上级")</f>
        <v>0.39999999999999858</v>
      </c>
      <c r="R22" s="32">
        <f ca="1">IF(ISNUMBER(agent!$O$24*$J22*$K22),agent!$O$24*$J22*$K22,"没有上级")</f>
        <v>0.19999999999999929</v>
      </c>
      <c r="S22" s="32">
        <f ca="1">IF(ISNUMBER(agent!$O$27*$J22*$K22),agent!$O$27*$J22*$K22,"没有上级")</f>
        <v>0.19999999999999929</v>
      </c>
      <c r="T22" s="32" t="str">
        <f ca="1">IF(ISNUMBER(agent!$O$30*$J22*$K22),agent!$O$30*$J22*$K22,"没有上级")</f>
        <v>没有上级</v>
      </c>
      <c r="U22" s="32" t="str">
        <f ca="1">IF(ISNUMBER(agent!$O$33*$J22*$K22),agent!$O$33*$J22*$K22,"没有上级")</f>
        <v>没有上级</v>
      </c>
      <c r="W22" s="28">
        <v>1960</v>
      </c>
      <c r="X22" s="32">
        <f t="shared" si="0"/>
        <v>1998</v>
      </c>
    </row>
    <row r="23" spans="1:24" x14ac:dyDescent="0.15">
      <c r="A23" s="28" t="s">
        <v>27</v>
      </c>
      <c r="B23" s="28" t="s">
        <v>23</v>
      </c>
      <c r="C23" s="28" t="str">
        <f>SSC!$O31</f>
        <v>1 3 4 6 10 15 16 24 25 26</v>
      </c>
      <c r="D23" s="32">
        <f ca="1">SSC!$R31</f>
        <v>1</v>
      </c>
      <c r="E23" s="28">
        <v>1</v>
      </c>
      <c r="F23" s="32">
        <f ca="1">SSC!$P31</f>
        <v>118</v>
      </c>
      <c r="G23" s="28">
        <f>SSC!K$2</f>
        <v>81158</v>
      </c>
      <c r="H23" s="32">
        <f ca="1">SSC!M31</f>
        <v>653.33000000000004</v>
      </c>
      <c r="I23" s="28">
        <f ca="1">$I22-$F23+$H23</f>
        <v>1018775.73</v>
      </c>
      <c r="J23" s="32">
        <v>0.33300000000000002</v>
      </c>
      <c r="K23" s="32">
        <f ca="1">SSC!N31</f>
        <v>1</v>
      </c>
      <c r="L23" s="32">
        <f ca="1">IF(ISNUMBER(agent!$O$6*$J23*$K23),agent!$O$6*$J23*$K23,"没有上级")</f>
        <v>3.3299999999999885E-2</v>
      </c>
      <c r="M23" s="32">
        <f ca="1">IF(ISNUMBER(agent!$O$9*$J23*$K23),agent!$O$9*$J23*$K23,"没有上级")</f>
        <v>6.659999999999977E-2</v>
      </c>
      <c r="N23" s="32">
        <f ca="1">IF(ISNUMBER(agent!$O$12*$J23*$K23),agent!$O$12*$J23*$K23,"没有上级")</f>
        <v>6.659999999999977E-2</v>
      </c>
      <c r="O23" s="32">
        <f ca="1">IF(ISNUMBER(agent!$O$15*$J23*$K23),agent!$O$15*$J23*$K23,"没有上级")</f>
        <v>6.659999999999977E-2</v>
      </c>
      <c r="P23" s="32">
        <f ca="1">IF(ISNUMBER(agent!$O$18*$J23*$K23),agent!$O$18*$J23*$K23,"没有上级")</f>
        <v>3.3299999999999885E-2</v>
      </c>
      <c r="Q23" s="32">
        <f ca="1">IF(ISNUMBER(agent!$O$21*$J23*$K23),agent!$O$21*$J23*$K23,"没有上级")</f>
        <v>6.659999999999977E-2</v>
      </c>
      <c r="R23" s="32">
        <f ca="1">IF(ISNUMBER(agent!$O$24*$J23*$K23),agent!$O$24*$J23*$K23,"没有上级")</f>
        <v>3.3299999999999885E-2</v>
      </c>
      <c r="S23" s="32">
        <f ca="1">IF(ISNUMBER(agent!$O$27*$J23*$K23),agent!$O$27*$J23*$K23,"没有上级")</f>
        <v>3.3299999999999885E-2</v>
      </c>
      <c r="T23" s="32" t="str">
        <f ca="1">IF(ISNUMBER(agent!$O$30*$J23*$K23),agent!$O$30*$J23*$K23,"没有上级")</f>
        <v>没有上级</v>
      </c>
      <c r="U23" s="32" t="str">
        <f ca="1">IF(ISNUMBER(agent!$O$33*$J23*$K23),agent!$O$33*$J23*$K23,"没有上级")</f>
        <v>没有上级</v>
      </c>
      <c r="W23" s="28">
        <v>326.66500000000002</v>
      </c>
      <c r="X23" s="32">
        <f t="shared" si="0"/>
        <v>332.99200000000002</v>
      </c>
    </row>
    <row r="24" spans="1:24" x14ac:dyDescent="0.15">
      <c r="A24" s="28" t="s">
        <v>27</v>
      </c>
      <c r="B24" s="28" t="s">
        <v>29</v>
      </c>
      <c r="C24" s="28" t="str">
        <f>SSC!$O32</f>
        <v>0 1 2 3 6 7 8 9</v>
      </c>
      <c r="D24" s="32">
        <f ca="1">SSC!$R32</f>
        <v>4</v>
      </c>
      <c r="E24" s="28">
        <v>1</v>
      </c>
      <c r="F24" s="32">
        <f ca="1">SSC!$P32</f>
        <v>448</v>
      </c>
      <c r="G24" s="28">
        <f>SSC!K$2</f>
        <v>81158</v>
      </c>
      <c r="H24" s="32">
        <f ca="1">SSC!M32</f>
        <v>2613.3200000000002</v>
      </c>
      <c r="I24" s="28">
        <f ca="1">$I23-$F24+$H24</f>
        <v>1020941.0499999999</v>
      </c>
      <c r="J24" s="32">
        <v>0.66700000000000004</v>
      </c>
      <c r="K24" s="32">
        <f ca="1">SSC!N32</f>
        <v>1</v>
      </c>
      <c r="L24" s="32">
        <f ca="1">IF(ISNUMBER(agent!$O$6*$J24*$K24),agent!$O$6*$J24*$K24,"没有上级")</f>
        <v>6.6699999999999773E-2</v>
      </c>
      <c r="M24" s="32">
        <f ca="1">IF(ISNUMBER(agent!$O$9*$J24*$K24),agent!$O$9*$J24*$K24,"没有上级")</f>
        <v>0.13339999999999955</v>
      </c>
      <c r="N24" s="32">
        <f ca="1">IF(ISNUMBER(agent!$O$12*$J24*$K24),agent!$O$12*$J24*$K24,"没有上级")</f>
        <v>0.13339999999999955</v>
      </c>
      <c r="O24" s="32">
        <f ca="1">IF(ISNUMBER(agent!$O$15*$J24*$K24),agent!$O$15*$J24*$K24,"没有上级")</f>
        <v>0.13339999999999955</v>
      </c>
      <c r="P24" s="32">
        <f ca="1">IF(ISNUMBER(agent!$O$18*$J24*$K24),agent!$O$18*$J24*$K24,"没有上级")</f>
        <v>6.6699999999999773E-2</v>
      </c>
      <c r="Q24" s="32">
        <f ca="1">IF(ISNUMBER(agent!$O$21*$J24*$K24),agent!$O$21*$J24*$K24,"没有上级")</f>
        <v>0.13339999999999955</v>
      </c>
      <c r="R24" s="32">
        <f ca="1">IF(ISNUMBER(agent!$O$24*$J24*$K24),agent!$O$24*$J24*$K24,"没有上级")</f>
        <v>6.6699999999999773E-2</v>
      </c>
      <c r="S24" s="32">
        <f ca="1">IF(ISNUMBER(agent!$O$27*$J24*$K24),agent!$O$27*$J24*$K24,"没有上级")</f>
        <v>6.6699999999999773E-2</v>
      </c>
      <c r="T24" s="32" t="str">
        <f ca="1">IF(ISNUMBER(agent!$O$30*$J24*$K24),agent!$O$30*$J24*$K24,"没有上级")</f>
        <v>没有上级</v>
      </c>
      <c r="U24" s="32" t="str">
        <f ca="1">IF(ISNUMBER(agent!$O$33*$J24*$K24),agent!$O$33*$J24*$K24,"没有上级")</f>
        <v>没有上级</v>
      </c>
      <c r="W24" s="28">
        <v>653.33000000000004</v>
      </c>
      <c r="X24" s="32">
        <f t="shared" si="0"/>
        <v>666.00300000000004</v>
      </c>
    </row>
    <row r="25" spans="1:24" x14ac:dyDescent="0.15">
      <c r="A25" s="28" t="s">
        <v>27</v>
      </c>
      <c r="B25" s="28" t="s">
        <v>30</v>
      </c>
      <c r="C25" s="28" t="str">
        <f>SSC!$O33</f>
        <v>0 1 2 7 8 9</v>
      </c>
      <c r="D25" s="32">
        <f ca="1">SSC!$R33</f>
        <v>1</v>
      </c>
      <c r="E25" s="28">
        <v>1</v>
      </c>
      <c r="F25" s="32">
        <f ca="1">SSC!$P33</f>
        <v>40</v>
      </c>
      <c r="G25" s="28">
        <f>SSC!K$2</f>
        <v>81158</v>
      </c>
      <c r="H25" s="32">
        <f>SSC!M33</f>
        <v>0</v>
      </c>
      <c r="I25" s="28">
        <f ca="1">$I24-$F25+$H25</f>
        <v>1020901.0499999999</v>
      </c>
      <c r="J25" s="32">
        <v>0.33300000000000002</v>
      </c>
      <c r="K25" s="32">
        <f ca="1">SSC!N33</f>
        <v>0</v>
      </c>
      <c r="L25" s="32">
        <f ca="1">IF(ISNUMBER(agent!$O$6*$J25*$K25),agent!$O$6*$J25*$K25,"没有上级")</f>
        <v>0</v>
      </c>
      <c r="M25" s="32">
        <f ca="1">IF(ISNUMBER(agent!$O$9*$J25*$K25),agent!$O$9*$J25*$K25,"没有上级")</f>
        <v>0</v>
      </c>
      <c r="N25" s="32">
        <f ca="1">IF(ISNUMBER(agent!$O$12*$J25*$K25),agent!$O$12*$J25*$K25,"没有上级")</f>
        <v>0</v>
      </c>
      <c r="O25" s="32">
        <f ca="1">IF(ISNUMBER(agent!$O$15*$J25*$K25),agent!$O$15*$J25*$K25,"没有上级")</f>
        <v>0</v>
      </c>
      <c r="P25" s="32">
        <f ca="1">IF(ISNUMBER(agent!$O$18*$J25*$K25),agent!$O$18*$J25*$K25,"没有上级")</f>
        <v>0</v>
      </c>
      <c r="Q25" s="32">
        <f ca="1">IF(ISNUMBER(agent!$O$21*$J25*$K25),agent!$O$21*$J25*$K25,"没有上级")</f>
        <v>0</v>
      </c>
      <c r="R25" s="32">
        <f ca="1">IF(ISNUMBER(agent!$O$24*$J25*$K25),agent!$O$24*$J25*$K25,"没有上级")</f>
        <v>0</v>
      </c>
      <c r="S25" s="32">
        <f ca="1">IF(ISNUMBER(agent!$O$27*$J25*$K25),agent!$O$27*$J25*$K25,"没有上级")</f>
        <v>0</v>
      </c>
      <c r="T25" s="32" t="str">
        <f ca="1">IF(ISNUMBER(agent!$O$30*$J25*$K25),agent!$O$30*$J25*$K25,"没有上级")</f>
        <v>没有上级</v>
      </c>
      <c r="U25" s="32" t="str">
        <f ca="1">IF(ISNUMBER(agent!$O$33*$J25*$K25),agent!$O$33*$J25*$K25,"没有上级")</f>
        <v>没有上级</v>
      </c>
      <c r="W25" s="28">
        <v>326.66000000000003</v>
      </c>
      <c r="X25" s="32">
        <f t="shared" si="0"/>
        <v>332.98700000000002</v>
      </c>
    </row>
    <row r="26" spans="1:24" x14ac:dyDescent="0.15">
      <c r="A26" s="28" t="s">
        <v>27</v>
      </c>
      <c r="B26" s="28" t="s">
        <v>31</v>
      </c>
      <c r="C26" s="28" t="str">
        <f>SSC!$O34</f>
        <v>218 181 312 132 231</v>
      </c>
      <c r="D26" s="32">
        <f ca="1">SSC!$R34</f>
        <v>2</v>
      </c>
      <c r="E26" s="28">
        <v>1</v>
      </c>
      <c r="F26" s="32">
        <f ca="1">SSC!$P34</f>
        <v>20</v>
      </c>
      <c r="G26" s="28">
        <f>SSC!K$2</f>
        <v>81158</v>
      </c>
      <c r="H26" s="32">
        <f ca="1">SSC!M34</f>
        <v>1306.6600000000001</v>
      </c>
      <c r="I26" s="28">
        <f ca="1">$I25-$F26+$H26</f>
        <v>1022187.71</v>
      </c>
      <c r="J26" s="32">
        <v>0.33300000000000002</v>
      </c>
      <c r="K26" s="32">
        <f ca="1">SSC!N34</f>
        <v>1</v>
      </c>
      <c r="L26" s="32">
        <f ca="1">IF(ISNUMBER(agent!$O$6*$J26*$K26),agent!$O$6*$J26*$K26,"没有上级")</f>
        <v>3.3299999999999885E-2</v>
      </c>
      <c r="M26" s="32">
        <f ca="1">IF(ISNUMBER(agent!$O$9*$J26*$K26),agent!$O$9*$J26*$K26,"没有上级")</f>
        <v>6.659999999999977E-2</v>
      </c>
      <c r="N26" s="32">
        <f ca="1">IF(ISNUMBER(agent!$O$12*$J26*$K26),agent!$O$12*$J26*$K26,"没有上级")</f>
        <v>6.659999999999977E-2</v>
      </c>
      <c r="O26" s="32">
        <f ca="1">IF(ISNUMBER(agent!$O$15*$J26*$K26),agent!$O$15*$J26*$K26,"没有上级")</f>
        <v>6.659999999999977E-2</v>
      </c>
      <c r="P26" s="32">
        <f ca="1">IF(ISNUMBER(agent!$O$18*$J26*$K26),agent!$O$18*$J26*$K26,"没有上级")</f>
        <v>3.3299999999999885E-2</v>
      </c>
      <c r="Q26" s="32">
        <f ca="1">IF(ISNUMBER(agent!$O$21*$J26*$K26),agent!$O$21*$J26*$K26,"没有上级")</f>
        <v>6.659999999999977E-2</v>
      </c>
      <c r="R26" s="32">
        <f ca="1">IF(ISNUMBER(agent!$O$24*$J26*$K26),agent!$O$24*$J26*$K26,"没有上级")</f>
        <v>3.3299999999999885E-2</v>
      </c>
      <c r="S26" s="32">
        <f ca="1">IF(ISNUMBER(agent!$O$27*$J26*$K26),agent!$O$27*$J26*$K26,"没有上级")</f>
        <v>3.3299999999999885E-2</v>
      </c>
      <c r="T26" s="32" t="str">
        <f ca="1">IF(ISNUMBER(agent!$O$30*$J26*$K26),agent!$O$30*$J26*$K26,"没有上级")</f>
        <v>没有上级</v>
      </c>
      <c r="U26" s="32" t="str">
        <f ca="1">IF(ISNUMBER(agent!$O$33*$J26*$K26),agent!$O$33*$J26*$K26,"没有上级")</f>
        <v>没有上级</v>
      </c>
      <c r="W26" s="28">
        <v>326.66500000000002</v>
      </c>
      <c r="X26" s="32">
        <f t="shared" si="0"/>
        <v>332.99200000000002</v>
      </c>
    </row>
    <row r="27" spans="1:24" x14ac:dyDescent="0.15">
      <c r="A27" s="28" t="s">
        <v>27</v>
      </c>
      <c r="B27" s="28" t="s">
        <v>24</v>
      </c>
      <c r="C27" s="28" t="str">
        <f>SSC!$O35</f>
        <v>8</v>
      </c>
      <c r="D27" s="32">
        <f ca="1">SSC!$R35</f>
        <v>1</v>
      </c>
      <c r="E27" s="28">
        <v>1</v>
      </c>
      <c r="F27" s="32">
        <f ca="1">SSC!$P35</f>
        <v>108</v>
      </c>
      <c r="G27" s="28">
        <f>SSC!K$2</f>
        <v>81158</v>
      </c>
      <c r="H27" s="32">
        <f ca="1">SSC!M35</f>
        <v>653.33000000000004</v>
      </c>
      <c r="I27" s="28">
        <f ca="1">$I26-$F27+$H27</f>
        <v>1022733.0399999999</v>
      </c>
      <c r="J27" s="32">
        <v>0.33300000000000002</v>
      </c>
      <c r="K27" s="32">
        <f ca="1">SSC!N35</f>
        <v>1</v>
      </c>
      <c r="L27" s="32">
        <f ca="1">IF(ISNUMBER(agent!$O$6*$J27*$K27),agent!$O$6*$J27*$K27,"没有上级")</f>
        <v>3.3299999999999885E-2</v>
      </c>
      <c r="M27" s="32">
        <f ca="1">IF(ISNUMBER(agent!$O$9*$J27*$K27),agent!$O$9*$J27*$K27,"没有上级")</f>
        <v>6.659999999999977E-2</v>
      </c>
      <c r="N27" s="32">
        <f ca="1">IF(ISNUMBER(agent!$O$12*$J27*$K27),agent!$O$12*$J27*$K27,"没有上级")</f>
        <v>6.659999999999977E-2</v>
      </c>
      <c r="O27" s="32">
        <f ca="1">IF(ISNUMBER(agent!$O$15*$J27*$K27),agent!$O$15*$J27*$K27,"没有上级")</f>
        <v>6.659999999999977E-2</v>
      </c>
      <c r="P27" s="32">
        <f ca="1">IF(ISNUMBER(agent!$O$18*$J27*$K27),agent!$O$18*$J27*$K27,"没有上级")</f>
        <v>3.3299999999999885E-2</v>
      </c>
      <c r="Q27" s="32">
        <f ca="1">IF(ISNUMBER(agent!$O$21*$J27*$K27),agent!$O$21*$J27*$K27,"没有上级")</f>
        <v>6.659999999999977E-2</v>
      </c>
      <c r="R27" s="32">
        <f ca="1">IF(ISNUMBER(agent!$O$24*$J27*$K27),agent!$O$24*$J27*$K27,"没有上级")</f>
        <v>3.3299999999999885E-2</v>
      </c>
      <c r="S27" s="32">
        <f ca="1">IF(ISNUMBER(agent!$O$27*$J27*$K27),agent!$O$27*$J27*$K27,"没有上级")</f>
        <v>3.3299999999999885E-2</v>
      </c>
      <c r="T27" s="32" t="str">
        <f ca="1">IF(ISNUMBER(agent!$O$30*$J27*$K27),agent!$O$30*$J27*$K27,"没有上级")</f>
        <v>没有上级</v>
      </c>
      <c r="U27" s="32" t="str">
        <f ca="1">IF(ISNUMBER(agent!$O$33*$J27*$K27),agent!$O$33*$J27*$K27,"没有上级")</f>
        <v>没有上级</v>
      </c>
      <c r="W27" s="28">
        <v>326.66500000000002</v>
      </c>
      <c r="X27" s="32">
        <f t="shared" si="0"/>
        <v>332.99200000000002</v>
      </c>
    </row>
    <row r="28" spans="1:24" x14ac:dyDescent="0.15">
      <c r="A28" s="28" t="s">
        <v>27</v>
      </c>
      <c r="B28" s="28" t="s">
        <v>32</v>
      </c>
      <c r="C28" s="28" t="str">
        <f>SSC!$O36</f>
        <v>118</v>
      </c>
      <c r="D28" s="32">
        <f ca="1">SSC!$R36</f>
        <v>3</v>
      </c>
      <c r="E28" s="28">
        <v>1</v>
      </c>
      <c r="F28" s="32">
        <f ca="1">SSC!$P36</f>
        <v>6</v>
      </c>
      <c r="G28" s="28">
        <f>SSC!K$2</f>
        <v>81158</v>
      </c>
      <c r="H28" s="32">
        <f ca="1">SSC!M36</f>
        <v>1959.9900000000002</v>
      </c>
      <c r="I28" s="28">
        <f ca="1">$I27-$F28+$H28</f>
        <v>1024687.0299999999</v>
      </c>
      <c r="J28" s="32">
        <v>0.66700000000000004</v>
      </c>
      <c r="K28" s="32">
        <f ca="1">SSC!N36</f>
        <v>1</v>
      </c>
      <c r="L28" s="32">
        <f ca="1">IF(ISNUMBER(agent!$O$6*$J28*$K28),agent!$O$6*$J28*$K28,"没有上级")</f>
        <v>6.6699999999999773E-2</v>
      </c>
      <c r="M28" s="32">
        <f ca="1">IF(ISNUMBER(agent!$O$9*$J28*$K28),agent!$O$9*$J28*$K28,"没有上级")</f>
        <v>0.13339999999999955</v>
      </c>
      <c r="N28" s="32">
        <f ca="1">IF(ISNUMBER(agent!$O$12*$J28*$K28),agent!$O$12*$J28*$K28,"没有上级")</f>
        <v>0.13339999999999955</v>
      </c>
      <c r="O28" s="32">
        <f ca="1">IF(ISNUMBER(agent!$O$15*$J28*$K28),agent!$O$15*$J28*$K28,"没有上级")</f>
        <v>0.13339999999999955</v>
      </c>
      <c r="P28" s="32">
        <f ca="1">IF(ISNUMBER(agent!$O$18*$J28*$K28),agent!$O$18*$J28*$K28,"没有上级")</f>
        <v>6.6699999999999773E-2</v>
      </c>
      <c r="Q28" s="32">
        <f ca="1">IF(ISNUMBER(agent!$O$21*$J28*$K28),agent!$O$21*$J28*$K28,"没有上级")</f>
        <v>0.13339999999999955</v>
      </c>
      <c r="R28" s="32">
        <f ca="1">IF(ISNUMBER(agent!$O$24*$J28*$K28),agent!$O$24*$J28*$K28,"没有上级")</f>
        <v>6.6699999999999773E-2</v>
      </c>
      <c r="S28" s="32">
        <f ca="1">IF(ISNUMBER(agent!$O$27*$J28*$K28),agent!$O$27*$J28*$K28,"没有上级")</f>
        <v>6.6699999999999773E-2</v>
      </c>
      <c r="T28" s="32" t="str">
        <f ca="1">IF(ISNUMBER(agent!$O$30*$J28*$K28),agent!$O$30*$J28*$K28,"没有上级")</f>
        <v>没有上级</v>
      </c>
      <c r="U28" s="32" t="str">
        <f ca="1">IF(ISNUMBER(agent!$O$33*$J28*$K28),agent!$O$33*$J28*$K28,"没有上级")</f>
        <v>没有上级</v>
      </c>
      <c r="W28" s="28">
        <v>653.33000000000004</v>
      </c>
      <c r="X28" s="32">
        <f t="shared" si="0"/>
        <v>666.00300000000004</v>
      </c>
    </row>
    <row r="29" spans="1:24" x14ac:dyDescent="0.15">
      <c r="A29" s="28" t="s">
        <v>27</v>
      </c>
      <c r="B29" s="28" t="s">
        <v>33</v>
      </c>
      <c r="C29" s="28" t="str">
        <f>SSC!$O37</f>
        <v>811</v>
      </c>
      <c r="D29" s="32">
        <f ca="1">SSC!$R37</f>
        <v>3</v>
      </c>
      <c r="E29" s="28">
        <v>1</v>
      </c>
      <c r="F29" s="32">
        <f ca="1">SSC!$P37</f>
        <v>6</v>
      </c>
      <c r="G29" s="28">
        <f>SSC!K$2</f>
        <v>81158</v>
      </c>
      <c r="H29" s="32">
        <f>SSC!M37</f>
        <v>0</v>
      </c>
      <c r="I29" s="28">
        <f ca="1">$I28-$F29+$H29</f>
        <v>1024681.0299999999</v>
      </c>
      <c r="J29" s="32">
        <v>0.33300000000000002</v>
      </c>
      <c r="K29" s="32">
        <f ca="1">SSC!N37</f>
        <v>0</v>
      </c>
      <c r="L29" s="32">
        <f ca="1">IF(ISNUMBER(agent!$O$6*$J29*$K29),agent!$O$6*$J29*$K29,"没有上级")</f>
        <v>0</v>
      </c>
      <c r="M29" s="32">
        <f ca="1">IF(ISNUMBER(agent!$O$9*$J29*$K29),agent!$O$9*$J29*$K29,"没有上级")</f>
        <v>0</v>
      </c>
      <c r="N29" s="32">
        <f ca="1">IF(ISNUMBER(agent!$O$12*$J29*$K29),agent!$O$12*$J29*$K29,"没有上级")</f>
        <v>0</v>
      </c>
      <c r="O29" s="32">
        <f ca="1">IF(ISNUMBER(agent!$O$15*$J29*$K29),agent!$O$15*$J29*$K29,"没有上级")</f>
        <v>0</v>
      </c>
      <c r="P29" s="32">
        <f ca="1">IF(ISNUMBER(agent!$O$18*$J29*$K29),agent!$O$18*$J29*$K29,"没有上级")</f>
        <v>0</v>
      </c>
      <c r="Q29" s="32">
        <f ca="1">IF(ISNUMBER(agent!$O$21*$J29*$K29),agent!$O$21*$J29*$K29,"没有上级")</f>
        <v>0</v>
      </c>
      <c r="R29" s="32">
        <f ca="1">IF(ISNUMBER(agent!$O$24*$J29*$K29),agent!$O$24*$J29*$K29,"没有上级")</f>
        <v>0</v>
      </c>
      <c r="S29" s="32">
        <f ca="1">IF(ISNUMBER(agent!$O$27*$J29*$K29),agent!$O$27*$J29*$K29,"没有上级")</f>
        <v>0</v>
      </c>
      <c r="T29" s="32" t="str">
        <f ca="1">IF(ISNUMBER(agent!$O$30*$J29*$K29),agent!$O$30*$J29*$K29,"没有上级")</f>
        <v>没有上级</v>
      </c>
      <c r="U29" s="32" t="str">
        <f ca="1">IF(ISNUMBER(agent!$O$33*$J29*$K29),agent!$O$33*$J29*$K29,"没有上级")</f>
        <v>没有上级</v>
      </c>
      <c r="W29" s="28">
        <v>326.66000000000003</v>
      </c>
      <c r="X29" s="32">
        <f t="shared" si="0"/>
        <v>332.98700000000002</v>
      </c>
    </row>
    <row r="30" spans="1:24" x14ac:dyDescent="0.15">
      <c r="A30" s="28" t="s">
        <v>27</v>
      </c>
      <c r="B30" s="28" t="s">
        <v>35</v>
      </c>
      <c r="C30" s="28" t="str">
        <f>SSC!$O38</f>
        <v>0 1 3 4 7 8 9</v>
      </c>
      <c r="D30" s="32">
        <f ca="1">SSC!$R38</f>
        <v>2</v>
      </c>
      <c r="E30" s="28">
        <v>1</v>
      </c>
      <c r="F30" s="32">
        <f ca="1">SSC!$P38</f>
        <v>28</v>
      </c>
      <c r="G30" s="28">
        <f>SSC!K$2</f>
        <v>81158</v>
      </c>
      <c r="H30" s="32">
        <f ca="1">SSC!M38</f>
        <v>28.92</v>
      </c>
      <c r="I30" s="28">
        <f ca="1">$I29-$F30+$H30</f>
        <v>1024681.95</v>
      </c>
      <c r="J30" s="32">
        <v>7.0000000000000001E-3</v>
      </c>
      <c r="K30" s="32">
        <f ca="1">SSC!N38</f>
        <v>2</v>
      </c>
      <c r="L30" s="32">
        <f ca="1">IF(ISNUMBER(agent!$O$6*$J30*$K30),agent!$O$6*$J30*$K30,"没有上级")</f>
        <v>1.399999999999995E-3</v>
      </c>
      <c r="M30" s="32">
        <f ca="1">IF(ISNUMBER(agent!$O$9*$J30*$K30),agent!$O$9*$J30*$K30,"没有上级")</f>
        <v>2.79999999999999E-3</v>
      </c>
      <c r="N30" s="32">
        <f ca="1">IF(ISNUMBER(agent!$O$12*$J30*$K30),agent!$O$12*$J30*$K30,"没有上级")</f>
        <v>2.79999999999999E-3</v>
      </c>
      <c r="O30" s="32">
        <f ca="1">IF(ISNUMBER(agent!$O$15*$J30*$K30),agent!$O$15*$J30*$K30,"没有上级")</f>
        <v>2.79999999999999E-3</v>
      </c>
      <c r="P30" s="32">
        <f ca="1">IF(ISNUMBER(agent!$O$18*$J30*$K30),agent!$O$18*$J30*$K30,"没有上级")</f>
        <v>1.399999999999995E-3</v>
      </c>
      <c r="Q30" s="32">
        <f ca="1">IF(ISNUMBER(agent!$O$21*$J30*$K30),agent!$O$21*$J30*$K30,"没有上级")</f>
        <v>2.79999999999999E-3</v>
      </c>
      <c r="R30" s="32">
        <f ca="1">IF(ISNUMBER(agent!$O$24*$J30*$K30),agent!$O$24*$J30*$K30,"没有上级")</f>
        <v>1.399999999999995E-3</v>
      </c>
      <c r="S30" s="32">
        <f ca="1">IF(ISNUMBER(agent!$O$27*$J30*$K30),agent!$O$27*$J30*$K30,"没有上级")</f>
        <v>1.399999999999995E-3</v>
      </c>
      <c r="T30" s="32" t="str">
        <f ca="1">IF(ISNUMBER(agent!$O$30*$J30*$K30),agent!$O$30*$J30*$K30,"没有上级")</f>
        <v>没有上级</v>
      </c>
      <c r="U30" s="32" t="str">
        <f ca="1">IF(ISNUMBER(agent!$O$33*$J30*$K30),agent!$O$33*$J30*$K30,"没有上级")</f>
        <v>没有上级</v>
      </c>
      <c r="W30" s="28">
        <v>7.23</v>
      </c>
      <c r="X30" s="32">
        <f t="shared" si="0"/>
        <v>7.3630000000000004</v>
      </c>
    </row>
    <row r="31" spans="1:24" x14ac:dyDescent="0.15">
      <c r="A31" s="28" t="s">
        <v>27</v>
      </c>
      <c r="B31" s="28" t="s">
        <v>36</v>
      </c>
      <c r="C31" s="28" t="str">
        <f>SSC!$O39</f>
        <v>2 3 4 5 6 7 8</v>
      </c>
      <c r="D31" s="32">
        <f ca="1">SSC!$R39</f>
        <v>2</v>
      </c>
      <c r="E31" s="28">
        <v>1</v>
      </c>
      <c r="F31" s="32">
        <f ca="1">SSC!$P39</f>
        <v>84</v>
      </c>
      <c r="G31" s="28">
        <f>SSC!K$2</f>
        <v>81158</v>
      </c>
      <c r="H31" s="32">
        <f ca="1">SSC!M39</f>
        <v>72.58</v>
      </c>
      <c r="I31" s="28">
        <f ca="1">$I30-$F31+$H31</f>
        <v>1024670.5299999999</v>
      </c>
      <c r="J31" s="32">
        <v>3.6999999999999998E-2</v>
      </c>
      <c r="K31" s="32">
        <f ca="1">SSC!N39</f>
        <v>1</v>
      </c>
      <c r="L31" s="32">
        <f ca="1">IF(ISNUMBER(agent!$O$6*$J31*$K31),agent!$O$6*$J31*$K31,"没有上级")</f>
        <v>3.6999999999999867E-3</v>
      </c>
      <c r="M31" s="32">
        <f ca="1">IF(ISNUMBER(agent!$O$9*$J31*$K31),agent!$O$9*$J31*$K31,"没有上级")</f>
        <v>7.3999999999999734E-3</v>
      </c>
      <c r="N31" s="32">
        <f ca="1">IF(ISNUMBER(agent!$O$12*$J31*$K31),agent!$O$12*$J31*$K31,"没有上级")</f>
        <v>7.3999999999999734E-3</v>
      </c>
      <c r="O31" s="32">
        <f ca="1">IF(ISNUMBER(agent!$O$15*$J31*$K31),agent!$O$15*$J31*$K31,"没有上级")</f>
        <v>7.3999999999999734E-3</v>
      </c>
      <c r="P31" s="32">
        <f ca="1">IF(ISNUMBER(agent!$O$18*$J31*$K31),agent!$O$18*$J31*$K31,"没有上级")</f>
        <v>3.6999999999999867E-3</v>
      </c>
      <c r="Q31" s="32">
        <f ca="1">IF(ISNUMBER(agent!$O$21*$J31*$K31),agent!$O$21*$J31*$K31,"没有上级")</f>
        <v>7.3999999999999734E-3</v>
      </c>
      <c r="R31" s="32">
        <f ca="1">IF(ISNUMBER(agent!$O$24*$J31*$K31),agent!$O$24*$J31*$K31,"没有上级")</f>
        <v>3.6999999999999867E-3</v>
      </c>
      <c r="S31" s="32">
        <f ca="1">IF(ISNUMBER(agent!$O$27*$J31*$K31),agent!$O$27*$J31*$K31,"没有上级")</f>
        <v>3.6999999999999867E-3</v>
      </c>
      <c r="T31" s="32" t="str">
        <f ca="1">IF(ISNUMBER(agent!$O$30*$J31*$K31),agent!$O$30*$J31*$K31,"没有上级")</f>
        <v>没有上级</v>
      </c>
      <c r="U31" s="32" t="str">
        <f ca="1">IF(ISNUMBER(agent!$O$33*$J31*$K31),agent!$O$33*$J31*$K31,"没有上级")</f>
        <v>没有上级</v>
      </c>
      <c r="W31" s="28">
        <v>36.29</v>
      </c>
      <c r="X31" s="32">
        <f t="shared" si="0"/>
        <v>36.993000000000002</v>
      </c>
    </row>
    <row r="32" spans="1:24" x14ac:dyDescent="0.15">
      <c r="A32" s="28" t="s">
        <v>37</v>
      </c>
      <c r="B32" s="28" t="s">
        <v>5</v>
      </c>
      <c r="C32" s="28" t="str">
        <f>SSC!$O40</f>
        <v>0 1 3 4 8 9,0 1 2 5 6 7,2 3 5 7 8 9</v>
      </c>
      <c r="D32" s="32">
        <f ca="1">SSC!$R40</f>
        <v>3</v>
      </c>
      <c r="E32" s="28">
        <v>1</v>
      </c>
      <c r="F32" s="32">
        <f ca="1">SSC!$P40</f>
        <v>1296</v>
      </c>
      <c r="G32" s="28">
        <f>SSC!K$2</f>
        <v>81158</v>
      </c>
      <c r="H32" s="32">
        <f ca="1">SSC!M40</f>
        <v>5880</v>
      </c>
      <c r="I32" s="28">
        <f ca="1">$I31-$F32+$H32</f>
        <v>1029254.5299999999</v>
      </c>
      <c r="J32" s="32">
        <v>2</v>
      </c>
      <c r="K32" s="32">
        <f ca="1">SSC!N40</f>
        <v>1</v>
      </c>
      <c r="L32" s="32">
        <f ca="1">IF(ISNUMBER(agent!$O$6*$J32*$K32),agent!$O$6*$J32*$K32,"没有上级")</f>
        <v>0.19999999999999929</v>
      </c>
      <c r="M32" s="32">
        <f ca="1">IF(ISNUMBER(agent!$O$9*$J32*$K32),agent!$O$9*$J32*$K32,"没有上级")</f>
        <v>0.39999999999999858</v>
      </c>
      <c r="N32" s="32">
        <f ca="1">IF(ISNUMBER(agent!$O$12*$J32*$K32),agent!$O$12*$J32*$K32,"没有上级")</f>
        <v>0.39999999999999858</v>
      </c>
      <c r="O32" s="32">
        <f ca="1">IF(ISNUMBER(agent!$O$15*$J32*$K32),agent!$O$15*$J32*$K32,"没有上级")</f>
        <v>0.39999999999999858</v>
      </c>
      <c r="P32" s="32">
        <f ca="1">IF(ISNUMBER(agent!$O$18*$J32*$K32),agent!$O$18*$J32*$K32,"没有上级")</f>
        <v>0.19999999999999929</v>
      </c>
      <c r="Q32" s="32">
        <f ca="1">IF(ISNUMBER(agent!$O$21*$J32*$K32),agent!$O$21*$J32*$K32,"没有上级")</f>
        <v>0.39999999999999858</v>
      </c>
      <c r="R32" s="32">
        <f ca="1">IF(ISNUMBER(agent!$O$24*$J32*$K32),agent!$O$24*$J32*$K32,"没有上级")</f>
        <v>0.19999999999999929</v>
      </c>
      <c r="S32" s="32">
        <f ca="1">IF(ISNUMBER(agent!$O$27*$J32*$K32),agent!$O$27*$J32*$K32,"没有上级")</f>
        <v>0.19999999999999929</v>
      </c>
      <c r="T32" s="32" t="str">
        <f ca="1">IF(ISNUMBER(agent!$O$30*$J32*$K32),agent!$O$30*$J32*$K32,"没有上级")</f>
        <v>没有上级</v>
      </c>
      <c r="U32" s="32" t="str">
        <f ca="1">IF(ISNUMBER(agent!$O$33*$J32*$K32),agent!$O$33*$J32*$K32,"没有上级")</f>
        <v>没有上级</v>
      </c>
      <c r="W32" s="28">
        <v>1960</v>
      </c>
      <c r="X32" s="32">
        <f t="shared" si="0"/>
        <v>1998</v>
      </c>
    </row>
    <row r="33" spans="1:24" x14ac:dyDescent="0.15">
      <c r="A33" s="28" t="s">
        <v>37</v>
      </c>
      <c r="B33" s="28" t="s">
        <v>28</v>
      </c>
      <c r="C33" s="28" t="str">
        <f>SSC!$O43</f>
        <v>456 115</v>
      </c>
      <c r="D33" s="32">
        <f ca="1">SSC!$R43</f>
        <v>2</v>
      </c>
      <c r="E33" s="28">
        <v>1</v>
      </c>
      <c r="F33" s="32">
        <f ca="1">SSC!$P43</f>
        <v>8</v>
      </c>
      <c r="G33" s="28">
        <f>SSC!K$2</f>
        <v>81158</v>
      </c>
      <c r="H33" s="32">
        <f ca="1">SSC!M43</f>
        <v>3920</v>
      </c>
      <c r="I33" s="28">
        <f ca="1">$I32-$F33+$H33</f>
        <v>1033166.5299999999</v>
      </c>
      <c r="J33" s="32">
        <v>2</v>
      </c>
      <c r="K33" s="32">
        <f ca="1">SSC!N43</f>
        <v>1</v>
      </c>
      <c r="L33" s="32">
        <f ca="1">IF(ISNUMBER(agent!$O$6*$J33*$K33),agent!$O$6*$J33*$K33,"没有上级")</f>
        <v>0.19999999999999929</v>
      </c>
      <c r="M33" s="32">
        <f ca="1">IF(ISNUMBER(agent!$O$9*$J33*$K33),agent!$O$9*$J33*$K33,"没有上级")</f>
        <v>0.39999999999999858</v>
      </c>
      <c r="N33" s="32">
        <f ca="1">IF(ISNUMBER(agent!$O$12*$J33*$K33),agent!$O$12*$J33*$K33,"没有上级")</f>
        <v>0.39999999999999858</v>
      </c>
      <c r="O33" s="32">
        <f ca="1">IF(ISNUMBER(agent!$O$15*$J33*$K33),agent!$O$15*$J33*$K33,"没有上级")</f>
        <v>0.39999999999999858</v>
      </c>
      <c r="P33" s="32">
        <f ca="1">IF(ISNUMBER(agent!$O$18*$J33*$K33),agent!$O$18*$J33*$K33,"没有上级")</f>
        <v>0.19999999999999929</v>
      </c>
      <c r="Q33" s="32">
        <f ca="1">IF(ISNUMBER(agent!$O$21*$J33*$K33),agent!$O$21*$J33*$K33,"没有上级")</f>
        <v>0.39999999999999858</v>
      </c>
      <c r="R33" s="32">
        <f ca="1">IF(ISNUMBER(agent!$O$24*$J33*$K33),agent!$O$24*$J33*$K33,"没有上级")</f>
        <v>0.19999999999999929</v>
      </c>
      <c r="S33" s="32">
        <f ca="1">IF(ISNUMBER(agent!$O$27*$J33*$K33),agent!$O$27*$J33*$K33,"没有上级")</f>
        <v>0.19999999999999929</v>
      </c>
      <c r="T33" s="32" t="str">
        <f ca="1">IF(ISNUMBER(agent!$O$30*$J33*$K33),agent!$O$30*$J33*$K33,"没有上级")</f>
        <v>没有上级</v>
      </c>
      <c r="U33" s="32" t="str">
        <f ca="1">IF(ISNUMBER(agent!$O$33*$J33*$K33),agent!$O$33*$J33*$K33,"没有上级")</f>
        <v>没有上级</v>
      </c>
      <c r="W33" s="28">
        <v>1960</v>
      </c>
      <c r="X33" s="32">
        <f t="shared" si="0"/>
        <v>1998</v>
      </c>
    </row>
    <row r="34" spans="1:24" ht="20.25" customHeight="1" x14ac:dyDescent="0.15">
      <c r="A34" s="28" t="s">
        <v>37</v>
      </c>
      <c r="B34" s="28" t="s">
        <v>17</v>
      </c>
      <c r="C34" s="28" t="str">
        <f>SSC!$O44</f>
        <v>0 1 4 6 7 11 12 17 18</v>
      </c>
      <c r="D34" s="32">
        <f ca="1">SSC!$R44</f>
        <v>1</v>
      </c>
      <c r="E34" s="28">
        <v>1</v>
      </c>
      <c r="F34" s="32">
        <f ca="1">SSC!$P44</f>
        <v>686</v>
      </c>
      <c r="G34" s="28">
        <f>SSC!K$2</f>
        <v>81158</v>
      </c>
      <c r="H34" s="32">
        <f ca="1">SSC!M44</f>
        <v>1960</v>
      </c>
      <c r="I34" s="28">
        <f ca="1">$I33-$F34+$H34</f>
        <v>1034440.5299999999</v>
      </c>
      <c r="J34" s="32">
        <v>2</v>
      </c>
      <c r="K34" s="32">
        <f ca="1">SSC!N44</f>
        <v>1</v>
      </c>
      <c r="L34" s="32">
        <f ca="1">IF(ISNUMBER(agent!$O$6*$J34*$K34),agent!$O$6*$J34*$K34,"没有上级")</f>
        <v>0.19999999999999929</v>
      </c>
      <c r="M34" s="32">
        <f ca="1">IF(ISNUMBER(agent!$O$9*$J34*$K34),agent!$O$9*$J34*$K34,"没有上级")</f>
        <v>0.39999999999999858</v>
      </c>
      <c r="N34" s="32">
        <f ca="1">IF(ISNUMBER(agent!$O$12*$J34*$K34),agent!$O$12*$J34*$K34,"没有上级")</f>
        <v>0.39999999999999858</v>
      </c>
      <c r="O34" s="32">
        <f ca="1">IF(ISNUMBER(agent!$O$15*$J34*$K34),agent!$O$15*$J34*$K34,"没有上级")</f>
        <v>0.39999999999999858</v>
      </c>
      <c r="P34" s="32">
        <f ca="1">IF(ISNUMBER(agent!$O$18*$J34*$K34),agent!$O$18*$J34*$K34,"没有上级")</f>
        <v>0.19999999999999929</v>
      </c>
      <c r="Q34" s="32">
        <f ca="1">IF(ISNUMBER(agent!$O$21*$J34*$K34),agent!$O$21*$J34*$K34,"没有上级")</f>
        <v>0.39999999999999858</v>
      </c>
      <c r="R34" s="32">
        <f ca="1">IF(ISNUMBER(agent!$O$24*$J34*$K34),agent!$O$24*$J34*$K34,"没有上级")</f>
        <v>0.19999999999999929</v>
      </c>
      <c r="S34" s="32">
        <f ca="1">IF(ISNUMBER(agent!$O$27*$J34*$K34),agent!$O$27*$J34*$K34,"没有上级")</f>
        <v>0.19999999999999929</v>
      </c>
      <c r="T34" s="32" t="str">
        <f ca="1">IF(ISNUMBER(agent!$O$30*$J34*$K34),agent!$O$30*$J34*$K34,"没有上级")</f>
        <v>没有上级</v>
      </c>
      <c r="U34" s="32" t="str">
        <f ca="1">IF(ISNUMBER(agent!$O$33*$J34*$K34),agent!$O$33*$J34*$K34,"没有上级")</f>
        <v>没有上级</v>
      </c>
      <c r="W34" s="28">
        <v>1960</v>
      </c>
      <c r="X34" s="32">
        <f t="shared" si="0"/>
        <v>1998</v>
      </c>
    </row>
    <row r="35" spans="1:24" x14ac:dyDescent="0.15">
      <c r="A35" s="28" t="s">
        <v>37</v>
      </c>
      <c r="B35" s="28" t="s">
        <v>19</v>
      </c>
      <c r="C35" s="28" t="str">
        <f>SSC!$O45</f>
        <v>0 1 2 4 7 8 9</v>
      </c>
      <c r="D35" s="32">
        <f ca="1">SSC!$R45</f>
        <v>1</v>
      </c>
      <c r="E35" s="28">
        <v>1</v>
      </c>
      <c r="F35" s="32">
        <f ca="1">SSC!$P45</f>
        <v>1160</v>
      </c>
      <c r="G35" s="28">
        <f>SSC!K$2</f>
        <v>81158</v>
      </c>
      <c r="H35" s="32">
        <f ca="1">SSC!M45</f>
        <v>1960</v>
      </c>
      <c r="I35" s="28">
        <f ca="1">$I34-$F35+$H35</f>
        <v>1035240.5299999999</v>
      </c>
      <c r="J35" s="32">
        <v>2</v>
      </c>
      <c r="K35" s="32">
        <f ca="1">SSC!N45</f>
        <v>1</v>
      </c>
      <c r="L35" s="32">
        <f ca="1">IF(ISNUMBER(agent!$O$6*$J35*$K35),agent!$O$6*$J35*$K35,"没有上级")</f>
        <v>0.19999999999999929</v>
      </c>
      <c r="M35" s="32">
        <f ca="1">IF(ISNUMBER(agent!$O$9*$J35*$K35),agent!$O$9*$J35*$K35,"没有上级")</f>
        <v>0.39999999999999858</v>
      </c>
      <c r="N35" s="32">
        <f ca="1">IF(ISNUMBER(agent!$O$12*$J35*$K35),agent!$O$12*$J35*$K35,"没有上级")</f>
        <v>0.39999999999999858</v>
      </c>
      <c r="O35" s="32">
        <f ca="1">IF(ISNUMBER(agent!$O$15*$J35*$K35),agent!$O$15*$J35*$K35,"没有上级")</f>
        <v>0.39999999999999858</v>
      </c>
      <c r="P35" s="32">
        <f ca="1">IF(ISNUMBER(agent!$O$18*$J35*$K35),agent!$O$18*$J35*$K35,"没有上级")</f>
        <v>0.19999999999999929</v>
      </c>
      <c r="Q35" s="32">
        <f ca="1">IF(ISNUMBER(agent!$O$21*$J35*$K35),agent!$O$21*$J35*$K35,"没有上级")</f>
        <v>0.39999999999999858</v>
      </c>
      <c r="R35" s="32">
        <f ca="1">IF(ISNUMBER(agent!$O$24*$J35*$K35),agent!$O$24*$J35*$K35,"没有上级")</f>
        <v>0.19999999999999929</v>
      </c>
      <c r="S35" s="32">
        <f ca="1">IF(ISNUMBER(agent!$O$27*$J35*$K35),agent!$O$27*$J35*$K35,"没有上级")</f>
        <v>0.19999999999999929</v>
      </c>
      <c r="T35" s="32" t="str">
        <f ca="1">IF(ISNUMBER(agent!$O$30*$J35*$K35),agent!$O$30*$J35*$K35,"没有上级")</f>
        <v>没有上级</v>
      </c>
      <c r="U35" s="32" t="str">
        <f ca="1">IF(ISNUMBER(agent!$O$33*$J35*$K35),agent!$O$33*$J35*$K35,"没有上级")</f>
        <v>没有上级</v>
      </c>
      <c r="W35" s="28">
        <v>1960</v>
      </c>
      <c r="X35" s="32">
        <f t="shared" si="0"/>
        <v>1998</v>
      </c>
    </row>
    <row r="36" spans="1:24" x14ac:dyDescent="0.15">
      <c r="A36" s="28" t="s">
        <v>37</v>
      </c>
      <c r="B36" s="28" t="s">
        <v>23</v>
      </c>
      <c r="C36" s="28" t="str">
        <f>SSC!$O46</f>
        <v>1 7 8 13 18 20 26</v>
      </c>
      <c r="D36" s="32">
        <f ca="1">SSC!$R46</f>
        <v>4</v>
      </c>
      <c r="E36" s="28">
        <v>1</v>
      </c>
      <c r="F36" s="32">
        <f ca="1">SSC!$P46</f>
        <v>432</v>
      </c>
      <c r="G36" s="28">
        <f>SSC!K$2</f>
        <v>81158</v>
      </c>
      <c r="H36" s="32">
        <f ca="1">SSC!M46</f>
        <v>2613.3200000000002</v>
      </c>
      <c r="I36" s="28">
        <f ca="1">$I35-$F36+$H36</f>
        <v>1037421.8499999999</v>
      </c>
      <c r="J36" s="32">
        <v>0.33300000000000002</v>
      </c>
      <c r="K36" s="32">
        <f ca="1">SSC!N46</f>
        <v>1</v>
      </c>
      <c r="L36" s="32">
        <f ca="1">IF(ISNUMBER(agent!$O$6*$J36*$K36),agent!$O$6*$J36*$K36,"没有上级")</f>
        <v>3.3299999999999885E-2</v>
      </c>
      <c r="M36" s="32">
        <f ca="1">IF(ISNUMBER(agent!$O$9*$J36*$K36),agent!$O$9*$J36*$K36,"没有上级")</f>
        <v>6.659999999999977E-2</v>
      </c>
      <c r="N36" s="32">
        <f ca="1">IF(ISNUMBER(agent!$O$12*$J36*$K36),agent!$O$12*$J36*$K36,"没有上级")</f>
        <v>6.659999999999977E-2</v>
      </c>
      <c r="O36" s="32">
        <f ca="1">IF(ISNUMBER(agent!$O$15*$J36*$K36),agent!$O$15*$J36*$K36,"没有上级")</f>
        <v>6.659999999999977E-2</v>
      </c>
      <c r="P36" s="32">
        <f ca="1">IF(ISNUMBER(agent!$O$18*$J36*$K36),agent!$O$18*$J36*$K36,"没有上级")</f>
        <v>3.3299999999999885E-2</v>
      </c>
      <c r="Q36" s="32">
        <f ca="1">IF(ISNUMBER(agent!$O$21*$J36*$K36),agent!$O$21*$J36*$K36,"没有上级")</f>
        <v>6.659999999999977E-2</v>
      </c>
      <c r="R36" s="32">
        <f ca="1">IF(ISNUMBER(agent!$O$24*$J36*$K36),agent!$O$24*$J36*$K36,"没有上级")</f>
        <v>3.3299999999999885E-2</v>
      </c>
      <c r="S36" s="32">
        <f ca="1">IF(ISNUMBER(agent!$O$27*$J36*$K36),agent!$O$27*$J36*$K36,"没有上级")</f>
        <v>3.3299999999999885E-2</v>
      </c>
      <c r="T36" s="32" t="str">
        <f ca="1">IF(ISNUMBER(agent!$O$30*$J36*$K36),agent!$O$30*$J36*$K36,"没有上级")</f>
        <v>没有上级</v>
      </c>
      <c r="U36" s="32" t="str">
        <f ca="1">IF(ISNUMBER(agent!$O$33*$J36*$K36),agent!$O$33*$J36*$K36,"没有上级")</f>
        <v>没有上级</v>
      </c>
      <c r="W36" s="28">
        <v>326.66500000000002</v>
      </c>
      <c r="X36" s="32">
        <f t="shared" si="0"/>
        <v>332.99200000000002</v>
      </c>
    </row>
    <row r="37" spans="1:24" x14ac:dyDescent="0.15">
      <c r="A37" s="28" t="s">
        <v>37</v>
      </c>
      <c r="B37" s="28" t="s">
        <v>29</v>
      </c>
      <c r="C37" s="28" t="str">
        <f>SSC!$O47</f>
        <v>0 1 6 7 5 9</v>
      </c>
      <c r="D37" s="32">
        <f ca="1">SSC!$R47</f>
        <v>4</v>
      </c>
      <c r="E37" s="28">
        <v>1</v>
      </c>
      <c r="F37" s="32">
        <f ca="1">SSC!$P47</f>
        <v>240</v>
      </c>
      <c r="G37" s="28">
        <f>SSC!K$2</f>
        <v>81158</v>
      </c>
      <c r="H37" s="32">
        <f ca="1">SSC!M47</f>
        <v>2613.3200000000002</v>
      </c>
      <c r="I37" s="28">
        <f ca="1">$I36-$F37+$H37</f>
        <v>1039795.1699999998</v>
      </c>
      <c r="J37" s="32">
        <v>0.66700000000000004</v>
      </c>
      <c r="K37" s="32">
        <f ca="1">SSC!N47</f>
        <v>1</v>
      </c>
      <c r="L37" s="32">
        <f ca="1">IF(ISNUMBER(agent!$O$6*$J37*$K37),agent!$O$6*$J37*$K37,"没有上级")</f>
        <v>6.6699999999999773E-2</v>
      </c>
      <c r="M37" s="32">
        <f ca="1">IF(ISNUMBER(agent!$O$9*$J37*$K37),agent!$O$9*$J37*$K37,"没有上级")</f>
        <v>0.13339999999999955</v>
      </c>
      <c r="N37" s="32">
        <f ca="1">IF(ISNUMBER(agent!$O$12*$J37*$K37),agent!$O$12*$J37*$K37,"没有上级")</f>
        <v>0.13339999999999955</v>
      </c>
      <c r="O37" s="32">
        <f ca="1">IF(ISNUMBER(agent!$O$15*$J37*$K37),agent!$O$15*$J37*$K37,"没有上级")</f>
        <v>0.13339999999999955</v>
      </c>
      <c r="P37" s="32">
        <f ca="1">IF(ISNUMBER(agent!$O$18*$J37*$K37),agent!$O$18*$J37*$K37,"没有上级")</f>
        <v>6.6699999999999773E-2</v>
      </c>
      <c r="Q37" s="32">
        <f ca="1">IF(ISNUMBER(agent!$O$21*$J37*$K37),agent!$O$21*$J37*$K37,"没有上级")</f>
        <v>0.13339999999999955</v>
      </c>
      <c r="R37" s="32">
        <f ca="1">IF(ISNUMBER(agent!$O$24*$J37*$K37),agent!$O$24*$J37*$K37,"没有上级")</f>
        <v>6.6699999999999773E-2</v>
      </c>
      <c r="S37" s="32">
        <f ca="1">IF(ISNUMBER(agent!$O$27*$J37*$K37),agent!$O$27*$J37*$K37,"没有上级")</f>
        <v>6.6699999999999773E-2</v>
      </c>
      <c r="T37" s="32" t="str">
        <f ca="1">IF(ISNUMBER(agent!$O$30*$J37*$K37),agent!$O$30*$J37*$K37,"没有上级")</f>
        <v>没有上级</v>
      </c>
      <c r="U37" s="32" t="str">
        <f ca="1">IF(ISNUMBER(agent!$O$33*$J37*$K37),agent!$O$33*$J37*$K37,"没有上级")</f>
        <v>没有上级</v>
      </c>
      <c r="W37" s="28">
        <v>653.33000000000004</v>
      </c>
      <c r="X37" s="32">
        <f t="shared" si="0"/>
        <v>666.00300000000004</v>
      </c>
    </row>
    <row r="38" spans="1:24" x14ac:dyDescent="0.15">
      <c r="A38" s="28" t="s">
        <v>37</v>
      </c>
      <c r="B38" s="28" t="s">
        <v>30</v>
      </c>
      <c r="C38" s="28" t="str">
        <f>SSC!$O48</f>
        <v>0 1 2 3 4 8 9</v>
      </c>
      <c r="D38" s="32">
        <f ca="1">SSC!$R48</f>
        <v>1</v>
      </c>
      <c r="E38" s="28">
        <v>1</v>
      </c>
      <c r="F38" s="32">
        <f ca="1">SSC!$P48</f>
        <v>70</v>
      </c>
      <c r="G38" s="28">
        <f>SSC!K$2</f>
        <v>81158</v>
      </c>
      <c r="H38" s="32">
        <f>SSC!M48</f>
        <v>0</v>
      </c>
      <c r="I38" s="28">
        <f ca="1">$I37-$F38+$H38</f>
        <v>1039725.1699999998</v>
      </c>
      <c r="J38" s="32">
        <v>0.33300000000000002</v>
      </c>
      <c r="K38" s="32">
        <f ca="1">SSC!N48</f>
        <v>0</v>
      </c>
      <c r="L38" s="32">
        <f ca="1">IF(ISNUMBER(agent!$O$6*$J38*$K38),agent!$O$6*$J38*$K38,"没有上级")</f>
        <v>0</v>
      </c>
      <c r="M38" s="32">
        <f ca="1">IF(ISNUMBER(agent!$O$9*$J38*$K38),agent!$O$9*$J38*$K38,"没有上级")</f>
        <v>0</v>
      </c>
      <c r="N38" s="32">
        <f ca="1">IF(ISNUMBER(agent!$O$12*$J38*$K38),agent!$O$12*$J38*$K38,"没有上级")</f>
        <v>0</v>
      </c>
      <c r="O38" s="32">
        <f ca="1">IF(ISNUMBER(agent!$O$15*$J38*$K38),agent!$O$15*$J38*$K38,"没有上级")</f>
        <v>0</v>
      </c>
      <c r="P38" s="32">
        <f ca="1">IF(ISNUMBER(agent!$O$18*$J38*$K38),agent!$O$18*$J38*$K38,"没有上级")</f>
        <v>0</v>
      </c>
      <c r="Q38" s="32">
        <f ca="1">IF(ISNUMBER(agent!$O$21*$J38*$K38),agent!$O$21*$J38*$K38,"没有上级")</f>
        <v>0</v>
      </c>
      <c r="R38" s="32">
        <f ca="1">IF(ISNUMBER(agent!$O$24*$J38*$K38),agent!$O$24*$J38*$K38,"没有上级")</f>
        <v>0</v>
      </c>
      <c r="S38" s="32">
        <f ca="1">IF(ISNUMBER(agent!$O$27*$J38*$K38),agent!$O$27*$J38*$K38,"没有上级")</f>
        <v>0</v>
      </c>
      <c r="T38" s="32" t="str">
        <f ca="1">IF(ISNUMBER(agent!$O$30*$J38*$K38),agent!$O$30*$J38*$K38,"没有上级")</f>
        <v>没有上级</v>
      </c>
      <c r="U38" s="32" t="str">
        <f ca="1">IF(ISNUMBER(agent!$O$33*$J38*$K38),agent!$O$33*$J38*$K38,"没有上级")</f>
        <v>没有上级</v>
      </c>
      <c r="W38" s="28">
        <v>326.66000000000003</v>
      </c>
      <c r="X38" s="32">
        <f t="shared" si="0"/>
        <v>332.98700000000002</v>
      </c>
    </row>
    <row r="39" spans="1:24" x14ac:dyDescent="0.15">
      <c r="A39" s="28" t="s">
        <v>37</v>
      </c>
      <c r="B39" s="28" t="s">
        <v>31</v>
      </c>
      <c r="C39" s="28" t="str">
        <f>SSC!$O49</f>
        <v>151</v>
      </c>
      <c r="D39" s="32">
        <f ca="1">SSC!$R49</f>
        <v>4</v>
      </c>
      <c r="E39" s="28">
        <v>1</v>
      </c>
      <c r="F39" s="32">
        <f ca="1">SSC!$P49</f>
        <v>8</v>
      </c>
      <c r="G39" s="28">
        <f>SSC!K$2</f>
        <v>81158</v>
      </c>
      <c r="H39" s="32">
        <f ca="1">SSC!M49</f>
        <v>2613.3200000000002</v>
      </c>
      <c r="I39" s="28">
        <f ca="1">$I38-$F39+$H39</f>
        <v>1042330.4899999998</v>
      </c>
      <c r="J39" s="32">
        <v>0.33300000000000002</v>
      </c>
      <c r="K39" s="32">
        <f ca="1">SSC!N49</f>
        <v>1</v>
      </c>
      <c r="L39" s="32">
        <f ca="1">IF(ISNUMBER(agent!$O$6*$J39*$K39),agent!$O$6*$J39*$K39,"没有上级")</f>
        <v>3.3299999999999885E-2</v>
      </c>
      <c r="M39" s="32">
        <f ca="1">IF(ISNUMBER(agent!$O$9*$J39*$K39),agent!$O$9*$J39*$K39,"没有上级")</f>
        <v>6.659999999999977E-2</v>
      </c>
      <c r="N39" s="32">
        <f ca="1">IF(ISNUMBER(agent!$O$12*$J39*$K39),agent!$O$12*$J39*$K39,"没有上级")</f>
        <v>6.659999999999977E-2</v>
      </c>
      <c r="O39" s="32">
        <f ca="1">IF(ISNUMBER(agent!$O$15*$J39*$K39),agent!$O$15*$J39*$K39,"没有上级")</f>
        <v>6.659999999999977E-2</v>
      </c>
      <c r="P39" s="32">
        <f ca="1">IF(ISNUMBER(agent!$O$18*$J39*$K39),agent!$O$18*$J39*$K39,"没有上级")</f>
        <v>3.3299999999999885E-2</v>
      </c>
      <c r="Q39" s="32">
        <f ca="1">IF(ISNUMBER(agent!$O$21*$J39*$K39),agent!$O$21*$J39*$K39,"没有上级")</f>
        <v>6.659999999999977E-2</v>
      </c>
      <c r="R39" s="32">
        <f ca="1">IF(ISNUMBER(agent!$O$24*$J39*$K39),agent!$O$24*$J39*$K39,"没有上级")</f>
        <v>3.3299999999999885E-2</v>
      </c>
      <c r="S39" s="32">
        <f ca="1">IF(ISNUMBER(agent!$O$27*$J39*$K39),agent!$O$27*$J39*$K39,"没有上级")</f>
        <v>3.3299999999999885E-2</v>
      </c>
      <c r="T39" s="32" t="str">
        <f ca="1">IF(ISNUMBER(agent!$O$30*$J39*$K39),agent!$O$30*$J39*$K39,"没有上级")</f>
        <v>没有上级</v>
      </c>
      <c r="U39" s="32" t="str">
        <f ca="1">IF(ISNUMBER(agent!$O$33*$J39*$K39),agent!$O$33*$J39*$K39,"没有上级")</f>
        <v>没有上级</v>
      </c>
      <c r="W39" s="28">
        <v>326.66500000000002</v>
      </c>
      <c r="X39" s="32">
        <f t="shared" si="0"/>
        <v>332.99200000000002</v>
      </c>
    </row>
    <row r="40" spans="1:24" x14ac:dyDescent="0.15">
      <c r="A40" s="28" t="s">
        <v>37</v>
      </c>
      <c r="B40" s="28" t="s">
        <v>24</v>
      </c>
      <c r="C40" s="28" t="str">
        <f>SSC!$O50</f>
        <v>5</v>
      </c>
      <c r="D40" s="32">
        <f ca="1">SSC!$R50</f>
        <v>2</v>
      </c>
      <c r="E40" s="28">
        <v>1</v>
      </c>
      <c r="F40" s="32">
        <f ca="1">SSC!$P50</f>
        <v>216</v>
      </c>
      <c r="G40" s="28">
        <f>SSC!K$2</f>
        <v>81158</v>
      </c>
      <c r="H40" s="32">
        <f ca="1">SSC!M50</f>
        <v>1306.6600000000001</v>
      </c>
      <c r="I40" s="28">
        <f ca="1">$I39-$F40+$H40</f>
        <v>1043421.1499999998</v>
      </c>
      <c r="J40" s="32">
        <v>0.33300000000000002</v>
      </c>
      <c r="K40" s="32">
        <f ca="1">SSC!N50</f>
        <v>1</v>
      </c>
      <c r="L40" s="32">
        <f ca="1">IF(ISNUMBER(agent!$O$6*$J40*$K40),agent!$O$6*$J40*$K40,"没有上级")</f>
        <v>3.3299999999999885E-2</v>
      </c>
      <c r="M40" s="32">
        <f ca="1">IF(ISNUMBER(agent!$O$9*$J40*$K40),agent!$O$9*$J40*$K40,"没有上级")</f>
        <v>6.659999999999977E-2</v>
      </c>
      <c r="N40" s="32">
        <f ca="1">IF(ISNUMBER(agent!$O$12*$J40*$K40),agent!$O$12*$J40*$K40,"没有上级")</f>
        <v>6.659999999999977E-2</v>
      </c>
      <c r="O40" s="32">
        <f ca="1">IF(ISNUMBER(agent!$O$15*$J40*$K40),agent!$O$15*$J40*$K40,"没有上级")</f>
        <v>6.659999999999977E-2</v>
      </c>
      <c r="P40" s="32">
        <f ca="1">IF(ISNUMBER(agent!$O$18*$J40*$K40),agent!$O$18*$J40*$K40,"没有上级")</f>
        <v>3.3299999999999885E-2</v>
      </c>
      <c r="Q40" s="32">
        <f ca="1">IF(ISNUMBER(agent!$O$21*$J40*$K40),agent!$O$21*$J40*$K40,"没有上级")</f>
        <v>6.659999999999977E-2</v>
      </c>
      <c r="R40" s="32">
        <f ca="1">IF(ISNUMBER(agent!$O$24*$J40*$K40),agent!$O$24*$J40*$K40,"没有上级")</f>
        <v>3.3299999999999885E-2</v>
      </c>
      <c r="S40" s="32">
        <f ca="1">IF(ISNUMBER(agent!$O$27*$J40*$K40),agent!$O$27*$J40*$K40,"没有上级")</f>
        <v>3.3299999999999885E-2</v>
      </c>
      <c r="T40" s="32" t="str">
        <f ca="1">IF(ISNUMBER(agent!$O$30*$J40*$K40),agent!$O$30*$J40*$K40,"没有上级")</f>
        <v>没有上级</v>
      </c>
      <c r="U40" s="32" t="str">
        <f ca="1">IF(ISNUMBER(agent!$O$33*$J40*$K40),agent!$O$33*$J40*$K40,"没有上级")</f>
        <v>没有上级</v>
      </c>
      <c r="W40" s="28">
        <v>326.66500000000002</v>
      </c>
      <c r="X40" s="32">
        <f t="shared" si="0"/>
        <v>332.99200000000002</v>
      </c>
    </row>
    <row r="41" spans="1:24" x14ac:dyDescent="0.15">
      <c r="A41" s="28" t="s">
        <v>37</v>
      </c>
      <c r="B41" s="28" t="s">
        <v>32</v>
      </c>
      <c r="C41" s="28" t="str">
        <f>SSC!$O51</f>
        <v>151</v>
      </c>
      <c r="D41" s="32">
        <f ca="1">SSC!$R51</f>
        <v>2</v>
      </c>
      <c r="E41" s="28">
        <v>1</v>
      </c>
      <c r="F41" s="32">
        <f ca="1">SSC!$P51</f>
        <v>4</v>
      </c>
      <c r="G41" s="28">
        <f>SSC!K$2</f>
        <v>81158</v>
      </c>
      <c r="H41" s="32">
        <f ca="1">SSC!M51</f>
        <v>1306.6600000000001</v>
      </c>
      <c r="I41" s="28">
        <f ca="1">$I40-$F41+$H41</f>
        <v>1044723.8099999998</v>
      </c>
      <c r="J41" s="32">
        <v>0.66700000000000004</v>
      </c>
      <c r="K41" s="32">
        <f ca="1">SSC!N51</f>
        <v>1</v>
      </c>
      <c r="L41" s="32">
        <f ca="1">IF(ISNUMBER(agent!$O$6*$J41*$K41),agent!$O$6*$J41*$K41,"没有上级")</f>
        <v>6.6699999999999773E-2</v>
      </c>
      <c r="M41" s="32">
        <f ca="1">IF(ISNUMBER(agent!$O$9*$J41*$K41),agent!$O$9*$J41*$K41,"没有上级")</f>
        <v>0.13339999999999955</v>
      </c>
      <c r="N41" s="32">
        <f ca="1">IF(ISNUMBER(agent!$O$12*$J41*$K41),agent!$O$12*$J41*$K41,"没有上级")</f>
        <v>0.13339999999999955</v>
      </c>
      <c r="O41" s="32">
        <f ca="1">IF(ISNUMBER(agent!$O$15*$J41*$K41),agent!$O$15*$J41*$K41,"没有上级")</f>
        <v>0.13339999999999955</v>
      </c>
      <c r="P41" s="32">
        <f ca="1">IF(ISNUMBER(agent!$O$18*$J41*$K41),agent!$O$18*$J41*$K41,"没有上级")</f>
        <v>6.6699999999999773E-2</v>
      </c>
      <c r="Q41" s="32">
        <f ca="1">IF(ISNUMBER(agent!$O$21*$J41*$K41),agent!$O$21*$J41*$K41,"没有上级")</f>
        <v>0.13339999999999955</v>
      </c>
      <c r="R41" s="32">
        <f ca="1">IF(ISNUMBER(agent!$O$24*$J41*$K41),agent!$O$24*$J41*$K41,"没有上级")</f>
        <v>6.6699999999999773E-2</v>
      </c>
      <c r="S41" s="32">
        <f ca="1">IF(ISNUMBER(agent!$O$27*$J41*$K41),agent!$O$27*$J41*$K41,"没有上级")</f>
        <v>6.6699999999999773E-2</v>
      </c>
      <c r="T41" s="32" t="str">
        <f ca="1">IF(ISNUMBER(agent!$O$30*$J41*$K41),agent!$O$30*$J41*$K41,"没有上级")</f>
        <v>没有上级</v>
      </c>
      <c r="U41" s="32" t="str">
        <f ca="1">IF(ISNUMBER(agent!$O$33*$J41*$K41),agent!$O$33*$J41*$K41,"没有上级")</f>
        <v>没有上级</v>
      </c>
      <c r="W41" s="28">
        <v>653.33000000000004</v>
      </c>
      <c r="X41" s="32">
        <f t="shared" si="0"/>
        <v>666.00300000000004</v>
      </c>
    </row>
    <row r="42" spans="1:24" x14ac:dyDescent="0.15">
      <c r="A42" s="28" t="s">
        <v>37</v>
      </c>
      <c r="B42" s="28" t="s">
        <v>33</v>
      </c>
      <c r="C42" s="28" t="str">
        <f>SSC!$O52</f>
        <v>115</v>
      </c>
      <c r="D42" s="32">
        <f ca="1">SSC!$R52</f>
        <v>3</v>
      </c>
      <c r="E42" s="28">
        <v>1</v>
      </c>
      <c r="F42" s="32">
        <f ca="1">SSC!$P52</f>
        <v>6</v>
      </c>
      <c r="G42" s="28">
        <f>SSC!K$2</f>
        <v>81158</v>
      </c>
      <c r="H42" s="32">
        <f>SSC!M52</f>
        <v>0</v>
      </c>
      <c r="I42" s="28">
        <f ca="1">$I41-$F42+$H42</f>
        <v>1044717.8099999998</v>
      </c>
      <c r="J42" s="32">
        <v>0.33300000000000002</v>
      </c>
      <c r="K42" s="32">
        <f ca="1">SSC!N52</f>
        <v>0</v>
      </c>
      <c r="L42" s="32">
        <f ca="1">IF(ISNUMBER(agent!$O$6*$J42*$K42),agent!$O$6*$J42*$K42,"没有上级")</f>
        <v>0</v>
      </c>
      <c r="M42" s="32">
        <f ca="1">IF(ISNUMBER(agent!$O$9*$J42*$K42),agent!$O$9*$J42*$K42,"没有上级")</f>
        <v>0</v>
      </c>
      <c r="N42" s="32">
        <f ca="1">IF(ISNUMBER(agent!$O$12*$J42*$K42),agent!$O$12*$J42*$K42,"没有上级")</f>
        <v>0</v>
      </c>
      <c r="O42" s="32">
        <f ca="1">IF(ISNUMBER(agent!$O$15*$J42*$K42),agent!$O$15*$J42*$K42,"没有上级")</f>
        <v>0</v>
      </c>
      <c r="P42" s="32">
        <f ca="1">IF(ISNUMBER(agent!$O$18*$J42*$K42),agent!$O$18*$J42*$K42,"没有上级")</f>
        <v>0</v>
      </c>
      <c r="Q42" s="32">
        <f ca="1">IF(ISNUMBER(agent!$O$21*$J42*$K42),agent!$O$21*$J42*$K42,"没有上级")</f>
        <v>0</v>
      </c>
      <c r="R42" s="32">
        <f ca="1">IF(ISNUMBER(agent!$O$24*$J42*$K42),agent!$O$24*$J42*$K42,"没有上级")</f>
        <v>0</v>
      </c>
      <c r="S42" s="32">
        <f ca="1">IF(ISNUMBER(agent!$O$27*$J42*$K42),agent!$O$27*$J42*$K42,"没有上级")</f>
        <v>0</v>
      </c>
      <c r="T42" s="32" t="str">
        <f ca="1">IF(ISNUMBER(agent!$O$30*$J42*$K42),agent!$O$30*$J42*$K42,"没有上级")</f>
        <v>没有上级</v>
      </c>
      <c r="U42" s="32" t="str">
        <f ca="1">IF(ISNUMBER(agent!$O$33*$J42*$K42),agent!$O$33*$J42*$K42,"没有上级")</f>
        <v>没有上级</v>
      </c>
      <c r="W42" s="28">
        <v>326.66000000000003</v>
      </c>
      <c r="X42" s="32">
        <f t="shared" si="0"/>
        <v>332.98700000000002</v>
      </c>
    </row>
    <row r="43" spans="1:24" x14ac:dyDescent="0.15">
      <c r="A43" s="28" t="s">
        <v>37</v>
      </c>
      <c r="B43" s="28" t="s">
        <v>35</v>
      </c>
      <c r="C43" s="28" t="str">
        <f>SSC!$O53</f>
        <v>0 1 2 8 9</v>
      </c>
      <c r="D43" s="32">
        <f ca="1">SSC!$R53</f>
        <v>4</v>
      </c>
      <c r="E43" s="28">
        <v>1</v>
      </c>
      <c r="F43" s="32">
        <f ca="1">SSC!$P53</f>
        <v>40</v>
      </c>
      <c r="G43" s="28">
        <f>SSC!K$2</f>
        <v>81158</v>
      </c>
      <c r="H43" s="32">
        <f ca="1">SSC!M53</f>
        <v>28.92</v>
      </c>
      <c r="I43" s="28">
        <f ca="1">$I42-$F43+$H43</f>
        <v>1044706.7299999999</v>
      </c>
      <c r="J43" s="32">
        <v>7.0000000000000001E-3</v>
      </c>
      <c r="K43" s="32">
        <f ca="1">SSC!N53</f>
        <v>1</v>
      </c>
      <c r="L43" s="32">
        <f ca="1">IF(ISNUMBER(agent!$O$6*$J43*$K43),agent!$O$6*$J43*$K43,"没有上级")</f>
        <v>6.999999999999975E-4</v>
      </c>
      <c r="M43" s="32">
        <f ca="1">IF(ISNUMBER(agent!$O$9*$J43*$K43),agent!$O$9*$J43*$K43,"没有上级")</f>
        <v>1.399999999999995E-3</v>
      </c>
      <c r="N43" s="32">
        <f ca="1">IF(ISNUMBER(agent!$O$12*$J43*$K43),agent!$O$12*$J43*$K43,"没有上级")</f>
        <v>1.399999999999995E-3</v>
      </c>
      <c r="O43" s="32">
        <f ca="1">IF(ISNUMBER(agent!$O$15*$J43*$K43),agent!$O$15*$J43*$K43,"没有上级")</f>
        <v>1.399999999999995E-3</v>
      </c>
      <c r="P43" s="32">
        <f ca="1">IF(ISNUMBER(agent!$O$18*$J43*$K43),agent!$O$18*$J43*$K43,"没有上级")</f>
        <v>6.999999999999975E-4</v>
      </c>
      <c r="Q43" s="32">
        <f ca="1">IF(ISNUMBER(agent!$O$21*$J43*$K43),agent!$O$21*$J43*$K43,"没有上级")</f>
        <v>1.399999999999995E-3</v>
      </c>
      <c r="R43" s="32">
        <f ca="1">IF(ISNUMBER(agent!$O$24*$J43*$K43),agent!$O$24*$J43*$K43,"没有上级")</f>
        <v>6.999999999999975E-4</v>
      </c>
      <c r="S43" s="32">
        <f ca="1">IF(ISNUMBER(agent!$O$27*$J43*$K43),agent!$O$27*$J43*$K43,"没有上级")</f>
        <v>6.999999999999975E-4</v>
      </c>
      <c r="T43" s="32" t="str">
        <f ca="1">IF(ISNUMBER(agent!$O$30*$J43*$K43),agent!$O$30*$J43*$K43,"没有上级")</f>
        <v>没有上级</v>
      </c>
      <c r="U43" s="32" t="str">
        <f ca="1">IF(ISNUMBER(agent!$O$33*$J43*$K43),agent!$O$33*$J43*$K43,"没有上级")</f>
        <v>没有上级</v>
      </c>
      <c r="W43" s="28">
        <v>7.23</v>
      </c>
      <c r="X43" s="32">
        <f t="shared" si="0"/>
        <v>7.3630000000000004</v>
      </c>
    </row>
    <row r="44" spans="1:24" x14ac:dyDescent="0.15">
      <c r="A44" s="28" t="s">
        <v>37</v>
      </c>
      <c r="B44" s="28" t="s">
        <v>36</v>
      </c>
      <c r="C44" s="28" t="str">
        <f>SSC!$O54</f>
        <v>1 7 5 9</v>
      </c>
      <c r="D44" s="32">
        <f ca="1">SSC!$R54</f>
        <v>4</v>
      </c>
      <c r="E44" s="28">
        <v>1</v>
      </c>
      <c r="F44" s="32">
        <f ca="1">SSC!$P54</f>
        <v>48</v>
      </c>
      <c r="G44" s="28">
        <f>SSC!K$2</f>
        <v>81158</v>
      </c>
      <c r="H44" s="32">
        <f ca="1">SSC!M54</f>
        <v>290.32</v>
      </c>
      <c r="I44" s="28">
        <f ca="1">$I43-$F44+$H44</f>
        <v>1044949.0499999998</v>
      </c>
      <c r="J44" s="32">
        <v>3.6999999999999998E-2</v>
      </c>
      <c r="K44" s="32">
        <f ca="1">SSC!N54</f>
        <v>2</v>
      </c>
      <c r="L44" s="32">
        <f ca="1">IF(ISNUMBER(agent!$O$6*$J44*$K44),agent!$O$6*$J44*$K44,"没有上级")</f>
        <v>7.3999999999999734E-3</v>
      </c>
      <c r="M44" s="32">
        <f ca="1">IF(ISNUMBER(agent!$O$9*$J44*$K44),agent!$O$9*$J44*$K44,"没有上级")</f>
        <v>1.4799999999999947E-2</v>
      </c>
      <c r="N44" s="32">
        <f ca="1">IF(ISNUMBER(agent!$O$12*$J44*$K44),agent!$O$12*$J44*$K44,"没有上级")</f>
        <v>1.4799999999999947E-2</v>
      </c>
      <c r="O44" s="32">
        <f ca="1">IF(ISNUMBER(agent!$O$15*$J44*$K44),agent!$O$15*$J44*$K44,"没有上级")</f>
        <v>1.4799999999999947E-2</v>
      </c>
      <c r="P44" s="32">
        <f ca="1">IF(ISNUMBER(agent!$O$18*$J44*$K44),agent!$O$18*$J44*$K44,"没有上级")</f>
        <v>7.3999999999999734E-3</v>
      </c>
      <c r="Q44" s="32">
        <f ca="1">IF(ISNUMBER(agent!$O$21*$J44*$K44),agent!$O$21*$J44*$K44,"没有上级")</f>
        <v>1.4799999999999947E-2</v>
      </c>
      <c r="R44" s="32">
        <f ca="1">IF(ISNUMBER(agent!$O$24*$J44*$K44),agent!$O$24*$J44*$K44,"没有上级")</f>
        <v>7.3999999999999734E-3</v>
      </c>
      <c r="S44" s="32">
        <f ca="1">IF(ISNUMBER(agent!$O$27*$J44*$K44),agent!$O$27*$J44*$K44,"没有上级")</f>
        <v>7.3999999999999734E-3</v>
      </c>
      <c r="T44" s="32" t="str">
        <f ca="1">IF(ISNUMBER(agent!$O$30*$J44*$K44),agent!$O$30*$J44*$K44,"没有上级")</f>
        <v>没有上级</v>
      </c>
      <c r="U44" s="32" t="str">
        <f ca="1">IF(ISNUMBER(agent!$O$33*$J44*$K44),agent!$O$33*$J44*$K44,"没有上级")</f>
        <v>没有上级</v>
      </c>
      <c r="W44" s="28">
        <v>36.29</v>
      </c>
      <c r="X44" s="32">
        <f t="shared" si="0"/>
        <v>36.993000000000002</v>
      </c>
    </row>
    <row r="45" spans="1:24" x14ac:dyDescent="0.15">
      <c r="A45" s="28" t="s">
        <v>38</v>
      </c>
      <c r="B45" s="28" t="s">
        <v>5</v>
      </c>
      <c r="C45" s="28" t="str">
        <f>SSC!$O55</f>
        <v>1 2 6 7 8,1 3 4 5 6 7,0 1 2 5 6 7 8 9</v>
      </c>
      <c r="D45" s="32">
        <f ca="1">SSC!$R55</f>
        <v>1</v>
      </c>
      <c r="E45" s="28">
        <v>1</v>
      </c>
      <c r="F45" s="32">
        <f ca="1">SSC!$P55</f>
        <v>480</v>
      </c>
      <c r="G45" s="28">
        <f>SSC!K$2</f>
        <v>81158</v>
      </c>
      <c r="H45" s="32">
        <f ca="1">SSC!M55</f>
        <v>1960</v>
      </c>
      <c r="I45" s="28">
        <f ca="1">$I44-$F45+$H45</f>
        <v>1046429.0499999998</v>
      </c>
      <c r="J45" s="32">
        <v>2</v>
      </c>
      <c r="K45" s="32">
        <f ca="1">SSC!N55</f>
        <v>1</v>
      </c>
      <c r="L45" s="32">
        <f ca="1">IF(ISNUMBER(agent!$O$6*$J45*$K45),agent!$O$6*$J45*$K45,"没有上级")</f>
        <v>0.19999999999999929</v>
      </c>
      <c r="M45" s="32">
        <f ca="1">IF(ISNUMBER(agent!$O$9*$J45*$K45),agent!$O$9*$J45*$K45,"没有上级")</f>
        <v>0.39999999999999858</v>
      </c>
      <c r="N45" s="32">
        <f ca="1">IF(ISNUMBER(agent!$O$12*$J45*$K45),agent!$O$12*$J45*$K45,"没有上级")</f>
        <v>0.39999999999999858</v>
      </c>
      <c r="O45" s="32">
        <f ca="1">IF(ISNUMBER(agent!$O$15*$J45*$K45),agent!$O$15*$J45*$K45,"没有上级")</f>
        <v>0.39999999999999858</v>
      </c>
      <c r="P45" s="32">
        <f ca="1">IF(ISNUMBER(agent!$O$18*$J45*$K45),agent!$O$18*$J45*$K45,"没有上级")</f>
        <v>0.19999999999999929</v>
      </c>
      <c r="Q45" s="32">
        <f ca="1">IF(ISNUMBER(agent!$O$21*$J45*$K45),agent!$O$21*$J45*$K45,"没有上级")</f>
        <v>0.39999999999999858</v>
      </c>
      <c r="R45" s="32">
        <f ca="1">IF(ISNUMBER(agent!$O$24*$J45*$K45),agent!$O$24*$J45*$K45,"没有上级")</f>
        <v>0.19999999999999929</v>
      </c>
      <c r="S45" s="32">
        <f ca="1">IF(ISNUMBER(agent!$O$27*$J45*$K45),agent!$O$27*$J45*$K45,"没有上级")</f>
        <v>0.19999999999999929</v>
      </c>
      <c r="T45" s="32" t="str">
        <f ca="1">IF(ISNUMBER(agent!$O$30*$J45*$K45),agent!$O$30*$J45*$K45,"没有上级")</f>
        <v>没有上级</v>
      </c>
      <c r="U45" s="32" t="str">
        <f ca="1">IF(ISNUMBER(agent!$O$33*$J45*$K45),agent!$O$33*$J45*$K45,"没有上级")</f>
        <v>没有上级</v>
      </c>
      <c r="W45" s="28">
        <v>1960</v>
      </c>
      <c r="X45" s="32">
        <f t="shared" si="0"/>
        <v>1998</v>
      </c>
    </row>
    <row r="46" spans="1:24" x14ac:dyDescent="0.15">
      <c r="A46" s="28" t="s">
        <v>38</v>
      </c>
      <c r="B46" s="28" t="s">
        <v>28</v>
      </c>
      <c r="C46" s="28" t="str">
        <f>SSC!$O58</f>
        <v>158</v>
      </c>
      <c r="D46" s="32">
        <f ca="1">SSC!$R58</f>
        <v>2</v>
      </c>
      <c r="E46" s="28">
        <v>1</v>
      </c>
      <c r="F46" s="32">
        <f ca="1">SSC!$P58</f>
        <v>4</v>
      </c>
      <c r="G46" s="28">
        <f>SSC!K$2</f>
        <v>81158</v>
      </c>
      <c r="H46" s="32">
        <f ca="1">SSC!M58</f>
        <v>3920</v>
      </c>
      <c r="I46" s="28">
        <f ca="1">$I45-$F46+$H46</f>
        <v>1050345.0499999998</v>
      </c>
      <c r="J46" s="32">
        <v>2</v>
      </c>
      <c r="K46" s="32">
        <f ca="1">SSC!N58</f>
        <v>1</v>
      </c>
      <c r="L46" s="32">
        <f ca="1">IF(ISNUMBER(agent!$O$6*$J46*$K46),agent!$O$6*$J46*$K46,"没有上级")</f>
        <v>0.19999999999999929</v>
      </c>
      <c r="M46" s="32">
        <f ca="1">IF(ISNUMBER(agent!$O$9*$J46*$K46),agent!$O$9*$J46*$K46,"没有上级")</f>
        <v>0.39999999999999858</v>
      </c>
      <c r="N46" s="32">
        <f ca="1">IF(ISNUMBER(agent!$O$12*$J46*$K46),agent!$O$12*$J46*$K46,"没有上级")</f>
        <v>0.39999999999999858</v>
      </c>
      <c r="O46" s="32">
        <f ca="1">IF(ISNUMBER(agent!$O$15*$J46*$K46),agent!$O$15*$J46*$K46,"没有上级")</f>
        <v>0.39999999999999858</v>
      </c>
      <c r="P46" s="32">
        <f ca="1">IF(ISNUMBER(agent!$O$18*$J46*$K46),agent!$O$18*$J46*$K46,"没有上级")</f>
        <v>0.19999999999999929</v>
      </c>
      <c r="Q46" s="32">
        <f ca="1">IF(ISNUMBER(agent!$O$21*$J46*$K46),agent!$O$21*$J46*$K46,"没有上级")</f>
        <v>0.39999999999999858</v>
      </c>
      <c r="R46" s="32">
        <f ca="1">IF(ISNUMBER(agent!$O$24*$J46*$K46),agent!$O$24*$J46*$K46,"没有上级")</f>
        <v>0.19999999999999929</v>
      </c>
      <c r="S46" s="32">
        <f ca="1">IF(ISNUMBER(agent!$O$27*$J46*$K46),agent!$O$27*$J46*$K46,"没有上级")</f>
        <v>0.19999999999999929</v>
      </c>
      <c r="T46" s="32" t="str">
        <f ca="1">IF(ISNUMBER(agent!$O$30*$J46*$K46),agent!$O$30*$J46*$K46,"没有上级")</f>
        <v>没有上级</v>
      </c>
      <c r="U46" s="32" t="str">
        <f ca="1">IF(ISNUMBER(agent!$O$33*$J46*$K46),agent!$O$33*$J46*$K46,"没有上级")</f>
        <v>没有上级</v>
      </c>
      <c r="W46" s="28">
        <v>1960</v>
      </c>
      <c r="X46" s="32">
        <f t="shared" si="0"/>
        <v>1998</v>
      </c>
    </row>
    <row r="47" spans="1:24" x14ac:dyDescent="0.15">
      <c r="A47" s="28" t="s">
        <v>38</v>
      </c>
      <c r="B47" s="28" t="s">
        <v>17</v>
      </c>
      <c r="C47" s="28" t="str">
        <f>SSC!$O59</f>
        <v>1 2 3 9 10 11 14</v>
      </c>
      <c r="D47" s="32">
        <f ca="1">SSC!$R59</f>
        <v>1</v>
      </c>
      <c r="E47" s="28">
        <v>1</v>
      </c>
      <c r="F47" s="32">
        <f ca="1">SSC!$P59</f>
        <v>562</v>
      </c>
      <c r="G47" s="28">
        <f>SSC!K$2</f>
        <v>81158</v>
      </c>
      <c r="H47" s="32">
        <f ca="1">SSC!M59</f>
        <v>1960</v>
      </c>
      <c r="I47" s="28">
        <f ca="1">$I46-$F47+$H47</f>
        <v>1051743.0499999998</v>
      </c>
      <c r="J47" s="32">
        <v>2</v>
      </c>
      <c r="K47" s="32">
        <f ca="1">SSC!N59</f>
        <v>1</v>
      </c>
      <c r="L47" s="32">
        <f ca="1">IF(ISNUMBER(agent!$O$6*$J47*$K47),agent!$O$6*$J47*$K47,"没有上级")</f>
        <v>0.19999999999999929</v>
      </c>
      <c r="M47" s="32">
        <f ca="1">IF(ISNUMBER(agent!$O$9*$J47*$K47),agent!$O$9*$J47*$K47,"没有上级")</f>
        <v>0.39999999999999858</v>
      </c>
      <c r="N47" s="32">
        <f ca="1">IF(ISNUMBER(agent!$O$12*$J47*$K47),agent!$O$12*$J47*$K47,"没有上级")</f>
        <v>0.39999999999999858</v>
      </c>
      <c r="O47" s="32">
        <f ca="1">IF(ISNUMBER(agent!$O$15*$J47*$K47),agent!$O$15*$J47*$K47,"没有上级")</f>
        <v>0.39999999999999858</v>
      </c>
      <c r="P47" s="32">
        <f ca="1">IF(ISNUMBER(agent!$O$18*$J47*$K47),agent!$O$18*$J47*$K47,"没有上级")</f>
        <v>0.19999999999999929</v>
      </c>
      <c r="Q47" s="32">
        <f ca="1">IF(ISNUMBER(agent!$O$21*$J47*$K47),agent!$O$21*$J47*$K47,"没有上级")</f>
        <v>0.39999999999999858</v>
      </c>
      <c r="R47" s="32">
        <f ca="1">IF(ISNUMBER(agent!$O$24*$J47*$K47),agent!$O$24*$J47*$K47,"没有上级")</f>
        <v>0.19999999999999929</v>
      </c>
      <c r="S47" s="32">
        <f ca="1">IF(ISNUMBER(agent!$O$27*$J47*$K47),agent!$O$27*$J47*$K47,"没有上级")</f>
        <v>0.19999999999999929</v>
      </c>
      <c r="T47" s="32" t="str">
        <f ca="1">IF(ISNUMBER(agent!$O$30*$J47*$K47),agent!$O$30*$J47*$K47,"没有上级")</f>
        <v>没有上级</v>
      </c>
      <c r="U47" s="32" t="str">
        <f ca="1">IF(ISNUMBER(agent!$O$33*$J47*$K47),agent!$O$33*$J47*$K47,"没有上级")</f>
        <v>没有上级</v>
      </c>
      <c r="W47" s="28">
        <v>1960</v>
      </c>
      <c r="X47" s="32">
        <f t="shared" si="0"/>
        <v>1998</v>
      </c>
    </row>
    <row r="48" spans="1:24" x14ac:dyDescent="0.15">
      <c r="A48" s="28" t="s">
        <v>38</v>
      </c>
      <c r="B48" s="28" t="s">
        <v>19</v>
      </c>
      <c r="C48" s="28" t="str">
        <f>SSC!$O60</f>
        <v>0 1 3 5 6 7 9</v>
      </c>
      <c r="D48" s="32">
        <f ca="1">SSC!$R60</f>
        <v>1</v>
      </c>
      <c r="E48" s="28">
        <v>1</v>
      </c>
      <c r="F48" s="32">
        <f ca="1">SSC!$P60</f>
        <v>1328</v>
      </c>
      <c r="G48" s="28">
        <f>SSC!K$2</f>
        <v>81158</v>
      </c>
      <c r="H48" s="32">
        <f ca="1">SSC!M60</f>
        <v>1960</v>
      </c>
      <c r="I48" s="28">
        <f ca="1">$I47-$F48+$H48</f>
        <v>1052375.0499999998</v>
      </c>
      <c r="J48" s="32">
        <v>2</v>
      </c>
      <c r="K48" s="32">
        <f ca="1">SSC!N60</f>
        <v>1</v>
      </c>
      <c r="L48" s="32">
        <f ca="1">IF(ISNUMBER(agent!$O$6*$J48*$K48),agent!$O$6*$J48*$K48,"没有上级")</f>
        <v>0.19999999999999929</v>
      </c>
      <c r="M48" s="32">
        <f ca="1">IF(ISNUMBER(agent!$O$9*$J48*$K48),agent!$O$9*$J48*$K48,"没有上级")</f>
        <v>0.39999999999999858</v>
      </c>
      <c r="N48" s="32">
        <f ca="1">IF(ISNUMBER(agent!$O$12*$J48*$K48),agent!$O$12*$J48*$K48,"没有上级")</f>
        <v>0.39999999999999858</v>
      </c>
      <c r="O48" s="32">
        <f ca="1">IF(ISNUMBER(agent!$O$15*$J48*$K48),agent!$O$15*$J48*$K48,"没有上级")</f>
        <v>0.39999999999999858</v>
      </c>
      <c r="P48" s="32">
        <f ca="1">IF(ISNUMBER(agent!$O$18*$J48*$K48),agent!$O$18*$J48*$K48,"没有上级")</f>
        <v>0.19999999999999929</v>
      </c>
      <c r="Q48" s="32">
        <f ca="1">IF(ISNUMBER(agent!$O$21*$J48*$K48),agent!$O$21*$J48*$K48,"没有上级")</f>
        <v>0.39999999999999858</v>
      </c>
      <c r="R48" s="32">
        <f ca="1">IF(ISNUMBER(agent!$O$24*$J48*$K48),agent!$O$24*$J48*$K48,"没有上级")</f>
        <v>0.19999999999999929</v>
      </c>
      <c r="S48" s="32">
        <f ca="1">IF(ISNUMBER(agent!$O$27*$J48*$K48),agent!$O$27*$J48*$K48,"没有上级")</f>
        <v>0.19999999999999929</v>
      </c>
      <c r="T48" s="32" t="str">
        <f ca="1">IF(ISNUMBER(agent!$O$30*$J48*$K48),agent!$O$30*$J48*$K48,"没有上级")</f>
        <v>没有上级</v>
      </c>
      <c r="U48" s="32" t="str">
        <f ca="1">IF(ISNUMBER(agent!$O$33*$J48*$K48),agent!$O$33*$J48*$K48,"没有上级")</f>
        <v>没有上级</v>
      </c>
      <c r="W48" s="28">
        <v>1960</v>
      </c>
      <c r="X48" s="32">
        <f t="shared" si="0"/>
        <v>1998</v>
      </c>
    </row>
    <row r="49" spans="1:24" x14ac:dyDescent="0.15">
      <c r="A49" s="28" t="s">
        <v>38</v>
      </c>
      <c r="B49" s="28" t="s">
        <v>23</v>
      </c>
      <c r="C49" s="28" t="str">
        <f>SSC!$O61</f>
        <v>1 2 6 14 25 26</v>
      </c>
      <c r="D49" s="32">
        <f ca="1">SSC!$R61</f>
        <v>3</v>
      </c>
      <c r="E49" s="28">
        <v>1</v>
      </c>
      <c r="F49" s="32">
        <f ca="1">SSC!$P61</f>
        <v>162</v>
      </c>
      <c r="G49" s="28">
        <f>SSC!K$2</f>
        <v>81158</v>
      </c>
      <c r="H49" s="32">
        <f ca="1">SSC!M61</f>
        <v>979.99500000000012</v>
      </c>
      <c r="I49" s="28">
        <f ca="1">$I48-$F49+$H49</f>
        <v>1053193.0449999999</v>
      </c>
      <c r="J49" s="32">
        <v>0.33300000000000002</v>
      </c>
      <c r="K49" s="32">
        <f ca="1">SSC!N61</f>
        <v>1</v>
      </c>
      <c r="L49" s="32">
        <f ca="1">IF(ISNUMBER(agent!$O$6*$J49*$K49),agent!$O$6*$J49*$K49,"没有上级")</f>
        <v>3.3299999999999885E-2</v>
      </c>
      <c r="M49" s="32">
        <f ca="1">IF(ISNUMBER(agent!$O$9*$J49*$K49),agent!$O$9*$J49*$K49,"没有上级")</f>
        <v>6.659999999999977E-2</v>
      </c>
      <c r="N49" s="32">
        <f ca="1">IF(ISNUMBER(agent!$O$12*$J49*$K49),agent!$O$12*$J49*$K49,"没有上级")</f>
        <v>6.659999999999977E-2</v>
      </c>
      <c r="O49" s="32">
        <f ca="1">IF(ISNUMBER(agent!$O$15*$J49*$K49),agent!$O$15*$J49*$K49,"没有上级")</f>
        <v>6.659999999999977E-2</v>
      </c>
      <c r="P49" s="32">
        <f ca="1">IF(ISNUMBER(agent!$O$18*$J49*$K49),agent!$O$18*$J49*$K49,"没有上级")</f>
        <v>3.3299999999999885E-2</v>
      </c>
      <c r="Q49" s="32">
        <f ca="1">IF(ISNUMBER(agent!$O$21*$J49*$K49),agent!$O$21*$J49*$K49,"没有上级")</f>
        <v>6.659999999999977E-2</v>
      </c>
      <c r="R49" s="32">
        <f ca="1">IF(ISNUMBER(agent!$O$24*$J49*$K49),agent!$O$24*$J49*$K49,"没有上级")</f>
        <v>3.3299999999999885E-2</v>
      </c>
      <c r="S49" s="32">
        <f ca="1">IF(ISNUMBER(agent!$O$27*$J49*$K49),agent!$O$27*$J49*$K49,"没有上级")</f>
        <v>3.3299999999999885E-2</v>
      </c>
      <c r="T49" s="32" t="str">
        <f ca="1">IF(ISNUMBER(agent!$O$30*$J49*$K49),agent!$O$30*$J49*$K49,"没有上级")</f>
        <v>没有上级</v>
      </c>
      <c r="U49" s="32" t="str">
        <f ca="1">IF(ISNUMBER(agent!$O$33*$J49*$K49),agent!$O$33*$J49*$K49,"没有上级")</f>
        <v>没有上级</v>
      </c>
      <c r="W49" s="28">
        <v>326.66500000000002</v>
      </c>
      <c r="X49" s="32">
        <f t="shared" si="0"/>
        <v>332.99200000000002</v>
      </c>
    </row>
    <row r="50" spans="1:24" x14ac:dyDescent="0.15">
      <c r="A50" s="28" t="s">
        <v>38</v>
      </c>
      <c r="B50" s="28" t="s">
        <v>29</v>
      </c>
      <c r="C50" s="28" t="str">
        <f>SSC!$O62</f>
        <v>0 1 3 4 5 7 8 9</v>
      </c>
      <c r="D50" s="32">
        <f ca="1">SSC!$R62</f>
        <v>1</v>
      </c>
      <c r="E50" s="28">
        <v>1</v>
      </c>
      <c r="F50" s="32">
        <f ca="1">SSC!$P62</f>
        <v>112</v>
      </c>
      <c r="G50" s="28">
        <f>SSC!K$2</f>
        <v>81158</v>
      </c>
      <c r="H50" s="32">
        <f>SSC!M62</f>
        <v>0</v>
      </c>
      <c r="I50" s="28">
        <f ca="1">$I49-$F50+$H50</f>
        <v>1053081.0449999999</v>
      </c>
      <c r="J50" s="32">
        <v>0.66700000000000004</v>
      </c>
      <c r="K50" s="32">
        <f ca="1">SSC!N62</f>
        <v>0</v>
      </c>
      <c r="L50" s="32">
        <f ca="1">IF(ISNUMBER(agent!$O$6*$J50*$K50),agent!$O$6*$J50*$K50,"没有上级")</f>
        <v>0</v>
      </c>
      <c r="M50" s="32">
        <f ca="1">IF(ISNUMBER(agent!$O$9*$J50*$K50),agent!$O$9*$J50*$K50,"没有上级")</f>
        <v>0</v>
      </c>
      <c r="N50" s="32">
        <f ca="1">IF(ISNUMBER(agent!$O$12*$J50*$K50),agent!$O$12*$J50*$K50,"没有上级")</f>
        <v>0</v>
      </c>
      <c r="O50" s="32">
        <f ca="1">IF(ISNUMBER(agent!$O$15*$J50*$K50),agent!$O$15*$J50*$K50,"没有上级")</f>
        <v>0</v>
      </c>
      <c r="P50" s="32">
        <f ca="1">IF(ISNUMBER(agent!$O$18*$J50*$K50),agent!$O$18*$J50*$K50,"没有上级")</f>
        <v>0</v>
      </c>
      <c r="Q50" s="32">
        <f ca="1">IF(ISNUMBER(agent!$O$21*$J50*$K50),agent!$O$21*$J50*$K50,"没有上级")</f>
        <v>0</v>
      </c>
      <c r="R50" s="32">
        <f ca="1">IF(ISNUMBER(agent!$O$24*$J50*$K50),agent!$O$24*$J50*$K50,"没有上级")</f>
        <v>0</v>
      </c>
      <c r="S50" s="32">
        <f ca="1">IF(ISNUMBER(agent!$O$27*$J50*$K50),agent!$O$27*$J50*$K50,"没有上级")</f>
        <v>0</v>
      </c>
      <c r="T50" s="32" t="str">
        <f ca="1">IF(ISNUMBER(agent!$O$30*$J50*$K50),agent!$O$30*$J50*$K50,"没有上级")</f>
        <v>没有上级</v>
      </c>
      <c r="U50" s="32" t="str">
        <f ca="1">IF(ISNUMBER(agent!$O$33*$J50*$K50),agent!$O$33*$J50*$K50,"没有上级")</f>
        <v>没有上级</v>
      </c>
      <c r="W50" s="28">
        <v>653.33000000000004</v>
      </c>
      <c r="X50" s="32">
        <f t="shared" si="0"/>
        <v>666.00300000000004</v>
      </c>
    </row>
    <row r="51" spans="1:24" x14ac:dyDescent="0.15">
      <c r="A51" s="28" t="s">
        <v>38</v>
      </c>
      <c r="B51" s="28" t="s">
        <v>30</v>
      </c>
      <c r="C51" s="28" t="str">
        <f>SSC!$O63</f>
        <v>0 1 3 4 5 7 8 9</v>
      </c>
      <c r="D51" s="32">
        <f ca="1">SSC!$R63</f>
        <v>1</v>
      </c>
      <c r="E51" s="28">
        <v>1</v>
      </c>
      <c r="F51" s="32">
        <f ca="1">SSC!$P63</f>
        <v>112</v>
      </c>
      <c r="G51" s="28">
        <f>SSC!K$2</f>
        <v>81158</v>
      </c>
      <c r="H51" s="32">
        <f ca="1">SSC!M63</f>
        <v>326.66000000000003</v>
      </c>
      <c r="I51" s="28">
        <f ca="1">$I50-$F51+$H51</f>
        <v>1053295.7049999998</v>
      </c>
      <c r="J51" s="32">
        <v>0.33300000000000002</v>
      </c>
      <c r="K51" s="32">
        <f ca="1">SSC!N63</f>
        <v>1</v>
      </c>
      <c r="L51" s="32">
        <f ca="1">IF(ISNUMBER(agent!$O$6*$J51*$K51),agent!$O$6*$J51*$K51,"没有上级")</f>
        <v>3.3299999999999885E-2</v>
      </c>
      <c r="M51" s="32">
        <f ca="1">IF(ISNUMBER(agent!$O$9*$J51*$K51),agent!$O$9*$J51*$K51,"没有上级")</f>
        <v>6.659999999999977E-2</v>
      </c>
      <c r="N51" s="32">
        <f ca="1">IF(ISNUMBER(agent!$O$12*$J51*$K51),agent!$O$12*$J51*$K51,"没有上级")</f>
        <v>6.659999999999977E-2</v>
      </c>
      <c r="O51" s="32">
        <f ca="1">IF(ISNUMBER(agent!$O$15*$J51*$K51),agent!$O$15*$J51*$K51,"没有上级")</f>
        <v>6.659999999999977E-2</v>
      </c>
      <c r="P51" s="32">
        <f ca="1">IF(ISNUMBER(agent!$O$18*$J51*$K51),agent!$O$18*$J51*$K51,"没有上级")</f>
        <v>3.3299999999999885E-2</v>
      </c>
      <c r="Q51" s="32">
        <f ca="1">IF(ISNUMBER(agent!$O$21*$J51*$K51),agent!$O$21*$J51*$K51,"没有上级")</f>
        <v>6.659999999999977E-2</v>
      </c>
      <c r="R51" s="32">
        <f ca="1">IF(ISNUMBER(agent!$O$24*$J51*$K51),agent!$O$24*$J51*$K51,"没有上级")</f>
        <v>3.3299999999999885E-2</v>
      </c>
      <c r="S51" s="32">
        <f ca="1">IF(ISNUMBER(agent!$O$27*$J51*$K51),agent!$O$27*$J51*$K51,"没有上级")</f>
        <v>3.3299999999999885E-2</v>
      </c>
      <c r="T51" s="32" t="str">
        <f ca="1">IF(ISNUMBER(agent!$O$30*$J51*$K51),agent!$O$30*$J51*$K51,"没有上级")</f>
        <v>没有上级</v>
      </c>
      <c r="U51" s="32" t="str">
        <f ca="1">IF(ISNUMBER(agent!$O$33*$J51*$K51),agent!$O$33*$J51*$K51,"没有上级")</f>
        <v>没有上级</v>
      </c>
      <c r="W51" s="28">
        <v>326.66000000000003</v>
      </c>
      <c r="X51" s="32">
        <f t="shared" si="0"/>
        <v>332.98700000000002</v>
      </c>
    </row>
    <row r="52" spans="1:24" x14ac:dyDescent="0.15">
      <c r="A52" s="28" t="s">
        <v>38</v>
      </c>
      <c r="B52" s="28" t="s">
        <v>31</v>
      </c>
      <c r="C52" s="28" t="str">
        <f>SSC!$O64</f>
        <v>518</v>
      </c>
      <c r="D52" s="32">
        <f ca="1">SSC!$R64</f>
        <v>4</v>
      </c>
      <c r="E52" s="28">
        <v>1</v>
      </c>
      <c r="F52" s="32">
        <f ca="1">SSC!$P64</f>
        <v>8</v>
      </c>
      <c r="G52" s="28">
        <f>SSC!K$2</f>
        <v>81158</v>
      </c>
      <c r="H52" s="32">
        <f ca="1">SSC!M64</f>
        <v>1306.6600000000001</v>
      </c>
      <c r="I52" s="28">
        <f ca="1">$I51-$F52+$H52</f>
        <v>1054594.3649999998</v>
      </c>
      <c r="J52" s="32">
        <v>0.33300000000000002</v>
      </c>
      <c r="K52" s="32">
        <f ca="1">SSC!N64</f>
        <v>1</v>
      </c>
      <c r="L52" s="32">
        <f ca="1">IF(ISNUMBER(agent!$O$6*$J52*$K52),agent!$O$6*$J52*$K52,"没有上级")</f>
        <v>3.3299999999999885E-2</v>
      </c>
      <c r="M52" s="32">
        <f ca="1">IF(ISNUMBER(agent!$O$9*$J52*$K52),agent!$O$9*$J52*$K52,"没有上级")</f>
        <v>6.659999999999977E-2</v>
      </c>
      <c r="N52" s="32">
        <f ca="1">IF(ISNUMBER(agent!$O$12*$J52*$K52),agent!$O$12*$J52*$K52,"没有上级")</f>
        <v>6.659999999999977E-2</v>
      </c>
      <c r="O52" s="32">
        <f ca="1">IF(ISNUMBER(agent!$O$15*$J52*$K52),agent!$O$15*$J52*$K52,"没有上级")</f>
        <v>6.659999999999977E-2</v>
      </c>
      <c r="P52" s="32">
        <f ca="1">IF(ISNUMBER(agent!$O$18*$J52*$K52),agent!$O$18*$J52*$K52,"没有上级")</f>
        <v>3.3299999999999885E-2</v>
      </c>
      <c r="Q52" s="32">
        <f ca="1">IF(ISNUMBER(agent!$O$21*$J52*$K52),agent!$O$21*$J52*$K52,"没有上级")</f>
        <v>6.659999999999977E-2</v>
      </c>
      <c r="R52" s="32">
        <f ca="1">IF(ISNUMBER(agent!$O$24*$J52*$K52),agent!$O$24*$J52*$K52,"没有上级")</f>
        <v>3.3299999999999885E-2</v>
      </c>
      <c r="S52" s="32">
        <f ca="1">IF(ISNUMBER(agent!$O$27*$J52*$K52),agent!$O$27*$J52*$K52,"没有上级")</f>
        <v>3.3299999999999885E-2</v>
      </c>
      <c r="T52" s="32" t="str">
        <f ca="1">IF(ISNUMBER(agent!$O$30*$J52*$K52),agent!$O$30*$J52*$K52,"没有上级")</f>
        <v>没有上级</v>
      </c>
      <c r="U52" s="32" t="str">
        <f ca="1">IF(ISNUMBER(agent!$O$33*$J52*$K52),agent!$O$33*$J52*$K52,"没有上级")</f>
        <v>没有上级</v>
      </c>
      <c r="W52" s="28">
        <v>326.66500000000002</v>
      </c>
      <c r="X52" s="32">
        <f t="shared" si="0"/>
        <v>332.99200000000002</v>
      </c>
    </row>
    <row r="53" spans="1:24" x14ac:dyDescent="0.15">
      <c r="A53" s="28" t="s">
        <v>38</v>
      </c>
      <c r="B53" s="28" t="s">
        <v>24</v>
      </c>
      <c r="C53" s="28" t="str">
        <f>SSC!$O65</f>
        <v>8</v>
      </c>
      <c r="D53" s="32">
        <f ca="1">SSC!$R65</f>
        <v>1</v>
      </c>
      <c r="E53" s="28">
        <v>1</v>
      </c>
      <c r="F53" s="32">
        <f ca="1">SSC!$P65</f>
        <v>108</v>
      </c>
      <c r="G53" s="28">
        <f>SSC!K$2</f>
        <v>81158</v>
      </c>
      <c r="H53" s="32">
        <f ca="1">SSC!M65</f>
        <v>326.66500000000002</v>
      </c>
      <c r="I53" s="28">
        <f ca="1">$I52-$F53+$H53</f>
        <v>1054813.0299999998</v>
      </c>
      <c r="J53" s="32">
        <v>0.33300000000000002</v>
      </c>
      <c r="K53" s="32">
        <f ca="1">SSC!N65</f>
        <v>1</v>
      </c>
      <c r="L53" s="32">
        <f ca="1">IF(ISNUMBER(agent!$O$6*$J53*$K53),agent!$O$6*$J53*$K53,"没有上级")</f>
        <v>3.3299999999999885E-2</v>
      </c>
      <c r="M53" s="32">
        <f ca="1">IF(ISNUMBER(agent!$O$9*$J53*$K53),agent!$O$9*$J53*$K53,"没有上级")</f>
        <v>6.659999999999977E-2</v>
      </c>
      <c r="N53" s="32">
        <f ca="1">IF(ISNUMBER(agent!$O$12*$J53*$K53),agent!$O$12*$J53*$K53,"没有上级")</f>
        <v>6.659999999999977E-2</v>
      </c>
      <c r="O53" s="32">
        <f ca="1">IF(ISNUMBER(agent!$O$15*$J53*$K53),agent!$O$15*$J53*$K53,"没有上级")</f>
        <v>6.659999999999977E-2</v>
      </c>
      <c r="P53" s="32">
        <f ca="1">IF(ISNUMBER(agent!$O$18*$J53*$K53),agent!$O$18*$J53*$K53,"没有上级")</f>
        <v>3.3299999999999885E-2</v>
      </c>
      <c r="Q53" s="32">
        <f ca="1">IF(ISNUMBER(agent!$O$21*$J53*$K53),agent!$O$21*$J53*$K53,"没有上级")</f>
        <v>6.659999999999977E-2</v>
      </c>
      <c r="R53" s="32">
        <f ca="1">IF(ISNUMBER(agent!$O$24*$J53*$K53),agent!$O$24*$J53*$K53,"没有上级")</f>
        <v>3.3299999999999885E-2</v>
      </c>
      <c r="S53" s="32">
        <f ca="1">IF(ISNUMBER(agent!$O$27*$J53*$K53),agent!$O$27*$J53*$K53,"没有上级")</f>
        <v>3.3299999999999885E-2</v>
      </c>
      <c r="T53" s="32" t="str">
        <f ca="1">IF(ISNUMBER(agent!$O$30*$J53*$K53),agent!$O$30*$J53*$K53,"没有上级")</f>
        <v>没有上级</v>
      </c>
      <c r="U53" s="32" t="str">
        <f ca="1">IF(ISNUMBER(agent!$O$33*$J53*$K53),agent!$O$33*$J53*$K53,"没有上级")</f>
        <v>没有上级</v>
      </c>
      <c r="W53" s="28">
        <v>326.66500000000002</v>
      </c>
      <c r="X53" s="32">
        <f t="shared" si="0"/>
        <v>332.99200000000002</v>
      </c>
    </row>
    <row r="54" spans="1:24" x14ac:dyDescent="0.15">
      <c r="A54" s="28" t="s">
        <v>38</v>
      </c>
      <c r="B54" s="28" t="s">
        <v>32</v>
      </c>
      <c r="C54" s="28" t="str">
        <f>SSC!$O66</f>
        <v>855</v>
      </c>
      <c r="D54" s="32">
        <f ca="1">SSC!$R66</f>
        <v>1</v>
      </c>
      <c r="E54" s="28">
        <v>1</v>
      </c>
      <c r="F54" s="32">
        <f ca="1">SSC!$P66</f>
        <v>2</v>
      </c>
      <c r="G54" s="28">
        <f>SSC!K$2</f>
        <v>81158</v>
      </c>
      <c r="H54" s="32">
        <f>SSC!M66</f>
        <v>0</v>
      </c>
      <c r="I54" s="28">
        <f ca="1">$I53-$F54+$H54</f>
        <v>1054811.0299999998</v>
      </c>
      <c r="J54" s="32">
        <v>0.66700000000000004</v>
      </c>
      <c r="K54" s="32">
        <f ca="1">SSC!N66</f>
        <v>0</v>
      </c>
      <c r="L54" s="32">
        <f ca="1">IF(ISNUMBER(agent!$O$6*$J54*$K54),agent!$O$6*$J54*$K54,"没有上级")</f>
        <v>0</v>
      </c>
      <c r="M54" s="32">
        <f ca="1">IF(ISNUMBER(agent!$O$9*$J54*$K54),agent!$O$9*$J54*$K54,"没有上级")</f>
        <v>0</v>
      </c>
      <c r="N54" s="32">
        <f ca="1">IF(ISNUMBER(agent!$O$12*$J54*$K54),agent!$O$12*$J54*$K54,"没有上级")</f>
        <v>0</v>
      </c>
      <c r="O54" s="32">
        <f ca="1">IF(ISNUMBER(agent!$O$15*$J54*$K54),agent!$O$15*$J54*$K54,"没有上级")</f>
        <v>0</v>
      </c>
      <c r="P54" s="32">
        <f ca="1">IF(ISNUMBER(agent!$O$18*$J54*$K54),agent!$O$18*$J54*$K54,"没有上级")</f>
        <v>0</v>
      </c>
      <c r="Q54" s="32">
        <f ca="1">IF(ISNUMBER(agent!$O$21*$J54*$K54),agent!$O$21*$J54*$K54,"没有上级")</f>
        <v>0</v>
      </c>
      <c r="R54" s="32">
        <f ca="1">IF(ISNUMBER(agent!$O$24*$J54*$K54),agent!$O$24*$J54*$K54,"没有上级")</f>
        <v>0</v>
      </c>
      <c r="S54" s="32">
        <f ca="1">IF(ISNUMBER(agent!$O$27*$J54*$K54),agent!$O$27*$J54*$K54,"没有上级")</f>
        <v>0</v>
      </c>
      <c r="T54" s="32" t="str">
        <f ca="1">IF(ISNUMBER(agent!$O$30*$J54*$K54),agent!$O$30*$J54*$K54,"没有上级")</f>
        <v>没有上级</v>
      </c>
      <c r="U54" s="32" t="str">
        <f ca="1">IF(ISNUMBER(agent!$O$33*$J54*$K54),agent!$O$33*$J54*$K54,"没有上级")</f>
        <v>没有上级</v>
      </c>
      <c r="W54" s="28">
        <v>653.33000000000004</v>
      </c>
      <c r="X54" s="32">
        <f t="shared" si="0"/>
        <v>666.00300000000004</v>
      </c>
    </row>
    <row r="55" spans="1:24" x14ac:dyDescent="0.15">
      <c r="A55" s="28" t="s">
        <v>38</v>
      </c>
      <c r="B55" s="28" t="s">
        <v>33</v>
      </c>
      <c r="C55" s="28" t="str">
        <f>SSC!$O67</f>
        <v>185</v>
      </c>
      <c r="D55" s="32">
        <f ca="1">SSC!$R67</f>
        <v>1</v>
      </c>
      <c r="E55" s="28">
        <v>1</v>
      </c>
      <c r="F55" s="32">
        <f ca="1">SSC!$P67</f>
        <v>2</v>
      </c>
      <c r="G55" s="28">
        <f>SSC!K$2</f>
        <v>81158</v>
      </c>
      <c r="H55" s="32">
        <f ca="1">SSC!M67</f>
        <v>326.66000000000003</v>
      </c>
      <c r="I55" s="28">
        <f ca="1">$I54-$F55+$H55</f>
        <v>1055135.6899999997</v>
      </c>
      <c r="J55" s="32">
        <v>0.33300000000000002</v>
      </c>
      <c r="K55" s="32">
        <f ca="1">SSC!N67</f>
        <v>1</v>
      </c>
      <c r="L55" s="32">
        <f ca="1">IF(ISNUMBER(agent!$O$6*$J55*$K55),agent!$O$6*$J55*$K55,"没有上级")</f>
        <v>3.3299999999999885E-2</v>
      </c>
      <c r="M55" s="32">
        <f ca="1">IF(ISNUMBER(agent!$O$9*$J55*$K55),agent!$O$9*$J55*$K55,"没有上级")</f>
        <v>6.659999999999977E-2</v>
      </c>
      <c r="N55" s="32">
        <f ca="1">IF(ISNUMBER(agent!$O$12*$J55*$K55),agent!$O$12*$J55*$K55,"没有上级")</f>
        <v>6.659999999999977E-2</v>
      </c>
      <c r="O55" s="32">
        <f ca="1">IF(ISNUMBER(agent!$O$15*$J55*$K55),agent!$O$15*$J55*$K55,"没有上级")</f>
        <v>6.659999999999977E-2</v>
      </c>
      <c r="P55" s="32">
        <f ca="1">IF(ISNUMBER(agent!$O$18*$J55*$K55),agent!$O$18*$J55*$K55,"没有上级")</f>
        <v>3.3299999999999885E-2</v>
      </c>
      <c r="Q55" s="32">
        <f ca="1">IF(ISNUMBER(agent!$O$21*$J55*$K55),agent!$O$21*$J55*$K55,"没有上级")</f>
        <v>6.659999999999977E-2</v>
      </c>
      <c r="R55" s="32">
        <f ca="1">IF(ISNUMBER(agent!$O$24*$J55*$K55),agent!$O$24*$J55*$K55,"没有上级")</f>
        <v>3.3299999999999885E-2</v>
      </c>
      <c r="S55" s="32">
        <f ca="1">IF(ISNUMBER(agent!$O$27*$J55*$K55),agent!$O$27*$J55*$K55,"没有上级")</f>
        <v>3.3299999999999885E-2</v>
      </c>
      <c r="T55" s="32" t="str">
        <f ca="1">IF(ISNUMBER(agent!$O$30*$J55*$K55),agent!$O$30*$J55*$K55,"没有上级")</f>
        <v>没有上级</v>
      </c>
      <c r="U55" s="32" t="str">
        <f ca="1">IF(ISNUMBER(agent!$O$33*$J55*$K55),agent!$O$33*$J55*$K55,"没有上级")</f>
        <v>没有上级</v>
      </c>
      <c r="W55" s="28">
        <v>326.66000000000003</v>
      </c>
      <c r="X55" s="32">
        <f t="shared" si="0"/>
        <v>332.98700000000002</v>
      </c>
    </row>
    <row r="56" spans="1:24" x14ac:dyDescent="0.15">
      <c r="A56" s="28" t="s">
        <v>38</v>
      </c>
      <c r="B56" s="28" t="s">
        <v>35</v>
      </c>
      <c r="C56" s="28" t="str">
        <f>SSC!$O68</f>
        <v>0 1 2 6 7 8 9</v>
      </c>
      <c r="D56" s="32">
        <f ca="1">SSC!$R68</f>
        <v>3</v>
      </c>
      <c r="E56" s="28">
        <v>1</v>
      </c>
      <c r="F56" s="32">
        <f ca="1">SSC!$P68</f>
        <v>42</v>
      </c>
      <c r="G56" s="28">
        <f>SSC!K$2</f>
        <v>81158</v>
      </c>
      <c r="H56" s="32">
        <f ca="1">SSC!M68</f>
        <v>43.38</v>
      </c>
      <c r="I56" s="28">
        <f ca="1">$I55-$F56+$H56</f>
        <v>1055137.0699999996</v>
      </c>
      <c r="J56" s="32">
        <v>7.0000000000000001E-3</v>
      </c>
      <c r="K56" s="32">
        <f ca="1">SSC!N68</f>
        <v>2</v>
      </c>
      <c r="L56" s="32">
        <f ca="1">IF(ISNUMBER(agent!$O$6*$J56*$K56),agent!$O$6*$J56*$K56,"没有上级")</f>
        <v>1.399999999999995E-3</v>
      </c>
      <c r="M56" s="32">
        <f ca="1">IF(ISNUMBER(agent!$O$9*$J56*$K56),agent!$O$9*$J56*$K56,"没有上级")</f>
        <v>2.79999999999999E-3</v>
      </c>
      <c r="N56" s="32">
        <f ca="1">IF(ISNUMBER(agent!$O$12*$J56*$K56),agent!$O$12*$J56*$K56,"没有上级")</f>
        <v>2.79999999999999E-3</v>
      </c>
      <c r="O56" s="32">
        <f ca="1">IF(ISNUMBER(agent!$O$15*$J56*$K56),agent!$O$15*$J56*$K56,"没有上级")</f>
        <v>2.79999999999999E-3</v>
      </c>
      <c r="P56" s="32">
        <f ca="1">IF(ISNUMBER(agent!$O$18*$J56*$K56),agent!$O$18*$J56*$K56,"没有上级")</f>
        <v>1.399999999999995E-3</v>
      </c>
      <c r="Q56" s="32">
        <f ca="1">IF(ISNUMBER(agent!$O$21*$J56*$K56),agent!$O$21*$J56*$K56,"没有上级")</f>
        <v>2.79999999999999E-3</v>
      </c>
      <c r="R56" s="32">
        <f ca="1">IF(ISNUMBER(agent!$O$24*$J56*$K56),agent!$O$24*$J56*$K56,"没有上级")</f>
        <v>1.399999999999995E-3</v>
      </c>
      <c r="S56" s="32">
        <f ca="1">IF(ISNUMBER(agent!$O$27*$J56*$K56),agent!$O$27*$J56*$K56,"没有上级")</f>
        <v>1.399999999999995E-3</v>
      </c>
      <c r="T56" s="32" t="str">
        <f ca="1">IF(ISNUMBER(agent!$O$30*$J56*$K56),agent!$O$30*$J56*$K56,"没有上级")</f>
        <v>没有上级</v>
      </c>
      <c r="U56" s="32" t="str">
        <f ca="1">IF(ISNUMBER(agent!$O$33*$J56*$K56),agent!$O$33*$J56*$K56,"没有上级")</f>
        <v>没有上级</v>
      </c>
      <c r="W56" s="28">
        <v>7.23</v>
      </c>
      <c r="X56" s="32">
        <f t="shared" si="0"/>
        <v>7.3630000000000004</v>
      </c>
    </row>
    <row r="57" spans="1:24" x14ac:dyDescent="0.15">
      <c r="A57" s="28" t="s">
        <v>38</v>
      </c>
      <c r="B57" s="28" t="s">
        <v>36</v>
      </c>
      <c r="C57" s="28" t="str">
        <f>SSC!$O69</f>
        <v>0 2 3 4 5 8 9</v>
      </c>
      <c r="D57" s="32">
        <f ca="1">SSC!$R69</f>
        <v>2</v>
      </c>
      <c r="E57" s="28">
        <v>1</v>
      </c>
      <c r="F57" s="32">
        <f ca="1">SSC!$P69</f>
        <v>84</v>
      </c>
      <c r="G57" s="28">
        <f>SSC!K$2</f>
        <v>81158</v>
      </c>
      <c r="H57" s="32">
        <f ca="1">SSC!M69</f>
        <v>145.16</v>
      </c>
      <c r="I57" s="28">
        <f ca="1">$I56-$F57+$H57</f>
        <v>1055198.2299999995</v>
      </c>
      <c r="J57" s="32">
        <v>3.6999999999999998E-2</v>
      </c>
      <c r="K57" s="32">
        <f ca="1">SSC!N69</f>
        <v>2</v>
      </c>
      <c r="L57" s="32">
        <f ca="1">IF(ISNUMBER(agent!$O$6*$J57*$K57),agent!$O$6*$J57*$K57,"没有上级")</f>
        <v>7.3999999999999734E-3</v>
      </c>
      <c r="M57" s="32">
        <f ca="1">IF(ISNUMBER(agent!$O$9*$J57*$K57),agent!$O$9*$J57*$K57,"没有上级")</f>
        <v>1.4799999999999947E-2</v>
      </c>
      <c r="N57" s="32">
        <f ca="1">IF(ISNUMBER(agent!$O$12*$J57*$K57),agent!$O$12*$J57*$K57,"没有上级")</f>
        <v>1.4799999999999947E-2</v>
      </c>
      <c r="O57" s="32">
        <f ca="1">IF(ISNUMBER(agent!$O$15*$J57*$K57),agent!$O$15*$J57*$K57,"没有上级")</f>
        <v>1.4799999999999947E-2</v>
      </c>
      <c r="P57" s="32">
        <f ca="1">IF(ISNUMBER(agent!$O$18*$J57*$K57),agent!$O$18*$J57*$K57,"没有上级")</f>
        <v>7.3999999999999734E-3</v>
      </c>
      <c r="Q57" s="32">
        <f ca="1">IF(ISNUMBER(agent!$O$21*$J57*$K57),agent!$O$21*$J57*$K57,"没有上级")</f>
        <v>1.4799999999999947E-2</v>
      </c>
      <c r="R57" s="32">
        <f ca="1">IF(ISNUMBER(agent!$O$24*$J57*$K57),agent!$O$24*$J57*$K57,"没有上级")</f>
        <v>7.3999999999999734E-3</v>
      </c>
      <c r="S57" s="32">
        <f ca="1">IF(ISNUMBER(agent!$O$27*$J57*$K57),agent!$O$27*$J57*$K57,"没有上级")</f>
        <v>7.3999999999999734E-3</v>
      </c>
      <c r="T57" s="32" t="str">
        <f ca="1">IF(ISNUMBER(agent!$O$30*$J57*$K57),agent!$O$30*$J57*$K57,"没有上级")</f>
        <v>没有上级</v>
      </c>
      <c r="U57" s="32" t="str">
        <f ca="1">IF(ISNUMBER(agent!$O$33*$J57*$K57),agent!$O$33*$J57*$K57,"没有上级")</f>
        <v>没有上级</v>
      </c>
      <c r="W57" s="28">
        <v>36.29</v>
      </c>
      <c r="X57" s="32">
        <f t="shared" si="0"/>
        <v>36.993000000000002</v>
      </c>
    </row>
    <row r="58" spans="1:24" x14ac:dyDescent="0.15">
      <c r="A58" s="28" t="s">
        <v>39</v>
      </c>
      <c r="B58" s="28" t="s">
        <v>40</v>
      </c>
      <c r="C58" s="28" t="str">
        <f>SSC!$O70</f>
        <v>1 2 3 5 6,0 1 4 5 8 9,0 3 5 6 7 9,0 1 5 8 9</v>
      </c>
      <c r="D58" s="32">
        <f ca="1">SSC!$R70</f>
        <v>4</v>
      </c>
      <c r="E58" s="28">
        <v>1</v>
      </c>
      <c r="F58" s="32">
        <f ca="1">SSC!$P70</f>
        <v>7200</v>
      </c>
      <c r="G58" s="28">
        <f>SSC!K$2</f>
        <v>81158</v>
      </c>
      <c r="H58" s="32">
        <f ca="1">SSC!M70</f>
        <v>78400</v>
      </c>
      <c r="I58" s="28">
        <f ca="1">$I57-$F58+$H58</f>
        <v>1126398.2299999995</v>
      </c>
      <c r="J58" s="32">
        <v>20</v>
      </c>
      <c r="K58" s="32">
        <f ca="1">SSC!N70</f>
        <v>1</v>
      </c>
      <c r="L58" s="32">
        <f ca="1">IF(ISNUMBER(agent!$O$6*$J58*$K58),agent!$O$6*$J58*$K58,"没有上级")</f>
        <v>1.9999999999999929</v>
      </c>
      <c r="M58" s="32">
        <f ca="1">IF(ISNUMBER(agent!$O$9*$J58*$K58),agent!$O$9*$J58*$K58,"没有上级")</f>
        <v>3.9999999999999858</v>
      </c>
      <c r="N58" s="32">
        <f ca="1">IF(ISNUMBER(agent!$O$12*$J58*$K58),agent!$O$12*$J58*$K58,"没有上级")</f>
        <v>3.9999999999999858</v>
      </c>
      <c r="O58" s="32">
        <f ca="1">IF(ISNUMBER(agent!$O$15*$J58*$K58),agent!$O$15*$J58*$K58,"没有上级")</f>
        <v>3.9999999999999858</v>
      </c>
      <c r="P58" s="32">
        <f ca="1">IF(ISNUMBER(agent!$O$18*$J58*$K58),agent!$O$18*$J58*$K58,"没有上级")</f>
        <v>1.9999999999999929</v>
      </c>
      <c r="Q58" s="32">
        <f ca="1">IF(ISNUMBER(agent!$O$21*$J58*$K58),agent!$O$21*$J58*$K58,"没有上级")</f>
        <v>3.9999999999999858</v>
      </c>
      <c r="R58" s="32">
        <f ca="1">IF(ISNUMBER(agent!$O$24*$J58*$K58),agent!$O$24*$J58*$K58,"没有上级")</f>
        <v>1.9999999999999929</v>
      </c>
      <c r="S58" s="32">
        <f ca="1">IF(ISNUMBER(agent!$O$27*$J58*$K58),agent!$O$27*$J58*$K58,"没有上级")</f>
        <v>1.9999999999999929</v>
      </c>
      <c r="T58" s="32" t="str">
        <f ca="1">IF(ISNUMBER(agent!$O$30*$J58*$K58),agent!$O$30*$J58*$K58,"没有上级")</f>
        <v>没有上级</v>
      </c>
      <c r="U58" s="32" t="str">
        <f ca="1">IF(ISNUMBER(agent!$O$33*$J58*$K58),agent!$O$33*$J58*$K58,"没有上级")</f>
        <v>没有上级</v>
      </c>
      <c r="W58" s="28">
        <v>19600</v>
      </c>
      <c r="X58" s="32">
        <f t="shared" si="0"/>
        <v>19980</v>
      </c>
    </row>
    <row r="59" spans="1:24" x14ac:dyDescent="0.15">
      <c r="A59" s="28" t="s">
        <v>39</v>
      </c>
      <c r="B59" s="28" t="s">
        <v>41</v>
      </c>
      <c r="C59" s="28" t="str">
        <f>SSC!$O74</f>
        <v>1158</v>
      </c>
      <c r="D59" s="32">
        <f ca="1">SSC!$R74</f>
        <v>4</v>
      </c>
      <c r="E59" s="28">
        <v>1</v>
      </c>
      <c r="F59" s="32">
        <f ca="1">SSC!$P74</f>
        <v>8</v>
      </c>
      <c r="G59" s="28">
        <f>SSC!K$2</f>
        <v>81158</v>
      </c>
      <c r="H59" s="32">
        <f ca="1">SSC!M74</f>
        <v>78400</v>
      </c>
      <c r="I59" s="28">
        <f ca="1">$I58-$F59+$H59</f>
        <v>1204790.2299999995</v>
      </c>
      <c r="J59" s="32">
        <v>20</v>
      </c>
      <c r="K59" s="32">
        <f ca="1">SSC!N74</f>
        <v>1</v>
      </c>
      <c r="L59" s="32">
        <f ca="1">IF(ISNUMBER(agent!$O$6*$J59*$K59),agent!$O$6*$J59*$K59,"没有上级")</f>
        <v>1.9999999999999929</v>
      </c>
      <c r="M59" s="32">
        <f ca="1">IF(ISNUMBER(agent!$O$9*$J59*$K59),agent!$O$9*$J59*$K59,"没有上级")</f>
        <v>3.9999999999999858</v>
      </c>
      <c r="N59" s="32">
        <f ca="1">IF(ISNUMBER(agent!$O$12*$J59*$K59),agent!$O$12*$J59*$K59,"没有上级")</f>
        <v>3.9999999999999858</v>
      </c>
      <c r="O59" s="32">
        <f ca="1">IF(ISNUMBER(agent!$O$15*$J59*$K59),agent!$O$15*$J59*$K59,"没有上级")</f>
        <v>3.9999999999999858</v>
      </c>
      <c r="P59" s="32">
        <f ca="1">IF(ISNUMBER(agent!$O$18*$J59*$K59),agent!$O$18*$J59*$K59,"没有上级")</f>
        <v>1.9999999999999929</v>
      </c>
      <c r="Q59" s="32">
        <f ca="1">IF(ISNUMBER(agent!$O$21*$J59*$K59),agent!$O$21*$J59*$K59,"没有上级")</f>
        <v>3.9999999999999858</v>
      </c>
      <c r="R59" s="32">
        <f ca="1">IF(ISNUMBER(agent!$O$24*$J59*$K59),agent!$O$24*$J59*$K59,"没有上级")</f>
        <v>1.9999999999999929</v>
      </c>
      <c r="S59" s="32">
        <f ca="1">IF(ISNUMBER(agent!$O$27*$J59*$K59),agent!$O$27*$J59*$K59,"没有上级")</f>
        <v>1.9999999999999929</v>
      </c>
      <c r="T59" s="32" t="str">
        <f ca="1">IF(ISNUMBER(agent!$O$30*$J59*$K59),agent!$O$30*$J59*$K59,"没有上级")</f>
        <v>没有上级</v>
      </c>
      <c r="U59" s="32" t="str">
        <f ca="1">IF(ISNUMBER(agent!$O$33*$J59*$K59),agent!$O$33*$J59*$K59,"没有上级")</f>
        <v>没有上级</v>
      </c>
      <c r="W59" s="28">
        <v>19600</v>
      </c>
      <c r="X59" s="32">
        <f t="shared" si="0"/>
        <v>19980</v>
      </c>
    </row>
    <row r="60" spans="1:24" x14ac:dyDescent="0.15">
      <c r="A60" s="28" t="s">
        <v>39</v>
      </c>
      <c r="B60" s="28" t="s">
        <v>43</v>
      </c>
      <c r="C60" s="28" t="str">
        <f>SSC!$O75</f>
        <v>0 1 2 4 5 6 8 9</v>
      </c>
      <c r="D60" s="32">
        <f ca="1">SSC!$R75</f>
        <v>4</v>
      </c>
      <c r="E60" s="28">
        <v>1</v>
      </c>
      <c r="F60" s="32">
        <f ca="1">SSC!$P75</f>
        <v>560</v>
      </c>
      <c r="G60" s="28">
        <f>SSC!K$2</f>
        <v>81158</v>
      </c>
      <c r="H60" s="32">
        <f>SSC!M75</f>
        <v>0</v>
      </c>
      <c r="I60" s="28">
        <f ca="1">$I59-$F60+$H60</f>
        <v>1204230.2299999995</v>
      </c>
      <c r="J60" s="32">
        <v>0.83299999999999996</v>
      </c>
      <c r="K60" s="32">
        <f ca="1">SSC!N75</f>
        <v>0</v>
      </c>
      <c r="L60" s="32">
        <f ca="1">IF(ISNUMBER(agent!$O$6*$J60*$K60),agent!$O$6*$J60*$K60,"没有上级")</f>
        <v>0</v>
      </c>
      <c r="M60" s="32">
        <f ca="1">IF(ISNUMBER(agent!$O$9*$J60*$K60),agent!$O$9*$J60*$K60,"没有上级")</f>
        <v>0</v>
      </c>
      <c r="N60" s="32">
        <f ca="1">IF(ISNUMBER(agent!$O$12*$J60*$K60),agent!$O$12*$J60*$K60,"没有上级")</f>
        <v>0</v>
      </c>
      <c r="O60" s="32">
        <f ca="1">IF(ISNUMBER(agent!$O$15*$J60*$K60),agent!$O$15*$J60*$K60,"没有上级")</f>
        <v>0</v>
      </c>
      <c r="P60" s="32">
        <f ca="1">IF(ISNUMBER(agent!$O$18*$J60*$K60),agent!$O$18*$J60*$K60,"没有上级")</f>
        <v>0</v>
      </c>
      <c r="Q60" s="32">
        <f ca="1">IF(ISNUMBER(agent!$O$21*$J60*$K60),agent!$O$21*$J60*$K60,"没有上级")</f>
        <v>0</v>
      </c>
      <c r="R60" s="32">
        <f ca="1">IF(ISNUMBER(agent!$O$24*$J60*$K60),agent!$O$24*$J60*$K60,"没有上级")</f>
        <v>0</v>
      </c>
      <c r="S60" s="32">
        <f ca="1">IF(ISNUMBER(agent!$O$27*$J60*$K60),agent!$O$27*$J60*$K60,"没有上级")</f>
        <v>0</v>
      </c>
      <c r="T60" s="32" t="str">
        <f ca="1">IF(ISNUMBER(agent!$O$30*$J60*$K60),agent!$O$30*$J60*$K60,"没有上级")</f>
        <v>没有上级</v>
      </c>
      <c r="U60" s="32" t="str">
        <f ca="1">IF(ISNUMBER(agent!$O$33*$J60*$K60),agent!$O$33*$J60*$K60,"没有上级")</f>
        <v>没有上级</v>
      </c>
      <c r="W60" s="28">
        <v>816.66</v>
      </c>
      <c r="X60" s="32">
        <f t="shared" si="0"/>
        <v>832.48699999999997</v>
      </c>
    </row>
    <row r="61" spans="1:24" x14ac:dyDescent="0.15">
      <c r="A61" s="28" t="s">
        <v>39</v>
      </c>
      <c r="B61" s="28" t="s">
        <v>186</v>
      </c>
      <c r="C61" s="28" t="str">
        <f>SSC!$O76</f>
        <v>0 1 2 6 7 8 9,0 1 2 3 4 5 8 9</v>
      </c>
      <c r="D61" s="32">
        <f ca="1">SSC!$R76</f>
        <v>4</v>
      </c>
      <c r="E61" s="28">
        <v>1</v>
      </c>
      <c r="F61" s="32">
        <f ca="1">SSC!$P76</f>
        <v>1288</v>
      </c>
      <c r="G61" s="28">
        <f>SSC!K$2</f>
        <v>81158</v>
      </c>
      <c r="H61" s="32">
        <f ca="1">SSC!M76</f>
        <v>6533.32</v>
      </c>
      <c r="I61" s="28">
        <f ca="1">$I60-$F61+$H61</f>
        <v>1209475.5499999996</v>
      </c>
      <c r="J61" s="32">
        <v>1.667</v>
      </c>
      <c r="K61" s="32">
        <f ca="1">SSC!N76</f>
        <v>1</v>
      </c>
      <c r="L61" s="32">
        <f ca="1">IF(ISNUMBER(agent!$O$6*$J61*$K61),agent!$O$6*$J61*$K61,"没有上级")</f>
        <v>0.1666999999999994</v>
      </c>
      <c r="M61" s="32">
        <f ca="1">IF(ISNUMBER(agent!$O$9*$J61*$K61),agent!$O$9*$J61*$K61,"没有上级")</f>
        <v>0.33339999999999881</v>
      </c>
      <c r="N61" s="32">
        <f ca="1">IF(ISNUMBER(agent!$O$12*$J61*$K61),agent!$O$12*$J61*$K61,"没有上级")</f>
        <v>0.33339999999999881</v>
      </c>
      <c r="O61" s="32">
        <f ca="1">IF(ISNUMBER(agent!$O$15*$J61*$K61),agent!$O$15*$J61*$K61,"没有上级")</f>
        <v>0.33339999999999881</v>
      </c>
      <c r="P61" s="32">
        <f ca="1">IF(ISNUMBER(agent!$O$18*$J61*$K61),agent!$O$18*$J61*$K61,"没有上级")</f>
        <v>0.1666999999999994</v>
      </c>
      <c r="Q61" s="32">
        <f ca="1">IF(ISNUMBER(agent!$O$21*$J61*$K61),agent!$O$21*$J61*$K61,"没有上级")</f>
        <v>0.33339999999999881</v>
      </c>
      <c r="R61" s="32">
        <f ca="1">IF(ISNUMBER(agent!$O$24*$J61*$K61),agent!$O$24*$J61*$K61,"没有上级")</f>
        <v>0.1666999999999994</v>
      </c>
      <c r="S61" s="32">
        <f ca="1">IF(ISNUMBER(agent!$O$27*$J61*$K61),agent!$O$27*$J61*$K61,"没有上级")</f>
        <v>0.1666999999999994</v>
      </c>
      <c r="T61" s="32" t="str">
        <f ca="1">IF(ISNUMBER(agent!$O$30*$J61*$K61),agent!$O$30*$J61*$K61,"没有上级")</f>
        <v>没有上级</v>
      </c>
      <c r="U61" s="32" t="str">
        <f ca="1">IF(ISNUMBER(agent!$O$33*$J61*$K61),agent!$O$33*$J61*$K61,"没有上级")</f>
        <v>没有上级</v>
      </c>
      <c r="W61" s="28">
        <v>1633.33</v>
      </c>
      <c r="X61" s="32">
        <f t="shared" si="0"/>
        <v>1665.0029999999999</v>
      </c>
    </row>
    <row r="62" spans="1:24" x14ac:dyDescent="0.15">
      <c r="A62" s="28" t="s">
        <v>39</v>
      </c>
      <c r="B62" s="28" t="s">
        <v>46</v>
      </c>
      <c r="C62" s="28" t="str">
        <f>SSC!$O78</f>
        <v>1 4 5 6 7 8 9</v>
      </c>
      <c r="D62" s="32">
        <f ca="1">SSC!$R78</f>
        <v>2</v>
      </c>
      <c r="E62" s="28">
        <v>1</v>
      </c>
      <c r="F62" s="32">
        <f ca="1">SSC!$P78</f>
        <v>84</v>
      </c>
      <c r="G62" s="28">
        <f>SSC!K$2</f>
        <v>81158</v>
      </c>
      <c r="H62" s="32">
        <f>SSC!M78</f>
        <v>0</v>
      </c>
      <c r="I62" s="28">
        <f ca="1">$I61-$F62+$H62</f>
        <v>1209391.5499999996</v>
      </c>
      <c r="J62" s="32">
        <v>3.3330000000000002</v>
      </c>
      <c r="K62" s="32">
        <f ca="1">SSC!N78</f>
        <v>0</v>
      </c>
      <c r="L62" s="32">
        <f ca="1">IF(ISNUMBER(agent!$O$6*$J62*$K62),agent!$O$6*$J62*$K62,"没有上级")</f>
        <v>0</v>
      </c>
      <c r="M62" s="32">
        <f ca="1">IF(ISNUMBER(agent!$O$9*$J62*$K62),agent!$O$9*$J62*$K62,"没有上级")</f>
        <v>0</v>
      </c>
      <c r="N62" s="32">
        <f ca="1">IF(ISNUMBER(agent!$O$12*$J62*$K62),agent!$O$12*$J62*$K62,"没有上级")</f>
        <v>0</v>
      </c>
      <c r="O62" s="32">
        <f ca="1">IF(ISNUMBER(agent!$O$15*$J62*$K62),agent!$O$15*$J62*$K62,"没有上级")</f>
        <v>0</v>
      </c>
      <c r="P62" s="32">
        <f ca="1">IF(ISNUMBER(agent!$O$18*$J62*$K62),agent!$O$18*$J62*$K62,"没有上级")</f>
        <v>0</v>
      </c>
      <c r="Q62" s="32">
        <f ca="1">IF(ISNUMBER(agent!$O$21*$J62*$K62),agent!$O$21*$J62*$K62,"没有上级")</f>
        <v>0</v>
      </c>
      <c r="R62" s="32">
        <f ca="1">IF(ISNUMBER(agent!$O$24*$J62*$K62),agent!$O$24*$J62*$K62,"没有上级")</f>
        <v>0</v>
      </c>
      <c r="S62" s="32">
        <f ca="1">IF(ISNUMBER(agent!$O$27*$J62*$K62),agent!$O$27*$J62*$K62,"没有上级")</f>
        <v>0</v>
      </c>
      <c r="T62" s="32" t="str">
        <f ca="1">IF(ISNUMBER(agent!$O$30*$J62*$K62),agent!$O$30*$J62*$K62,"没有上级")</f>
        <v>没有上级</v>
      </c>
      <c r="U62" s="32" t="str">
        <f ca="1">IF(ISNUMBER(agent!$O$33*$J62*$K62),agent!$O$33*$J62*$K62,"没有上级")</f>
        <v>没有上级</v>
      </c>
      <c r="W62" s="28">
        <v>3266.66</v>
      </c>
      <c r="X62" s="32">
        <f t="shared" si="0"/>
        <v>3329.9870000000001</v>
      </c>
    </row>
    <row r="63" spans="1:24" x14ac:dyDescent="0.15">
      <c r="A63" s="28" t="s">
        <v>39</v>
      </c>
      <c r="B63" s="28" t="s">
        <v>47</v>
      </c>
      <c r="C63" s="28" t="str">
        <f>SSC!$O79</f>
        <v>0 1 2 5 6 7 8,0 1 2 7 8 9</v>
      </c>
      <c r="D63" s="32">
        <f ca="1">SSC!$R79</f>
        <v>1</v>
      </c>
      <c r="E63" s="28">
        <v>1</v>
      </c>
      <c r="F63" s="32">
        <f ca="1">SSC!$P79</f>
        <v>74</v>
      </c>
      <c r="G63" s="28">
        <f>SSC!K$2</f>
        <v>81158</v>
      </c>
      <c r="H63" s="32">
        <f>SSC!M79</f>
        <v>0</v>
      </c>
      <c r="I63" s="28">
        <f ca="1">$I62-$F63+$H63</f>
        <v>1209317.5499999996</v>
      </c>
      <c r="J63" s="32">
        <v>5</v>
      </c>
      <c r="K63" s="32">
        <f ca="1">SSC!N79</f>
        <v>0</v>
      </c>
      <c r="L63" s="32">
        <f ca="1">IF(ISNUMBER(agent!$O$6*$J63*$K63),agent!$O$6*$J63*$K63,"没有上级")</f>
        <v>0</v>
      </c>
      <c r="M63" s="32">
        <f ca="1">IF(ISNUMBER(agent!$O$9*$J63*$K63),agent!$O$9*$J63*$K63,"没有上级")</f>
        <v>0</v>
      </c>
      <c r="N63" s="32">
        <f ca="1">IF(ISNUMBER(agent!$O$12*$J63*$K63),agent!$O$12*$J63*$K63,"没有上级")</f>
        <v>0</v>
      </c>
      <c r="O63" s="32">
        <f ca="1">IF(ISNUMBER(agent!$O$15*$J63*$K63),agent!$O$15*$J63*$K63,"没有上级")</f>
        <v>0</v>
      </c>
      <c r="P63" s="32">
        <f ca="1">IF(ISNUMBER(agent!$O$18*$J63*$K63),agent!$O$18*$J63*$K63,"没有上级")</f>
        <v>0</v>
      </c>
      <c r="Q63" s="32">
        <f ca="1">IF(ISNUMBER(agent!$O$21*$J63*$K63),agent!$O$21*$J63*$K63,"没有上级")</f>
        <v>0</v>
      </c>
      <c r="R63" s="32">
        <f ca="1">IF(ISNUMBER(agent!$O$24*$J63*$K63),agent!$O$24*$J63*$K63,"没有上级")</f>
        <v>0</v>
      </c>
      <c r="S63" s="32">
        <f ca="1">IF(ISNUMBER(agent!$O$27*$J63*$K63),agent!$O$27*$J63*$K63,"没有上级")</f>
        <v>0</v>
      </c>
      <c r="T63" s="32" t="str">
        <f ca="1">IF(ISNUMBER(agent!$O$30*$J63*$K63),agent!$O$30*$J63*$K63,"没有上级")</f>
        <v>没有上级</v>
      </c>
      <c r="U63" s="32" t="str">
        <f ca="1">IF(ISNUMBER(agent!$O$33*$J63*$K63),agent!$O$33*$J63*$K63,"没有上级")</f>
        <v>没有上级</v>
      </c>
      <c r="W63" s="28">
        <v>4900</v>
      </c>
      <c r="X63" s="32">
        <f t="shared" si="0"/>
        <v>4995</v>
      </c>
    </row>
    <row r="64" spans="1:24" x14ac:dyDescent="0.15">
      <c r="A64" s="28" t="s">
        <v>39</v>
      </c>
      <c r="B64" s="28" t="s">
        <v>51</v>
      </c>
      <c r="C64" s="28" t="str">
        <f>SSC!$O81</f>
        <v>0 1 2 5 6 7 8 9</v>
      </c>
      <c r="D64" s="32">
        <f ca="1">SSC!$R81</f>
        <v>2</v>
      </c>
      <c r="E64" s="28">
        <v>1</v>
      </c>
      <c r="F64" s="32">
        <f ca="1">SSC!$P81</f>
        <v>32</v>
      </c>
      <c r="G64" s="28">
        <f>SSC!K$2</f>
        <v>81158</v>
      </c>
      <c r="H64" s="32">
        <f ca="1">SSC!M81</f>
        <v>34.14</v>
      </c>
      <c r="I64" s="28">
        <f ca="1">$I63-$F64+$H64</f>
        <v>1209319.6899999995</v>
      </c>
      <c r="J64" s="32">
        <v>6.0000000000000001E-3</v>
      </c>
      <c r="K64" s="32">
        <f ca="1">SSC!N81</f>
        <v>3</v>
      </c>
      <c r="L64" s="32">
        <f ca="1">IF(ISNUMBER(agent!$O$6*$J64*$K64),agent!$O$6*$J64*$K64,"没有上级")</f>
        <v>1.7999999999999937E-3</v>
      </c>
      <c r="M64" s="32">
        <f ca="1">IF(ISNUMBER(agent!$O$9*$J64*$K64),agent!$O$9*$J64*$K64,"没有上级")</f>
        <v>3.5999999999999873E-3</v>
      </c>
      <c r="N64" s="32">
        <f ca="1">IF(ISNUMBER(agent!$O$12*$J64*$K64),agent!$O$12*$J64*$K64,"没有上级")</f>
        <v>3.5999999999999873E-3</v>
      </c>
      <c r="O64" s="32">
        <f ca="1">IF(ISNUMBER(agent!$O$15*$J64*$K64),agent!$O$15*$J64*$K64,"没有上级")</f>
        <v>3.5999999999999873E-3</v>
      </c>
      <c r="P64" s="32">
        <f ca="1">IF(ISNUMBER(agent!$O$18*$J64*$K64),agent!$O$18*$J64*$K64,"没有上级")</f>
        <v>1.7999999999999937E-3</v>
      </c>
      <c r="Q64" s="32">
        <f ca="1">IF(ISNUMBER(agent!$O$21*$J64*$K64),agent!$O$21*$J64*$K64,"没有上级")</f>
        <v>3.5999999999999873E-3</v>
      </c>
      <c r="R64" s="32">
        <f ca="1">IF(ISNUMBER(agent!$O$24*$J64*$K64),agent!$O$24*$J64*$K64,"没有上级")</f>
        <v>1.7999999999999937E-3</v>
      </c>
      <c r="S64" s="32">
        <f ca="1">IF(ISNUMBER(agent!$O$27*$J64*$K64),agent!$O$27*$J64*$K64,"没有上级")</f>
        <v>1.7999999999999937E-3</v>
      </c>
      <c r="T64" s="32" t="str">
        <f ca="1">IF(ISNUMBER(agent!$O$30*$J64*$K64),agent!$O$30*$J64*$K64,"没有上级")</f>
        <v>没有上级</v>
      </c>
      <c r="U64" s="32" t="str">
        <f ca="1">IF(ISNUMBER(agent!$O$33*$J64*$K64),agent!$O$33*$J64*$K64,"没有上级")</f>
        <v>没有上级</v>
      </c>
      <c r="W64" s="28">
        <v>5.69</v>
      </c>
      <c r="X64" s="32">
        <f t="shared" si="0"/>
        <v>5.8040000000000003</v>
      </c>
    </row>
    <row r="65" spans="1:24" x14ac:dyDescent="0.15">
      <c r="A65" s="28" t="s">
        <v>39</v>
      </c>
      <c r="B65" s="28" t="s">
        <v>52</v>
      </c>
      <c r="C65" s="28" t="str">
        <f>SSC!$O82</f>
        <v>1 0 2 6 7 8 9</v>
      </c>
      <c r="D65" s="32">
        <f ca="1">SSC!$R82</f>
        <v>2</v>
      </c>
      <c r="E65" s="28">
        <v>1</v>
      </c>
      <c r="F65" s="32">
        <f ca="1">SSC!$P82</f>
        <v>84</v>
      </c>
      <c r="G65" s="28">
        <f>SSC!K$2</f>
        <v>81158</v>
      </c>
      <c r="H65" s="32">
        <f ca="1">SSC!M82</f>
        <v>40.24</v>
      </c>
      <c r="I65" s="28">
        <f ca="1">$I64-$F65+$H65</f>
        <v>1209275.9299999995</v>
      </c>
      <c r="J65" s="32">
        <v>2.1000000000000001E-2</v>
      </c>
      <c r="K65" s="32">
        <f ca="1">SSC!N82</f>
        <v>1</v>
      </c>
      <c r="L65" s="32">
        <f ca="1">IF(ISNUMBER(agent!$O$6*$J65*$K65),agent!$O$6*$J65*$K65,"没有上级")</f>
        <v>2.0999999999999925E-3</v>
      </c>
      <c r="M65" s="32">
        <f ca="1">IF(ISNUMBER(agent!$O$9*$J65*$K65),agent!$O$9*$J65*$K65,"没有上级")</f>
        <v>4.199999999999985E-3</v>
      </c>
      <c r="N65" s="32">
        <f ca="1">IF(ISNUMBER(agent!$O$12*$J65*$K65),agent!$O$12*$J65*$K65,"没有上级")</f>
        <v>4.199999999999985E-3</v>
      </c>
      <c r="O65" s="32">
        <f ca="1">IF(ISNUMBER(agent!$O$15*$J65*$K65),agent!$O$15*$J65*$K65,"没有上级")</f>
        <v>4.199999999999985E-3</v>
      </c>
      <c r="P65" s="32">
        <f ca="1">IF(ISNUMBER(agent!$O$18*$J65*$K65),agent!$O$18*$J65*$K65,"没有上级")</f>
        <v>2.0999999999999925E-3</v>
      </c>
      <c r="Q65" s="32">
        <f ca="1">IF(ISNUMBER(agent!$O$21*$J65*$K65),agent!$O$21*$J65*$K65,"没有上级")</f>
        <v>4.199999999999985E-3</v>
      </c>
      <c r="R65" s="32">
        <f ca="1">IF(ISNUMBER(agent!$O$24*$J65*$K65),agent!$O$24*$J65*$K65,"没有上级")</f>
        <v>2.0999999999999925E-3</v>
      </c>
      <c r="S65" s="32">
        <f ca="1">IF(ISNUMBER(agent!$O$27*$J65*$K65),agent!$O$27*$J65*$K65,"没有上级")</f>
        <v>2.0999999999999925E-3</v>
      </c>
      <c r="T65" s="32" t="str">
        <f ca="1">IF(ISNUMBER(agent!$O$30*$J65*$K65),agent!$O$30*$J65*$K65,"没有上级")</f>
        <v>没有上级</v>
      </c>
      <c r="U65" s="32" t="str">
        <f ca="1">IF(ISNUMBER(agent!$O$33*$J65*$K65),agent!$O$33*$J65*$K65,"没有上级")</f>
        <v>没有上级</v>
      </c>
      <c r="W65" s="28">
        <v>20.12</v>
      </c>
      <c r="X65" s="32">
        <f t="shared" si="0"/>
        <v>20.519000000000002</v>
      </c>
    </row>
    <row r="66" spans="1:24" x14ac:dyDescent="0.15">
      <c r="A66" s="28" t="s">
        <v>54</v>
      </c>
      <c r="B66" s="28" t="s">
        <v>55</v>
      </c>
      <c r="C66" s="28" t="str">
        <f>SSC!$O83</f>
        <v>0 1 2 7 8 9,0 1 2 3 4 9,0 1 2 7 8 9,0 1 3 5 8 9,0 1 4 5 7 8</v>
      </c>
      <c r="D66" s="32">
        <f ca="1">SSC!$R83</f>
        <v>3</v>
      </c>
      <c r="E66" s="28">
        <v>1</v>
      </c>
      <c r="F66" s="32">
        <f ca="1">SSC!$P83</f>
        <v>46656</v>
      </c>
      <c r="G66" s="28">
        <f>SSC!K$2</f>
        <v>81158</v>
      </c>
      <c r="H66" s="32">
        <f ca="1">SSC!M83</f>
        <v>588000</v>
      </c>
      <c r="I66" s="28">
        <f ca="1">$I65-$F66+$H66</f>
        <v>1750619.9299999995</v>
      </c>
      <c r="J66" s="32">
        <v>200</v>
      </c>
      <c r="K66" s="32">
        <f ca="1">SSC!N83</f>
        <v>1</v>
      </c>
      <c r="L66" s="32">
        <f ca="1">IF(ISNUMBER(agent!$O$6*$J66*$K66),agent!$O$6*$J66*$K66,"没有上级")</f>
        <v>19.999999999999929</v>
      </c>
      <c r="M66" s="32">
        <f ca="1">IF(ISNUMBER(agent!$O$9*$J66*$K66),agent!$O$9*$J66*$K66,"没有上级")</f>
        <v>39.999999999999858</v>
      </c>
      <c r="N66" s="32">
        <f ca="1">IF(ISNUMBER(agent!$O$12*$J66*$K66),agent!$O$12*$J66*$K66,"没有上级")</f>
        <v>39.999999999999858</v>
      </c>
      <c r="O66" s="32">
        <f ca="1">IF(ISNUMBER(agent!$O$15*$J66*$K66),agent!$O$15*$J66*$K66,"没有上级")</f>
        <v>39.999999999999858</v>
      </c>
      <c r="P66" s="32">
        <f ca="1">IF(ISNUMBER(agent!$O$18*$J66*$K66),agent!$O$18*$J66*$K66,"没有上级")</f>
        <v>19.999999999999929</v>
      </c>
      <c r="Q66" s="32">
        <f ca="1">IF(ISNUMBER(agent!$O$21*$J66*$K66),agent!$O$21*$J66*$K66,"没有上级")</f>
        <v>39.999999999999858</v>
      </c>
      <c r="R66" s="32">
        <f ca="1">IF(ISNUMBER(agent!$O$24*$J66*$K66),agent!$O$24*$J66*$K66,"没有上级")</f>
        <v>19.999999999999929</v>
      </c>
      <c r="S66" s="32">
        <f ca="1">IF(ISNUMBER(agent!$O$27*$J66*$K66),agent!$O$27*$J66*$K66,"没有上级")</f>
        <v>19.999999999999929</v>
      </c>
      <c r="T66" s="32" t="str">
        <f ca="1">IF(ISNUMBER(agent!$O$30*$J66*$K66),agent!$O$30*$J66*$K66,"没有上级")</f>
        <v>没有上级</v>
      </c>
      <c r="U66" s="32" t="str">
        <f ca="1">IF(ISNUMBER(agent!$O$33*$J66*$K66),agent!$O$33*$J66*$K66,"没有上级")</f>
        <v>没有上级</v>
      </c>
      <c r="W66" s="28">
        <v>196000</v>
      </c>
      <c r="X66" s="32">
        <f t="shared" si="0"/>
        <v>199800</v>
      </c>
    </row>
    <row r="67" spans="1:24" x14ac:dyDescent="0.15">
      <c r="A67" s="28" t="s">
        <v>54</v>
      </c>
      <c r="B67" s="28" t="s">
        <v>56</v>
      </c>
      <c r="C67" s="28" t="str">
        <f>SSC!$O88</f>
        <v>12212 85118 81158</v>
      </c>
      <c r="D67" s="32">
        <f ca="1">SSC!$R88</f>
        <v>4</v>
      </c>
      <c r="E67" s="28">
        <v>1</v>
      </c>
      <c r="F67" s="32">
        <f ca="1">SSC!$P88</f>
        <v>24</v>
      </c>
      <c r="G67" s="28">
        <f>SSC!K$2</f>
        <v>81158</v>
      </c>
      <c r="H67" s="32">
        <f ca="1">SSC!M88</f>
        <v>784000</v>
      </c>
      <c r="I67" s="28">
        <f ca="1">$I66-$F67+$H67</f>
        <v>2534595.9299999997</v>
      </c>
      <c r="J67" s="32">
        <v>200</v>
      </c>
      <c r="K67" s="32">
        <f ca="1">SSC!N88</f>
        <v>1</v>
      </c>
      <c r="L67" s="32">
        <f ca="1">IF(ISNUMBER(agent!$O$6*$J67*$K67),agent!$O$6*$J67*$K67,"没有上级")</f>
        <v>19.999999999999929</v>
      </c>
      <c r="M67" s="32">
        <f ca="1">IF(ISNUMBER(agent!$O$9*$J67*$K67),agent!$O$9*$J67*$K67,"没有上级")</f>
        <v>39.999999999999858</v>
      </c>
      <c r="N67" s="32">
        <f ca="1">IF(ISNUMBER(agent!$O$12*$J67*$K67),agent!$O$12*$J67*$K67,"没有上级")</f>
        <v>39.999999999999858</v>
      </c>
      <c r="O67" s="32">
        <f ca="1">IF(ISNUMBER(agent!$O$15*$J67*$K67),agent!$O$15*$J67*$K67,"没有上级")</f>
        <v>39.999999999999858</v>
      </c>
      <c r="P67" s="32">
        <f ca="1">IF(ISNUMBER(agent!$O$18*$J67*$K67),agent!$O$18*$J67*$K67,"没有上级")</f>
        <v>19.999999999999929</v>
      </c>
      <c r="Q67" s="32">
        <f ca="1">IF(ISNUMBER(agent!$O$21*$J67*$K67),agent!$O$21*$J67*$K67,"没有上级")</f>
        <v>39.999999999999858</v>
      </c>
      <c r="R67" s="32">
        <f ca="1">IF(ISNUMBER(agent!$O$24*$J67*$K67),agent!$O$24*$J67*$K67,"没有上级")</f>
        <v>19.999999999999929</v>
      </c>
      <c r="S67" s="32">
        <f ca="1">IF(ISNUMBER(agent!$O$27*$J67*$K67),agent!$O$27*$J67*$K67,"没有上级")</f>
        <v>19.999999999999929</v>
      </c>
      <c r="T67" s="32" t="str">
        <f ca="1">IF(ISNUMBER(agent!$O$30*$J67*$K67),agent!$O$30*$J67*$K67,"没有上级")</f>
        <v>没有上级</v>
      </c>
      <c r="U67" s="32" t="str">
        <f ca="1">IF(ISNUMBER(agent!$O$33*$J67*$K67),agent!$O$33*$J67*$K67,"没有上级")</f>
        <v>没有上级</v>
      </c>
      <c r="W67" s="28">
        <v>196000</v>
      </c>
      <c r="X67" s="32">
        <f t="shared" ref="X67:X85" si="1">W67+J67*19</f>
        <v>199800</v>
      </c>
    </row>
    <row r="68" spans="1:24" x14ac:dyDescent="0.15">
      <c r="A68" s="28" t="s">
        <v>54</v>
      </c>
      <c r="B68" s="28" t="s">
        <v>287</v>
      </c>
      <c r="C68" s="28" t="str">
        <f>SSC!$O89</f>
        <v>0 1 2 3 4 6 7 8 9</v>
      </c>
      <c r="D68" s="32">
        <f ca="1">SSC!$R89</f>
        <v>1</v>
      </c>
      <c r="E68" s="28">
        <v>1</v>
      </c>
      <c r="F68" s="32">
        <f ca="1">SSC!$P89</f>
        <v>252</v>
      </c>
      <c r="G68" s="28">
        <f>SSC!K$2</f>
        <v>81158</v>
      </c>
      <c r="H68" s="32">
        <f>SSC!M89</f>
        <v>0</v>
      </c>
      <c r="I68" s="28">
        <f ca="1">$I67-$F68+$H68</f>
        <v>2534343.9299999997</v>
      </c>
      <c r="J68" s="32">
        <v>1.667</v>
      </c>
      <c r="K68" s="32">
        <f ca="1">SSC!N89</f>
        <v>0</v>
      </c>
      <c r="L68" s="32">
        <f ca="1">IF(ISNUMBER(agent!$O$6*$J68*$K68),agent!$O$6*$J68*$K68,"没有上级")</f>
        <v>0</v>
      </c>
      <c r="M68" s="32">
        <f ca="1">IF(ISNUMBER(agent!$O$9*$J68*$K68),agent!$O$9*$J68*$K68,"没有上级")</f>
        <v>0</v>
      </c>
      <c r="N68" s="32">
        <f ca="1">IF(ISNUMBER(agent!$O$12*$J68*$K68),agent!$O$12*$J68*$K68,"没有上级")</f>
        <v>0</v>
      </c>
      <c r="O68" s="32">
        <f ca="1">IF(ISNUMBER(agent!$O$15*$J68*$K68),agent!$O$15*$J68*$K68,"没有上级")</f>
        <v>0</v>
      </c>
      <c r="P68" s="32">
        <f ca="1">IF(ISNUMBER(agent!$O$18*$J68*$K68),agent!$O$18*$J68*$K68,"没有上级")</f>
        <v>0</v>
      </c>
      <c r="Q68" s="32">
        <f ca="1">IF(ISNUMBER(agent!$O$21*$J68*$K68),agent!$O$21*$J68*$K68,"没有上级")</f>
        <v>0</v>
      </c>
      <c r="R68" s="32">
        <f ca="1">IF(ISNUMBER(agent!$O$24*$J68*$K68),agent!$O$24*$J68*$K68,"没有上级")</f>
        <v>0</v>
      </c>
      <c r="S68" s="32">
        <f ca="1">IF(ISNUMBER(agent!$O$27*$J68*$K68),agent!$O$27*$J68*$K68,"没有上级")</f>
        <v>0</v>
      </c>
      <c r="T68" s="32" t="str">
        <f ca="1">IF(ISNUMBER(agent!$O$30*$J68*$K68),agent!$O$30*$J68*$K68,"没有上级")</f>
        <v>没有上级</v>
      </c>
      <c r="U68" s="32" t="str">
        <f ca="1">IF(ISNUMBER(agent!$O$33*$J68*$K68),agent!$O$33*$J68*$K68,"没有上级")</f>
        <v>没有上级</v>
      </c>
      <c r="W68" s="28">
        <v>1633.33</v>
      </c>
      <c r="X68" s="32">
        <f t="shared" si="1"/>
        <v>1665.0029999999999</v>
      </c>
    </row>
    <row r="69" spans="1:24" x14ac:dyDescent="0.15">
      <c r="A69" s="28" t="s">
        <v>54</v>
      </c>
      <c r="B69" s="28" t="s">
        <v>177</v>
      </c>
      <c r="C69" s="28" t="str">
        <f>SSC!$O90</f>
        <v>0 1 5 7 9 6,0 1 4 5 6 8 9</v>
      </c>
      <c r="D69" s="32">
        <f ca="1">SSC!$R90</f>
        <v>4</v>
      </c>
      <c r="E69" s="28">
        <v>1</v>
      </c>
      <c r="F69" s="32">
        <f ca="1">SSC!$P90</f>
        <v>1080</v>
      </c>
      <c r="G69" s="28">
        <f>SSC!K$2</f>
        <v>81158</v>
      </c>
      <c r="H69" s="32">
        <f>SSC!M90</f>
        <v>0</v>
      </c>
      <c r="I69" s="28">
        <f ca="1">$I68-$F69+$H69</f>
        <v>2533263.9299999997</v>
      </c>
      <c r="J69" s="32">
        <v>3.3330000000000002</v>
      </c>
      <c r="K69" s="32">
        <f ca="1">SSC!N90</f>
        <v>0</v>
      </c>
      <c r="L69" s="32">
        <f ca="1">IF(ISNUMBER(agent!$O$6*$J69*$K69),agent!$O$6*$J69*$K69,"没有上级")</f>
        <v>0</v>
      </c>
      <c r="M69" s="32">
        <f ca="1">IF(ISNUMBER(agent!$O$9*$J69*$K69),agent!$O$9*$J69*$K69,"没有上级")</f>
        <v>0</v>
      </c>
      <c r="N69" s="32">
        <f ca="1">IF(ISNUMBER(agent!$O$12*$J69*$K69),agent!$O$12*$J69*$K69,"没有上级")</f>
        <v>0</v>
      </c>
      <c r="O69" s="32">
        <f ca="1">IF(ISNUMBER(agent!$O$15*$J69*$K69),agent!$O$15*$J69*$K69,"没有上级")</f>
        <v>0</v>
      </c>
      <c r="P69" s="32">
        <f ca="1">IF(ISNUMBER(agent!$O$18*$J69*$K69),agent!$O$18*$J69*$K69,"没有上级")</f>
        <v>0</v>
      </c>
      <c r="Q69" s="32">
        <f ca="1">IF(ISNUMBER(agent!$O$21*$J69*$K69),agent!$O$21*$J69*$K69,"没有上级")</f>
        <v>0</v>
      </c>
      <c r="R69" s="32">
        <f ca="1">IF(ISNUMBER(agent!$O$24*$J69*$K69),agent!$O$24*$J69*$K69,"没有上级")</f>
        <v>0</v>
      </c>
      <c r="S69" s="32">
        <f ca="1">IF(ISNUMBER(agent!$O$27*$J69*$K69),agent!$O$27*$J69*$K69,"没有上级")</f>
        <v>0</v>
      </c>
      <c r="T69" s="32" t="str">
        <f ca="1">IF(ISNUMBER(agent!$O$30*$J69*$K69),agent!$O$30*$J69*$K69,"没有上级")</f>
        <v>没有上级</v>
      </c>
      <c r="U69" s="32" t="str">
        <f ca="1">IF(ISNUMBER(agent!$O$33*$J69*$K69),agent!$O$33*$J69*$K69,"没有上级")</f>
        <v>没有上级</v>
      </c>
      <c r="W69" s="28">
        <v>3266.66</v>
      </c>
      <c r="X69" s="32">
        <f t="shared" si="1"/>
        <v>3329.9870000000001</v>
      </c>
    </row>
    <row r="70" spans="1:24" x14ac:dyDescent="0.15">
      <c r="A70" s="28" t="s">
        <v>54</v>
      </c>
      <c r="B70" s="28" t="s">
        <v>288</v>
      </c>
      <c r="C70" s="28" t="str">
        <f>SSC!$O92</f>
        <v>0 1 2 7 8,1 3 4 5 6 7</v>
      </c>
      <c r="D70" s="32">
        <f ca="1">SSC!$R92</f>
        <v>4</v>
      </c>
      <c r="E70" s="28">
        <v>1</v>
      </c>
      <c r="F70" s="32">
        <f ca="1">SSC!$P92</f>
        <v>416</v>
      </c>
      <c r="G70" s="28">
        <f>SSC!K$2</f>
        <v>81158</v>
      </c>
      <c r="H70" s="32">
        <f ca="1">SSC!M92</f>
        <v>26133.32</v>
      </c>
      <c r="I70" s="28">
        <f ca="1">$I69-$F70+$H70</f>
        <v>2558981.2499999995</v>
      </c>
      <c r="J70" s="32">
        <v>6.6669999999999998</v>
      </c>
      <c r="K70" s="32">
        <f ca="1">SSC!N92</f>
        <v>1</v>
      </c>
      <c r="L70" s="32">
        <f ca="1">IF(ISNUMBER(agent!$O$6*$J70*$K70),agent!$O$6*$J70*$K70,"没有上级")</f>
        <v>0.66669999999999763</v>
      </c>
      <c r="M70" s="32">
        <f ca="1">IF(ISNUMBER(agent!$O$9*$J70*$K70),agent!$O$9*$J70*$K70,"没有上级")</f>
        <v>1.3333999999999953</v>
      </c>
      <c r="N70" s="32">
        <f ca="1">IF(ISNUMBER(agent!$O$12*$J70*$K70),agent!$O$12*$J70*$K70,"没有上级")</f>
        <v>1.3333999999999953</v>
      </c>
      <c r="O70" s="32">
        <f ca="1">IF(ISNUMBER(agent!$O$15*$J70*$K70),agent!$O$15*$J70*$K70,"没有上级")</f>
        <v>1.3333999999999953</v>
      </c>
      <c r="P70" s="32">
        <f ca="1">IF(ISNUMBER(agent!$O$18*$J70*$K70),agent!$O$18*$J70*$K70,"没有上级")</f>
        <v>0.66669999999999763</v>
      </c>
      <c r="Q70" s="32">
        <f ca="1">IF(ISNUMBER(agent!$O$21*$J70*$K70),agent!$O$21*$J70*$K70,"没有上级")</f>
        <v>1.3333999999999953</v>
      </c>
      <c r="R70" s="32">
        <f ca="1">IF(ISNUMBER(agent!$O$24*$J70*$K70),agent!$O$24*$J70*$K70,"没有上级")</f>
        <v>0.66669999999999763</v>
      </c>
      <c r="S70" s="32">
        <f ca="1">IF(ISNUMBER(agent!$O$27*$J70*$K70),agent!$O$27*$J70*$K70,"没有上级")</f>
        <v>0.66669999999999763</v>
      </c>
      <c r="T70" s="32" t="str">
        <f ca="1">IF(ISNUMBER(agent!$O$30*$J70*$K70),agent!$O$30*$J70*$K70,"没有上级")</f>
        <v>没有上级</v>
      </c>
      <c r="U70" s="32" t="str">
        <f ca="1">IF(ISNUMBER(agent!$O$33*$J70*$K70),agent!$O$33*$J70*$K70,"没有上级")</f>
        <v>没有上级</v>
      </c>
      <c r="W70" s="28">
        <v>6533.33</v>
      </c>
      <c r="X70" s="32">
        <f t="shared" si="1"/>
        <v>6660.0029999999997</v>
      </c>
    </row>
    <row r="71" spans="1:24" x14ac:dyDescent="0.15">
      <c r="A71" s="28" t="s">
        <v>54</v>
      </c>
      <c r="B71" s="28" t="s">
        <v>178</v>
      </c>
      <c r="C71" s="28" t="str">
        <f>SSC!$O94</f>
        <v>0 1 2 7,0 1 8 9</v>
      </c>
      <c r="D71" s="32">
        <f ca="1">SSC!$R94</f>
        <v>1</v>
      </c>
      <c r="E71" s="28">
        <v>1</v>
      </c>
      <c r="F71" s="32">
        <f ca="1">SSC!$P94</f>
        <v>36</v>
      </c>
      <c r="G71" s="28">
        <f>SSC!K$2</f>
        <v>81158</v>
      </c>
      <c r="H71" s="32">
        <f>SSC!M94</f>
        <v>0</v>
      </c>
      <c r="I71" s="28">
        <f ca="1">$I70-$F71+$H71</f>
        <v>2558945.2499999995</v>
      </c>
      <c r="J71" s="32">
        <v>10</v>
      </c>
      <c r="K71" s="32">
        <f ca="1">SSC!N94</f>
        <v>0</v>
      </c>
      <c r="L71" s="32">
        <f ca="1">IF(ISNUMBER(agent!$O$6*$J71*$K71),agent!$O$6*$J71*$K71,"没有上级")</f>
        <v>0</v>
      </c>
      <c r="M71" s="32">
        <f ca="1">IF(ISNUMBER(agent!$O$9*$J71*$K71),agent!$O$9*$J71*$K71,"没有上级")</f>
        <v>0</v>
      </c>
      <c r="N71" s="32">
        <f ca="1">IF(ISNUMBER(agent!$O$12*$J71*$K71),agent!$O$12*$J71*$K71,"没有上级")</f>
        <v>0</v>
      </c>
      <c r="O71" s="32">
        <f ca="1">IF(ISNUMBER(agent!$O$15*$J71*$K71),agent!$O$15*$J71*$K71,"没有上级")</f>
        <v>0</v>
      </c>
      <c r="P71" s="32">
        <f ca="1">IF(ISNUMBER(agent!$O$18*$J71*$K71),agent!$O$18*$J71*$K71,"没有上级")</f>
        <v>0</v>
      </c>
      <c r="Q71" s="32">
        <f ca="1">IF(ISNUMBER(agent!$O$21*$J71*$K71),agent!$O$21*$J71*$K71,"没有上级")</f>
        <v>0</v>
      </c>
      <c r="R71" s="32">
        <f ca="1">IF(ISNUMBER(agent!$O$24*$J71*$K71),agent!$O$24*$J71*$K71,"没有上级")</f>
        <v>0</v>
      </c>
      <c r="S71" s="32">
        <f ca="1">IF(ISNUMBER(agent!$O$27*$J71*$K71),agent!$O$27*$J71*$K71,"没有上级")</f>
        <v>0</v>
      </c>
      <c r="T71" s="32" t="str">
        <f ca="1">IF(ISNUMBER(agent!$O$30*$J71*$K71),agent!$O$30*$J71*$K71,"没有上级")</f>
        <v>没有上级</v>
      </c>
      <c r="U71" s="32" t="str">
        <f ca="1">IF(ISNUMBER(agent!$O$33*$J71*$K71),agent!$O$33*$J71*$K71,"没有上级")</f>
        <v>没有上级</v>
      </c>
      <c r="W71" s="28">
        <v>9800</v>
      </c>
      <c r="X71" s="32">
        <f t="shared" si="1"/>
        <v>9990</v>
      </c>
    </row>
    <row r="72" spans="1:24" x14ac:dyDescent="0.15">
      <c r="A72" s="28" t="s">
        <v>54</v>
      </c>
      <c r="B72" s="28" t="s">
        <v>179</v>
      </c>
      <c r="C72" s="28" t="str">
        <f>SSC!$O96</f>
        <v>0 1 4,0 1 8</v>
      </c>
      <c r="D72" s="32">
        <f ca="1">SSC!$R96</f>
        <v>1</v>
      </c>
      <c r="E72" s="28">
        <v>1</v>
      </c>
      <c r="F72" s="32">
        <f ca="1">SSC!$P96</f>
        <v>14</v>
      </c>
      <c r="G72" s="28">
        <f>SSC!K$2</f>
        <v>81158</v>
      </c>
      <c r="H72" s="32">
        <f>SSC!M96</f>
        <v>0</v>
      </c>
      <c r="I72" s="28">
        <f ca="1">$I71-$F72+$H72</f>
        <v>2558931.2499999995</v>
      </c>
      <c r="J72" s="32">
        <v>20</v>
      </c>
      <c r="K72" s="32">
        <f ca="1">SSC!N96</f>
        <v>0</v>
      </c>
      <c r="L72" s="32">
        <f ca="1">IF(ISNUMBER(agent!$O$6*$J72*$K72),agent!$O$6*$J72*$K72,"没有上级")</f>
        <v>0</v>
      </c>
      <c r="M72" s="32">
        <f ca="1">IF(ISNUMBER(agent!$O$9*$J72*$K72),agent!$O$9*$J72*$K72,"没有上级")</f>
        <v>0</v>
      </c>
      <c r="N72" s="32">
        <f ca="1">IF(ISNUMBER(agent!$O$12*$J72*$K72),agent!$O$12*$J72*$K72,"没有上级")</f>
        <v>0</v>
      </c>
      <c r="O72" s="32">
        <f ca="1">IF(ISNUMBER(agent!$O$15*$J72*$K72),agent!$O$15*$J72*$K72,"没有上级")</f>
        <v>0</v>
      </c>
      <c r="P72" s="32">
        <f ca="1">IF(ISNUMBER(agent!$O$18*$J72*$K72),agent!$O$18*$J72*$K72,"没有上级")</f>
        <v>0</v>
      </c>
      <c r="Q72" s="32">
        <f ca="1">IF(ISNUMBER(agent!$O$21*$J72*$K72),agent!$O$21*$J72*$K72,"没有上级")</f>
        <v>0</v>
      </c>
      <c r="R72" s="32">
        <f ca="1">IF(ISNUMBER(agent!$O$24*$J72*$K72),agent!$O$24*$J72*$K72,"没有上级")</f>
        <v>0</v>
      </c>
      <c r="S72" s="32">
        <f ca="1">IF(ISNUMBER(agent!$O$27*$J72*$K72),agent!$O$27*$J72*$K72,"没有上级")</f>
        <v>0</v>
      </c>
      <c r="T72" s="32" t="str">
        <f ca="1">IF(ISNUMBER(agent!$O$30*$J72*$K72),agent!$O$30*$J72*$K72,"没有上级")</f>
        <v>没有上级</v>
      </c>
      <c r="U72" s="32" t="str">
        <f ca="1">IF(ISNUMBER(agent!$O$33*$J72*$K72),agent!$O$33*$J72*$K72,"没有上级")</f>
        <v>没有上级</v>
      </c>
      <c r="W72" s="28">
        <v>19600</v>
      </c>
      <c r="X72" s="32">
        <f t="shared" si="1"/>
        <v>19980</v>
      </c>
    </row>
    <row r="73" spans="1:24" x14ac:dyDescent="0.15">
      <c r="A73" s="28" t="s">
        <v>54</v>
      </c>
      <c r="B73" s="28" t="s">
        <v>60</v>
      </c>
      <c r="C73" s="28" t="str">
        <f>SSC!$O98</f>
        <v>4 1 5,1 2 3</v>
      </c>
      <c r="D73" s="32">
        <f ca="1">SSC!$R98</f>
        <v>2</v>
      </c>
      <c r="E73" s="28">
        <v>1</v>
      </c>
      <c r="F73" s="32">
        <f ca="1">SSC!$P98</f>
        <v>32</v>
      </c>
      <c r="G73" s="28">
        <f>SSC!K$2</f>
        <v>81158</v>
      </c>
      <c r="H73" s="32">
        <f>SSC!M98</f>
        <v>0</v>
      </c>
      <c r="I73" s="28">
        <f ca="1">$I72-$F73+$H73</f>
        <v>2558899.2499999995</v>
      </c>
      <c r="J73" s="32">
        <v>40</v>
      </c>
      <c r="K73" s="32">
        <f ca="1">SSC!N98</f>
        <v>0</v>
      </c>
      <c r="L73" s="32">
        <f ca="1">IF(ISNUMBER(agent!$O$6*$J73*$K73),agent!$O$6*$J73*$K73,"没有上级")</f>
        <v>0</v>
      </c>
      <c r="M73" s="32">
        <f ca="1">IF(ISNUMBER(agent!$O$9*$J73*$K73),agent!$O$9*$J73*$K73,"没有上级")</f>
        <v>0</v>
      </c>
      <c r="N73" s="32">
        <f ca="1">IF(ISNUMBER(agent!$O$12*$J73*$K73),agent!$O$12*$J73*$K73,"没有上级")</f>
        <v>0</v>
      </c>
      <c r="O73" s="32">
        <f ca="1">IF(ISNUMBER(agent!$O$15*$J73*$K73),agent!$O$15*$J73*$K73,"没有上级")</f>
        <v>0</v>
      </c>
      <c r="P73" s="32">
        <f ca="1">IF(ISNUMBER(agent!$O$18*$J73*$K73),agent!$O$18*$J73*$K73,"没有上级")</f>
        <v>0</v>
      </c>
      <c r="Q73" s="32">
        <f ca="1">IF(ISNUMBER(agent!$O$21*$J73*$K73),agent!$O$21*$J73*$K73,"没有上级")</f>
        <v>0</v>
      </c>
      <c r="R73" s="32">
        <f ca="1">IF(ISNUMBER(agent!$O$24*$J73*$K73),agent!$O$24*$J73*$K73,"没有上级")</f>
        <v>0</v>
      </c>
      <c r="S73" s="32">
        <f ca="1">IF(ISNUMBER(agent!$O$27*$J73*$K73),agent!$O$27*$J73*$K73,"没有上级")</f>
        <v>0</v>
      </c>
      <c r="T73" s="32" t="str">
        <f ca="1">IF(ISNUMBER(agent!$O$30*$J73*$K73),agent!$O$30*$J73*$K73,"没有上级")</f>
        <v>没有上级</v>
      </c>
      <c r="U73" s="32" t="str">
        <f ca="1">IF(ISNUMBER(agent!$O$33*$J73*$K73),agent!$O$33*$J73*$K73,"没有上级")</f>
        <v>没有上级</v>
      </c>
      <c r="W73" s="28">
        <v>39200</v>
      </c>
      <c r="X73" s="32">
        <f t="shared" si="1"/>
        <v>39960</v>
      </c>
    </row>
    <row r="74" spans="1:24" x14ac:dyDescent="0.15">
      <c r="A74" s="28" t="s">
        <v>54</v>
      </c>
      <c r="B74" s="28" t="s">
        <v>67</v>
      </c>
      <c r="C74" s="28" t="str">
        <f>SSC!$O100</f>
        <v>0 1 2 3 4 5 6</v>
      </c>
      <c r="D74" s="32">
        <f ca="1">SSC!$R100</f>
        <v>2</v>
      </c>
      <c r="E74" s="28">
        <v>1</v>
      </c>
      <c r="F74" s="32">
        <f ca="1">SSC!$P100</f>
        <v>28</v>
      </c>
      <c r="G74" s="28">
        <f>SSC!K$2</f>
        <v>81158</v>
      </c>
      <c r="H74" s="32">
        <f ca="1">SSC!M100</f>
        <v>9.56</v>
      </c>
      <c r="I74" s="28">
        <f ca="1">$I73-$F74+$H74</f>
        <v>2558880.8099999996</v>
      </c>
      <c r="J74" s="32">
        <v>5.0000000000000001E-3</v>
      </c>
      <c r="K74" s="32">
        <f ca="1">SSC!N100</f>
        <v>1</v>
      </c>
      <c r="L74" s="32">
        <f ca="1">IF(ISNUMBER(agent!$O$6*$J74*$K74),agent!$O$6*$J74*$K74,"没有上级")</f>
        <v>4.9999999999999828E-4</v>
      </c>
      <c r="M74" s="32">
        <f ca="1">IF(ISNUMBER(agent!$O$9*$J74*$K74),agent!$O$9*$J74*$K74,"没有上级")</f>
        <v>9.9999999999999655E-4</v>
      </c>
      <c r="N74" s="32">
        <f ca="1">IF(ISNUMBER(agent!$O$12*$J74*$K74),agent!$O$12*$J74*$K74,"没有上级")</f>
        <v>9.9999999999999655E-4</v>
      </c>
      <c r="O74" s="32">
        <f ca="1">IF(ISNUMBER(agent!$O$15*$J74*$K74),agent!$O$15*$J74*$K74,"没有上级")</f>
        <v>9.9999999999999655E-4</v>
      </c>
      <c r="P74" s="32">
        <f ca="1">IF(ISNUMBER(agent!$O$18*$J74*$K74),agent!$O$18*$J74*$K74,"没有上级")</f>
        <v>4.9999999999999828E-4</v>
      </c>
      <c r="Q74" s="32">
        <f ca="1">IF(ISNUMBER(agent!$O$21*$J74*$K74),agent!$O$21*$J74*$K74,"没有上级")</f>
        <v>9.9999999999999655E-4</v>
      </c>
      <c r="R74" s="32">
        <f ca="1">IF(ISNUMBER(agent!$O$24*$J74*$K74),agent!$O$24*$J74*$K74,"没有上级")</f>
        <v>4.9999999999999828E-4</v>
      </c>
      <c r="S74" s="32">
        <f ca="1">IF(ISNUMBER(agent!$O$27*$J74*$K74),agent!$O$27*$J74*$K74,"没有上级")</f>
        <v>4.9999999999999828E-4</v>
      </c>
      <c r="T74" s="32" t="str">
        <f ca="1">IF(ISNUMBER(agent!$O$30*$J74*$K74),agent!$O$30*$J74*$K74,"没有上级")</f>
        <v>没有上级</v>
      </c>
      <c r="U74" s="32" t="str">
        <f ca="1">IF(ISNUMBER(agent!$O$33*$J74*$K74),agent!$O$33*$J74*$K74,"没有上级")</f>
        <v>没有上级</v>
      </c>
      <c r="W74" s="28">
        <v>4.78</v>
      </c>
      <c r="X74" s="32">
        <f t="shared" si="1"/>
        <v>4.875</v>
      </c>
    </row>
    <row r="75" spans="1:24" x14ac:dyDescent="0.15">
      <c r="A75" s="28" t="s">
        <v>54</v>
      </c>
      <c r="B75" s="28" t="s">
        <v>68</v>
      </c>
      <c r="C75" s="28" t="str">
        <f>SSC!$O101</f>
        <v>0 1 2 3 4 5 6</v>
      </c>
      <c r="D75" s="32">
        <f ca="1">SSC!$R101</f>
        <v>2</v>
      </c>
      <c r="E75" s="28">
        <v>1</v>
      </c>
      <c r="F75" s="32">
        <f ca="1">SSC!$P101</f>
        <v>84</v>
      </c>
      <c r="G75" s="28">
        <f>SSC!K$2</f>
        <v>81158</v>
      </c>
      <c r="H75" s="32">
        <f ca="1">SSC!M101</f>
        <v>26.72</v>
      </c>
      <c r="I75" s="28">
        <f ca="1">$I74-$F75+$H75</f>
        <v>2558823.5299999998</v>
      </c>
      <c r="J75" s="32">
        <v>1.4E-2</v>
      </c>
      <c r="K75" s="32">
        <f ca="1">SSC!N101</f>
        <v>1</v>
      </c>
      <c r="L75" s="32">
        <f ca="1">IF(ISNUMBER(agent!$O$6*$J75*$K75),agent!$O$6*$J75*$K75,"没有上级")</f>
        <v>1.399999999999995E-3</v>
      </c>
      <c r="M75" s="32">
        <f ca="1">IF(ISNUMBER(agent!$O$9*$J75*$K75),agent!$O$9*$J75*$K75,"没有上级")</f>
        <v>2.79999999999999E-3</v>
      </c>
      <c r="N75" s="32">
        <f ca="1">IF(ISNUMBER(agent!$O$12*$J75*$K75),agent!$O$12*$J75*$K75,"没有上级")</f>
        <v>2.79999999999999E-3</v>
      </c>
      <c r="O75" s="32">
        <f ca="1">IF(ISNUMBER(agent!$O$15*$J75*$K75),agent!$O$15*$J75*$K75,"没有上级")</f>
        <v>2.79999999999999E-3</v>
      </c>
      <c r="P75" s="32">
        <f ca="1">IF(ISNUMBER(agent!$O$18*$J75*$K75),agent!$O$18*$J75*$K75,"没有上级")</f>
        <v>1.399999999999995E-3</v>
      </c>
      <c r="Q75" s="32">
        <f ca="1">IF(ISNUMBER(agent!$O$21*$J75*$K75),agent!$O$21*$J75*$K75,"没有上级")</f>
        <v>2.79999999999999E-3</v>
      </c>
      <c r="R75" s="32">
        <f ca="1">IF(ISNUMBER(agent!$O$24*$J75*$K75),agent!$O$24*$J75*$K75,"没有上级")</f>
        <v>1.399999999999995E-3</v>
      </c>
      <c r="S75" s="32">
        <f ca="1">IF(ISNUMBER(agent!$O$27*$J75*$K75),agent!$O$27*$J75*$K75,"没有上级")</f>
        <v>1.399999999999995E-3</v>
      </c>
      <c r="T75" s="32" t="str">
        <f ca="1">IF(ISNUMBER(agent!$O$30*$J75*$K75),agent!$O$30*$J75*$K75,"没有上级")</f>
        <v>没有上级</v>
      </c>
      <c r="U75" s="32" t="str">
        <f ca="1">IF(ISNUMBER(agent!$O$33*$J75*$K75),agent!$O$33*$J75*$K75,"没有上级")</f>
        <v>没有上级</v>
      </c>
      <c r="W75" s="28">
        <v>13.36</v>
      </c>
      <c r="X75" s="32">
        <f t="shared" si="1"/>
        <v>13.625999999999999</v>
      </c>
    </row>
    <row r="76" spans="1:24" x14ac:dyDescent="0.15">
      <c r="A76" s="28" t="s">
        <v>54</v>
      </c>
      <c r="B76" s="28" t="s">
        <v>69</v>
      </c>
      <c r="C76" s="28" t="str">
        <f>SSC!$O102</f>
        <v>0 1 2 5 8 9</v>
      </c>
      <c r="D76" s="32">
        <f ca="1">SSC!$R102</f>
        <v>4</v>
      </c>
      <c r="E76" s="28">
        <v>1</v>
      </c>
      <c r="F76" s="32">
        <f ca="1">SSC!$P102</f>
        <v>160</v>
      </c>
      <c r="G76" s="28">
        <f>SSC!K$2</f>
        <v>81158</v>
      </c>
      <c r="H76" s="32">
        <f ca="1">SSC!M102</f>
        <v>180.2</v>
      </c>
      <c r="I76" s="28">
        <f ca="1">$I75-$F76+$H76</f>
        <v>2558843.73</v>
      </c>
      <c r="J76" s="32">
        <v>4.5999999999999999E-2</v>
      </c>
      <c r="K76" s="32">
        <f ca="1">SSC!N102</f>
        <v>1</v>
      </c>
      <c r="L76" s="32">
        <f ca="1">IF(ISNUMBER(agent!$O$6*$J76*$K76),agent!$O$6*$J76*$K76,"没有上级")</f>
        <v>4.5999999999999834E-3</v>
      </c>
      <c r="M76" s="32">
        <f ca="1">IF(ISNUMBER(agent!$O$9*$J76*$K76),agent!$O$9*$J76*$K76,"没有上级")</f>
        <v>9.1999999999999669E-3</v>
      </c>
      <c r="N76" s="32">
        <f ca="1">IF(ISNUMBER(agent!$O$12*$J76*$K76),agent!$O$12*$J76*$K76,"没有上级")</f>
        <v>9.1999999999999669E-3</v>
      </c>
      <c r="O76" s="32">
        <f ca="1">IF(ISNUMBER(agent!$O$15*$J76*$K76),agent!$O$15*$J76*$K76,"没有上级")</f>
        <v>9.1999999999999669E-3</v>
      </c>
      <c r="P76" s="32">
        <f ca="1">IF(ISNUMBER(agent!$O$18*$J76*$K76),agent!$O$18*$J76*$K76,"没有上级")</f>
        <v>4.5999999999999834E-3</v>
      </c>
      <c r="Q76" s="32">
        <f ca="1">IF(ISNUMBER(agent!$O$21*$J76*$K76),agent!$O$21*$J76*$K76,"没有上级")</f>
        <v>9.1999999999999669E-3</v>
      </c>
      <c r="R76" s="32">
        <f ca="1">IF(ISNUMBER(agent!$O$24*$J76*$K76),agent!$O$24*$J76*$K76,"没有上级")</f>
        <v>4.5999999999999834E-3</v>
      </c>
      <c r="S76" s="32">
        <f ca="1">IF(ISNUMBER(agent!$O$27*$J76*$K76),agent!$O$27*$J76*$K76,"没有上级")</f>
        <v>4.5999999999999834E-3</v>
      </c>
      <c r="T76" s="32" t="str">
        <f ca="1">IF(ISNUMBER(agent!$O$30*$J76*$K76),agent!$O$30*$J76*$K76,"没有上级")</f>
        <v>没有上级</v>
      </c>
      <c r="U76" s="32" t="str">
        <f ca="1">IF(ISNUMBER(agent!$O$33*$J76*$K76),agent!$O$33*$J76*$K76,"没有上级")</f>
        <v>没有上级</v>
      </c>
      <c r="W76" s="28">
        <v>45.05</v>
      </c>
      <c r="X76" s="32">
        <f t="shared" si="1"/>
        <v>45.923999999999999</v>
      </c>
    </row>
    <row r="77" spans="1:24" x14ac:dyDescent="0.15">
      <c r="A77" s="28" t="s">
        <v>54</v>
      </c>
      <c r="B77" s="28" t="s">
        <v>71</v>
      </c>
      <c r="C77" s="28" t="str">
        <f>SSC!$O103</f>
        <v>0 1 2 3 4 5 6 7 8 9</v>
      </c>
      <c r="D77" s="32">
        <f ca="1">SSC!$R103</f>
        <v>2</v>
      </c>
      <c r="E77" s="28">
        <v>1</v>
      </c>
      <c r="F77" s="32">
        <f ca="1">SSC!$P103</f>
        <v>40</v>
      </c>
      <c r="G77" s="28">
        <f>SSC!K$2</f>
        <v>81158</v>
      </c>
      <c r="H77" s="32">
        <f ca="1">SSC!M103</f>
        <v>9.56</v>
      </c>
      <c r="I77" s="28">
        <f ca="1">$I76-$F77+$H77</f>
        <v>2558813.29</v>
      </c>
      <c r="J77" s="32">
        <v>5.0000000000000001E-3</v>
      </c>
      <c r="K77" s="32">
        <f ca="1">SSC!N103</f>
        <v>1</v>
      </c>
      <c r="L77" s="32">
        <f ca="1">IF(ISNUMBER(agent!$O$6*$J77*$K77),agent!$O$6*$J77*$K77,"没有上级")</f>
        <v>4.9999999999999828E-4</v>
      </c>
      <c r="M77" s="32">
        <f ca="1">IF(ISNUMBER(agent!$O$9*$J77*$K77),agent!$O$9*$J77*$K77,"没有上级")</f>
        <v>9.9999999999999655E-4</v>
      </c>
      <c r="N77" s="32">
        <f ca="1">IF(ISNUMBER(agent!$O$12*$J77*$K77),agent!$O$12*$J77*$K77,"没有上级")</f>
        <v>9.9999999999999655E-4</v>
      </c>
      <c r="O77" s="32">
        <f ca="1">IF(ISNUMBER(agent!$O$15*$J77*$K77),agent!$O$15*$J77*$K77,"没有上级")</f>
        <v>9.9999999999999655E-4</v>
      </c>
      <c r="P77" s="32">
        <f ca="1">IF(ISNUMBER(agent!$O$18*$J77*$K77),agent!$O$18*$J77*$K77,"没有上级")</f>
        <v>4.9999999999999828E-4</v>
      </c>
      <c r="Q77" s="32">
        <f ca="1">IF(ISNUMBER(agent!$O$21*$J77*$K77),agent!$O$21*$J77*$K77,"没有上级")</f>
        <v>9.9999999999999655E-4</v>
      </c>
      <c r="R77" s="32">
        <f ca="1">IF(ISNUMBER(agent!$O$24*$J77*$K77),agent!$O$24*$J77*$K77,"没有上级")</f>
        <v>4.9999999999999828E-4</v>
      </c>
      <c r="S77" s="32">
        <f ca="1">IF(ISNUMBER(agent!$O$27*$J77*$K77),agent!$O$27*$J77*$K77,"没有上级")</f>
        <v>4.9999999999999828E-4</v>
      </c>
      <c r="T77" s="32" t="str">
        <f ca="1">IF(ISNUMBER(agent!$O$30*$J77*$K77),agent!$O$30*$J77*$K77,"没有上级")</f>
        <v>没有上级</v>
      </c>
      <c r="U77" s="32" t="str">
        <f ca="1">IF(ISNUMBER(agent!$O$33*$J77*$K77),agent!$O$33*$J77*$K77,"没有上级")</f>
        <v>没有上级</v>
      </c>
      <c r="W77" s="28">
        <v>4.78</v>
      </c>
      <c r="X77" s="32">
        <f t="shared" si="1"/>
        <v>4.875</v>
      </c>
    </row>
    <row r="78" spans="1:24" x14ac:dyDescent="0.15">
      <c r="A78" s="28" t="s">
        <v>54</v>
      </c>
      <c r="B78" s="28" t="s">
        <v>72</v>
      </c>
      <c r="C78" s="28" t="str">
        <f>SSC!$O104</f>
        <v>0 1 2 5 7 8</v>
      </c>
      <c r="D78" s="32">
        <f ca="1">SSC!$R104</f>
        <v>4</v>
      </c>
      <c r="E78" s="28">
        <v>1</v>
      </c>
      <c r="F78" s="32">
        <f ca="1">SSC!$P104</f>
        <v>48</v>
      </c>
      <c r="G78" s="28">
        <f>SSC!K$2</f>
        <v>81158</v>
      </c>
      <c r="H78" s="32">
        <f ca="1">SSC!M104</f>
        <v>192.48</v>
      </c>
      <c r="I78" s="28">
        <f ca="1">$I77-$F78+$H78</f>
        <v>2558957.77</v>
      </c>
      <c r="J78" s="32">
        <v>2.5000000000000001E-2</v>
      </c>
      <c r="K78" s="32">
        <f ca="1">SSC!N104</f>
        <v>2</v>
      </c>
      <c r="L78" s="32">
        <f ca="1">IF(ISNUMBER(agent!$O$6*$J78*$K78),agent!$O$6*$J78*$K78,"没有上级")</f>
        <v>4.9999999999999828E-3</v>
      </c>
      <c r="M78" s="32">
        <f ca="1">IF(ISNUMBER(agent!$O$9*$J78*$K78),agent!$O$9*$J78*$K78,"没有上级")</f>
        <v>9.9999999999999655E-3</v>
      </c>
      <c r="N78" s="32">
        <f ca="1">IF(ISNUMBER(agent!$O$12*$J78*$K78),agent!$O$12*$J78*$K78,"没有上级")</f>
        <v>9.9999999999999655E-3</v>
      </c>
      <c r="O78" s="32">
        <f ca="1">IF(ISNUMBER(agent!$O$15*$J78*$K78),agent!$O$15*$J78*$K78,"没有上级")</f>
        <v>9.9999999999999655E-3</v>
      </c>
      <c r="P78" s="32">
        <f ca="1">IF(ISNUMBER(agent!$O$18*$J78*$K78),agent!$O$18*$J78*$K78,"没有上级")</f>
        <v>4.9999999999999828E-3</v>
      </c>
      <c r="Q78" s="32">
        <f ca="1">IF(ISNUMBER(agent!$O$21*$J78*$K78),agent!$O$21*$J78*$K78,"没有上级")</f>
        <v>9.9999999999999655E-3</v>
      </c>
      <c r="R78" s="32">
        <f ca="1">IF(ISNUMBER(agent!$O$24*$J78*$K78),agent!$O$24*$J78*$K78,"没有上级")</f>
        <v>4.9999999999999828E-3</v>
      </c>
      <c r="S78" s="32">
        <f ca="1">IF(ISNUMBER(agent!$O$27*$J78*$K78),agent!$O$27*$J78*$K78,"没有上级")</f>
        <v>4.9999999999999828E-3</v>
      </c>
      <c r="T78" s="32" t="str">
        <f ca="1">IF(ISNUMBER(agent!$O$30*$J78*$K78),agent!$O$30*$J78*$K78,"没有上级")</f>
        <v>没有上级</v>
      </c>
      <c r="U78" s="32" t="str">
        <f ca="1">IF(ISNUMBER(agent!$O$33*$J78*$K78),agent!$O$33*$J78*$K78,"没有上级")</f>
        <v>没有上级</v>
      </c>
      <c r="W78" s="28">
        <v>24.06</v>
      </c>
      <c r="X78" s="32">
        <f t="shared" si="1"/>
        <v>24.535</v>
      </c>
    </row>
    <row r="79" spans="1:24" x14ac:dyDescent="0.15">
      <c r="A79" s="28" t="s">
        <v>54</v>
      </c>
      <c r="B79" s="28" t="s">
        <v>73</v>
      </c>
      <c r="C79" s="28" t="str">
        <f>SSC!$O105</f>
        <v>1 2</v>
      </c>
      <c r="D79" s="32">
        <f ca="1">SSC!$R105</f>
        <v>4</v>
      </c>
      <c r="E79" s="28">
        <v>1</v>
      </c>
      <c r="F79" s="32">
        <f ca="1">SSC!$P105</f>
        <v>16</v>
      </c>
      <c r="G79" s="28">
        <f>SSC!K$2</f>
        <v>81158</v>
      </c>
      <c r="H79" s="32">
        <f>SSC!M105</f>
        <v>0</v>
      </c>
      <c r="I79" s="28">
        <f ca="1">$I78-$F79+$H79</f>
        <v>2558941.77</v>
      </c>
      <c r="J79" s="32">
        <v>0.23400000000000001</v>
      </c>
      <c r="K79" s="32">
        <f ca="1">SSC!N105</f>
        <v>0</v>
      </c>
      <c r="L79" s="32">
        <f ca="1">IF(ISNUMBER(agent!$O$6*$J79*$K79),agent!$O$6*$J79*$K79,"没有上级")</f>
        <v>0</v>
      </c>
      <c r="M79" s="32">
        <f ca="1">IF(ISNUMBER(agent!$O$9*$J79*$K79),agent!$O$9*$J79*$K79,"没有上级")</f>
        <v>0</v>
      </c>
      <c r="N79" s="32">
        <f ca="1">IF(ISNUMBER(agent!$O$12*$J79*$K79),agent!$O$12*$J79*$K79,"没有上级")</f>
        <v>0</v>
      </c>
      <c r="O79" s="32">
        <f ca="1">IF(ISNUMBER(agent!$O$15*$J79*$K79),agent!$O$15*$J79*$K79,"没有上级")</f>
        <v>0</v>
      </c>
      <c r="P79" s="32">
        <f ca="1">IF(ISNUMBER(agent!$O$18*$J79*$K79),agent!$O$18*$J79*$K79,"没有上级")</f>
        <v>0</v>
      </c>
      <c r="Q79" s="32">
        <f ca="1">IF(ISNUMBER(agent!$O$21*$J79*$K79),agent!$O$21*$J79*$K79,"没有上级")</f>
        <v>0</v>
      </c>
      <c r="R79" s="32">
        <f ca="1">IF(ISNUMBER(agent!$O$24*$J79*$K79),agent!$O$24*$J79*$K79,"没有上级")</f>
        <v>0</v>
      </c>
      <c r="S79" s="32">
        <f ca="1">IF(ISNUMBER(agent!$O$27*$J79*$K79),agent!$O$27*$J79*$K79,"没有上级")</f>
        <v>0</v>
      </c>
      <c r="T79" s="32" t="str">
        <f ca="1">IF(ISNUMBER(agent!$O$30*$J79*$K79),agent!$O$30*$J79*$K79,"没有上级")</f>
        <v>没有上级</v>
      </c>
      <c r="U79" s="32" t="str">
        <f ca="1">IF(ISNUMBER(agent!$O$33*$J79*$K79),agent!$O$33*$J79*$K79,"没有上级")</f>
        <v>没有上级</v>
      </c>
      <c r="W79" s="28">
        <v>228.97</v>
      </c>
      <c r="X79" s="32">
        <f t="shared" si="1"/>
        <v>233.416</v>
      </c>
    </row>
    <row r="80" spans="1:24" x14ac:dyDescent="0.15">
      <c r="A80" s="28" t="s">
        <v>54</v>
      </c>
      <c r="B80" s="28" t="s">
        <v>74</v>
      </c>
      <c r="C80" s="28" t="str">
        <f>SSC!$O106</f>
        <v>0 1 2 3 4 5 6 7 8 9</v>
      </c>
      <c r="D80" s="32">
        <f ca="1">SSC!$R106</f>
        <v>4</v>
      </c>
      <c r="E80" s="28">
        <v>1</v>
      </c>
      <c r="F80" s="32">
        <f ca="1">SSC!$P106</f>
        <v>80</v>
      </c>
      <c r="G80" s="28">
        <f>SSC!K$2</f>
        <v>81158</v>
      </c>
      <c r="H80" s="32">
        <f>SSC!M106</f>
        <v>0</v>
      </c>
      <c r="I80" s="28">
        <f ca="1">$I79-$F80+$H80</f>
        <v>2558861.77</v>
      </c>
      <c r="J80" s="32">
        <v>4.3479999999999999</v>
      </c>
      <c r="K80" s="32">
        <f ca="1">SSC!N106</f>
        <v>0</v>
      </c>
      <c r="L80" s="32">
        <f ca="1">IF(ISNUMBER(agent!$O$6*$J80*$K80),agent!$O$6*$J80*$K80,"没有上级")</f>
        <v>0</v>
      </c>
      <c r="M80" s="32">
        <f ca="1">IF(ISNUMBER(agent!$O$9*$J80*$K80),agent!$O$9*$J80*$K80,"没有上级")</f>
        <v>0</v>
      </c>
      <c r="N80" s="32">
        <f ca="1">IF(ISNUMBER(agent!$O$12*$J80*$K80),agent!$O$12*$J80*$K80,"没有上级")</f>
        <v>0</v>
      </c>
      <c r="O80" s="32">
        <f ca="1">IF(ISNUMBER(agent!$O$15*$J80*$K80),agent!$O$15*$J80*$K80,"没有上级")</f>
        <v>0</v>
      </c>
      <c r="P80" s="32">
        <f ca="1">IF(ISNUMBER(agent!$O$18*$J80*$K80),agent!$O$18*$J80*$K80,"没有上级")</f>
        <v>0</v>
      </c>
      <c r="Q80" s="32">
        <f ca="1">IF(ISNUMBER(agent!$O$21*$J80*$K80),agent!$O$21*$J80*$K80,"没有上级")</f>
        <v>0</v>
      </c>
      <c r="R80" s="32">
        <f ca="1">IF(ISNUMBER(agent!$O$24*$J80*$K80),agent!$O$24*$J80*$K80,"没有上级")</f>
        <v>0</v>
      </c>
      <c r="S80" s="32">
        <f ca="1">IF(ISNUMBER(agent!$O$27*$J80*$K80),agent!$O$27*$J80*$K80,"没有上级")</f>
        <v>0</v>
      </c>
      <c r="T80" s="32" t="str">
        <f ca="1">IF(ISNUMBER(agent!$O$30*$J80*$K80),agent!$O$30*$J80*$K80,"没有上级")</f>
        <v>没有上级</v>
      </c>
      <c r="U80" s="32" t="str">
        <f ca="1">IF(ISNUMBER(agent!$O$33*$J80*$K80),agent!$O$33*$J80*$K80,"没有上级")</f>
        <v>没有上级</v>
      </c>
      <c r="W80" s="28">
        <v>4260.8599999999997</v>
      </c>
      <c r="X80" s="32">
        <f t="shared" si="1"/>
        <v>4343.4719999999998</v>
      </c>
    </row>
    <row r="81" spans="1:24" x14ac:dyDescent="0.15">
      <c r="A81" s="28" t="s">
        <v>75</v>
      </c>
      <c r="B81" s="28" t="s">
        <v>76</v>
      </c>
      <c r="C81" s="28" t="str">
        <f>SSC!$O107</f>
        <v>大 小 单 双,大 小 单 双</v>
      </c>
      <c r="D81" s="32">
        <f ca="1">SSC!$R107</f>
        <v>1</v>
      </c>
      <c r="E81" s="28">
        <v>1</v>
      </c>
      <c r="F81" s="32">
        <f ca="1">SSC!$P107</f>
        <v>32</v>
      </c>
      <c r="G81" s="28">
        <f>SSC!K$2</f>
        <v>81158</v>
      </c>
      <c r="H81" s="32">
        <f ca="1">SSC!M107</f>
        <v>7.84</v>
      </c>
      <c r="I81" s="28">
        <f ca="1">$I80-$F81+$H81</f>
        <v>2558837.61</v>
      </c>
      <c r="J81" s="32">
        <v>8.0000000000000002E-3</v>
      </c>
      <c r="K81" s="32">
        <f ca="1">SSC!N107</f>
        <v>1</v>
      </c>
      <c r="L81" s="32">
        <f ca="1">IF(ISNUMBER(agent!$O$6*$J81*$K81),agent!$O$6*$J81*$K81,"没有上级")</f>
        <v>7.9999999999999722E-4</v>
      </c>
      <c r="M81" s="32">
        <f ca="1">IF(ISNUMBER(agent!$O$9*$J81*$K81),agent!$O$9*$J81*$K81,"没有上级")</f>
        <v>1.5999999999999944E-3</v>
      </c>
      <c r="N81" s="32">
        <f ca="1">IF(ISNUMBER(agent!$O$12*$J81*$K81),agent!$O$12*$J81*$K81,"没有上级")</f>
        <v>1.5999999999999944E-3</v>
      </c>
      <c r="O81" s="32">
        <f ca="1">IF(ISNUMBER(agent!$O$15*$J81*$K81),agent!$O$15*$J81*$K81,"没有上级")</f>
        <v>1.5999999999999944E-3</v>
      </c>
      <c r="P81" s="32">
        <f ca="1">IF(ISNUMBER(agent!$O$18*$J81*$K81),agent!$O$18*$J81*$K81,"没有上级")</f>
        <v>7.9999999999999722E-4</v>
      </c>
      <c r="Q81" s="32">
        <f ca="1">IF(ISNUMBER(agent!$O$21*$J81*$K81),agent!$O$21*$J81*$K81,"没有上级")</f>
        <v>1.5999999999999944E-3</v>
      </c>
      <c r="R81" s="32">
        <f ca="1">IF(ISNUMBER(agent!$O$24*$J81*$K81),agent!$O$24*$J81*$K81,"没有上级")</f>
        <v>7.9999999999999722E-4</v>
      </c>
      <c r="S81" s="32">
        <f ca="1">IF(ISNUMBER(agent!$O$27*$J81*$K81),agent!$O$27*$J81*$K81,"没有上级")</f>
        <v>7.9999999999999722E-4</v>
      </c>
      <c r="T81" s="32" t="str">
        <f ca="1">IF(ISNUMBER(agent!$O$30*$J81*$K81),agent!$O$30*$J81*$K81,"没有上级")</f>
        <v>没有上级</v>
      </c>
      <c r="U81" s="32" t="str">
        <f ca="1">IF(ISNUMBER(agent!$O$33*$J81*$K81),agent!$O$33*$J81*$K81,"没有上级")</f>
        <v>没有上级</v>
      </c>
      <c r="W81" s="28">
        <v>7.84</v>
      </c>
      <c r="X81" s="32">
        <f t="shared" si="1"/>
        <v>7.992</v>
      </c>
    </row>
    <row r="82" spans="1:24" x14ac:dyDescent="0.15">
      <c r="A82" s="28" t="s">
        <v>75</v>
      </c>
      <c r="B82" s="28" t="s">
        <v>79</v>
      </c>
      <c r="C82" s="28" t="str">
        <f>SSC!$O109</f>
        <v>大 小 单 双,大 小 单 双</v>
      </c>
      <c r="D82" s="32">
        <f ca="1">SSC!$R109</f>
        <v>4</v>
      </c>
      <c r="E82" s="28">
        <v>1</v>
      </c>
      <c r="F82" s="32">
        <f ca="1">SSC!$P109</f>
        <v>128</v>
      </c>
      <c r="G82" s="28">
        <f>SSC!K$2</f>
        <v>81158</v>
      </c>
      <c r="H82" s="32">
        <f ca="1">SSC!M109</f>
        <v>31.36</v>
      </c>
      <c r="I82" s="28">
        <f ca="1">$I81-$F82+$H82</f>
        <v>2558740.9699999997</v>
      </c>
      <c r="J82" s="32">
        <v>8.0000000000000002E-3</v>
      </c>
      <c r="K82" s="32">
        <f ca="1">SSC!N109</f>
        <v>1</v>
      </c>
      <c r="L82" s="32">
        <f ca="1">IF(ISNUMBER(agent!$O$6*$J82*$K82),agent!$O$6*$J82*$K82,"没有上级")</f>
        <v>7.9999999999999722E-4</v>
      </c>
      <c r="M82" s="32">
        <f ca="1">IF(ISNUMBER(agent!$O$9*$J82*$K82),agent!$O$9*$J82*$K82,"没有上级")</f>
        <v>1.5999999999999944E-3</v>
      </c>
      <c r="N82" s="32">
        <f ca="1">IF(ISNUMBER(agent!$O$12*$J82*$K82),agent!$O$12*$J82*$K82,"没有上级")</f>
        <v>1.5999999999999944E-3</v>
      </c>
      <c r="O82" s="32">
        <f ca="1">IF(ISNUMBER(agent!$O$15*$J82*$K82),agent!$O$15*$J82*$K82,"没有上级")</f>
        <v>1.5999999999999944E-3</v>
      </c>
      <c r="P82" s="32">
        <f ca="1">IF(ISNUMBER(agent!$O$18*$J82*$K82),agent!$O$18*$J82*$K82,"没有上级")</f>
        <v>7.9999999999999722E-4</v>
      </c>
      <c r="Q82" s="32">
        <f ca="1">IF(ISNUMBER(agent!$O$21*$J82*$K82),agent!$O$21*$J82*$K82,"没有上级")</f>
        <v>1.5999999999999944E-3</v>
      </c>
      <c r="R82" s="32">
        <f ca="1">IF(ISNUMBER(agent!$O$24*$J82*$K82),agent!$O$24*$J82*$K82,"没有上级")</f>
        <v>7.9999999999999722E-4</v>
      </c>
      <c r="S82" s="32">
        <f ca="1">IF(ISNUMBER(agent!$O$27*$J82*$K82),agent!$O$27*$J82*$K82,"没有上级")</f>
        <v>7.9999999999999722E-4</v>
      </c>
      <c r="T82" s="32" t="str">
        <f ca="1">IF(ISNUMBER(agent!$O$30*$J82*$K82),agent!$O$30*$J82*$K82,"没有上级")</f>
        <v>没有上级</v>
      </c>
      <c r="U82" s="32" t="str">
        <f ca="1">IF(ISNUMBER(agent!$O$33*$J82*$K82),agent!$O$33*$J82*$K82,"没有上级")</f>
        <v>没有上级</v>
      </c>
      <c r="W82" s="28">
        <v>7.84</v>
      </c>
      <c r="X82" s="32">
        <f t="shared" si="1"/>
        <v>7.992</v>
      </c>
    </row>
    <row r="83" spans="1:24" x14ac:dyDescent="0.15">
      <c r="A83" s="28" t="s">
        <v>75</v>
      </c>
      <c r="B83" s="28" t="s">
        <v>82</v>
      </c>
      <c r="C83" s="28" t="str">
        <f>SSC!$O111</f>
        <v>大 小 单 双,大 小 单 双,大 小 单 双</v>
      </c>
      <c r="D83" s="32">
        <f ca="1">SSC!$R111</f>
        <v>3</v>
      </c>
      <c r="E83" s="28">
        <v>1</v>
      </c>
      <c r="F83" s="32">
        <f ca="1">SSC!$P111</f>
        <v>384</v>
      </c>
      <c r="G83" s="28">
        <f>SSC!K$2</f>
        <v>81158</v>
      </c>
      <c r="H83" s="32">
        <f ca="1">SSC!M111</f>
        <v>47.04</v>
      </c>
      <c r="I83" s="28">
        <f ca="1">$I82-$F83+$H83</f>
        <v>2558404.0099999998</v>
      </c>
      <c r="J83" s="32">
        <v>1.6E-2</v>
      </c>
      <c r="K83" s="32">
        <f ca="1">SSC!N111</f>
        <v>1</v>
      </c>
      <c r="L83" s="32">
        <f ca="1">IF(ISNUMBER(agent!$O$6*$J83*$K83),agent!$O$6*$J83*$K83,"没有上级")</f>
        <v>1.5999999999999944E-3</v>
      </c>
      <c r="M83" s="32">
        <f ca="1">IF(ISNUMBER(agent!$O$9*$J83*$K83),agent!$O$9*$J83*$K83,"没有上级")</f>
        <v>3.1999999999999889E-3</v>
      </c>
      <c r="N83" s="32">
        <f ca="1">IF(ISNUMBER(agent!$O$12*$J83*$K83),agent!$O$12*$J83*$K83,"没有上级")</f>
        <v>3.1999999999999889E-3</v>
      </c>
      <c r="O83" s="32">
        <f ca="1">IF(ISNUMBER(agent!$O$15*$J83*$K83),agent!$O$15*$J83*$K83,"没有上级")</f>
        <v>3.1999999999999889E-3</v>
      </c>
      <c r="P83" s="32">
        <f ca="1">IF(ISNUMBER(agent!$O$18*$J83*$K83),agent!$O$18*$J83*$K83,"没有上级")</f>
        <v>1.5999999999999944E-3</v>
      </c>
      <c r="Q83" s="32">
        <f ca="1">IF(ISNUMBER(agent!$O$21*$J83*$K83),agent!$O$21*$J83*$K83,"没有上级")</f>
        <v>3.1999999999999889E-3</v>
      </c>
      <c r="R83" s="32">
        <f ca="1">IF(ISNUMBER(agent!$O$24*$J83*$K83),agent!$O$24*$J83*$K83,"没有上级")</f>
        <v>1.5999999999999944E-3</v>
      </c>
      <c r="S83" s="32">
        <f ca="1">IF(ISNUMBER(agent!$O$27*$J83*$K83),agent!$O$27*$J83*$K83,"没有上级")</f>
        <v>1.5999999999999944E-3</v>
      </c>
      <c r="T83" s="32" t="str">
        <f ca="1">IF(ISNUMBER(agent!$O$30*$J83*$K83),agent!$O$30*$J83*$K83,"没有上级")</f>
        <v>没有上级</v>
      </c>
      <c r="U83" s="32" t="str">
        <f ca="1">IF(ISNUMBER(agent!$O$33*$J83*$K83),agent!$O$33*$J83*$K83,"没有上级")</f>
        <v>没有上级</v>
      </c>
      <c r="W83" s="28">
        <v>15.68</v>
      </c>
      <c r="X83" s="32">
        <f t="shared" si="1"/>
        <v>15.984</v>
      </c>
    </row>
    <row r="84" spans="1:24" x14ac:dyDescent="0.15">
      <c r="A84" s="28" t="s">
        <v>75</v>
      </c>
      <c r="B84" s="28" t="s">
        <v>38</v>
      </c>
      <c r="C84" s="28" t="str">
        <f>SSC!$O114</f>
        <v>大 小 单 双,大 小 单 双,大 小 单 双</v>
      </c>
      <c r="D84" s="32">
        <f ca="1">SSC!$R114</f>
        <v>1</v>
      </c>
      <c r="E84" s="28">
        <v>1</v>
      </c>
      <c r="F84" s="32">
        <f ca="1">SSC!$P114</f>
        <v>128</v>
      </c>
      <c r="G84" s="28">
        <f>SSC!K$2</f>
        <v>81158</v>
      </c>
      <c r="H84" s="32">
        <f ca="1">SSC!M114</f>
        <v>15.68</v>
      </c>
      <c r="I84" s="28">
        <f ca="1">$I83-$F84+$H84</f>
        <v>2558291.69</v>
      </c>
      <c r="J84" s="32">
        <v>1.6E-2</v>
      </c>
      <c r="K84" s="32">
        <f ca="1">SSC!N114</f>
        <v>1</v>
      </c>
      <c r="L84" s="32">
        <f ca="1">IF(ISNUMBER(agent!$O$6*$J84*$K84),agent!$O$6*$J84*$K84,"没有上级")</f>
        <v>1.5999999999999944E-3</v>
      </c>
      <c r="M84" s="32">
        <f ca="1">IF(ISNUMBER(agent!$O$9*$J84*$K84),agent!$O$9*$J84*$K84,"没有上级")</f>
        <v>3.1999999999999889E-3</v>
      </c>
      <c r="N84" s="32">
        <f ca="1">IF(ISNUMBER(agent!$O$12*$J84*$K84),agent!$O$12*$J84*$K84,"没有上级")</f>
        <v>3.1999999999999889E-3</v>
      </c>
      <c r="O84" s="32">
        <f ca="1">IF(ISNUMBER(agent!$O$15*$J84*$K84),agent!$O$15*$J84*$K84,"没有上级")</f>
        <v>3.1999999999999889E-3</v>
      </c>
      <c r="P84" s="32">
        <f ca="1">IF(ISNUMBER(agent!$O$18*$J84*$K84),agent!$O$18*$J84*$K84,"没有上级")</f>
        <v>1.5999999999999944E-3</v>
      </c>
      <c r="Q84" s="32">
        <f ca="1">IF(ISNUMBER(agent!$O$21*$J84*$K84),agent!$O$21*$J84*$K84,"没有上级")</f>
        <v>3.1999999999999889E-3</v>
      </c>
      <c r="R84" s="32">
        <f ca="1">IF(ISNUMBER(agent!$O$24*$J84*$K84),agent!$O$24*$J84*$K84,"没有上级")</f>
        <v>1.5999999999999944E-3</v>
      </c>
      <c r="S84" s="32">
        <f ca="1">IF(ISNUMBER(agent!$O$27*$J84*$K84),agent!$O$27*$J84*$K84,"没有上级")</f>
        <v>1.5999999999999944E-3</v>
      </c>
      <c r="T84" s="32" t="str">
        <f ca="1">IF(ISNUMBER(agent!$O$30*$J84*$K84),agent!$O$30*$J84*$K84,"没有上级")</f>
        <v>没有上级</v>
      </c>
      <c r="U84" s="32" t="str">
        <f ca="1">IF(ISNUMBER(agent!$O$33*$J84*$K84),agent!$O$33*$J84*$K84,"没有上级")</f>
        <v>没有上级</v>
      </c>
      <c r="W84" s="28">
        <v>15.68</v>
      </c>
      <c r="X84" s="32">
        <f t="shared" si="1"/>
        <v>15.984</v>
      </c>
    </row>
    <row r="85" spans="1:24" x14ac:dyDescent="0.15">
      <c r="A85" s="28" t="s">
        <v>87</v>
      </c>
      <c r="B85" s="28" t="s">
        <v>87</v>
      </c>
      <c r="C85" s="28" t="str">
        <f>SSC!$O117</f>
        <v>和大 和小 和单 和双,大 小 单 双 质 合,大 小 单 双 质 合,大 小 单 双 质 合,大 小 单 双 质 合,大 小 单 双 质 合</v>
      </c>
      <c r="D85" s="32">
        <v>1</v>
      </c>
      <c r="E85" s="32">
        <f ca="1">SSC!$R117</f>
        <v>1</v>
      </c>
      <c r="F85" s="32">
        <f ca="1">SSC!$P117</f>
        <v>34</v>
      </c>
      <c r="G85" s="28">
        <f>SSC!K$2</f>
        <v>81158</v>
      </c>
      <c r="H85" s="32">
        <f ca="1">SSC!M117</f>
        <v>11.76</v>
      </c>
      <c r="I85" s="28">
        <f ca="1">$I84-$F85+$H85</f>
        <v>2558269.4499999997</v>
      </c>
      <c r="J85" s="32">
        <v>2E-3</v>
      </c>
      <c r="K85" s="32">
        <f ca="1">SSC!N117</f>
        <v>6</v>
      </c>
      <c r="L85" s="32">
        <f ca="1">IF(ISNUMBER(agent!$O$6*$J85*$K85),agent!$O$6*$J85*$K85,"没有上级")</f>
        <v>1.1999999999999958E-3</v>
      </c>
      <c r="M85" s="32">
        <f ca="1">IF(ISNUMBER(agent!$O$9*$J85*$K85),agent!$O$9*$J85*$K85,"没有上级")</f>
        <v>2.3999999999999915E-3</v>
      </c>
      <c r="N85" s="32">
        <f ca="1">IF(ISNUMBER(agent!$O$12*$J85*$K85),agent!$O$12*$J85*$K85,"没有上级")</f>
        <v>2.3999999999999915E-3</v>
      </c>
      <c r="O85" s="32">
        <f ca="1">IF(ISNUMBER(agent!$O$15*$J85*$K85),agent!$O$15*$J85*$K85,"没有上级")</f>
        <v>2.3999999999999915E-3</v>
      </c>
      <c r="P85" s="32">
        <f ca="1">IF(ISNUMBER(agent!$O$18*$J85*$K85),agent!$O$18*$J85*$K85,"没有上级")</f>
        <v>1.1999999999999958E-3</v>
      </c>
      <c r="Q85" s="32">
        <f ca="1">IF(ISNUMBER(agent!$O$21*$J85*$K85),agent!$O$21*$J85*$K85,"没有上级")</f>
        <v>2.3999999999999915E-3</v>
      </c>
      <c r="R85" s="32">
        <f ca="1">IF(ISNUMBER(agent!$O$24*$J85*$K85),agent!$O$24*$J85*$K85,"没有上级")</f>
        <v>1.1999999999999958E-3</v>
      </c>
      <c r="S85" s="32">
        <f ca="1">IF(ISNUMBER(agent!$O$27*$J85*$K85),agent!$O$27*$J85*$K85,"没有上级")</f>
        <v>1.1999999999999958E-3</v>
      </c>
      <c r="T85" s="32" t="str">
        <f ca="1">IF(ISNUMBER(agent!$O$30*$J85*$K85),agent!$O$30*$J85*$K85,"没有上级")</f>
        <v>没有上级</v>
      </c>
      <c r="U85" s="32" t="str">
        <f ca="1">IF(ISNUMBER(agent!$O$33*$J85*$K85),agent!$O$33*$J85*$K85,"没有上级")</f>
        <v>没有上级</v>
      </c>
      <c r="W85" s="28">
        <v>1.96</v>
      </c>
      <c r="X85" s="32">
        <f t="shared" si="1"/>
        <v>1.998</v>
      </c>
    </row>
    <row r="86" spans="1:24" s="32" customFormat="1" x14ac:dyDescent="0.15">
      <c r="A86" s="37" t="s">
        <v>89</v>
      </c>
      <c r="B86" s="37" t="s">
        <v>90</v>
      </c>
      <c r="C86" s="37" t="str">
        <f>SSC!$O123</f>
        <v>龙 虎 和,龙 虎 和,龙 虎 和,龙 虎 和,龙 虎 和,龙 虎 和,龙 虎 和,龙 虎 和,龙 虎 和,龙 虎 和</v>
      </c>
      <c r="D86" s="37">
        <v>1</v>
      </c>
      <c r="E86" s="37">
        <f ca="1">SSC!$R123</f>
        <v>3</v>
      </c>
      <c r="F86" s="37">
        <f ca="1">SSC!$P123</f>
        <v>90</v>
      </c>
      <c r="G86" s="37">
        <f>SSC!K$2</f>
        <v>81158</v>
      </c>
      <c r="H86" s="37">
        <f ca="1">SSC!M123</f>
        <v>65.31</v>
      </c>
      <c r="I86" s="37">
        <f ca="1">$I85-$F86+$H86</f>
        <v>2558244.7599999998</v>
      </c>
      <c r="J86" s="33">
        <v>2E-3</v>
      </c>
      <c r="L86" s="32">
        <f>IF(ISNUMBER(agent!$O$6*$J86*$K86),agent!$O$6*$J86*$K86,"没有上级")</f>
        <v>0</v>
      </c>
      <c r="M86" s="32">
        <f>IF(ISNUMBER(agent!$O$9*$J86*$K86),agent!$O$9*$J86*$K86,"没有上级")</f>
        <v>0</v>
      </c>
      <c r="N86" s="32">
        <f>IF(ISNUMBER(agent!$O$12*$J86*$K86),agent!$O$12*$J86*$K86,"没有上级")</f>
        <v>0</v>
      </c>
      <c r="O86" s="32">
        <f>IF(ISNUMBER(agent!$O$15*$J86*$K86),agent!$O$15*$J86*$K86,"没有上级")</f>
        <v>0</v>
      </c>
      <c r="P86" s="32">
        <f>IF(ISNUMBER(agent!$O$18*$J86*$K86),agent!$O$18*$J86*$K86,"没有上级")</f>
        <v>0</v>
      </c>
      <c r="Q86" s="32">
        <f>IF(ISNUMBER(agent!$O$21*$J86*$K86),agent!$O$21*$J86*$K86,"没有上级")</f>
        <v>0</v>
      </c>
      <c r="R86" s="32">
        <f>IF(ISNUMBER(agent!$O$24*$J86*$K86),agent!$O$24*$J86*$K86,"没有上级")</f>
        <v>0</v>
      </c>
      <c r="S86" s="32">
        <f>IF(ISNUMBER(agent!$O$27*$J86*$K86),agent!$O$27*$J86*$K86,"没有上级")</f>
        <v>0</v>
      </c>
      <c r="T86" s="32" t="str">
        <f>IF(ISNUMBER(agent!$O$30*$J86*$K86),agent!$O$30*$J86*$K86,"没有上级")</f>
        <v>没有上级</v>
      </c>
      <c r="U86" s="32" t="str">
        <f>IF(ISNUMBER(agent!$O$33*$J86*$K86),agent!$O$33*$J86*$K86,"没有上级")</f>
        <v>没有上级</v>
      </c>
      <c r="W86" s="28">
        <v>2.177</v>
      </c>
      <c r="X86" s="32">
        <f>W86+J86*19</f>
        <v>2.2149999999999999</v>
      </c>
    </row>
    <row r="87" spans="1:24" x14ac:dyDescent="0.15">
      <c r="A87" s="37"/>
      <c r="B87" s="37"/>
      <c r="C87" s="37"/>
      <c r="D87" s="37"/>
      <c r="E87" s="37"/>
      <c r="F87" s="37"/>
      <c r="G87" s="37"/>
      <c r="H87" s="37"/>
      <c r="I87" s="37"/>
      <c r="J87" s="33">
        <v>0.01</v>
      </c>
      <c r="L87" s="32">
        <f>IF(ISNUMBER(agent!$O$6*$J87*$K87),agent!$O$6*$J87*$K87,"没有上级")</f>
        <v>0</v>
      </c>
      <c r="M87" s="32">
        <f>IF(ISNUMBER(agent!$O$9*$J87*$K87),agent!$O$9*$J87*$K87,"没有上级")</f>
        <v>0</v>
      </c>
      <c r="N87" s="32">
        <f>IF(ISNUMBER(agent!$O$12*$J87*$K87),agent!$O$12*$J87*$K87,"没有上级")</f>
        <v>0</v>
      </c>
      <c r="O87" s="32">
        <f>IF(ISNUMBER(agent!$O$15*$J87*$K87),agent!$O$15*$J87*$K87,"没有上级")</f>
        <v>0</v>
      </c>
      <c r="P87" s="32">
        <f>IF(ISNUMBER(agent!$O$18*$J87*$K87),agent!$O$18*$J87*$K87,"没有上级")</f>
        <v>0</v>
      </c>
      <c r="Q87" s="32">
        <f>IF(ISNUMBER(agent!$O$21*$J87*$K87),agent!$O$21*$J87*$K87,"没有上级")</f>
        <v>0</v>
      </c>
      <c r="R87" s="32">
        <f>IF(ISNUMBER(agent!$O$24*$J87*$K87),agent!$O$24*$J87*$K87,"没有上级")</f>
        <v>0</v>
      </c>
      <c r="S87" s="32">
        <f>IF(ISNUMBER(agent!$O$27*$J87*$K87),agent!$O$27*$J87*$K87,"没有上级")</f>
        <v>0</v>
      </c>
      <c r="T87" s="32" t="str">
        <f>IF(ISNUMBER(agent!$O$30*$J87*$K87),agent!$O$30*$J87*$K87,"没有上级")</f>
        <v>没有上级</v>
      </c>
      <c r="U87" s="32" t="str">
        <f>IF(ISNUMBER(agent!$O$33*$J87*$K87),agent!$O$33*$J87*$K87,"没有上级")</f>
        <v>没有上级</v>
      </c>
      <c r="W87" s="32">
        <v>9.8000000000000007</v>
      </c>
      <c r="X87" s="32">
        <f>W87+J87*19</f>
        <v>9.99</v>
      </c>
    </row>
    <row r="88" spans="1:24" x14ac:dyDescent="0.15">
      <c r="A88" s="28" t="s">
        <v>101</v>
      </c>
      <c r="B88" s="28" t="s">
        <v>102</v>
      </c>
      <c r="C88" s="28" t="str">
        <f>SSC!$O133</f>
        <v>0 1 2 3 4 5 6 7 8 9</v>
      </c>
      <c r="D88" s="32">
        <f ca="1">SSC!$R133</f>
        <v>3</v>
      </c>
      <c r="E88" s="28">
        <v>1</v>
      </c>
      <c r="F88" s="32">
        <f ca="1">SSC!$P133</f>
        <v>60</v>
      </c>
      <c r="G88" s="28">
        <f>SSC!K$2</f>
        <v>81158</v>
      </c>
      <c r="H88" s="32">
        <f>SSC!M133</f>
        <v>0</v>
      </c>
      <c r="I88" s="28">
        <f ca="1">$I86-$F88+$H88</f>
        <v>2558184.7599999998</v>
      </c>
      <c r="J88" s="32">
        <v>100</v>
      </c>
      <c r="K88" s="32">
        <f ca="1">SSC!N133</f>
        <v>0</v>
      </c>
      <c r="L88" s="32">
        <f ca="1">IF(ISNUMBER(agent!$O$6*$J88*$K88),agent!$O$6*$J88*$K88,"没有上级")</f>
        <v>0</v>
      </c>
      <c r="M88" s="32">
        <f ca="1">IF(ISNUMBER(agent!$O$9*$J88*$K88),agent!$O$9*$J88*$K88,"没有上级")</f>
        <v>0</v>
      </c>
      <c r="N88" s="32">
        <f ca="1">IF(ISNUMBER(agent!$O$12*$J88*$K88),agent!$O$12*$J88*$K88,"没有上级")</f>
        <v>0</v>
      </c>
      <c r="O88" s="32">
        <f ca="1">IF(ISNUMBER(agent!$O$15*$J88*$K88),agent!$O$15*$J88*$K88,"没有上级")</f>
        <v>0</v>
      </c>
      <c r="P88" s="32">
        <f ca="1">IF(ISNUMBER(agent!$O$18*$J88*$K88),agent!$O$18*$J88*$K88,"没有上级")</f>
        <v>0</v>
      </c>
      <c r="Q88" s="32">
        <f ca="1">IF(ISNUMBER(agent!$O$21*$J88*$K88),agent!$O$21*$J88*$K88,"没有上级")</f>
        <v>0</v>
      </c>
      <c r="R88" s="32">
        <f ca="1">IF(ISNUMBER(agent!$O$24*$J88*$K88),agent!$O$24*$J88*$K88,"没有上级")</f>
        <v>0</v>
      </c>
      <c r="S88" s="32">
        <f ca="1">IF(ISNUMBER(agent!$O$27*$J88*$K88),agent!$O$27*$J88*$K88,"没有上级")</f>
        <v>0</v>
      </c>
      <c r="T88" s="32" t="str">
        <f ca="1">IF(ISNUMBER(agent!$O$30*$J88*$K88),agent!$O$30*$J88*$K88,"没有上级")</f>
        <v>没有上级</v>
      </c>
      <c r="U88" s="32" t="str">
        <f ca="1">IF(ISNUMBER(agent!$O$33*$J88*$K88),agent!$O$33*$J88*$K88,"没有上级")</f>
        <v>没有上级</v>
      </c>
      <c r="W88" s="28">
        <v>98000</v>
      </c>
      <c r="X88" s="32">
        <f>W88+J88*19</f>
        <v>99900</v>
      </c>
    </row>
  </sheetData>
  <autoFilter ref="A1:W88"/>
  <mergeCells count="9">
    <mergeCell ref="A86:A87"/>
    <mergeCell ref="B86:B87"/>
    <mergeCell ref="C86:C87"/>
    <mergeCell ref="D86:D87"/>
    <mergeCell ref="E86:E87"/>
    <mergeCell ref="F86:F87"/>
    <mergeCell ref="G86:G87"/>
    <mergeCell ref="H86:H87"/>
    <mergeCell ref="I86:I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33"/>
  <sheetViews>
    <sheetView topLeftCell="D1" workbookViewId="0">
      <pane ySplit="1" topLeftCell="A110" activePane="bottomLeft" state="frozen"/>
      <selection pane="bottomLeft" activeCell="N2" sqref="N2:N6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32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16384" width="9" style="1"/>
  </cols>
  <sheetData>
    <row r="1" spans="1:20" ht="20.100000000000001" customHeight="1" x14ac:dyDescent="0.15">
      <c r="A1" s="2" t="s">
        <v>115</v>
      </c>
      <c r="B1" s="2" t="s">
        <v>117</v>
      </c>
      <c r="C1" s="2" t="s">
        <v>200</v>
      </c>
      <c r="D1" s="2" t="s">
        <v>201</v>
      </c>
      <c r="E1" s="4" t="s">
        <v>202</v>
      </c>
      <c r="F1" s="2" t="s">
        <v>118</v>
      </c>
      <c r="G1" s="6" t="s">
        <v>0</v>
      </c>
      <c r="H1" s="6" t="s">
        <v>1</v>
      </c>
      <c r="I1" s="6" t="s">
        <v>2</v>
      </c>
      <c r="J1" s="9" t="s">
        <v>3</v>
      </c>
      <c r="K1" s="18" t="s">
        <v>213</v>
      </c>
      <c r="M1" s="33" t="s">
        <v>291</v>
      </c>
      <c r="N1" s="33" t="s">
        <v>479</v>
      </c>
      <c r="P1" s="1" t="s">
        <v>214</v>
      </c>
      <c r="Q1" s="30" t="s">
        <v>289</v>
      </c>
      <c r="R1" s="30" t="s">
        <v>290</v>
      </c>
      <c r="S1" s="30" t="s">
        <v>292</v>
      </c>
      <c r="T1" t="s">
        <v>114</v>
      </c>
    </row>
    <row r="2" spans="1:20" ht="29.25" customHeight="1" x14ac:dyDescent="0.15">
      <c r="A2" s="39" t="s">
        <v>116</v>
      </c>
      <c r="B2" s="2" t="s">
        <v>125</v>
      </c>
      <c r="C2" s="1">
        <f>IF(ISNUMBER(FIND($B2,$J$10,1)),$F2,0)</f>
        <v>0</v>
      </c>
      <c r="D2" s="31" t="s">
        <v>309</v>
      </c>
      <c r="E2" s="1">
        <f>IF(ISNUMBER(FIND($B2,J$19,1)),$F2,0)</f>
        <v>1</v>
      </c>
      <c r="F2" s="1">
        <v>1</v>
      </c>
      <c r="G2" s="37" t="s">
        <v>4</v>
      </c>
      <c r="H2" s="37" t="s">
        <v>5</v>
      </c>
      <c r="I2" s="6" t="s">
        <v>6</v>
      </c>
      <c r="J2" s="10" t="s">
        <v>188</v>
      </c>
      <c r="K2" s="35">
        <v>81158</v>
      </c>
      <c r="L2" s="8">
        <f>IF(AND(ISNUMBER(FIND(LEFT($K$2,1),J2,1)),LEN($K$2)&lt;&gt;0),1,0)</f>
        <v>0</v>
      </c>
      <c r="M2" s="37">
        <f ca="1">SUM(L2:L6)*S2*R2</f>
        <v>176.4</v>
      </c>
      <c r="N2" s="37">
        <f ca="1">M2/S2/R2</f>
        <v>3</v>
      </c>
      <c r="O2" s="38" t="str">
        <f>TRIM(IF(LEN(SSC!J2)=0,"-",SUBSTITUTE(SSC!J2,","," ")))&amp;","&amp;TRIM(IF(LEN(SSC!J3)=0,"-",SUBSTITUTE(SSC!J3,","," ")))&amp;","&amp;TRIM(IF(LEN(SSC!J4)=0,"-",SUBSTITUTE(SSC!J4,","," ")))&amp;","&amp;TRIM(IF(LEN(SSC!J5)=0,"-",SUBSTITUTE(SSC!J5,","," ")))&amp;","&amp;TRIM(IF(LEN(SSC!J6)=0,"-",SUBSTITUTE(SSC!J6,","," ")))</f>
        <v>0 1 4 5,0 1 2,1 9,2 5,3 6</v>
      </c>
      <c r="P2" s="37">
        <f ca="1">SUM(Q2:Q6)*2*R2</f>
        <v>78</v>
      </c>
      <c r="Q2" s="1">
        <f>LEN(SUBSTITUTE(J2,",",))</f>
        <v>4</v>
      </c>
      <c r="R2" s="37">
        <f ca="1">RANDBETWEEN(1,4)</f>
        <v>3</v>
      </c>
      <c r="S2" s="37">
        <f>Sheet1!W2</f>
        <v>19.600000000000001</v>
      </c>
    </row>
    <row r="3" spans="1:20" ht="20.100000000000001" customHeight="1" x14ac:dyDescent="0.15">
      <c r="A3" s="39"/>
      <c r="B3" s="2" t="s">
        <v>126</v>
      </c>
      <c r="C3" s="15">
        <f t="shared" ref="C3:C20" si="0">IF(ISNUMBER(FIND($B3,$J$10,1)),$F3,0)</f>
        <v>2</v>
      </c>
      <c r="D3" s="29">
        <f>LOOKUP(SUM(LEN(SUBSTITUTE(K3,MID(K3,{1,2,3,4,5},1),))),{8,12,14,16,18,20;5,10,20,30,60,120})</f>
        <v>30</v>
      </c>
      <c r="E3" s="15">
        <f t="shared" ref="E3:E20" si="1">IF(ISNUMBER(FIND($B3,J$19,1)),$F3,0)</f>
        <v>2</v>
      </c>
      <c r="F3" s="1">
        <v>2</v>
      </c>
      <c r="G3" s="37"/>
      <c r="H3" s="37"/>
      <c r="I3" s="6" t="s">
        <v>7</v>
      </c>
      <c r="J3" s="10" t="s">
        <v>189</v>
      </c>
      <c r="K3" s="35">
        <v>81158</v>
      </c>
      <c r="L3" s="8">
        <f>IF(AND(ISNUMBER(FIND(MID($K$2,2,1),J3,1)),LEN($K$2)&lt;&gt;0),1,0)</f>
        <v>1</v>
      </c>
      <c r="M3" s="37"/>
      <c r="N3" s="37"/>
      <c r="O3" s="38"/>
      <c r="P3" s="37"/>
      <c r="Q3" s="29">
        <f>LEN(SUBSTITUTE(J3,",",))</f>
        <v>3</v>
      </c>
      <c r="R3" s="37"/>
      <c r="S3" s="37"/>
    </row>
    <row r="4" spans="1:20" ht="20.100000000000001" customHeight="1" x14ac:dyDescent="0.15">
      <c r="A4" s="39"/>
      <c r="B4" s="2" t="s">
        <v>127</v>
      </c>
      <c r="C4" s="15">
        <f t="shared" si="0"/>
        <v>0</v>
      </c>
      <c r="D4" s="31" t="s">
        <v>310</v>
      </c>
      <c r="E4" s="15">
        <f t="shared" si="1"/>
        <v>0</v>
      </c>
      <c r="F4" s="1">
        <v>3</v>
      </c>
      <c r="G4" s="37"/>
      <c r="H4" s="37"/>
      <c r="I4" s="6" t="s">
        <v>8</v>
      </c>
      <c r="J4" s="10" t="s">
        <v>190</v>
      </c>
      <c r="K4" s="35">
        <v>81158</v>
      </c>
      <c r="L4" s="8">
        <f>IF(AND(ISNUMBER(FIND(MID($K$2,3,1),J4,1)),LEN($K$2)&lt;&gt;0),1,0)</f>
        <v>1</v>
      </c>
      <c r="M4" s="37"/>
      <c r="N4" s="37"/>
      <c r="O4" s="38"/>
      <c r="P4" s="37"/>
      <c r="Q4" s="29">
        <f>LEN(SUBSTITUTE(J4,",",))</f>
        <v>2</v>
      </c>
      <c r="R4" s="37"/>
      <c r="S4" s="37"/>
    </row>
    <row r="5" spans="1:20" ht="20.100000000000001" customHeight="1" x14ac:dyDescent="0.15">
      <c r="A5" s="39"/>
      <c r="B5" s="2" t="s">
        <v>128</v>
      </c>
      <c r="C5" s="15">
        <f t="shared" si="0"/>
        <v>0</v>
      </c>
      <c r="D5" s="29">
        <f>LOOKUP(SUM(LEN(SUBSTITUTE(K5,MID(K5,{1,2,3},1),))),{8,6;3,6})</f>
        <v>6</v>
      </c>
      <c r="E5" s="15">
        <f t="shared" si="1"/>
        <v>0</v>
      </c>
      <c r="F5" s="1">
        <v>4</v>
      </c>
      <c r="G5" s="37"/>
      <c r="H5" s="37"/>
      <c r="I5" s="6" t="s">
        <v>11</v>
      </c>
      <c r="J5" s="10" t="s">
        <v>191</v>
      </c>
      <c r="K5" s="35">
        <v>81158</v>
      </c>
      <c r="L5" s="8">
        <f>IF(AND(ISNUMBER(FIND(MID($K$2,4,1),J5,1)),LEN($K$2)&lt;&gt;0),1,0)</f>
        <v>1</v>
      </c>
      <c r="M5" s="37"/>
      <c r="N5" s="37"/>
      <c r="O5" s="38"/>
      <c r="P5" s="37"/>
      <c r="Q5" s="29">
        <f>LEN(SUBSTITUTE(J5,",",))</f>
        <v>2</v>
      </c>
      <c r="R5" s="37"/>
      <c r="S5" s="37"/>
    </row>
    <row r="6" spans="1:20" ht="20.100000000000001" customHeight="1" x14ac:dyDescent="0.15">
      <c r="A6" s="39"/>
      <c r="B6" s="2" t="s">
        <v>129</v>
      </c>
      <c r="C6" s="15">
        <f t="shared" si="0"/>
        <v>0</v>
      </c>
      <c r="E6" s="15">
        <f t="shared" si="1"/>
        <v>0</v>
      </c>
      <c r="F6" s="1">
        <v>5</v>
      </c>
      <c r="G6" s="37"/>
      <c r="H6" s="37"/>
      <c r="I6" s="6" t="s">
        <v>12</v>
      </c>
      <c r="J6" s="10" t="s">
        <v>192</v>
      </c>
      <c r="K6" s="35">
        <v>81158</v>
      </c>
      <c r="L6" s="8">
        <f>IF(AND(ISNUMBER(FIND(RIGHT($K$2,1),J6,1)),LEN($K$2)&lt;&gt;0),1,0)</f>
        <v>0</v>
      </c>
      <c r="M6" s="37"/>
      <c r="N6" s="37"/>
      <c r="O6" s="38"/>
      <c r="P6" s="37"/>
      <c r="Q6" s="29">
        <f>LEN(SUBSTITUTE(J6,",",))</f>
        <v>2</v>
      </c>
      <c r="R6" s="37"/>
      <c r="S6" s="37"/>
    </row>
    <row r="7" spans="1:20" ht="20.100000000000001" customHeight="1" x14ac:dyDescent="0.15">
      <c r="A7" s="39"/>
      <c r="B7" s="2" t="s">
        <v>130</v>
      </c>
      <c r="C7" s="15">
        <f t="shared" si="0"/>
        <v>6</v>
      </c>
      <c r="E7" s="15">
        <f t="shared" si="1"/>
        <v>0</v>
      </c>
      <c r="F7" s="1">
        <v>6</v>
      </c>
      <c r="G7" s="37" t="s">
        <v>13</v>
      </c>
      <c r="H7" s="37" t="s">
        <v>14</v>
      </c>
      <c r="I7" s="6" t="s">
        <v>6</v>
      </c>
      <c r="J7" s="10" t="s">
        <v>296</v>
      </c>
      <c r="K7" s="35">
        <v>81158</v>
      </c>
      <c r="L7" s="8">
        <f>IF(AND(ISNUMBER(FIND(LEFT($K$2,1),J7,1)),LEN($K$2)&lt;&gt;0),1,0)</f>
        <v>1</v>
      </c>
      <c r="M7" s="37">
        <f ca="1">IF(SUM(L7:L8)=2,1,0)*S7*R7</f>
        <v>784</v>
      </c>
      <c r="N7" s="37">
        <f ca="1">M7/S7/R7</f>
        <v>1</v>
      </c>
      <c r="O7" s="38" t="str">
        <f>TRIM(IF(LEN($J7)=0,"-",SUBSTITUTE($J7,","," ")))&amp;","&amp;TRIM(IF(LEN($J8)=0,"-",SUBSTITUTE($J8,","," ")))</f>
        <v>0 1 2 8,3 4 5 6 1</v>
      </c>
      <c r="P7" s="37">
        <f ca="1">Q7*2*R7</f>
        <v>160</v>
      </c>
      <c r="Q7" s="37">
        <f>LEN(SUBSTITUTE(J7,",",))*LEN(SUBSTITUTE(J8,",",))</f>
        <v>20</v>
      </c>
      <c r="R7" s="37">
        <f t="shared" ref="R7:R66" ca="1" si="2">RANDBETWEEN(1,4)</f>
        <v>4</v>
      </c>
      <c r="S7" s="37">
        <f>Sheet1!W3</f>
        <v>196</v>
      </c>
    </row>
    <row r="8" spans="1:20" ht="20.100000000000001" customHeight="1" x14ac:dyDescent="0.15">
      <c r="A8" s="39"/>
      <c r="B8" s="2" t="s">
        <v>131</v>
      </c>
      <c r="C8" s="15">
        <f t="shared" si="0"/>
        <v>0</v>
      </c>
      <c r="E8" s="15">
        <f t="shared" si="1"/>
        <v>7</v>
      </c>
      <c r="F8" s="1">
        <v>7</v>
      </c>
      <c r="G8" s="37"/>
      <c r="H8" s="37"/>
      <c r="I8" s="6" t="s">
        <v>7</v>
      </c>
      <c r="J8" s="10" t="s">
        <v>293</v>
      </c>
      <c r="K8" s="35">
        <v>81158</v>
      </c>
      <c r="L8" s="7">
        <f>IF(AND(ISNUMBER(FIND(MID($K$2,2,1),J8,1)),LEN($K$2)&lt;&gt;0),1,0)</f>
        <v>1</v>
      </c>
      <c r="M8" s="37"/>
      <c r="N8" s="37"/>
      <c r="O8" s="38"/>
      <c r="P8" s="37"/>
      <c r="Q8" s="37"/>
      <c r="R8" s="37"/>
      <c r="S8" s="37"/>
    </row>
    <row r="9" spans="1:20" ht="20.100000000000001" customHeight="1" x14ac:dyDescent="0.15">
      <c r="A9" s="39"/>
      <c r="B9" s="2" t="s">
        <v>132</v>
      </c>
      <c r="C9" s="15">
        <f t="shared" si="0"/>
        <v>0</v>
      </c>
      <c r="E9" s="15">
        <f t="shared" si="1"/>
        <v>8</v>
      </c>
      <c r="F9" s="1">
        <v>8</v>
      </c>
      <c r="G9" s="37"/>
      <c r="H9" s="6" t="s">
        <v>15</v>
      </c>
      <c r="I9" s="6" t="s">
        <v>16</v>
      </c>
      <c r="J9" s="10" t="s">
        <v>294</v>
      </c>
      <c r="K9" s="35">
        <v>81158</v>
      </c>
      <c r="L9" s="7" t="b">
        <f>ISNUMBER(FIND(","&amp;LEFT(K$2,2),J9))</f>
        <v>1</v>
      </c>
      <c r="M9" s="32">
        <f ca="1">N(L9)*R9*S9</f>
        <v>784</v>
      </c>
      <c r="N9" s="32">
        <f ca="1">M9/S9/R9</f>
        <v>1</v>
      </c>
      <c r="O9" s="9" t="str">
        <f t="shared" ref="O9:O14" si="3">TRIM(IF(LEN($J9)=0,"-",SUBSTITUTE($J9,","," ")))</f>
        <v>23 98 47 81</v>
      </c>
      <c r="P9" s="29">
        <f ca="1">Q9*R9*2</f>
        <v>32</v>
      </c>
      <c r="Q9" s="36">
        <f>FINDNUMBER(J9,2)</f>
        <v>4</v>
      </c>
      <c r="R9" s="29">
        <f t="shared" ca="1" si="2"/>
        <v>4</v>
      </c>
      <c r="S9" s="29">
        <f>Sheet1!W4</f>
        <v>196</v>
      </c>
    </row>
    <row r="10" spans="1:20" ht="20.100000000000001" customHeight="1" x14ac:dyDescent="0.15">
      <c r="A10" s="39"/>
      <c r="B10" s="2" t="s">
        <v>133</v>
      </c>
      <c r="C10" s="15">
        <f t="shared" si="0"/>
        <v>9</v>
      </c>
      <c r="E10" s="15">
        <f t="shared" si="1"/>
        <v>0</v>
      </c>
      <c r="F10" s="1">
        <v>9</v>
      </c>
      <c r="G10" s="37"/>
      <c r="H10" s="6" t="s">
        <v>17</v>
      </c>
      <c r="I10" s="6" t="s">
        <v>18</v>
      </c>
      <c r="J10" s="10" t="s">
        <v>295</v>
      </c>
      <c r="K10" s="35">
        <v>81158</v>
      </c>
      <c r="L10" s="7" t="b">
        <f>ISNUMBER(FIND(","&amp;SUM(MID(K$2,1,1),MID(K$2,2,1)),J10,1))</f>
        <v>1</v>
      </c>
      <c r="M10" s="32">
        <f ca="1">N(L10)*R10*S10</f>
        <v>784</v>
      </c>
      <c r="N10" s="32">
        <f t="shared" ref="N10:N15" ca="1" si="4">M10/S10/R10</f>
        <v>1</v>
      </c>
      <c r="O10" s="11" t="str">
        <f t="shared" si="3"/>
        <v>1 5 8 9，14 15 18</v>
      </c>
      <c r="P10" s="29">
        <f t="shared" ref="P10:P11" ca="1" si="5">Q10*R10*2</f>
        <v>176</v>
      </c>
      <c r="Q10" s="29">
        <f>SUM(C$2:C$20)</f>
        <v>22</v>
      </c>
      <c r="R10" s="29">
        <f t="shared" ca="1" si="2"/>
        <v>4</v>
      </c>
      <c r="S10" s="29">
        <f>Sheet1!W5</f>
        <v>196</v>
      </c>
    </row>
    <row r="11" spans="1:20" ht="20.100000000000001" customHeight="1" x14ac:dyDescent="0.15">
      <c r="A11" s="39"/>
      <c r="B11" s="2" t="s">
        <v>134</v>
      </c>
      <c r="C11" s="15">
        <f t="shared" si="0"/>
        <v>0</v>
      </c>
      <c r="E11" s="15">
        <f t="shared" si="1"/>
        <v>10</v>
      </c>
      <c r="F11" s="1">
        <v>10</v>
      </c>
      <c r="G11" s="37"/>
      <c r="H11" s="6" t="s">
        <v>19</v>
      </c>
      <c r="I11" s="6" t="s">
        <v>19</v>
      </c>
      <c r="J11" s="9" t="s">
        <v>124</v>
      </c>
      <c r="K11" s="35">
        <v>81158</v>
      </c>
      <c r="L11" s="8" t="b">
        <f>ISNUMBER(FIND(MAX(LEFT(K$2,1),MID(K$2,2,1))-MIN(LEFT(K$2,1),MID(K$2,2,1)),J11,1))</f>
        <v>1</v>
      </c>
      <c r="M11" s="32">
        <f ca="1">N(L11)*R11*S11</f>
        <v>392</v>
      </c>
      <c r="N11" s="32">
        <f t="shared" ca="1" si="4"/>
        <v>1</v>
      </c>
      <c r="O11" s="11" t="str">
        <f t="shared" si="3"/>
        <v>0 1 2 7 8 9</v>
      </c>
      <c r="P11" s="29">
        <f t="shared" ca="1" si="5"/>
        <v>224</v>
      </c>
      <c r="Q11" s="29">
        <f>SUM(C$21:C$30)</f>
        <v>56</v>
      </c>
      <c r="R11" s="29">
        <f t="shared" ca="1" si="2"/>
        <v>2</v>
      </c>
      <c r="S11" s="29">
        <f>Sheet1!W6</f>
        <v>196</v>
      </c>
    </row>
    <row r="12" spans="1:20" ht="20.100000000000001" customHeight="1" x14ac:dyDescent="0.15">
      <c r="A12" s="39"/>
      <c r="B12" s="2" t="s">
        <v>135</v>
      </c>
      <c r="C12" s="15">
        <f t="shared" si="0"/>
        <v>0</v>
      </c>
      <c r="E12" s="15">
        <f t="shared" si="1"/>
        <v>9</v>
      </c>
      <c r="F12" s="1">
        <v>9</v>
      </c>
      <c r="G12" s="37"/>
      <c r="H12" s="6" t="s">
        <v>21</v>
      </c>
      <c r="I12" s="6" t="s">
        <v>20</v>
      </c>
      <c r="J12" s="9" t="s">
        <v>175</v>
      </c>
      <c r="K12" s="35">
        <v>81158</v>
      </c>
      <c r="L12" s="7" t="b">
        <f>IF(LEFT(K2,1)&lt;&gt;MID(K2,2,1),IF(IF(ISNUMBER(FIND(LEFT(K2,1),J12,1)),1,0)+IF(ISNUMBER(FIND(MID(K2,2,1),J12,1)),1,0)=2,TRUE,FALSE),FALSE)</f>
        <v>1</v>
      </c>
      <c r="M12" s="32">
        <f ca="1">IF(LEFT(K2,1)&lt;&gt;MID(K2,2,1),IF(IF(ISNUMBER(FIND(LEFT(K2,1),J12,1)),1,0)+IF(ISNUMBER(FIND(MID(K2,2,1),J12,1)),1,0)=2,R12*S12,0),0)</f>
        <v>196</v>
      </c>
      <c r="N12" s="32">
        <f t="shared" ca="1" si="4"/>
        <v>1</v>
      </c>
      <c r="O12" s="11" t="str">
        <f t="shared" si="3"/>
        <v>0 1 2 7 8 9</v>
      </c>
      <c r="P12" s="29">
        <f ca="1">Q12*R12*2</f>
        <v>60</v>
      </c>
      <c r="Q12" s="29">
        <f>COMBIN(LEN(SUBSTITUTE(J12,",",)),2)</f>
        <v>15</v>
      </c>
      <c r="R12" s="29">
        <f t="shared" ca="1" si="2"/>
        <v>2</v>
      </c>
      <c r="S12" s="29">
        <f>Sheet1!W7</f>
        <v>98</v>
      </c>
    </row>
    <row r="13" spans="1:20" ht="20.100000000000001" customHeight="1" x14ac:dyDescent="0.15">
      <c r="A13" s="39"/>
      <c r="B13" s="2" t="s">
        <v>136</v>
      </c>
      <c r="C13" s="15">
        <f t="shared" si="0"/>
        <v>0</v>
      </c>
      <c r="E13" s="15">
        <f t="shared" si="1"/>
        <v>8</v>
      </c>
      <c r="F13" s="1">
        <v>8</v>
      </c>
      <c r="G13" s="37"/>
      <c r="H13" s="6" t="s">
        <v>22</v>
      </c>
      <c r="I13" s="6" t="s">
        <v>16</v>
      </c>
      <c r="J13" s="10" t="s">
        <v>297</v>
      </c>
      <c r="K13" s="35">
        <v>81158</v>
      </c>
      <c r="M13" s="32">
        <f ca="1">IF(EXACT(LEFT(K2,1),MID(K2,2,1)),0,IF(OR(ISNUMBER(FIND(","&amp;LEFT(K2,2)&amp;",",J13,1)),ISNUMBER(FIND(","&amp;MID(K2,2,1)&amp;LEFT(K2,1)&amp;",",J13,1))),R13*S13,0))</f>
        <v>196</v>
      </c>
      <c r="N13" s="32">
        <f t="shared" ca="1" si="4"/>
        <v>1</v>
      </c>
      <c r="O13" s="11" t="str">
        <f t="shared" si="3"/>
        <v>01 02 03 18</v>
      </c>
      <c r="P13" s="29">
        <f ca="1">Q13*R13*2</f>
        <v>16</v>
      </c>
      <c r="Q13" s="36">
        <f>FINDNUMBER(J13,2)</f>
        <v>4</v>
      </c>
      <c r="R13" s="29">
        <f t="shared" ca="1" si="2"/>
        <v>2</v>
      </c>
      <c r="S13" s="29">
        <f>Sheet1!W8</f>
        <v>98</v>
      </c>
    </row>
    <row r="14" spans="1:20" ht="20.100000000000001" customHeight="1" x14ac:dyDescent="0.15">
      <c r="A14" s="39"/>
      <c r="B14" s="2" t="s">
        <v>137</v>
      </c>
      <c r="C14" s="15">
        <f t="shared" si="0"/>
        <v>0</v>
      </c>
      <c r="E14" s="15">
        <f t="shared" si="1"/>
        <v>0</v>
      </c>
      <c r="F14" s="1">
        <v>7</v>
      </c>
      <c r="G14" s="37"/>
      <c r="H14" s="6" t="s">
        <v>23</v>
      </c>
      <c r="I14" s="6" t="s">
        <v>18</v>
      </c>
      <c r="J14" s="10" t="s">
        <v>298</v>
      </c>
      <c r="K14" s="35">
        <v>81158</v>
      </c>
      <c r="M14" s="32">
        <f ca="1">IF(LEFT(K14,1)&lt;&gt;MID(K14,2,1),IF(ISNUMBER(FIND(","&amp;SUM(LEFT(K14,1),MID(K14,2,1))&amp;",",J14,1)),R14*S14,0),0)</f>
        <v>294</v>
      </c>
      <c r="N14" s="32">
        <f t="shared" ca="1" si="4"/>
        <v>1</v>
      </c>
      <c r="O14" s="11" t="str">
        <f t="shared" si="3"/>
        <v>1 2 3 8 14 15 9</v>
      </c>
      <c r="P14" s="29">
        <f t="shared" ref="P14:P15" ca="1" si="6">Q14*R14*2</f>
        <v>102</v>
      </c>
      <c r="Q14" s="29">
        <f>SUM(C$31:C$47)</f>
        <v>17</v>
      </c>
      <c r="R14" s="29">
        <f t="shared" ca="1" si="2"/>
        <v>3</v>
      </c>
      <c r="S14" s="29">
        <f>Sheet1!W9</f>
        <v>98</v>
      </c>
    </row>
    <row r="15" spans="1:20" ht="20.100000000000001" customHeight="1" x14ac:dyDescent="0.15">
      <c r="A15" s="39"/>
      <c r="B15" s="2" t="s">
        <v>138</v>
      </c>
      <c r="C15" s="15">
        <f t="shared" si="0"/>
        <v>0</v>
      </c>
      <c r="E15" s="15">
        <f t="shared" si="1"/>
        <v>0</v>
      </c>
      <c r="F15" s="1">
        <v>6</v>
      </c>
      <c r="G15" s="37"/>
      <c r="H15" s="6" t="s">
        <v>24</v>
      </c>
      <c r="I15" s="6" t="s">
        <v>25</v>
      </c>
      <c r="J15" s="31" t="s">
        <v>299</v>
      </c>
      <c r="K15" s="35">
        <v>81158</v>
      </c>
      <c r="M15" s="32">
        <f ca="1">IF(AND(OR(ISNUMBER(FIND(LEFT(K15,1),J15,1)),ISNUMBER(FIND(MID(K15,2,1),J15,1))),LEFT(K15,1)&lt;&gt;MID(K15,2,1)),R15*S15,0)</f>
        <v>294</v>
      </c>
      <c r="N15" s="32">
        <f t="shared" ca="1" si="4"/>
        <v>1</v>
      </c>
      <c r="O15" s="11" t="str">
        <f>TRIM(IF(LEN($J15)=0,"-",SUBSTITUTE($J15,","," ")))</f>
        <v>1</v>
      </c>
      <c r="P15" s="29">
        <f t="shared" ca="1" si="6"/>
        <v>54</v>
      </c>
      <c r="Q15" s="29">
        <v>9</v>
      </c>
      <c r="R15" s="29">
        <f t="shared" ca="1" si="2"/>
        <v>3</v>
      </c>
      <c r="S15" s="29">
        <f>Sheet1!W10</f>
        <v>98</v>
      </c>
    </row>
    <row r="16" spans="1:20" ht="20.100000000000001" customHeight="1" x14ac:dyDescent="0.15">
      <c r="A16" s="39"/>
      <c r="B16" s="2" t="s">
        <v>139</v>
      </c>
      <c r="C16" s="15">
        <f t="shared" si="0"/>
        <v>0</v>
      </c>
      <c r="E16" s="15">
        <f t="shared" si="1"/>
        <v>0</v>
      </c>
      <c r="F16" s="1">
        <v>5</v>
      </c>
      <c r="G16" s="37" t="s">
        <v>26</v>
      </c>
      <c r="H16" s="37" t="s">
        <v>14</v>
      </c>
      <c r="I16" s="6" t="s">
        <v>104</v>
      </c>
      <c r="J16" s="10" t="s">
        <v>185</v>
      </c>
      <c r="K16" s="35">
        <v>81158</v>
      </c>
      <c r="L16" s="30">
        <f>IF(AND(ISNUMBER(FIND(LEFT($K$2,1),J16,1)),LEN($K$2)&lt;&gt;0),1,0)</f>
        <v>1</v>
      </c>
      <c r="M16" s="37">
        <f ca="1">IF(SUM(L16:L17)=2,1,0)*S16*R16</f>
        <v>392</v>
      </c>
      <c r="N16" s="37">
        <f ca="1">M16/S16/R16</f>
        <v>1</v>
      </c>
      <c r="O16" s="38" t="str">
        <f>TRIM(IF(LEN($J16)=0,"-",SUBSTITUTE($J16,","," ")))&amp;","&amp;TRIM(IF(LEN($J17)=0,"-",SUBSTITUTE($J17,","," ")))</f>
        <v>1 2 8 9,2 3 4 1</v>
      </c>
      <c r="P16" s="37">
        <f ca="1">Q16*2*R16</f>
        <v>64</v>
      </c>
      <c r="Q16" s="37">
        <f>LEN(SUBSTITUTE(J16,",",))*LEN(SUBSTITUTE(J17,",",))</f>
        <v>16</v>
      </c>
      <c r="R16" s="37">
        <f t="shared" ca="1" si="2"/>
        <v>2</v>
      </c>
      <c r="S16" s="37">
        <f>Sheet1!W11</f>
        <v>196</v>
      </c>
    </row>
    <row r="17" spans="1:19" ht="20.100000000000001" customHeight="1" x14ac:dyDescent="0.15">
      <c r="A17" s="39"/>
      <c r="B17" s="2" t="s">
        <v>140</v>
      </c>
      <c r="C17" s="15">
        <f t="shared" si="0"/>
        <v>4</v>
      </c>
      <c r="E17" s="15">
        <f t="shared" si="1"/>
        <v>0</v>
      </c>
      <c r="F17" s="1">
        <v>4</v>
      </c>
      <c r="G17" s="37"/>
      <c r="H17" s="37"/>
      <c r="I17" s="6" t="s">
        <v>105</v>
      </c>
      <c r="J17" s="10" t="s">
        <v>301</v>
      </c>
      <c r="K17" s="35">
        <v>81158</v>
      </c>
      <c r="L17" s="29">
        <f>IF(AND(ISNUMBER(FIND(MID($K$2,2,1),J17,1)),LEN($K$2)&lt;&gt;0),1,0)</f>
        <v>1</v>
      </c>
      <c r="M17" s="37"/>
      <c r="N17" s="37"/>
      <c r="O17" s="38"/>
      <c r="P17" s="37"/>
      <c r="Q17" s="37"/>
      <c r="R17" s="37"/>
      <c r="S17" s="37"/>
    </row>
    <row r="18" spans="1:19" ht="20.100000000000001" customHeight="1" x14ac:dyDescent="0.15">
      <c r="A18" s="39"/>
      <c r="B18" s="2" t="s">
        <v>141</v>
      </c>
      <c r="C18" s="15">
        <f t="shared" si="0"/>
        <v>0</v>
      </c>
      <c r="E18" s="15">
        <f t="shared" si="1"/>
        <v>0</v>
      </c>
      <c r="F18" s="1">
        <v>3</v>
      </c>
      <c r="G18" s="37"/>
      <c r="H18" s="6" t="s">
        <v>15</v>
      </c>
      <c r="I18" s="6" t="s">
        <v>16</v>
      </c>
      <c r="J18" s="16" t="s">
        <v>404</v>
      </c>
      <c r="K18" s="35">
        <v>81158</v>
      </c>
      <c r="L18" s="29" t="b">
        <f>ISNUMBER(FIND(","&amp;LEFT(K$2,2),J18))</f>
        <v>1</v>
      </c>
      <c r="M18" s="32">
        <f ca="1">N(L18)*R18*S18</f>
        <v>196</v>
      </c>
      <c r="N18" s="32">
        <f t="shared" ref="N18:N24" ca="1" si="7">M18/S18/R18</f>
        <v>1</v>
      </c>
      <c r="O18" s="11" t="str">
        <f>TRIM(IF(LEN($J18)=0,"-",SUBSTITUTE($J18,","," ")))</f>
        <v>12 12 13 21 81</v>
      </c>
      <c r="P18" s="29">
        <f ca="1">Q18*R18*2</f>
        <v>8</v>
      </c>
      <c r="Q18" s="36">
        <f>FINDNUMBER(J18,2)</f>
        <v>4</v>
      </c>
      <c r="R18" s="29">
        <f t="shared" ca="1" si="2"/>
        <v>1</v>
      </c>
      <c r="S18" s="29">
        <f>Sheet1!W12</f>
        <v>196</v>
      </c>
    </row>
    <row r="19" spans="1:19" ht="20.100000000000001" customHeight="1" x14ac:dyDescent="0.15">
      <c r="A19" s="39"/>
      <c r="B19" s="2" t="s">
        <v>142</v>
      </c>
      <c r="C19" s="15">
        <f t="shared" si="0"/>
        <v>0</v>
      </c>
      <c r="E19" s="15">
        <f t="shared" si="1"/>
        <v>2</v>
      </c>
      <c r="F19" s="1">
        <v>2</v>
      </c>
      <c r="G19" s="37"/>
      <c r="H19" s="6" t="s">
        <v>17</v>
      </c>
      <c r="I19" s="6" t="s">
        <v>18</v>
      </c>
      <c r="J19" s="10" t="s">
        <v>302</v>
      </c>
      <c r="K19" s="35">
        <v>81158</v>
      </c>
      <c r="L19" s="29" t="b">
        <f>ISNUMBER(FIND(","&amp;SUM(MID(K$2,1,1),MID(K$2,2,1)),J19,1))</f>
        <v>1</v>
      </c>
      <c r="M19" s="32">
        <f ca="1">N(L19)*R19*S19</f>
        <v>588</v>
      </c>
      <c r="N19" s="32">
        <f t="shared" ca="1" si="7"/>
        <v>1</v>
      </c>
      <c r="O19" s="11" t="str">
        <f>TRIM(IF(LEN($J19)=0,"-",SUBSTITUTE($J19,","," ")))</f>
        <v>0 1 6 7 10 11 17 9</v>
      </c>
      <c r="P19" s="29">
        <f t="shared" ref="P19:P20" ca="1" si="8">Q19*R19*2</f>
        <v>282</v>
      </c>
      <c r="Q19" s="29">
        <f>SUM(E$2:E$20)</f>
        <v>47</v>
      </c>
      <c r="R19" s="29">
        <f t="shared" ca="1" si="2"/>
        <v>3</v>
      </c>
      <c r="S19" s="29">
        <f>Sheet1!W13</f>
        <v>196</v>
      </c>
    </row>
    <row r="20" spans="1:19" ht="20.100000000000001" customHeight="1" x14ac:dyDescent="0.15">
      <c r="A20" s="39"/>
      <c r="B20" s="2" t="s">
        <v>143</v>
      </c>
      <c r="C20" s="15">
        <f t="shared" si="0"/>
        <v>1</v>
      </c>
      <c r="E20" s="15">
        <f t="shared" si="1"/>
        <v>0</v>
      </c>
      <c r="F20" s="1">
        <v>1</v>
      </c>
      <c r="G20" s="37"/>
      <c r="H20" s="6" t="s">
        <v>19</v>
      </c>
      <c r="I20" s="6" t="s">
        <v>19</v>
      </c>
      <c r="J20" s="16" t="s">
        <v>193</v>
      </c>
      <c r="K20" s="35">
        <v>81158</v>
      </c>
      <c r="L20" s="30" t="b">
        <f>ISNUMBER(FIND(MAX(LEFT(K$2,1),MID(K$2,2,1))-MIN(LEFT(K$2,1),MID(K$2,2,1)),J20,1))</f>
        <v>1</v>
      </c>
      <c r="M20" s="32">
        <f ca="1">N(L20)*R20*S20</f>
        <v>588</v>
      </c>
      <c r="N20" s="32">
        <f t="shared" ca="1" si="7"/>
        <v>1</v>
      </c>
      <c r="O20" s="11" t="str">
        <f>TRIM(IF(LEN($J20)=0,"-",SUBSTITUTE($J20,","," ")))</f>
        <v>0 2 3 5 6 7 9</v>
      </c>
      <c r="P20" s="29">
        <f t="shared" ca="1" si="8"/>
        <v>396</v>
      </c>
      <c r="Q20" s="29">
        <f>SUM(E$21:E$30)</f>
        <v>66</v>
      </c>
      <c r="R20" s="29">
        <f t="shared" ca="1" si="2"/>
        <v>3</v>
      </c>
      <c r="S20" s="29">
        <f>Sheet1!W14</f>
        <v>196</v>
      </c>
    </row>
    <row r="21" spans="1:19" ht="20.100000000000001" customHeight="1" x14ac:dyDescent="0.15">
      <c r="A21" s="39" t="s">
        <v>119</v>
      </c>
      <c r="B21" s="2" t="s">
        <v>144</v>
      </c>
      <c r="C21" s="17">
        <f>IF(ISNUMBER(FIND($B21,$J$11,1)),$F21,0)</f>
        <v>10</v>
      </c>
      <c r="E21" s="17">
        <f>IF(ISNUMBER(FIND($B21,J$20,1)),$F21,0)</f>
        <v>10</v>
      </c>
      <c r="F21" s="1">
        <v>10</v>
      </c>
      <c r="G21" s="37"/>
      <c r="H21" s="6" t="s">
        <v>21</v>
      </c>
      <c r="I21" s="6" t="s">
        <v>20</v>
      </c>
      <c r="J21" s="16" t="s">
        <v>194</v>
      </c>
      <c r="K21" s="35">
        <v>81158</v>
      </c>
      <c r="L21" s="29" t="b">
        <f>IF(LEFT(K11,1)&lt;&gt;MID(K11,2,1),IF(IF(ISNUMBER(FIND(LEFT(K11,1),J21,1)),1,0)+IF(ISNUMBER(FIND(MID(K11,2,1),J21,1)),1,0)=2,TRUE,FALSE),FALSE)</f>
        <v>1</v>
      </c>
      <c r="M21" s="32">
        <f ca="1">IF(LEFT(K11,1)&lt;&gt;MID(K11,2,1),IF(IF(ISNUMBER(FIND(LEFT(K11,1),J21,1)),1,0)+IF(ISNUMBER(FIND(MID(K11,2,1),J21,1)),1,0)=2,R21*S21,0),0)</f>
        <v>98</v>
      </c>
      <c r="N21" s="32">
        <f t="shared" ca="1" si="7"/>
        <v>1</v>
      </c>
      <c r="O21" s="26" t="str">
        <f t="shared" ref="O21:O24" si="9">TRIM(IF(LEN($J21)=0,"-",SUBSTITUTE($J21,","," ")))</f>
        <v>0 1 2 7 8 9</v>
      </c>
      <c r="P21" s="29">
        <f ca="1">Q21*R21*2</f>
        <v>30</v>
      </c>
      <c r="Q21" s="29">
        <f>COMBIN(LEN(SUBSTITUTE(J21,",",)),2)</f>
        <v>15</v>
      </c>
      <c r="R21" s="29">
        <f t="shared" ca="1" si="2"/>
        <v>1</v>
      </c>
      <c r="S21" s="29">
        <f>Sheet1!W15</f>
        <v>98</v>
      </c>
    </row>
    <row r="22" spans="1:19" ht="20.100000000000001" customHeight="1" x14ac:dyDescent="0.15">
      <c r="A22" s="39"/>
      <c r="B22" s="2" t="s">
        <v>145</v>
      </c>
      <c r="C22" s="17">
        <f t="shared" ref="C22:C30" si="10">IF(ISNUMBER(FIND($B22,$J$11,1)),$F22,0)</f>
        <v>18</v>
      </c>
      <c r="E22" s="17">
        <f t="shared" ref="E22:E30" si="11">IF(ISNUMBER(FIND($B22,J$20,1)),$F22,0)</f>
        <v>0</v>
      </c>
      <c r="F22" s="1">
        <v>18</v>
      </c>
      <c r="G22" s="37"/>
      <c r="H22" s="6" t="s">
        <v>22</v>
      </c>
      <c r="I22" s="6" t="s">
        <v>16</v>
      </c>
      <c r="J22" s="31" t="s">
        <v>300</v>
      </c>
      <c r="K22" s="35">
        <v>81158</v>
      </c>
      <c r="M22" s="32">
        <f ca="1">IF(EXACT(LEFT(K11,1),MID(K11,2,1)),0,IF(OR(ISNUMBER(FIND(","&amp;LEFT(K11,2)&amp;",",J22,1)),ISNUMBER(FIND(","&amp;MID(K11,2,1)&amp;LEFT(K11,1)&amp;",",J22,1))),R22*S22,0))</f>
        <v>196</v>
      </c>
      <c r="N22" s="32">
        <f t="shared" ca="1" si="7"/>
        <v>1</v>
      </c>
      <c r="O22" s="26" t="str">
        <f t="shared" si="9"/>
        <v>15 58 68 96 18</v>
      </c>
      <c r="P22" s="29">
        <f ca="1">Q22*R22*2</f>
        <v>20</v>
      </c>
      <c r="Q22" s="36">
        <f>FINDNUMBER(J22,2)</f>
        <v>5</v>
      </c>
      <c r="R22" s="29">
        <f t="shared" ca="1" si="2"/>
        <v>2</v>
      </c>
      <c r="S22" s="29">
        <f>Sheet1!W16</f>
        <v>98</v>
      </c>
    </row>
    <row r="23" spans="1:19" ht="20.100000000000001" customHeight="1" x14ac:dyDescent="0.15">
      <c r="A23" s="39"/>
      <c r="B23" s="2" t="s">
        <v>146</v>
      </c>
      <c r="C23" s="17">
        <f t="shared" si="10"/>
        <v>16</v>
      </c>
      <c r="E23" s="17">
        <f t="shared" si="11"/>
        <v>16</v>
      </c>
      <c r="F23" s="1">
        <v>16</v>
      </c>
      <c r="G23" s="37"/>
      <c r="H23" s="6" t="s">
        <v>23</v>
      </c>
      <c r="I23" s="6" t="s">
        <v>18</v>
      </c>
      <c r="J23" s="16" t="s">
        <v>195</v>
      </c>
      <c r="K23" s="35">
        <v>81158</v>
      </c>
      <c r="M23" s="32">
        <f ca="1">IF(LEFT(K23,1)&lt;&gt;MID(K23,2,1),IF(ISNUMBER(FIND(","&amp;SUM(LEFT(K23,1),MID(K23,2,1))&amp;",",J23,1)),R23*S23,0),0)</f>
        <v>196</v>
      </c>
      <c r="N23" s="32">
        <f t="shared" ca="1" si="7"/>
        <v>1</v>
      </c>
      <c r="O23" s="26" t="str">
        <f t="shared" si="9"/>
        <v>1 2 3 7 8 9 17</v>
      </c>
      <c r="P23" s="29">
        <f t="shared" ref="P23:P24" ca="1" si="12">Q23*R23*2</f>
        <v>72</v>
      </c>
      <c r="Q23" s="29">
        <f>SUM(E$31:E$47)</f>
        <v>18</v>
      </c>
      <c r="R23" s="29">
        <f t="shared" ca="1" si="2"/>
        <v>2</v>
      </c>
      <c r="S23" s="29">
        <f>Sheet1!W17</f>
        <v>98</v>
      </c>
    </row>
    <row r="24" spans="1:19" ht="20.100000000000001" customHeight="1" x14ac:dyDescent="0.15">
      <c r="A24" s="39"/>
      <c r="B24" s="2" t="s">
        <v>147</v>
      </c>
      <c r="C24" s="17">
        <f t="shared" si="10"/>
        <v>0</v>
      </c>
      <c r="E24" s="17">
        <f t="shared" si="11"/>
        <v>14</v>
      </c>
      <c r="F24" s="1">
        <v>14</v>
      </c>
      <c r="G24" s="37"/>
      <c r="H24" s="6" t="s">
        <v>24</v>
      </c>
      <c r="I24" s="6" t="s">
        <v>25</v>
      </c>
      <c r="J24" s="16" t="s">
        <v>196</v>
      </c>
      <c r="K24" s="35">
        <v>81158</v>
      </c>
      <c r="M24" s="32">
        <f ca="1">IF(AND(OR(ISNUMBER(FIND(LEFT(K24,1),J24,1)),ISNUMBER(FIND(MID(K24,2,1),J24,1))),LEFT(K24,1)&lt;&gt;MID(K24,2,1)),R24*S24,0)</f>
        <v>196</v>
      </c>
      <c r="N24" s="32">
        <f t="shared" ca="1" si="7"/>
        <v>1</v>
      </c>
      <c r="O24" s="26" t="str">
        <f t="shared" si="9"/>
        <v>0 1 4 5 6</v>
      </c>
      <c r="P24" s="29">
        <f t="shared" ca="1" si="12"/>
        <v>36</v>
      </c>
      <c r="Q24" s="29">
        <v>9</v>
      </c>
      <c r="R24" s="29">
        <f t="shared" ca="1" si="2"/>
        <v>2</v>
      </c>
      <c r="S24" s="29">
        <f>Sheet1!W18</f>
        <v>98</v>
      </c>
    </row>
    <row r="25" spans="1:19" ht="20.100000000000001" customHeight="1" x14ac:dyDescent="0.15">
      <c r="A25" s="39"/>
      <c r="B25" s="2" t="s">
        <v>148</v>
      </c>
      <c r="C25" s="17">
        <f t="shared" si="10"/>
        <v>0</v>
      </c>
      <c r="E25" s="17">
        <f t="shared" si="11"/>
        <v>0</v>
      </c>
      <c r="F25" s="1">
        <v>12</v>
      </c>
      <c r="G25" s="38" t="s">
        <v>27</v>
      </c>
      <c r="H25" s="37" t="s">
        <v>5</v>
      </c>
      <c r="I25" s="6" t="s">
        <v>6</v>
      </c>
      <c r="J25" s="10" t="s">
        <v>197</v>
      </c>
      <c r="K25" s="35">
        <v>81158</v>
      </c>
      <c r="M25" s="37">
        <f ca="1">IF(AND(ISNUMBER(FIND(LEFT(K25,1),J25,1)),ISNUMBER(FIND(MID(K25,2,1),J26,1)),ISNUMBER(FIND(MID(K25,3,1),J27,1))),R25*S25,0)</f>
        <v>3920</v>
      </c>
      <c r="N25" s="37">
        <f ca="1">M25/S25/R25</f>
        <v>1</v>
      </c>
      <c r="O25" s="40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37">
        <f ca="1">R25*Q25*2</f>
        <v>720</v>
      </c>
      <c r="Q25" s="37">
        <f>LEN(SUBSTITUTE($J$25,",",))*LEN(SUBSTITUTE($J$26,",",))*LEN(SUBSTITUTE($J$27,",",))</f>
        <v>180</v>
      </c>
      <c r="R25" s="37">
        <f t="shared" ca="1" si="2"/>
        <v>2</v>
      </c>
      <c r="S25" s="37">
        <f>Sheet1!W19</f>
        <v>1960</v>
      </c>
    </row>
    <row r="26" spans="1:19" ht="20.100000000000001" customHeight="1" x14ac:dyDescent="0.15">
      <c r="A26" s="39"/>
      <c r="B26" s="2" t="s">
        <v>149</v>
      </c>
      <c r="C26" s="17">
        <f t="shared" si="10"/>
        <v>0</v>
      </c>
      <c r="E26" s="17">
        <f t="shared" si="11"/>
        <v>10</v>
      </c>
      <c r="F26" s="1">
        <v>10</v>
      </c>
      <c r="G26" s="38"/>
      <c r="H26" s="37"/>
      <c r="I26" s="6" t="s">
        <v>7</v>
      </c>
      <c r="J26" s="10" t="s">
        <v>303</v>
      </c>
      <c r="K26" s="35">
        <v>81158</v>
      </c>
      <c r="M26" s="37"/>
      <c r="N26" s="37"/>
      <c r="O26" s="38"/>
      <c r="P26" s="37"/>
      <c r="Q26" s="37"/>
      <c r="R26" s="37"/>
      <c r="S26" s="37"/>
    </row>
    <row r="27" spans="1:19" ht="20.100000000000001" customHeight="1" x14ac:dyDescent="0.15">
      <c r="A27" s="39"/>
      <c r="B27" s="2" t="s">
        <v>150</v>
      </c>
      <c r="C27" s="17">
        <f t="shared" si="10"/>
        <v>0</v>
      </c>
      <c r="E27" s="17">
        <f t="shared" si="11"/>
        <v>8</v>
      </c>
      <c r="F27" s="1">
        <v>8</v>
      </c>
      <c r="G27" s="38"/>
      <c r="H27" s="37"/>
      <c r="I27" s="6" t="s">
        <v>8</v>
      </c>
      <c r="J27" s="10" t="s">
        <v>198</v>
      </c>
      <c r="K27" s="35">
        <v>81158</v>
      </c>
      <c r="M27" s="37"/>
      <c r="N27" s="37"/>
      <c r="O27" s="38"/>
      <c r="P27" s="37"/>
      <c r="Q27" s="37"/>
      <c r="R27" s="37"/>
      <c r="S27" s="37"/>
    </row>
    <row r="28" spans="1:19" ht="20.100000000000001" customHeight="1" x14ac:dyDescent="0.15">
      <c r="A28" s="39"/>
      <c r="B28" s="2" t="s">
        <v>151</v>
      </c>
      <c r="C28" s="17">
        <f t="shared" si="10"/>
        <v>6</v>
      </c>
      <c r="E28" s="17">
        <f t="shared" si="11"/>
        <v>6</v>
      </c>
      <c r="F28" s="1">
        <v>6</v>
      </c>
      <c r="G28" s="38"/>
      <c r="H28" s="6" t="s">
        <v>28</v>
      </c>
      <c r="I28" s="6" t="s">
        <v>16</v>
      </c>
      <c r="J28" s="16" t="s">
        <v>304</v>
      </c>
      <c r="K28" s="35">
        <v>81158</v>
      </c>
      <c r="M28" s="32">
        <f ca="1">IF(ISNUMBER(FIND(","&amp;LEFT(K28,3),J28,1)),R28*S28,0)</f>
        <v>3920</v>
      </c>
      <c r="N28" s="32">
        <f t="shared" ref="N28:N39" ca="1" si="13">M28/S28/R28</f>
        <v>1</v>
      </c>
      <c r="O28" s="26" t="str">
        <f t="shared" ref="O28:O39" si="14">TRIM(IF(LEN($J28)=0,"-",SUBSTITUTE($J28,","," ")))</f>
        <v>123 123 321 801 118 811</v>
      </c>
      <c r="P28" s="29">
        <f t="shared" ref="P28:P38" ca="1" si="15">Q28*R28*2</f>
        <v>20</v>
      </c>
      <c r="Q28" s="29">
        <f>FINDNUMBER(J28,3)</f>
        <v>5</v>
      </c>
      <c r="R28" s="29">
        <f t="shared" ca="1" si="2"/>
        <v>2</v>
      </c>
      <c r="S28" s="29">
        <f>Sheet1!W20</f>
        <v>1960</v>
      </c>
    </row>
    <row r="29" spans="1:19" ht="33" customHeight="1" x14ac:dyDescent="0.15">
      <c r="A29" s="39"/>
      <c r="B29" s="2" t="s">
        <v>152</v>
      </c>
      <c r="C29" s="17">
        <f t="shared" si="10"/>
        <v>4</v>
      </c>
      <c r="E29" s="17">
        <f t="shared" si="11"/>
        <v>0</v>
      </c>
      <c r="F29" s="1">
        <v>4</v>
      </c>
      <c r="G29" s="38"/>
      <c r="H29" s="6" t="s">
        <v>17</v>
      </c>
      <c r="I29" s="6" t="s">
        <v>18</v>
      </c>
      <c r="J29" s="10" t="s">
        <v>305</v>
      </c>
      <c r="K29" s="35">
        <v>81158</v>
      </c>
      <c r="M29" s="32">
        <f ca="1">IF(ISNUMBER(FIND(","&amp;SUM(LEFT(K29,1),MID(K29,2,1),MID(K29,3,1))&amp;",",J29,1)),R29*S29,0)</f>
        <v>7840</v>
      </c>
      <c r="N29" s="32">
        <f t="shared" ca="1" si="13"/>
        <v>1</v>
      </c>
      <c r="O29" s="26" t="str">
        <f t="shared" si="14"/>
        <v>1 2 3 4 6 10 11 16 17 18</v>
      </c>
      <c r="P29" s="29">
        <f t="shared" ca="1" si="15"/>
        <v>3048</v>
      </c>
      <c r="Q29" s="29">
        <f>SUM(C$48:C$75)</f>
        <v>381</v>
      </c>
      <c r="R29" s="29">
        <f t="shared" ca="1" si="2"/>
        <v>4</v>
      </c>
      <c r="S29" s="29">
        <f>Sheet1!W21</f>
        <v>1960</v>
      </c>
    </row>
    <row r="30" spans="1:19" ht="20.100000000000001" customHeight="1" x14ac:dyDescent="0.15">
      <c r="A30" s="39"/>
      <c r="B30" s="2" t="s">
        <v>153</v>
      </c>
      <c r="C30" s="17">
        <f t="shared" si="10"/>
        <v>2</v>
      </c>
      <c r="E30" s="17">
        <f t="shared" si="11"/>
        <v>2</v>
      </c>
      <c r="F30" s="1">
        <v>2</v>
      </c>
      <c r="G30" s="38"/>
      <c r="H30" s="6" t="s">
        <v>19</v>
      </c>
      <c r="I30" s="6" t="s">
        <v>19</v>
      </c>
      <c r="J30" s="16" t="s">
        <v>306</v>
      </c>
      <c r="K30" s="35">
        <v>81158</v>
      </c>
      <c r="M30" s="32">
        <f ca="1">IF(ISNUMBER(FIND(MAX(MID(K30,2,1),LEFT(K30,1),MID(K30,3,1))-MIN(MID(K30,2,1),LEFT(K30,1),MID(K30,3,1)),J30,1)),R30*S30*1,0)</f>
        <v>7840</v>
      </c>
      <c r="N30" s="32">
        <f t="shared" ca="1" si="13"/>
        <v>1</v>
      </c>
      <c r="O30" s="26" t="str">
        <f t="shared" si="14"/>
        <v>0 3 4 5 6 7 9</v>
      </c>
      <c r="P30" s="29">
        <f t="shared" ca="1" si="15"/>
        <v>6032</v>
      </c>
      <c r="Q30" s="29">
        <f>SUM(C$76:C$85)</f>
        <v>754</v>
      </c>
      <c r="R30" s="29">
        <f t="shared" ca="1" si="2"/>
        <v>4</v>
      </c>
      <c r="S30" s="29">
        <f>Sheet1!W22</f>
        <v>1960</v>
      </c>
    </row>
    <row r="31" spans="1:19" ht="20.100000000000001" customHeight="1" x14ac:dyDescent="0.15">
      <c r="A31" s="39" t="s">
        <v>120</v>
      </c>
      <c r="B31" s="2" t="s">
        <v>154</v>
      </c>
      <c r="C31" s="20">
        <f>IF(ISNUMBER(FIND($B31,$J$14,1)),$F31,0)</f>
        <v>1</v>
      </c>
      <c r="E31" s="20">
        <f>IF(ISNUMBER(FIND($B31,J$23,1)),$F31,0)</f>
        <v>1</v>
      </c>
      <c r="F31" s="1">
        <v>1</v>
      </c>
      <c r="G31" s="38"/>
      <c r="H31" s="6" t="s">
        <v>23</v>
      </c>
      <c r="I31" s="6" t="s">
        <v>18</v>
      </c>
      <c r="J31" s="10" t="s">
        <v>307</v>
      </c>
      <c r="K31" s="35">
        <v>81158</v>
      </c>
      <c r="M31" s="32">
        <f ca="1"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653.33000000000004</v>
      </c>
      <c r="N31" s="32">
        <f ca="1">IF(OR(AND(LEFT(K31,1)=MID(K31,2,1),MID(K31,2,1)&lt;&gt;MID(K31,3,1)),AND(LEFT(K31,1)&lt;&gt;MID(K31,2,1),MID(K31,2,1)=MID(K31,3,1)),AND(MID(K31,3,1)=LEFT(K31,1),LEFT(K31,1)&lt;&gt;MID(K31,2,1))),M31/S31/R31/2,M31/S31/R31)</f>
        <v>1</v>
      </c>
      <c r="O31" s="26" t="str">
        <f t="shared" si="14"/>
        <v>1 3 4 6 10 15 16 24 25 26</v>
      </c>
      <c r="P31" s="29">
        <f t="shared" ca="1" si="15"/>
        <v>118</v>
      </c>
      <c r="Q31" s="29">
        <f>SUM(C$86:C$111)</f>
        <v>59</v>
      </c>
      <c r="R31" s="29">
        <f t="shared" ca="1" si="2"/>
        <v>1</v>
      </c>
      <c r="S31" s="29">
        <f>Sheet1!W23</f>
        <v>326.66500000000002</v>
      </c>
    </row>
    <row r="32" spans="1:19" ht="20.100000000000001" customHeight="1" x14ac:dyDescent="0.15">
      <c r="A32" s="39"/>
      <c r="B32" s="2" t="s">
        <v>146</v>
      </c>
      <c r="C32" s="20">
        <f t="shared" ref="C32:C47" si="16">IF(ISNUMBER(FIND($B32,$J$14,1)),$F32,0)</f>
        <v>1</v>
      </c>
      <c r="E32" s="20">
        <f t="shared" ref="E32:E47" si="17">IF(ISNUMBER(FIND($B32,J$23,1)),$F32,0)</f>
        <v>1</v>
      </c>
      <c r="F32" s="1">
        <v>1</v>
      </c>
      <c r="G32" s="38"/>
      <c r="H32" s="6" t="s">
        <v>29</v>
      </c>
      <c r="I32" s="6" t="s">
        <v>29</v>
      </c>
      <c r="J32" s="16" t="s">
        <v>308</v>
      </c>
      <c r="K32" s="35">
        <v>81158</v>
      </c>
      <c r="M32" s="32">
        <f ca="1"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2613.3200000000002</v>
      </c>
      <c r="N32" s="32">
        <f t="shared" ca="1" si="13"/>
        <v>1</v>
      </c>
      <c r="O32" s="26" t="str">
        <f t="shared" si="14"/>
        <v>0 1 2 3 6 7 8 9</v>
      </c>
      <c r="P32" s="29">
        <f t="shared" ca="1" si="15"/>
        <v>448</v>
      </c>
      <c r="Q32" s="29">
        <f>COMBIN(LEN(SUBSTITUTE(J32,",",)),2)*2</f>
        <v>56</v>
      </c>
      <c r="R32" s="29">
        <f t="shared" ca="1" si="2"/>
        <v>4</v>
      </c>
      <c r="S32" s="29">
        <f>Sheet1!W24</f>
        <v>653.33000000000004</v>
      </c>
    </row>
    <row r="33" spans="1:19" ht="20.100000000000001" customHeight="1" x14ac:dyDescent="0.15">
      <c r="A33" s="39"/>
      <c r="B33" s="2" t="s">
        <v>147</v>
      </c>
      <c r="C33" s="20">
        <f t="shared" si="16"/>
        <v>2</v>
      </c>
      <c r="E33" s="20">
        <f t="shared" si="17"/>
        <v>2</v>
      </c>
      <c r="F33" s="1">
        <v>2</v>
      </c>
      <c r="G33" s="38"/>
      <c r="H33" s="6" t="s">
        <v>30</v>
      </c>
      <c r="I33" s="6" t="s">
        <v>30</v>
      </c>
      <c r="J33" s="16" t="s">
        <v>199</v>
      </c>
      <c r="K33" s="35">
        <v>81158</v>
      </c>
      <c r="M33" s="32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32">
        <f t="shared" ca="1" si="13"/>
        <v>0</v>
      </c>
      <c r="O33" s="26" t="str">
        <f t="shared" si="14"/>
        <v>0 1 2 7 8 9</v>
      </c>
      <c r="P33" s="29">
        <f t="shared" ca="1" si="15"/>
        <v>40</v>
      </c>
      <c r="Q33" s="29">
        <f>COMBIN(LEN(SUBSTITUTE(J33,",",)),3)</f>
        <v>20</v>
      </c>
      <c r="R33" s="29">
        <f t="shared" ca="1" si="2"/>
        <v>1</v>
      </c>
      <c r="S33" s="29">
        <f>Sheet1!W25</f>
        <v>326.66000000000003</v>
      </c>
    </row>
    <row r="34" spans="1:19" ht="20.100000000000001" customHeight="1" x14ac:dyDescent="0.15">
      <c r="A34" s="39"/>
      <c r="B34" s="2" t="s">
        <v>148</v>
      </c>
      <c r="C34" s="20">
        <f t="shared" si="16"/>
        <v>0</v>
      </c>
      <c r="E34" s="20">
        <f t="shared" si="17"/>
        <v>0</v>
      </c>
      <c r="F34" s="1">
        <v>2</v>
      </c>
      <c r="G34" s="38"/>
      <c r="H34" s="6" t="s">
        <v>31</v>
      </c>
      <c r="I34" s="6" t="s">
        <v>16</v>
      </c>
      <c r="J34" s="27" t="s">
        <v>312</v>
      </c>
      <c r="K34" s="35">
        <v>81158</v>
      </c>
      <c r="M34" s="36">
        <f ca="1"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1306.6600000000001</v>
      </c>
      <c r="N34" s="32">
        <f ca="1">IF(OR(AND(LEFT(K34,1)=MID(K34,2,1),MID(K34,2,1)&lt;&gt;MID(K34,3,1)),AND(LEFT(K34,1)&lt;&gt;MID(K34,2,1),MID(K34,2,1)=MID(K34,3,1)),AND(MID(K34,3,1)=LEFT(K34,1),LEFT(K34,1)&lt;&gt;MID(K34,2,1))),M34/S34/R34/2,M34/S34/R34)</f>
        <v>1</v>
      </c>
      <c r="O34" s="26" t="str">
        <f t="shared" si="14"/>
        <v>218 181 312 132 231</v>
      </c>
      <c r="P34" s="29">
        <f t="shared" ca="1" si="15"/>
        <v>20</v>
      </c>
      <c r="Q34" s="36">
        <f>FINDNUMBER(J34,3)</f>
        <v>5</v>
      </c>
      <c r="R34" s="29">
        <f t="shared" ca="1" si="2"/>
        <v>2</v>
      </c>
      <c r="S34" s="29">
        <f>Sheet1!W26</f>
        <v>326.66500000000002</v>
      </c>
    </row>
    <row r="35" spans="1:19" ht="20.100000000000001" customHeight="1" x14ac:dyDescent="0.15">
      <c r="A35" s="39"/>
      <c r="B35" s="2" t="s">
        <v>149</v>
      </c>
      <c r="C35" s="20">
        <f t="shared" si="16"/>
        <v>0</v>
      </c>
      <c r="E35" s="20">
        <f t="shared" si="17"/>
        <v>0</v>
      </c>
      <c r="F35" s="1">
        <v>3</v>
      </c>
      <c r="G35" s="38"/>
      <c r="H35" s="6" t="s">
        <v>24</v>
      </c>
      <c r="I35" s="6" t="s">
        <v>25</v>
      </c>
      <c r="J35" s="27" t="s">
        <v>311</v>
      </c>
      <c r="K35" s="35">
        <v>81158</v>
      </c>
      <c r="M35" s="32">
        <f ca="1"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653.33000000000004</v>
      </c>
      <c r="N35" s="32">
        <f ca="1">IF(OR(AND(LEFT(K35,1)=MID(K35,2,1),MID(K35,2,1)&lt;&gt;MID(K35,3,1)),AND(LEFT(K35,1)&lt;&gt;MID(K35,2,1),MID(K35,2,1)=MID(K35,3,1)),AND(MID(K35,3,1)=LEFT(K35,1),LEFT(K35,1)&lt;&gt;MID(K35,2,1))),M35/S35/R35/2,M35/S35/R35)</f>
        <v>1</v>
      </c>
      <c r="O35" s="26" t="str">
        <f t="shared" si="14"/>
        <v>8</v>
      </c>
      <c r="P35" s="29">
        <f t="shared" ca="1" si="15"/>
        <v>108</v>
      </c>
      <c r="Q35" s="29">
        <v>54</v>
      </c>
      <c r="R35" s="29">
        <f t="shared" ca="1" si="2"/>
        <v>1</v>
      </c>
      <c r="S35" s="29">
        <f>Sheet1!W27</f>
        <v>326.66500000000002</v>
      </c>
    </row>
    <row r="36" spans="1:19" ht="20.100000000000001" customHeight="1" x14ac:dyDescent="0.15">
      <c r="A36" s="39"/>
      <c r="B36" s="2" t="s">
        <v>150</v>
      </c>
      <c r="C36" s="20">
        <f t="shared" si="16"/>
        <v>0</v>
      </c>
      <c r="E36" s="20">
        <f t="shared" si="17"/>
        <v>0</v>
      </c>
      <c r="F36" s="1">
        <v>3</v>
      </c>
      <c r="G36" s="38"/>
      <c r="H36" s="6" t="s">
        <v>32</v>
      </c>
      <c r="I36" s="6" t="s">
        <v>16</v>
      </c>
      <c r="J36" s="27" t="s">
        <v>313</v>
      </c>
      <c r="K36" s="35">
        <v>81158</v>
      </c>
      <c r="M36" s="32">
        <f ca="1"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1959.9900000000002</v>
      </c>
      <c r="N36" s="32">
        <f t="shared" ca="1" si="13"/>
        <v>1</v>
      </c>
      <c r="O36" s="26" t="str">
        <f t="shared" si="14"/>
        <v>118</v>
      </c>
      <c r="P36" s="29">
        <f t="shared" ca="1" si="15"/>
        <v>6</v>
      </c>
      <c r="Q36" s="36">
        <f>FINDNUMBER(J$36,3)</f>
        <v>1</v>
      </c>
      <c r="R36" s="29">
        <f t="shared" ca="1" si="2"/>
        <v>3</v>
      </c>
      <c r="S36" s="29">
        <f>Sheet1!W28</f>
        <v>653.33000000000004</v>
      </c>
    </row>
    <row r="37" spans="1:19" ht="20.100000000000001" customHeight="1" x14ac:dyDescent="0.15">
      <c r="A37" s="39"/>
      <c r="B37" s="2" t="s">
        <v>151</v>
      </c>
      <c r="C37" s="20">
        <f t="shared" si="16"/>
        <v>0</v>
      </c>
      <c r="E37" s="20">
        <f t="shared" si="17"/>
        <v>4</v>
      </c>
      <c r="F37" s="1">
        <v>4</v>
      </c>
      <c r="G37" s="38"/>
      <c r="H37" s="6" t="s">
        <v>33</v>
      </c>
      <c r="I37" s="6" t="s">
        <v>16</v>
      </c>
      <c r="J37" s="27" t="s">
        <v>325</v>
      </c>
      <c r="K37" s="35">
        <v>81158</v>
      </c>
      <c r="M37" s="32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32">
        <f t="shared" ca="1" si="13"/>
        <v>0</v>
      </c>
      <c r="O37" s="26" t="str">
        <f t="shared" si="14"/>
        <v>811</v>
      </c>
      <c r="P37" s="29">
        <f t="shared" ca="1" si="15"/>
        <v>6</v>
      </c>
      <c r="Q37" s="36">
        <f>FINDNUMBER(J$37,3)</f>
        <v>1</v>
      </c>
      <c r="R37" s="29">
        <f t="shared" ca="1" si="2"/>
        <v>3</v>
      </c>
      <c r="S37" s="29">
        <f>Sheet1!W29</f>
        <v>326.66000000000003</v>
      </c>
    </row>
    <row r="38" spans="1:19" ht="20.100000000000001" customHeight="1" x14ac:dyDescent="0.15">
      <c r="A38" s="39"/>
      <c r="B38" s="2" t="s">
        <v>152</v>
      </c>
      <c r="C38" s="20">
        <f t="shared" si="16"/>
        <v>4</v>
      </c>
      <c r="E38" s="20">
        <f t="shared" si="17"/>
        <v>4</v>
      </c>
      <c r="F38" s="1">
        <v>4</v>
      </c>
      <c r="G38" s="38"/>
      <c r="H38" s="6" t="s">
        <v>35</v>
      </c>
      <c r="I38" s="6" t="s">
        <v>34</v>
      </c>
      <c r="J38" s="22" t="s">
        <v>314</v>
      </c>
      <c r="K38" s="35">
        <v>81158</v>
      </c>
      <c r="M38" s="36">
        <f ca="1">IF(AND(LEFT(K38,1)=MID(K38,2,1),MID(K38,2,1)=MID(K38,3,1)),
 IF(ISNUMBER(FIND(LEFT(K38,1),J38,1)),R38*S38,0),
 IF(AND(LEFT(K38,1)&lt;&gt;MID(K38,2,1),MID(K38,2,1)&lt;&gt;MID(K38,3,1),LEFT(K38,1)&lt;&gt;MID(K38,3,1)),
  SUM(N(ISNUMBER(FIND(LEFT(K38,1),J38,1))),N(ISNUMBER(FIND(MID(K38,2,1),J38,1))),N(ISNUMBER(FIND(MID(K38,3,1),J38,1))))*R38*S38,
  SUM(N(ISNUMBER(FIND(_xlfn.MODE.SNGL(INT(LEFT(K38,1)),INT(MID(K38,2,1)),INT(MID(K38,3,1))),J38,1))),N(ISNUMBER(FIND(SUBSTITUTE(LEFT(K38,3),_xlfn.MODE.SNGL(INT(LEFT(K38,1)),INT(MID(K38,2,1)),INT(MID(K38,3,1))),),J38,1))))*R38*S38))</f>
        <v>28.92</v>
      </c>
      <c r="N38" s="32">
        <f t="shared" ca="1" si="13"/>
        <v>2</v>
      </c>
      <c r="O38" s="26" t="str">
        <f t="shared" si="14"/>
        <v>0 1 3 4 7 8 9</v>
      </c>
      <c r="P38" s="29">
        <f t="shared" ca="1" si="15"/>
        <v>28</v>
      </c>
      <c r="Q38" s="29">
        <f>LEN(SUBSTITUTE(J38,",",))</f>
        <v>7</v>
      </c>
      <c r="R38" s="29">
        <f t="shared" ca="1" si="2"/>
        <v>2</v>
      </c>
      <c r="S38" s="29">
        <f>Sheet1!W30</f>
        <v>7.23</v>
      </c>
    </row>
    <row r="39" spans="1:19" ht="20.100000000000001" customHeight="1" x14ac:dyDescent="0.15">
      <c r="A39" s="39"/>
      <c r="B39" s="2" t="s">
        <v>153</v>
      </c>
      <c r="C39" s="20">
        <f t="shared" si="16"/>
        <v>5</v>
      </c>
      <c r="E39" s="20">
        <f t="shared" si="17"/>
        <v>5</v>
      </c>
      <c r="F39" s="1">
        <v>5</v>
      </c>
      <c r="G39" s="38"/>
      <c r="H39" s="6" t="s">
        <v>36</v>
      </c>
      <c r="I39" s="6" t="s">
        <v>34</v>
      </c>
      <c r="J39" s="27" t="s">
        <v>267</v>
      </c>
      <c r="K39" s="35">
        <v>81158</v>
      </c>
      <c r="M39" s="32">
        <f ca="1">IF(AND(AND(LEFT(K39,1)=MID(K39,2,1),MID(K39,2,1)=MID(K39,3,1)),ISNUMBER(FIND(LEFT(K39,1),J39,1))),R39*S39,
 IF(AND(LEFT(K38,1)&lt;&gt;MID(K38,2,1),MID(K38,2,1)&lt;&gt;MID(K38,3,1),LEFT(K38,1)&lt;&gt;MID(K38,3,1)),
  SUM(N(ISNUMBER(FIND(LEFT(K39,1),J39,1))),N(ISNUMBER(FIND(MID(K39,2,1),J39,1))),N(ISNUMBER(FIND(MID(K39,3,1),J39,1))))*R39*S39,
  SUM(N(ISNUMBER(FIND(_xlfn.MODE.SNGL(INT(LEFT(K39,1)),INT(MID(K39,2,1)),INT(MID(K39,3,1))),J39,1))),N(ISNUMBER(FIND(SUBSTITUTE(LEFT(K39,3),_xlfn.MODE.SNGL(INT(LEFT(K39,1)),INT(MID(K39,2,1)),INT(MID(K39,3,1))),),J39,1))))*R39*S39))</f>
        <v>72.58</v>
      </c>
      <c r="N39" s="32">
        <f t="shared" ca="1" si="13"/>
        <v>1</v>
      </c>
      <c r="O39" s="26" t="str">
        <f t="shared" si="14"/>
        <v>2 3 4 5 6 7 8</v>
      </c>
      <c r="P39" s="29">
        <f ca="1">Q39*R39*2</f>
        <v>84</v>
      </c>
      <c r="Q39" s="29">
        <f>COMBIN(LEN(SUBSTITUTE(J39,",",)),2)</f>
        <v>21</v>
      </c>
      <c r="R39" s="29">
        <f t="shared" ca="1" si="2"/>
        <v>2</v>
      </c>
      <c r="S39" s="29">
        <f>Sheet1!W31</f>
        <v>36.29</v>
      </c>
    </row>
    <row r="40" spans="1:19" ht="20.100000000000001" customHeight="1" x14ac:dyDescent="0.15">
      <c r="A40" s="39"/>
      <c r="B40" s="2" t="s">
        <v>155</v>
      </c>
      <c r="C40" s="20">
        <f t="shared" si="16"/>
        <v>0</v>
      </c>
      <c r="E40" s="20">
        <f t="shared" si="17"/>
        <v>0</v>
      </c>
      <c r="F40" s="1">
        <v>4</v>
      </c>
      <c r="G40" s="37" t="s">
        <v>37</v>
      </c>
      <c r="H40" s="37" t="s">
        <v>5</v>
      </c>
      <c r="I40" s="6" t="s">
        <v>106</v>
      </c>
      <c r="J40" s="27" t="s">
        <v>316</v>
      </c>
      <c r="K40" s="35">
        <v>81158</v>
      </c>
      <c r="M40" s="37">
        <f ca="1">IF(AND(ISNUMBER(FIND(MID(K40,2,1),J40,1)),ISNUMBER(FIND(MID(K40,3,1),J41,1)),ISNUMBER(FIND(MID(K40,4,1),J42,1))),R40*S40,0)</f>
        <v>5880</v>
      </c>
      <c r="N40" s="37">
        <f ca="1">M40/S40/R40</f>
        <v>1</v>
      </c>
      <c r="O40" s="40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37">
        <f ca="1">R40*Q40*2</f>
        <v>1296</v>
      </c>
      <c r="Q40" s="37">
        <f>LEN(SUBSTITUTE($J40,",",))*LEN(SUBSTITUTE($J41,",",))*LEN(SUBSTITUTE($J42,",",))</f>
        <v>216</v>
      </c>
      <c r="R40" s="37">
        <f t="shared" ca="1" si="2"/>
        <v>3</v>
      </c>
      <c r="S40" s="37">
        <f>Sheet1!W32</f>
        <v>1960</v>
      </c>
    </row>
    <row r="41" spans="1:19" ht="20.100000000000001" customHeight="1" x14ac:dyDescent="0.15">
      <c r="A41" s="39"/>
      <c r="B41" s="2" t="s">
        <v>156</v>
      </c>
      <c r="C41" s="20">
        <f t="shared" si="16"/>
        <v>0</v>
      </c>
      <c r="E41" s="20">
        <f t="shared" si="17"/>
        <v>0</v>
      </c>
      <c r="F41" s="1">
        <v>4</v>
      </c>
      <c r="G41" s="37"/>
      <c r="H41" s="37"/>
      <c r="I41" s="6" t="s">
        <v>107</v>
      </c>
      <c r="J41" s="27" t="s">
        <v>268</v>
      </c>
      <c r="K41" s="35">
        <v>81158</v>
      </c>
      <c r="M41" s="37"/>
      <c r="N41" s="37"/>
      <c r="O41" s="38"/>
      <c r="P41" s="37"/>
      <c r="Q41" s="37"/>
      <c r="R41" s="37"/>
      <c r="S41" s="37"/>
    </row>
    <row r="42" spans="1:19" ht="20.100000000000001" customHeight="1" x14ac:dyDescent="0.15">
      <c r="A42" s="39"/>
      <c r="B42" s="2" t="s">
        <v>157</v>
      </c>
      <c r="C42" s="20">
        <f t="shared" si="16"/>
        <v>0</v>
      </c>
      <c r="E42" s="20">
        <f t="shared" si="17"/>
        <v>0</v>
      </c>
      <c r="F42" s="1">
        <v>3</v>
      </c>
      <c r="G42" s="37"/>
      <c r="H42" s="37"/>
      <c r="I42" s="6" t="s">
        <v>108</v>
      </c>
      <c r="J42" s="27" t="s">
        <v>315</v>
      </c>
      <c r="K42" s="35">
        <v>81158</v>
      </c>
      <c r="M42" s="37"/>
      <c r="N42" s="37"/>
      <c r="O42" s="38"/>
      <c r="P42" s="37"/>
      <c r="Q42" s="37"/>
      <c r="R42" s="37"/>
      <c r="S42" s="37"/>
    </row>
    <row r="43" spans="1:19" ht="20.100000000000001" customHeight="1" x14ac:dyDescent="0.15">
      <c r="A43" s="39"/>
      <c r="B43" s="2" t="s">
        <v>158</v>
      </c>
      <c r="C43" s="20">
        <f t="shared" si="16"/>
        <v>0</v>
      </c>
      <c r="E43" s="20">
        <f t="shared" si="17"/>
        <v>0</v>
      </c>
      <c r="F43" s="1">
        <v>3</v>
      </c>
      <c r="G43" s="37"/>
      <c r="H43" s="6" t="s">
        <v>28</v>
      </c>
      <c r="I43" s="6" t="s">
        <v>16</v>
      </c>
      <c r="J43" s="22" t="s">
        <v>317</v>
      </c>
      <c r="K43" s="35">
        <v>81158</v>
      </c>
      <c r="M43" s="32">
        <f ca="1">IF(ISNUMBER(FIND(","&amp;MID(K43,2,3),J43,1)),R43*S43,0)</f>
        <v>3920</v>
      </c>
      <c r="N43" s="32">
        <f t="shared" ref="N43:N54" ca="1" si="18">M43/S43/R43</f>
        <v>1</v>
      </c>
      <c r="O43" s="26" t="str">
        <f t="shared" ref="O43:O54" si="19">TRIM(IF(LEN($J43)=0,"-",SUBSTITUTE($J43,","," ")))</f>
        <v>456 115</v>
      </c>
      <c r="P43" s="29">
        <f t="shared" ref="P43:P53" ca="1" si="20">Q43*R43*2</f>
        <v>8</v>
      </c>
      <c r="Q43" s="32">
        <f>FINDNUMBER(J43,3)</f>
        <v>2</v>
      </c>
      <c r="R43" s="29">
        <f t="shared" ca="1" si="2"/>
        <v>2</v>
      </c>
      <c r="S43" s="29">
        <f>Sheet1!W33</f>
        <v>1960</v>
      </c>
    </row>
    <row r="44" spans="1:19" ht="20.100000000000001" customHeight="1" x14ac:dyDescent="0.15">
      <c r="A44" s="39"/>
      <c r="B44" s="2" t="s">
        <v>159</v>
      </c>
      <c r="C44" s="20">
        <f t="shared" si="16"/>
        <v>2</v>
      </c>
      <c r="E44" s="20">
        <f t="shared" si="17"/>
        <v>0</v>
      </c>
      <c r="F44" s="1">
        <v>2</v>
      </c>
      <c r="G44" s="37"/>
      <c r="H44" s="6" t="s">
        <v>17</v>
      </c>
      <c r="I44" s="6" t="s">
        <v>18</v>
      </c>
      <c r="J44" s="16" t="s">
        <v>319</v>
      </c>
      <c r="K44" s="35">
        <v>81158</v>
      </c>
      <c r="M44" s="32">
        <f ca="1">IF(ISNUMBER(FIND(","&amp;SUM(MID(K44,2,1),MID(K44,3,1),MID(K44,4,1))&amp;",",J44,1)),R44*S44,0)</f>
        <v>1960</v>
      </c>
      <c r="N44" s="32">
        <f t="shared" ca="1" si="18"/>
        <v>1</v>
      </c>
      <c r="O44" s="26" t="str">
        <f t="shared" si="19"/>
        <v>0 1 4 6 7 11 12 17 18</v>
      </c>
      <c r="P44" s="29">
        <f t="shared" ca="1" si="20"/>
        <v>686</v>
      </c>
      <c r="Q44" s="32">
        <f>SUM(D$48:D$75)</f>
        <v>343</v>
      </c>
      <c r="R44" s="29">
        <f t="shared" ca="1" si="2"/>
        <v>1</v>
      </c>
      <c r="S44" s="29">
        <f>Sheet1!W34</f>
        <v>1960</v>
      </c>
    </row>
    <row r="45" spans="1:19" ht="20.100000000000001" customHeight="1" x14ac:dyDescent="0.15">
      <c r="A45" s="39"/>
      <c r="B45" s="2" t="s">
        <v>160</v>
      </c>
      <c r="C45" s="20">
        <f t="shared" si="16"/>
        <v>2</v>
      </c>
      <c r="E45" s="20">
        <f t="shared" si="17"/>
        <v>0</v>
      </c>
      <c r="F45" s="1">
        <v>2</v>
      </c>
      <c r="G45" s="37"/>
      <c r="H45" s="6" t="s">
        <v>19</v>
      </c>
      <c r="I45" s="6" t="s">
        <v>19</v>
      </c>
      <c r="J45" s="27" t="s">
        <v>318</v>
      </c>
      <c r="K45" s="35">
        <v>81158</v>
      </c>
      <c r="M45" s="32">
        <f ca="1">IF(ISNUMBER(FIND(MAX(MID(K45,2,1),MID(K45,3,1),MID(K45,4,1))-MIN(MID(K45,2,1),MID(K45,4,1),MID(K45,3,1)),J45,1)),R45*S45*1,0)</f>
        <v>1960</v>
      </c>
      <c r="N45" s="32">
        <f t="shared" ca="1" si="18"/>
        <v>1</v>
      </c>
      <c r="O45" s="26" t="str">
        <f t="shared" si="19"/>
        <v>0 1 2 4 7 8 9</v>
      </c>
      <c r="P45" s="29">
        <f t="shared" ca="1" si="20"/>
        <v>1160</v>
      </c>
      <c r="Q45" s="32">
        <f>SUM(D$76:D$85)</f>
        <v>580</v>
      </c>
      <c r="R45" s="29">
        <f t="shared" ca="1" si="2"/>
        <v>1</v>
      </c>
      <c r="S45" s="29">
        <f>Sheet1!W35</f>
        <v>1960</v>
      </c>
    </row>
    <row r="46" spans="1:19" ht="20.100000000000001" customHeight="1" x14ac:dyDescent="0.15">
      <c r="A46" s="39"/>
      <c r="B46" s="2" t="s">
        <v>161</v>
      </c>
      <c r="C46" s="20">
        <f t="shared" si="16"/>
        <v>0</v>
      </c>
      <c r="E46" s="20">
        <f t="shared" si="17"/>
        <v>0</v>
      </c>
      <c r="F46" s="1">
        <v>1</v>
      </c>
      <c r="G46" s="37"/>
      <c r="H46" s="6" t="s">
        <v>23</v>
      </c>
      <c r="I46" s="6" t="s">
        <v>18</v>
      </c>
      <c r="J46" s="16" t="s">
        <v>320</v>
      </c>
      <c r="K46" s="35">
        <v>81158</v>
      </c>
      <c r="M46" s="32">
        <f ca="1"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2613.3200000000002</v>
      </c>
      <c r="N46" s="32">
        <f ca="1">IF(OR(AND(MID(K46,2,1)=MID(K46,3,1),MID(K46,3,1)&lt;&gt;MID(K46,4,1)),AND(MID(K46,2,1)&lt;&gt;MID(K46,3,1),MID(K46,3,1)=MID(K46,4,1)),AND(MID(K46,4,1)=MID(K46,2,1),MID(K46,2,1)&lt;&gt;MID(K46,3,1))),M46/S46/R46/2,M46/S46/R46)</f>
        <v>1</v>
      </c>
      <c r="O46" s="26" t="str">
        <f t="shared" si="19"/>
        <v>1 7 8 13 18 20 26</v>
      </c>
      <c r="P46" s="29">
        <f t="shared" ca="1" si="20"/>
        <v>432</v>
      </c>
      <c r="Q46" s="32">
        <f>SUM(D$86:D$111)</f>
        <v>54</v>
      </c>
      <c r="R46" s="29">
        <f t="shared" ca="1" si="2"/>
        <v>4</v>
      </c>
      <c r="S46" s="29">
        <f>Sheet1!W36</f>
        <v>326.66500000000002</v>
      </c>
    </row>
    <row r="47" spans="1:19" ht="20.100000000000001" customHeight="1" x14ac:dyDescent="0.15">
      <c r="A47" s="39"/>
      <c r="B47" s="2" t="s">
        <v>162</v>
      </c>
      <c r="C47" s="20">
        <f t="shared" si="16"/>
        <v>0</v>
      </c>
      <c r="E47" s="20">
        <f t="shared" si="17"/>
        <v>1</v>
      </c>
      <c r="F47" s="1">
        <v>1</v>
      </c>
      <c r="G47" s="37"/>
      <c r="H47" s="6" t="s">
        <v>29</v>
      </c>
      <c r="I47" s="6" t="s">
        <v>29</v>
      </c>
      <c r="J47" s="27" t="s">
        <v>321</v>
      </c>
      <c r="K47" s="35">
        <v>81158</v>
      </c>
      <c r="M47" s="32">
        <f ca="1"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2613.3200000000002</v>
      </c>
      <c r="N47" s="32">
        <f t="shared" ca="1" si="18"/>
        <v>1</v>
      </c>
      <c r="O47" s="26" t="str">
        <f t="shared" si="19"/>
        <v>0 1 6 7 5 9</v>
      </c>
      <c r="P47" s="29">
        <f t="shared" ca="1" si="20"/>
        <v>240</v>
      </c>
      <c r="Q47" s="32">
        <f>COMBIN(LEN(SUBSTITUTE(J47,",",)),2)*2</f>
        <v>30</v>
      </c>
      <c r="R47" s="29">
        <f t="shared" ca="1" si="2"/>
        <v>4</v>
      </c>
      <c r="S47" s="29">
        <f>Sheet1!W37</f>
        <v>653.33000000000004</v>
      </c>
    </row>
    <row r="48" spans="1:19" ht="20.100000000000001" customHeight="1" x14ac:dyDescent="0.15">
      <c r="A48" s="39" t="s">
        <v>121</v>
      </c>
      <c r="B48" s="2" t="s">
        <v>163</v>
      </c>
      <c r="C48" s="20">
        <f>IF(ISNUMBER(FIND($B48,$J$29,1)),$F48,0)</f>
        <v>0</v>
      </c>
      <c r="D48" s="20">
        <f>IF(ISNUMBER(FIND($B48,$J$44,1)),$F48,0)</f>
        <v>1</v>
      </c>
      <c r="E48" s="20">
        <f>IF(ISNUMBER(FIND($B48,$J$59,1)),$F48,0)</f>
        <v>0</v>
      </c>
      <c r="F48" s="1">
        <v>1</v>
      </c>
      <c r="G48" s="37"/>
      <c r="H48" s="6" t="s">
        <v>30</v>
      </c>
      <c r="I48" s="6" t="s">
        <v>30</v>
      </c>
      <c r="J48" s="27" t="s">
        <v>269</v>
      </c>
      <c r="K48" s="35">
        <v>81158</v>
      </c>
      <c r="M48" s="32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32">
        <f t="shared" ca="1" si="18"/>
        <v>0</v>
      </c>
      <c r="O48" s="26" t="str">
        <f t="shared" si="19"/>
        <v>0 1 2 3 4 8 9</v>
      </c>
      <c r="P48" s="29">
        <f t="shared" ca="1" si="20"/>
        <v>70</v>
      </c>
      <c r="Q48" s="32">
        <f>COMBIN(LEN(SUBSTITUTE(J48,",",)),3)</f>
        <v>35</v>
      </c>
      <c r="R48" s="29">
        <f t="shared" ca="1" si="2"/>
        <v>1</v>
      </c>
      <c r="S48" s="29">
        <f>Sheet1!W38</f>
        <v>326.66000000000003</v>
      </c>
    </row>
    <row r="49" spans="1:19" ht="20.100000000000001" customHeight="1" x14ac:dyDescent="0.15">
      <c r="A49" s="39"/>
      <c r="B49" s="2" t="s">
        <v>145</v>
      </c>
      <c r="C49" s="20">
        <f t="shared" ref="C49:C75" si="21">IF(ISNUMBER(FIND($B49,$J$29,1)),$F49,0)</f>
        <v>3</v>
      </c>
      <c r="D49" s="20">
        <f t="shared" ref="D49:D75" si="22">IF(ISNUMBER(FIND($B49,$J$44,1)),$F49,0)</f>
        <v>3</v>
      </c>
      <c r="E49" s="20">
        <f t="shared" ref="E49:E75" si="23">IF(ISNUMBER(FIND($B49,$J$59,1)),$F49,0)</f>
        <v>3</v>
      </c>
      <c r="F49" s="1">
        <v>3</v>
      </c>
      <c r="G49" s="37"/>
      <c r="H49" s="6" t="s">
        <v>31</v>
      </c>
      <c r="I49" s="6" t="s">
        <v>16</v>
      </c>
      <c r="J49" s="27" t="s">
        <v>322</v>
      </c>
      <c r="K49" s="35">
        <v>81158</v>
      </c>
      <c r="M49" s="36">
        <f ca="1"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2613.3200000000002</v>
      </c>
      <c r="N49" s="32">
        <f ca="1">IF(OR(AND(MID(K49,2,1)=MID(K49,3,1),MID(K49,3,1)&lt;&gt;MID(K49,4,1)),AND(MID(K49,2,1)&lt;&gt;MID(K49,3,1),MID(K49,3,1)=MID(K49,4,1)),AND(MID(K49,4,1)=MID(K49,2,1),MID(K49,2,1)&lt;&gt;MID(K49,3,1))),M49/S49/R49/2,M49/S49/R49)</f>
        <v>1</v>
      </c>
      <c r="O49" s="26" t="str">
        <f t="shared" si="19"/>
        <v>151</v>
      </c>
      <c r="P49" s="29">
        <f t="shared" ca="1" si="20"/>
        <v>8</v>
      </c>
      <c r="Q49" s="36">
        <f>FINDNUMBER(J49,3)</f>
        <v>1</v>
      </c>
      <c r="R49" s="29">
        <f t="shared" ca="1" si="2"/>
        <v>4</v>
      </c>
      <c r="S49" s="29">
        <f>Sheet1!W39</f>
        <v>326.66500000000002</v>
      </c>
    </row>
    <row r="50" spans="1:19" ht="20.100000000000001" customHeight="1" x14ac:dyDescent="0.15">
      <c r="A50" s="39"/>
      <c r="B50" s="2" t="s">
        <v>146</v>
      </c>
      <c r="C50" s="20">
        <f t="shared" si="21"/>
        <v>6</v>
      </c>
      <c r="D50" s="20">
        <f t="shared" si="22"/>
        <v>0</v>
      </c>
      <c r="E50" s="20">
        <f t="shared" si="23"/>
        <v>6</v>
      </c>
      <c r="F50" s="1">
        <v>6</v>
      </c>
      <c r="G50" s="37"/>
      <c r="H50" s="6" t="s">
        <v>24</v>
      </c>
      <c r="I50" s="6" t="s">
        <v>25</v>
      </c>
      <c r="J50" s="27" t="s">
        <v>323</v>
      </c>
      <c r="K50" s="35">
        <v>81158</v>
      </c>
      <c r="M50" s="32">
        <f ca="1"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1306.6600000000001</v>
      </c>
      <c r="N50" s="32">
        <f t="shared" ref="N49:N50" ca="1" si="24">IF(OR(AND(MID(K50,2,1)=MID(K50,3,1),MID(K50,3,1)&lt;&gt;MID(K50,4,1)),AND(MID(K50,2,1)&lt;&gt;MID(K50,3,1),MID(K50,3,1)=MID(K50,4,1)),AND(MID(K50,4,1)=MID(K50,2,1),MID(K50,2,1)&lt;&gt;MID(K50,3,1))),M50/S50/R50/2,M50/S50/R50)</f>
        <v>1</v>
      </c>
      <c r="O50" s="26" t="str">
        <f t="shared" si="19"/>
        <v>5</v>
      </c>
      <c r="P50" s="29">
        <f t="shared" ca="1" si="20"/>
        <v>216</v>
      </c>
      <c r="Q50" s="32">
        <v>54</v>
      </c>
      <c r="R50" s="29">
        <f t="shared" ca="1" si="2"/>
        <v>2</v>
      </c>
      <c r="S50" s="29">
        <f>Sheet1!W40</f>
        <v>326.66500000000002</v>
      </c>
    </row>
    <row r="51" spans="1:19" ht="20.100000000000001" customHeight="1" x14ac:dyDescent="0.15">
      <c r="A51" s="39"/>
      <c r="B51" s="2" t="s">
        <v>147</v>
      </c>
      <c r="C51" s="20">
        <f t="shared" si="21"/>
        <v>10</v>
      </c>
      <c r="D51" s="20">
        <f t="shared" si="22"/>
        <v>0</v>
      </c>
      <c r="E51" s="20">
        <f t="shared" si="23"/>
        <v>10</v>
      </c>
      <c r="F51" s="1">
        <v>10</v>
      </c>
      <c r="G51" s="37"/>
      <c r="H51" s="6" t="s">
        <v>32</v>
      </c>
      <c r="I51" s="6" t="s">
        <v>16</v>
      </c>
      <c r="J51" s="27" t="s">
        <v>324</v>
      </c>
      <c r="K51" s="35">
        <v>81158</v>
      </c>
      <c r="M51" s="32">
        <f ca="1"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1306.6600000000001</v>
      </c>
      <c r="N51" s="32">
        <f t="shared" ca="1" si="18"/>
        <v>1</v>
      </c>
      <c r="O51" s="26" t="str">
        <f t="shared" si="19"/>
        <v>151</v>
      </c>
      <c r="P51" s="29">
        <f t="shared" ca="1" si="20"/>
        <v>4</v>
      </c>
      <c r="Q51" s="36">
        <f>FINDNUMBER(J51,3)</f>
        <v>1</v>
      </c>
      <c r="R51" s="29">
        <f t="shared" ca="1" si="2"/>
        <v>2</v>
      </c>
      <c r="S51" s="29">
        <f>Sheet1!W41</f>
        <v>653.33000000000004</v>
      </c>
    </row>
    <row r="52" spans="1:19" ht="20.100000000000001" customHeight="1" x14ac:dyDescent="0.15">
      <c r="A52" s="39"/>
      <c r="B52" s="2" t="s">
        <v>148</v>
      </c>
      <c r="C52" s="20">
        <f t="shared" si="21"/>
        <v>15</v>
      </c>
      <c r="D52" s="20">
        <f t="shared" si="22"/>
        <v>15</v>
      </c>
      <c r="E52" s="20">
        <f t="shared" si="23"/>
        <v>0</v>
      </c>
      <c r="F52" s="1">
        <v>15</v>
      </c>
      <c r="G52" s="37"/>
      <c r="H52" s="6" t="s">
        <v>33</v>
      </c>
      <c r="I52" s="6" t="s">
        <v>16</v>
      </c>
      <c r="J52" s="27" t="s">
        <v>327</v>
      </c>
      <c r="K52" s="35">
        <v>81158</v>
      </c>
      <c r="M52" s="32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32">
        <f t="shared" ca="1" si="18"/>
        <v>0</v>
      </c>
      <c r="O52" s="26" t="str">
        <f t="shared" si="19"/>
        <v>115</v>
      </c>
      <c r="P52" s="29">
        <f t="shared" ca="1" si="20"/>
        <v>6</v>
      </c>
      <c r="Q52" s="36">
        <f>FINDNUMBER(J52,3)</f>
        <v>1</v>
      </c>
      <c r="R52" s="29">
        <f t="shared" ca="1" si="2"/>
        <v>3</v>
      </c>
      <c r="S52" s="29">
        <f>Sheet1!W42</f>
        <v>326.66000000000003</v>
      </c>
    </row>
    <row r="53" spans="1:19" ht="20.100000000000001" customHeight="1" x14ac:dyDescent="0.15">
      <c r="A53" s="39"/>
      <c r="B53" s="2" t="s">
        <v>149</v>
      </c>
      <c r="C53" s="20">
        <f t="shared" si="21"/>
        <v>0</v>
      </c>
      <c r="D53" s="20">
        <f t="shared" si="22"/>
        <v>0</v>
      </c>
      <c r="E53" s="20">
        <f t="shared" si="23"/>
        <v>0</v>
      </c>
      <c r="F53" s="1">
        <v>21</v>
      </c>
      <c r="G53" s="37"/>
      <c r="H53" s="6" t="s">
        <v>35</v>
      </c>
      <c r="I53" s="6" t="s">
        <v>34</v>
      </c>
      <c r="J53" s="27" t="s">
        <v>270</v>
      </c>
      <c r="K53" s="35">
        <v>81158</v>
      </c>
      <c r="M53" s="36">
        <f ca="1">IF(AND(MID(K53,2,1)=MID(K53,3,1),MID(K53,3,1)=MID(K53,4,1)),
 IF(ISNUMBER(FIND(MID(K53,2,1),J53,1)),R53*S53,0),
 IF(AND(MID(K53,2,1)&lt;&gt;MID(K53,3,1),MID(K53,3,1)&lt;&gt;MID(K53,4,1),MID(K53,2,1)&lt;&gt;MID(K53,4,1)),
  SUM(N(ISNUMBER(FIND(MID(K53,2,1),J53,1))),N(ISNUMBER(FIND(MID(K53,3,1),J53,1))),N(ISNUMBER(FIND(MID(K53,4,1),J53,1))))*R53*S53,
  SUM(N(ISNUMBER(FIND(_xlfn.MODE.SNGL(INT(MID(K53,2,1)),INT(MID(K53,3,1)),INT(MID(K53,4,1))),J53,1))),N(ISNUMBER(FIND(SUBSTITUTE(MID(K53,2,3),_xlfn.MODE.SNGL(INT(MID(K53,2,1)),INT(MID(K53,3,1)),INT(MID(K53,4,1))),),J53,1))))*R53*S53))</f>
        <v>28.92</v>
      </c>
      <c r="N53" s="32">
        <f t="shared" ca="1" si="18"/>
        <v>1</v>
      </c>
      <c r="O53" s="26" t="str">
        <f t="shared" si="19"/>
        <v>0 1 2 8 9</v>
      </c>
      <c r="P53" s="29">
        <f t="shared" ca="1" si="20"/>
        <v>40</v>
      </c>
      <c r="Q53" s="32">
        <f>LEN(SUBSTITUTE(J53,",",))</f>
        <v>5</v>
      </c>
      <c r="R53" s="29">
        <f t="shared" ca="1" si="2"/>
        <v>4</v>
      </c>
      <c r="S53" s="29">
        <f>Sheet1!W43</f>
        <v>7.23</v>
      </c>
    </row>
    <row r="54" spans="1:19" ht="20.100000000000001" customHeight="1" x14ac:dyDescent="0.15">
      <c r="A54" s="39"/>
      <c r="B54" s="2" t="s">
        <v>150</v>
      </c>
      <c r="C54" s="20">
        <f t="shared" si="21"/>
        <v>28</v>
      </c>
      <c r="D54" s="20">
        <f t="shared" si="22"/>
        <v>28</v>
      </c>
      <c r="E54" s="20">
        <f t="shared" si="23"/>
        <v>0</v>
      </c>
      <c r="F54" s="1">
        <v>28</v>
      </c>
      <c r="G54" s="37"/>
      <c r="H54" s="6" t="s">
        <v>36</v>
      </c>
      <c r="I54" s="6" t="s">
        <v>34</v>
      </c>
      <c r="J54" s="27" t="s">
        <v>326</v>
      </c>
      <c r="K54" s="35">
        <v>81158</v>
      </c>
      <c r="M54" s="32">
        <f ca="1">IF(AND(AND(MID(K54,2,1)=MID(K54,3,1),MID(K54,3,1)=MID(K54,4,1)),ISNUMBER(FIND(MID(K54,2,1),J54,1))),R54*S54,
 IF(AND(LEFT(K53,1)&lt;&gt;MID(K53,2,1),MID(K53,2,1)&lt;&gt;MID(K53,3,1),LEFT(K53,1)&lt;&gt;MID(K53,3,1)),
  SUM(N(ISNUMBER(FIND(MID(K54,2,1),J54,1))),N(ISNUMBER(FIND(MID(K54,3,1),J54,1))),N(ISNUMBER(FIND(MID(K54,4,1),J54,1))))*R54*S54,
  SUM(N(ISNUMBER(FIND(_xlfn.MODE.SNGL(INT(MID(K54,2,1)),INT(MID(K54,3,1)),INT(MID(K54,4,1))),J54,1))),N(ISNUMBER(FIND(SUBSTITUTE(MID(K54,2,3),_xlfn.MODE.SNGL(INT(MID(K54,2,1)),INT(MID(K54,3,1)),INT(MID(K54,4,1))),),J54,1))))*R54*S54))</f>
        <v>290.32</v>
      </c>
      <c r="N54" s="32">
        <f t="shared" ca="1" si="18"/>
        <v>2</v>
      </c>
      <c r="O54" s="26" t="str">
        <f t="shared" si="19"/>
        <v>1 7 5 9</v>
      </c>
      <c r="P54" s="29">
        <f ca="1">Q54*R54*2</f>
        <v>48</v>
      </c>
      <c r="Q54" s="32">
        <f>COMBIN(LEN(SUBSTITUTE(J54,",",)),2)</f>
        <v>6</v>
      </c>
      <c r="R54" s="29">
        <f t="shared" ca="1" si="2"/>
        <v>4</v>
      </c>
      <c r="S54" s="29">
        <f>Sheet1!W44</f>
        <v>36.29</v>
      </c>
    </row>
    <row r="55" spans="1:19" ht="20.100000000000001" customHeight="1" x14ac:dyDescent="0.15">
      <c r="A55" s="39"/>
      <c r="B55" s="2" t="s">
        <v>151</v>
      </c>
      <c r="C55" s="20">
        <f t="shared" si="21"/>
        <v>0</v>
      </c>
      <c r="D55" s="20">
        <f t="shared" si="22"/>
        <v>36</v>
      </c>
      <c r="E55" s="20">
        <f t="shared" si="23"/>
        <v>0</v>
      </c>
      <c r="F55" s="1">
        <v>36</v>
      </c>
      <c r="G55" s="6" t="s">
        <v>38</v>
      </c>
      <c r="H55" s="37" t="s">
        <v>5</v>
      </c>
      <c r="I55" s="6" t="s">
        <v>110</v>
      </c>
      <c r="J55" s="27" t="s">
        <v>271</v>
      </c>
      <c r="K55" s="35">
        <v>81158</v>
      </c>
      <c r="M55" s="37">
        <f ca="1">IF(AND(ISNUMBER(FIND(MID(K55,3,1),J55,1)),ISNUMBER(FIND(MID(K55,4,1),J56,1)),ISNUMBER(FIND(MID(K55,5,1),J57,1))),R55*S55,0)</f>
        <v>1960</v>
      </c>
      <c r="N55" s="37">
        <f ca="1">M55/S55/R55</f>
        <v>1</v>
      </c>
      <c r="O55" s="40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37">
        <f ca="1">R55*Q55*2</f>
        <v>480</v>
      </c>
      <c r="Q55" s="37">
        <f>LEN(SUBSTITUTE($J55,",",))*LEN(SUBSTITUTE($J56,",",))*LEN(SUBSTITUTE($J57,",",))</f>
        <v>240</v>
      </c>
      <c r="R55" s="37">
        <f t="shared" ca="1" si="2"/>
        <v>1</v>
      </c>
      <c r="S55" s="37">
        <f>Sheet1!W45</f>
        <v>1960</v>
      </c>
    </row>
    <row r="56" spans="1:19" ht="20.100000000000001" customHeight="1" x14ac:dyDescent="0.15">
      <c r="A56" s="39"/>
      <c r="B56" s="2" t="s">
        <v>152</v>
      </c>
      <c r="C56" s="20">
        <f t="shared" si="21"/>
        <v>0</v>
      </c>
      <c r="D56" s="20">
        <f t="shared" si="22"/>
        <v>0</v>
      </c>
      <c r="E56" s="20">
        <f t="shared" si="23"/>
        <v>0</v>
      </c>
      <c r="F56" s="1">
        <v>45</v>
      </c>
      <c r="H56" s="37"/>
      <c r="I56" s="6" t="s">
        <v>111</v>
      </c>
      <c r="J56" s="27" t="s">
        <v>331</v>
      </c>
      <c r="K56" s="35">
        <v>81158</v>
      </c>
      <c r="M56" s="37"/>
      <c r="N56" s="37"/>
      <c r="O56" s="38"/>
      <c r="P56" s="37"/>
      <c r="Q56" s="37"/>
      <c r="R56" s="37"/>
      <c r="S56" s="37"/>
    </row>
    <row r="57" spans="1:19" ht="20.100000000000001" customHeight="1" x14ac:dyDescent="0.15">
      <c r="A57" s="39"/>
      <c r="B57" s="2" t="s">
        <v>153</v>
      </c>
      <c r="C57" s="20">
        <f t="shared" si="21"/>
        <v>0</v>
      </c>
      <c r="D57" s="20">
        <f t="shared" si="22"/>
        <v>0</v>
      </c>
      <c r="E57" s="20">
        <f t="shared" si="23"/>
        <v>55</v>
      </c>
      <c r="F57" s="1">
        <v>55</v>
      </c>
      <c r="H57" s="37"/>
      <c r="I57" s="6" t="s">
        <v>112</v>
      </c>
      <c r="J57" s="27" t="s">
        <v>330</v>
      </c>
      <c r="K57" s="35">
        <v>81158</v>
      </c>
      <c r="M57" s="37"/>
      <c r="N57" s="37"/>
      <c r="O57" s="38"/>
      <c r="P57" s="37"/>
      <c r="Q57" s="37"/>
      <c r="R57" s="37"/>
      <c r="S57" s="37"/>
    </row>
    <row r="58" spans="1:19" ht="20.100000000000001" customHeight="1" x14ac:dyDescent="0.15">
      <c r="A58" s="39"/>
      <c r="B58" s="2" t="s">
        <v>155</v>
      </c>
      <c r="C58" s="20">
        <f t="shared" si="21"/>
        <v>63</v>
      </c>
      <c r="D58" s="20">
        <f t="shared" si="22"/>
        <v>0</v>
      </c>
      <c r="E58" s="20">
        <f t="shared" si="23"/>
        <v>63</v>
      </c>
      <c r="F58" s="1">
        <v>63</v>
      </c>
      <c r="H58" s="6" t="s">
        <v>28</v>
      </c>
      <c r="I58" s="6" t="s">
        <v>16</v>
      </c>
      <c r="J58" s="34" t="s">
        <v>332</v>
      </c>
      <c r="K58" s="35">
        <v>81158</v>
      </c>
      <c r="M58" s="32">
        <f ca="1">IF(ISNUMBER(FIND(","&amp;MID(K58,3,3),J58,1)),R58*S58,0)</f>
        <v>3920</v>
      </c>
      <c r="N58" s="32">
        <f t="shared" ref="N58:N69" ca="1" si="25">M58/S58/R58</f>
        <v>1</v>
      </c>
      <c r="O58" s="26" t="str">
        <f t="shared" ref="O58:O69" si="26">TRIM(IF(LEN($J58)=0,"-",SUBSTITUTE($J58,","," ")))</f>
        <v>158</v>
      </c>
      <c r="P58" s="29">
        <f t="shared" ref="P58:P68" ca="1" si="27">Q58*R58*2</f>
        <v>4</v>
      </c>
      <c r="Q58" s="32">
        <f>FINDNUMBER(J58,3)</f>
        <v>1</v>
      </c>
      <c r="R58" s="29">
        <f t="shared" ca="1" si="2"/>
        <v>2</v>
      </c>
      <c r="S58" s="29">
        <f>Sheet1!W46</f>
        <v>1960</v>
      </c>
    </row>
    <row r="59" spans="1:19" ht="20.100000000000001" customHeight="1" x14ac:dyDescent="0.15">
      <c r="A59" s="39"/>
      <c r="B59" s="2" t="s">
        <v>156</v>
      </c>
      <c r="C59" s="20">
        <f t="shared" si="21"/>
        <v>69</v>
      </c>
      <c r="D59" s="20">
        <f t="shared" si="22"/>
        <v>69</v>
      </c>
      <c r="E59" s="20">
        <f t="shared" si="23"/>
        <v>69</v>
      </c>
      <c r="F59" s="1">
        <v>69</v>
      </c>
      <c r="H59" s="6" t="s">
        <v>17</v>
      </c>
      <c r="I59" s="6" t="s">
        <v>18</v>
      </c>
      <c r="J59" s="10" t="s">
        <v>328</v>
      </c>
      <c r="K59" s="35">
        <v>81158</v>
      </c>
      <c r="M59" s="32">
        <f ca="1">IF(ISNUMBER(FIND(","&amp;SUM(MID(K59,3,1),MID(K59,4,1),MID(K59,5,1))&amp;",",J59,1)),R59*S59,0)</f>
        <v>1960</v>
      </c>
      <c r="N59" s="32">
        <f t="shared" ca="1" si="25"/>
        <v>1</v>
      </c>
      <c r="O59" s="26" t="str">
        <f t="shared" si="26"/>
        <v>1 2 3 9 10 11 14</v>
      </c>
      <c r="P59" s="29">
        <f t="shared" ca="1" si="27"/>
        <v>562</v>
      </c>
      <c r="Q59" s="29">
        <f>SUM(E$48:E$75)</f>
        <v>281</v>
      </c>
      <c r="R59" s="29">
        <f t="shared" ca="1" si="2"/>
        <v>1</v>
      </c>
      <c r="S59" s="29">
        <f>Sheet1!W47</f>
        <v>1960</v>
      </c>
    </row>
    <row r="60" spans="1:19" ht="20.100000000000001" customHeight="1" x14ac:dyDescent="0.15">
      <c r="A60" s="39"/>
      <c r="B60" s="2" t="s">
        <v>157</v>
      </c>
      <c r="C60" s="20">
        <f t="shared" si="21"/>
        <v>0</v>
      </c>
      <c r="D60" s="20">
        <f t="shared" si="22"/>
        <v>73</v>
      </c>
      <c r="E60" s="20">
        <f t="shared" si="23"/>
        <v>0</v>
      </c>
      <c r="F60" s="1">
        <v>73</v>
      </c>
      <c r="H60" s="6" t="s">
        <v>19</v>
      </c>
      <c r="I60" s="6" t="s">
        <v>19</v>
      </c>
      <c r="J60" s="27" t="s">
        <v>329</v>
      </c>
      <c r="K60" s="35">
        <v>81158</v>
      </c>
      <c r="M60" s="32">
        <f ca="1">IF(ISNUMBER(FIND(MAX(MID(K60,3,1),MID(K60,4,1),MID(K60,5,1))-MIN(MID(K60,3,1),MID(K60,5,1),MID(K60,4,1)),J60,1)),R60*S60*1,0)</f>
        <v>1960</v>
      </c>
      <c r="N60" s="32">
        <f t="shared" ca="1" si="25"/>
        <v>1</v>
      </c>
      <c r="O60" s="26" t="str">
        <f t="shared" si="26"/>
        <v>0 1 3 5 6 7 9</v>
      </c>
      <c r="P60" s="29">
        <f t="shared" ca="1" si="27"/>
        <v>1328</v>
      </c>
      <c r="Q60" s="29">
        <f>SUM(E$76:E$85)</f>
        <v>664</v>
      </c>
      <c r="R60" s="29">
        <f t="shared" ca="1" si="2"/>
        <v>1</v>
      </c>
      <c r="S60" s="29">
        <f>Sheet1!W48</f>
        <v>1960</v>
      </c>
    </row>
    <row r="61" spans="1:19" ht="20.100000000000001" customHeight="1" x14ac:dyDescent="0.15">
      <c r="A61" s="39"/>
      <c r="B61" s="2" t="s">
        <v>158</v>
      </c>
      <c r="C61" s="20">
        <f t="shared" si="21"/>
        <v>0</v>
      </c>
      <c r="D61" s="20">
        <f t="shared" si="22"/>
        <v>0</v>
      </c>
      <c r="E61" s="20">
        <f t="shared" si="23"/>
        <v>0</v>
      </c>
      <c r="F61" s="1">
        <v>75</v>
      </c>
      <c r="H61" s="6" t="s">
        <v>23</v>
      </c>
      <c r="I61" s="6" t="s">
        <v>18</v>
      </c>
      <c r="J61" s="10" t="s">
        <v>333</v>
      </c>
      <c r="K61" s="35">
        <v>81158</v>
      </c>
      <c r="M61" s="32">
        <f ca="1"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979.99500000000012</v>
      </c>
      <c r="N61" s="32">
        <f ca="1">IF(OR(AND(MID(K61,3,1)=MID(K61,4,1),MID(K61,4,1)&lt;&gt;MID(K61,5,1)),AND(MID(K61,3,1)&lt;&gt;MID(K61,4,1),MID(K61,4,1)=MID(K61,5,1)),AND(MID(K61,5,1)=MID(K61,3,1),MID(K61,3,1)&lt;&gt;MID(K61,4,1))),M61/S61/R61/2,M61/S61/R61)</f>
        <v>1</v>
      </c>
      <c r="O61" s="26" t="str">
        <f t="shared" si="26"/>
        <v>1 2 6 14 25 26</v>
      </c>
      <c r="P61" s="29">
        <f t="shared" ca="1" si="27"/>
        <v>162</v>
      </c>
      <c r="Q61" s="29">
        <f>SUM(E$86:E$111)</f>
        <v>27</v>
      </c>
      <c r="R61" s="29">
        <f t="shared" ca="1" si="2"/>
        <v>3</v>
      </c>
      <c r="S61" s="29">
        <f>Sheet1!W49</f>
        <v>326.66500000000002</v>
      </c>
    </row>
    <row r="62" spans="1:19" ht="20.100000000000001" customHeight="1" x14ac:dyDescent="0.15">
      <c r="A62" s="39"/>
      <c r="B62" s="2" t="s">
        <v>159</v>
      </c>
      <c r="C62" s="20">
        <f t="shared" si="21"/>
        <v>0</v>
      </c>
      <c r="D62" s="20">
        <f t="shared" si="22"/>
        <v>0</v>
      </c>
      <c r="E62" s="20">
        <f t="shared" si="23"/>
        <v>75</v>
      </c>
      <c r="F62" s="1">
        <v>75</v>
      </c>
      <c r="H62" s="6" t="s">
        <v>29</v>
      </c>
      <c r="I62" s="6" t="s">
        <v>29</v>
      </c>
      <c r="J62" s="27" t="s">
        <v>334</v>
      </c>
      <c r="K62" s="35">
        <v>81158</v>
      </c>
      <c r="M62" s="32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32">
        <f t="shared" ca="1" si="25"/>
        <v>0</v>
      </c>
      <c r="O62" s="26" t="str">
        <f t="shared" si="26"/>
        <v>0 1 3 4 5 7 8 9</v>
      </c>
      <c r="P62" s="29">
        <f t="shared" ca="1" si="27"/>
        <v>112</v>
      </c>
      <c r="Q62" s="32">
        <f>COMBIN(LEN(SUBSTITUTE(J62,",",)),2)*2</f>
        <v>56</v>
      </c>
      <c r="R62" s="29">
        <f t="shared" ca="1" si="2"/>
        <v>1</v>
      </c>
      <c r="S62" s="29">
        <f>Sheet1!W50</f>
        <v>653.33000000000004</v>
      </c>
    </row>
    <row r="63" spans="1:19" ht="20.100000000000001" customHeight="1" x14ac:dyDescent="0.15">
      <c r="A63" s="39"/>
      <c r="B63" s="2" t="s">
        <v>160</v>
      </c>
      <c r="C63" s="20">
        <f t="shared" si="21"/>
        <v>0</v>
      </c>
      <c r="D63" s="20">
        <f t="shared" si="22"/>
        <v>0</v>
      </c>
      <c r="E63" s="20">
        <f t="shared" si="23"/>
        <v>0</v>
      </c>
      <c r="F63" s="1">
        <v>73</v>
      </c>
      <c r="H63" s="6" t="s">
        <v>30</v>
      </c>
      <c r="I63" s="6" t="s">
        <v>30</v>
      </c>
      <c r="J63" s="27" t="s">
        <v>335</v>
      </c>
      <c r="K63" s="35">
        <v>81158</v>
      </c>
      <c r="M63" s="32">
        <f ca="1"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326.66000000000003</v>
      </c>
      <c r="N63" s="32">
        <f t="shared" ca="1" si="25"/>
        <v>1</v>
      </c>
      <c r="O63" s="26" t="str">
        <f t="shared" si="26"/>
        <v>0 1 3 4 5 7 8 9</v>
      </c>
      <c r="P63" s="29">
        <f t="shared" ca="1" si="27"/>
        <v>112</v>
      </c>
      <c r="Q63" s="32">
        <f>COMBIN(LEN(SUBSTITUTE(J63,",",)),3)</f>
        <v>56</v>
      </c>
      <c r="R63" s="29">
        <f t="shared" ca="1" si="2"/>
        <v>1</v>
      </c>
      <c r="S63" s="29">
        <f>Sheet1!W51</f>
        <v>326.66000000000003</v>
      </c>
    </row>
    <row r="64" spans="1:19" ht="20.100000000000001" customHeight="1" x14ac:dyDescent="0.15">
      <c r="A64" s="39"/>
      <c r="B64" s="2" t="s">
        <v>161</v>
      </c>
      <c r="C64" s="20">
        <f t="shared" si="21"/>
        <v>69</v>
      </c>
      <c r="D64" s="20">
        <f t="shared" si="22"/>
        <v>0</v>
      </c>
      <c r="E64" s="20">
        <f t="shared" si="23"/>
        <v>0</v>
      </c>
      <c r="F64" s="1">
        <v>69</v>
      </c>
      <c r="H64" s="6" t="s">
        <v>31</v>
      </c>
      <c r="I64" s="6" t="s">
        <v>16</v>
      </c>
      <c r="J64" s="27" t="s">
        <v>336</v>
      </c>
      <c r="K64" s="35">
        <v>81158</v>
      </c>
      <c r="M64" s="32">
        <f ca="1"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1306.6600000000001</v>
      </c>
      <c r="N64" s="32">
        <f t="shared" ref="N64:N65" ca="1" si="28">IF(OR(AND(MID(K64,3,1)=MID(K64,4,1),MID(K64,4,1)&lt;&gt;MID(K64,5,1)),AND(MID(K64,3,1)&lt;&gt;MID(K64,4,1),MID(K64,4,1)=MID(K64,5,1)),AND(MID(K64,5,1)=MID(K64,3,1),MID(K64,3,1)&lt;&gt;MID(K64,4,1))),M64/S64/R64/2,M64/S64/R64)</f>
        <v>1</v>
      </c>
      <c r="O64" s="26" t="str">
        <f t="shared" si="26"/>
        <v>518</v>
      </c>
      <c r="P64" s="29">
        <f t="shared" ca="1" si="27"/>
        <v>8</v>
      </c>
      <c r="Q64" s="36">
        <f>FINDNUMBER(J64,3)</f>
        <v>1</v>
      </c>
      <c r="R64" s="29">
        <f t="shared" ca="1" si="2"/>
        <v>4</v>
      </c>
      <c r="S64" s="29">
        <f>Sheet1!W52</f>
        <v>326.66500000000002</v>
      </c>
    </row>
    <row r="65" spans="1:20" ht="20.100000000000001" customHeight="1" x14ac:dyDescent="0.15">
      <c r="A65" s="39"/>
      <c r="B65" s="2" t="s">
        <v>162</v>
      </c>
      <c r="C65" s="20">
        <f t="shared" si="21"/>
        <v>63</v>
      </c>
      <c r="D65" s="20">
        <f t="shared" si="22"/>
        <v>63</v>
      </c>
      <c r="E65" s="20">
        <f t="shared" si="23"/>
        <v>0</v>
      </c>
      <c r="F65" s="1">
        <v>63</v>
      </c>
      <c r="H65" s="6" t="s">
        <v>24</v>
      </c>
      <c r="I65" s="6" t="s">
        <v>25</v>
      </c>
      <c r="J65" s="27" t="s">
        <v>272</v>
      </c>
      <c r="K65" s="35">
        <v>81158</v>
      </c>
      <c r="M65" s="32">
        <f ca="1"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326.66500000000002</v>
      </c>
      <c r="N65" s="32">
        <f t="shared" ca="1" si="28"/>
        <v>1</v>
      </c>
      <c r="O65" s="26" t="str">
        <f t="shared" si="26"/>
        <v>8</v>
      </c>
      <c r="P65" s="29">
        <f t="shared" ca="1" si="27"/>
        <v>108</v>
      </c>
      <c r="Q65" s="32">
        <v>54</v>
      </c>
      <c r="R65" s="29">
        <f t="shared" ca="1" si="2"/>
        <v>1</v>
      </c>
      <c r="S65" s="29">
        <f>Sheet1!W53</f>
        <v>326.66500000000002</v>
      </c>
    </row>
    <row r="66" spans="1:20" ht="20.100000000000001" customHeight="1" x14ac:dyDescent="0.15">
      <c r="A66" s="39"/>
      <c r="B66" s="2" t="s">
        <v>164</v>
      </c>
      <c r="C66" s="20">
        <f t="shared" si="21"/>
        <v>55</v>
      </c>
      <c r="D66" s="20">
        <f t="shared" si="22"/>
        <v>55</v>
      </c>
      <c r="E66" s="20">
        <f t="shared" si="23"/>
        <v>0</v>
      </c>
      <c r="F66" s="1">
        <v>55</v>
      </c>
      <c r="H66" s="6" t="s">
        <v>32</v>
      </c>
      <c r="I66" s="6" t="s">
        <v>16</v>
      </c>
      <c r="J66" s="27" t="s">
        <v>337</v>
      </c>
      <c r="K66" s="35">
        <v>81158</v>
      </c>
      <c r="M66" s="32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32">
        <f t="shared" ca="1" si="25"/>
        <v>0</v>
      </c>
      <c r="O66" s="26" t="str">
        <f t="shared" si="26"/>
        <v>855</v>
      </c>
      <c r="P66" s="29">
        <f t="shared" ca="1" si="27"/>
        <v>2</v>
      </c>
      <c r="Q66" s="36">
        <f>FINDNUMBER(J66,3)</f>
        <v>1</v>
      </c>
      <c r="R66" s="29">
        <f t="shared" ca="1" si="2"/>
        <v>1</v>
      </c>
      <c r="S66" s="29">
        <f>Sheet1!W54</f>
        <v>653.33000000000004</v>
      </c>
    </row>
    <row r="67" spans="1:20" ht="20.100000000000001" customHeight="1" x14ac:dyDescent="0.15">
      <c r="A67" s="39"/>
      <c r="B67" s="2" t="s">
        <v>165</v>
      </c>
      <c r="C67" s="20">
        <f t="shared" si="21"/>
        <v>0</v>
      </c>
      <c r="D67" s="20">
        <f t="shared" si="22"/>
        <v>0</v>
      </c>
      <c r="E67" s="20">
        <f t="shared" si="23"/>
        <v>0</v>
      </c>
      <c r="F67" s="1">
        <v>45</v>
      </c>
      <c r="H67" s="6" t="s">
        <v>33</v>
      </c>
      <c r="I67" s="6" t="s">
        <v>16</v>
      </c>
      <c r="J67" s="27" t="s">
        <v>338</v>
      </c>
      <c r="K67" s="35">
        <v>81158</v>
      </c>
      <c r="M67" s="32">
        <f ca="1"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326.66000000000003</v>
      </c>
      <c r="N67" s="32">
        <f t="shared" ca="1" si="25"/>
        <v>1</v>
      </c>
      <c r="O67" s="26" t="str">
        <f t="shared" si="26"/>
        <v>185</v>
      </c>
      <c r="P67" s="29">
        <f t="shared" ca="1" si="27"/>
        <v>2</v>
      </c>
      <c r="Q67" s="36">
        <f>FINDNUMBER(J67,3)</f>
        <v>1</v>
      </c>
      <c r="R67" s="29">
        <f t="shared" ref="R67:R123" ca="1" si="29">RANDBETWEEN(1,4)</f>
        <v>1</v>
      </c>
      <c r="S67" s="29">
        <f>Sheet1!W55</f>
        <v>326.66000000000003</v>
      </c>
    </row>
    <row r="68" spans="1:20" ht="20.100000000000001" customHeight="1" x14ac:dyDescent="0.15">
      <c r="A68" s="39"/>
      <c r="B68" s="2" t="s">
        <v>166</v>
      </c>
      <c r="C68" s="20">
        <f t="shared" si="21"/>
        <v>0</v>
      </c>
      <c r="D68" s="20">
        <f t="shared" si="22"/>
        <v>0</v>
      </c>
      <c r="E68" s="20">
        <f t="shared" si="23"/>
        <v>0</v>
      </c>
      <c r="F68" s="1">
        <v>36</v>
      </c>
      <c r="H68" s="6" t="s">
        <v>35</v>
      </c>
      <c r="I68" s="6" t="s">
        <v>34</v>
      </c>
      <c r="J68" s="27" t="s">
        <v>273</v>
      </c>
      <c r="K68" s="35">
        <v>81158</v>
      </c>
      <c r="M68" s="36">
        <f ca="1">IF(AND(MID(K68,3,1)=MID(K68,4,1),MID(K68,4,1)=MID(K68,5,1)),
 IF(ISNUMBER(FIND(MID(K68,3,1),J68,1)),R68*S68,0),
 IF(AND(MID(K68,3,1)&lt;&gt;MID(K68,4,1),MID(K68,4,1)&lt;&gt;MID(K68,5,1),MID(K68,3,1)&lt;&gt;MID(K68,5,1)),
  SUM(N(ISNUMBER(FIND(MID(K68,3,1),J68,1))),N(ISNUMBER(FIND(MID(K68,4,1),J68,1))),N(ISNUMBER(FIND(MID(K68,5,1),J68,1))))*R68*S68,
  SUM(N(ISNUMBER(FIND(_xlfn.MODE.SNGL(INT(MID(K68,3,1)),INT(MID(K68,4,1)),INT(MID(K68,5,1))),J68,1))),N(ISNUMBER(FIND(SUBSTITUTE(MID(K68,3,3),_xlfn.MODE.SNGL(INT(MID(K68,3,1)),INT(MID(K68,4,1)),INT(MID(K68,5,1))),),J68,1))))*R68*S68))</f>
        <v>43.38</v>
      </c>
      <c r="N68" s="32">
        <f t="shared" ca="1" si="25"/>
        <v>2</v>
      </c>
      <c r="O68" s="26" t="str">
        <f t="shared" si="26"/>
        <v>0 1 2 6 7 8 9</v>
      </c>
      <c r="P68" s="29">
        <f t="shared" ca="1" si="27"/>
        <v>42</v>
      </c>
      <c r="Q68" s="32">
        <f>LEN(SUBSTITUTE(J68,",",))</f>
        <v>7</v>
      </c>
      <c r="R68" s="29">
        <f t="shared" ca="1" si="29"/>
        <v>3</v>
      </c>
      <c r="S68" s="29">
        <f>Sheet1!W56</f>
        <v>7.23</v>
      </c>
    </row>
    <row r="69" spans="1:20" ht="20.100000000000001" customHeight="1" x14ac:dyDescent="0.15">
      <c r="A69" s="39"/>
      <c r="B69" s="2" t="s">
        <v>167</v>
      </c>
      <c r="C69" s="20">
        <f t="shared" si="21"/>
        <v>0</v>
      </c>
      <c r="D69" s="20">
        <f t="shared" si="22"/>
        <v>0</v>
      </c>
      <c r="E69" s="20">
        <f t="shared" si="23"/>
        <v>0</v>
      </c>
      <c r="F69" s="1">
        <v>28</v>
      </c>
      <c r="H69" s="6" t="s">
        <v>36</v>
      </c>
      <c r="I69" s="6" t="s">
        <v>34</v>
      </c>
      <c r="J69" s="27" t="s">
        <v>274</v>
      </c>
      <c r="K69" s="35">
        <v>81158</v>
      </c>
      <c r="M69" s="32">
        <f ca="1">IF(AND(AND(MID(K69,3,1)=MID(K69,4,1),MID(K69,4,1)=MID(K69,5,1)),ISNUMBER(FIND(MID(K69,3,1),J69,1))),R69*S69,
 IF(AND(LEFT(K68,1)&lt;&gt;MID(K68,3,1),MID(K68,3,1)&lt;&gt;MID(K68,4,1),LEFT(K68,1)&lt;&gt;MID(K68,4,1)),
  SUM(N(ISNUMBER(FIND(MID(K69,3,1),J69,1))),N(ISNUMBER(FIND(MID(K69,4,1),J69,1))),N(ISNUMBER(FIND(MID(K69,5,1),J69,1))))*R69*S69,
  SUM(N(ISNUMBER(FIND(_xlfn.MODE.SNGL(INT(MID(K69,3,1)),INT(MID(K69,4,1)),INT(MID(K69,5,1))),J69,1))),N(ISNUMBER(FIND(SUBSTITUTE(MID(K69,3,3),_xlfn.MODE.SNGL(INT(MID(K69,3,1)),INT(MID(K69,4,1)),INT(MID(K69,5,1))),),J69,1))))*R69*S69))</f>
        <v>145.16</v>
      </c>
      <c r="N69" s="32">
        <f t="shared" ca="1" si="25"/>
        <v>2</v>
      </c>
      <c r="O69" s="26" t="str">
        <f t="shared" si="26"/>
        <v>0 2 3 4 5 8 9</v>
      </c>
      <c r="P69" s="29">
        <f ca="1">Q69*R69*2</f>
        <v>84</v>
      </c>
      <c r="Q69" s="32">
        <f>COMBIN(LEN(SUBSTITUTE(J69,",",)),2)</f>
        <v>21</v>
      </c>
      <c r="R69" s="29">
        <f t="shared" ca="1" si="29"/>
        <v>2</v>
      </c>
      <c r="S69" s="29">
        <f>Sheet1!W57</f>
        <v>36.29</v>
      </c>
    </row>
    <row r="70" spans="1:20" ht="20.100000000000001" customHeight="1" x14ac:dyDescent="0.15">
      <c r="A70" s="39"/>
      <c r="B70" s="2" t="s">
        <v>168</v>
      </c>
      <c r="C70" s="20">
        <f t="shared" si="21"/>
        <v>0</v>
      </c>
      <c r="D70" s="20">
        <f t="shared" si="22"/>
        <v>0</v>
      </c>
      <c r="E70" s="20">
        <f t="shared" si="23"/>
        <v>0</v>
      </c>
      <c r="F70" s="1">
        <v>21</v>
      </c>
      <c r="G70" s="6" t="s">
        <v>39</v>
      </c>
      <c r="H70" s="37" t="s">
        <v>40</v>
      </c>
      <c r="I70" s="6" t="s">
        <v>7</v>
      </c>
      <c r="J70" s="27" t="s">
        <v>341</v>
      </c>
      <c r="K70" s="35">
        <v>81158</v>
      </c>
      <c r="M70" s="37">
        <f ca="1">IF(AND(ISNUMBER(FIND(MID(K70,2,1),J70,1)),ISNUMBER(FIND(MID(K70,3,1),J71,1)),ISNUMBER(FIND(MID(K70,4,1),J72,1)),ISNUMBER(FIND(RIGHT(K70,1),J73,1))),R70*S70,0)</f>
        <v>78400</v>
      </c>
      <c r="N70" s="37">
        <f ca="1">M70/S70/R70</f>
        <v>1</v>
      </c>
      <c r="O70" s="38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37">
        <f ca="1">Q70*R70*2</f>
        <v>7200</v>
      </c>
      <c r="Q70" s="39">
        <f>LEN(SUBSTITUTE($J70,",",))*LEN(SUBSTITUTE($J71,",",))*LEN(SUBSTITUTE($J72,",",))*LEN(SUBSTITUTE($J73,",",))</f>
        <v>900</v>
      </c>
      <c r="R70" s="37">
        <f t="shared" ca="1" si="29"/>
        <v>4</v>
      </c>
      <c r="S70" s="37">
        <f>Sheet1!W58</f>
        <v>19600</v>
      </c>
    </row>
    <row r="71" spans="1:20" ht="20.100000000000001" customHeight="1" x14ac:dyDescent="0.15">
      <c r="A71" s="39"/>
      <c r="B71" s="2" t="s">
        <v>169</v>
      </c>
      <c r="C71" s="20">
        <f t="shared" si="21"/>
        <v>0</v>
      </c>
      <c r="D71" s="20">
        <f t="shared" si="22"/>
        <v>0</v>
      </c>
      <c r="E71" s="20">
        <f t="shared" si="23"/>
        <v>0</v>
      </c>
      <c r="F71" s="1">
        <v>15</v>
      </c>
      <c r="H71" s="37"/>
      <c r="I71" s="6" t="s">
        <v>8</v>
      </c>
      <c r="J71" s="27" t="s">
        <v>339</v>
      </c>
      <c r="K71" s="35">
        <v>81158</v>
      </c>
      <c r="M71" s="37"/>
      <c r="N71" s="37"/>
      <c r="O71" s="38"/>
      <c r="P71" s="37"/>
      <c r="Q71" s="37"/>
      <c r="R71" s="37"/>
      <c r="S71" s="37"/>
    </row>
    <row r="72" spans="1:20" ht="20.100000000000001" customHeight="1" x14ac:dyDescent="0.15">
      <c r="A72" s="39"/>
      <c r="B72" s="2" t="s">
        <v>170</v>
      </c>
      <c r="C72" s="20">
        <f t="shared" si="21"/>
        <v>0</v>
      </c>
      <c r="D72" s="20">
        <f t="shared" si="22"/>
        <v>0</v>
      </c>
      <c r="E72" s="20">
        <f t="shared" si="23"/>
        <v>0</v>
      </c>
      <c r="F72" s="1">
        <v>10</v>
      </c>
      <c r="H72" s="37"/>
      <c r="I72" s="6" t="s">
        <v>11</v>
      </c>
      <c r="J72" s="27" t="s">
        <v>342</v>
      </c>
      <c r="K72" s="35">
        <v>81158</v>
      </c>
      <c r="M72" s="37"/>
      <c r="N72" s="37"/>
      <c r="O72" s="38"/>
      <c r="P72" s="37"/>
      <c r="Q72" s="37"/>
      <c r="R72" s="37"/>
      <c r="S72" s="37"/>
    </row>
    <row r="73" spans="1:20" ht="20.100000000000001" customHeight="1" x14ac:dyDescent="0.15">
      <c r="A73" s="39"/>
      <c r="B73" s="2" t="s">
        <v>171</v>
      </c>
      <c r="C73" s="20">
        <f t="shared" si="21"/>
        <v>0</v>
      </c>
      <c r="D73" s="20">
        <f t="shared" si="22"/>
        <v>0</v>
      </c>
      <c r="E73" s="20">
        <f t="shared" si="23"/>
        <v>0</v>
      </c>
      <c r="F73" s="1">
        <v>6</v>
      </c>
      <c r="H73" s="37"/>
      <c r="I73" s="6" t="s">
        <v>12</v>
      </c>
      <c r="J73" s="27" t="s">
        <v>340</v>
      </c>
      <c r="K73" s="35">
        <v>81158</v>
      </c>
      <c r="M73" s="37"/>
      <c r="N73" s="37"/>
      <c r="O73" s="38"/>
      <c r="P73" s="37"/>
      <c r="Q73" s="37"/>
      <c r="R73" s="37"/>
      <c r="S73" s="37"/>
    </row>
    <row r="74" spans="1:20" ht="20.100000000000001" customHeight="1" x14ac:dyDescent="0.15">
      <c r="A74" s="39"/>
      <c r="B74" s="2" t="s">
        <v>172</v>
      </c>
      <c r="C74" s="20">
        <f t="shared" si="21"/>
        <v>0</v>
      </c>
      <c r="D74" s="20">
        <f t="shared" si="22"/>
        <v>0</v>
      </c>
      <c r="E74" s="20">
        <f t="shared" si="23"/>
        <v>0</v>
      </c>
      <c r="F74" s="1">
        <v>3</v>
      </c>
      <c r="H74" s="6" t="s">
        <v>41</v>
      </c>
      <c r="I74" s="6" t="s">
        <v>42</v>
      </c>
      <c r="J74" s="27" t="s">
        <v>343</v>
      </c>
      <c r="K74" s="35">
        <v>81158</v>
      </c>
      <c r="M74" s="32">
        <f ca="1">IF(ISNUMBER(FIND(","&amp;RIGHT(K74,4)&amp;",",J74,1)),R74*S74,0)</f>
        <v>78400</v>
      </c>
      <c r="N74" s="32">
        <f t="shared" ref="N74:N75" ca="1" si="30">M74/S74/R74</f>
        <v>1</v>
      </c>
      <c r="O74" s="26" t="str">
        <f t="shared" ref="O74:O75" si="31">TRIM(IF(LEN($J74)=0,"-",SUBSTITUTE($J74,","," ")))</f>
        <v>1158</v>
      </c>
      <c r="P74" s="32">
        <f ca="1">Q74*R74*2</f>
        <v>8</v>
      </c>
      <c r="Q74" s="32">
        <f>FINDNUMBER($J$74,4)</f>
        <v>1</v>
      </c>
      <c r="R74" s="29">
        <f t="shared" ca="1" si="29"/>
        <v>4</v>
      </c>
      <c r="S74" s="29">
        <f>Sheet1!W59</f>
        <v>19600</v>
      </c>
    </row>
    <row r="75" spans="1:20" ht="20.100000000000001" customHeight="1" x14ac:dyDescent="0.15">
      <c r="A75" s="39"/>
      <c r="B75" s="2" t="s">
        <v>173</v>
      </c>
      <c r="C75" s="20">
        <f t="shared" si="21"/>
        <v>0</v>
      </c>
      <c r="D75" s="20">
        <f t="shared" si="22"/>
        <v>0</v>
      </c>
      <c r="E75" s="20">
        <f t="shared" si="23"/>
        <v>0</v>
      </c>
      <c r="F75" s="1">
        <v>1</v>
      </c>
      <c r="H75" s="6" t="s">
        <v>43</v>
      </c>
      <c r="I75" s="6" t="s">
        <v>43</v>
      </c>
      <c r="J75" s="27" t="s">
        <v>275</v>
      </c>
      <c r="K75" s="35">
        <v>81158</v>
      </c>
      <c r="L75" s="33" t="s">
        <v>346</v>
      </c>
      <c r="M75" s="32">
        <f>IF(N(L76)=1,0,
 IF(AND(ISNUMBER(FIND(MID(K75,2,1),J75,1)),ISNUMBER(FIND(MID(K75,3,1),J75,1)),ISNUMBER(FIND(MID(K75,4,1),J75,1)),ISNUMBER(FIND(MID(K75,5,1),J75,1))),R75*S75,0))</f>
        <v>0</v>
      </c>
      <c r="N75" s="32">
        <f t="shared" ca="1" si="30"/>
        <v>0</v>
      </c>
      <c r="O75" s="26" t="str">
        <f t="shared" si="31"/>
        <v>0 1 2 4 5 6 8 9</v>
      </c>
      <c r="P75" s="32">
        <f ca="1">Q75*R75*2</f>
        <v>560</v>
      </c>
      <c r="Q75" s="32">
        <f>COMBIN(LEN(SUBSTITUTE(J75,",",)),4)</f>
        <v>70</v>
      </c>
      <c r="R75" s="29">
        <f t="shared" ca="1" si="29"/>
        <v>4</v>
      </c>
      <c r="S75" s="29">
        <f>Sheet1!W60</f>
        <v>816.66</v>
      </c>
    </row>
    <row r="76" spans="1:20" ht="20.100000000000001" customHeight="1" x14ac:dyDescent="0.15">
      <c r="A76" s="39" t="s">
        <v>122</v>
      </c>
      <c r="B76" s="2" t="s">
        <v>163</v>
      </c>
      <c r="C76" s="20">
        <f>IF(ISNUMBER(FIND($B76,$J$30,1)),$F76,0)</f>
        <v>10</v>
      </c>
      <c r="D76" s="20">
        <f>IF(ISNUMBER(FIND($B76,$J$45,1)),$F76,0)</f>
        <v>10</v>
      </c>
      <c r="E76" s="20">
        <f>IF(ISNUMBER(FIND($B76,$J$60,1)),$F76,0)</f>
        <v>10</v>
      </c>
      <c r="F76" s="1">
        <v>10</v>
      </c>
      <c r="H76" s="39" t="s">
        <v>186</v>
      </c>
      <c r="I76" s="6" t="s">
        <v>44</v>
      </c>
      <c r="J76" s="27" t="s">
        <v>276</v>
      </c>
      <c r="K76" s="35">
        <v>81158</v>
      </c>
      <c r="L76" s="7">
        <f>_xlfn.MODE.SNGL(INT(MID(K78,2,1)),INT(MID(K78,3,1)),INT(MID(K78,4,1)),INT(MID(K78,5,1)))</f>
        <v>1</v>
      </c>
      <c r="M76" s="37">
        <f ca="1">IF(N(ISNUMBER(L76))+N(LEFT(L77,1)=RIGHT(L77,1))=1,
 IF(AND(ISNUMBER(FIND(L76,J76,1)),
   ISNUMBER(FIND(LEFT(L77,1),J77,1)),
   ISNUMBER(FIND(RIGHT(L77,1),J77,1))
  ),R76*S76,0
 ),0
)</f>
        <v>6533.32</v>
      </c>
      <c r="N76" s="37">
        <f ca="1">M76/S76/R76</f>
        <v>1</v>
      </c>
      <c r="O76" s="38" t="str">
        <f>TRIM(IF(LEN($J76)=0,"-",SUBSTITUTE($J76,","," ")))&amp;","&amp;TRIM(IF(LEN($J77)=0,"-",SUBSTITUTE($J77,","," ")))</f>
        <v>0 1 2 6 7 8 9,0 1 2 3 4 5 8 9</v>
      </c>
      <c r="P76" s="37">
        <f ca="1">Q76*R76*2</f>
        <v>1288</v>
      </c>
      <c r="Q76" s="37">
        <f>LEN(SUBSTITUTE(J76,",",))*COMBIN(LEN(SUBSTITUTE(J77,",",)),2)-T76*(LEN(SUBSTITUTE(J77,",",))-1)</f>
        <v>161</v>
      </c>
      <c r="R76" s="37">
        <f t="shared" ca="1" si="29"/>
        <v>4</v>
      </c>
      <c r="S76" s="37">
        <f>Sheet1!W61</f>
        <v>1633.33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0" ht="20.100000000000001" customHeight="1" x14ac:dyDescent="0.15">
      <c r="A77" s="39"/>
      <c r="B77" s="2" t="s">
        <v>145</v>
      </c>
      <c r="C77" s="20">
        <f t="shared" ref="C77:C85" si="32">IF(ISNUMBER(FIND($B77,$J$30,1)),$F77,0)</f>
        <v>0</v>
      </c>
      <c r="D77" s="20">
        <f t="shared" ref="D77:D85" si="33">IF(ISNUMBER(FIND($B77,$J$45,1)),$F77,0)</f>
        <v>54</v>
      </c>
      <c r="E77" s="20">
        <f t="shared" ref="E77:E85" si="34">IF(ISNUMBER(FIND($B77,$J$60,1)),$F77,0)</f>
        <v>54</v>
      </c>
      <c r="F77" s="1">
        <v>54</v>
      </c>
      <c r="H77" s="37"/>
      <c r="I77" s="6" t="s">
        <v>45</v>
      </c>
      <c r="J77" s="27" t="s">
        <v>344</v>
      </c>
      <c r="K77" s="35">
        <v>81158</v>
      </c>
      <c r="L77" s="7" t="str">
        <f>SUBSTITUTE(RIGHT(K78,4),_xlfn.MODE.SNGL(INT(MID(K78,2,1)),INT(MID(K78,3,1)),INT(MID(K78,4,1)),INT(MID(K78,5,1))),)</f>
        <v>58</v>
      </c>
      <c r="M77" s="37"/>
      <c r="N77" s="37"/>
      <c r="O77" s="38"/>
      <c r="P77" s="37"/>
      <c r="Q77" s="37"/>
      <c r="R77" s="37"/>
      <c r="S77" s="37"/>
    </row>
    <row r="78" spans="1:20" ht="20.100000000000001" customHeight="1" x14ac:dyDescent="0.15">
      <c r="A78" s="39"/>
      <c r="B78" s="2" t="s">
        <v>146</v>
      </c>
      <c r="C78" s="20">
        <f t="shared" si="32"/>
        <v>0</v>
      </c>
      <c r="D78" s="20">
        <f t="shared" si="33"/>
        <v>96</v>
      </c>
      <c r="E78" s="20">
        <f t="shared" si="34"/>
        <v>0</v>
      </c>
      <c r="F78" s="1">
        <v>96</v>
      </c>
      <c r="H78" s="8" t="s">
        <v>46</v>
      </c>
      <c r="I78" s="6" t="s">
        <v>44</v>
      </c>
      <c r="J78" s="27" t="s">
        <v>345</v>
      </c>
      <c r="K78" s="35">
        <v>81158</v>
      </c>
      <c r="L78" s="7" t="e">
        <f>_xlfn.MODE.SNGL(INT(LEFT(L77,1)),INT(RIGHT(L77,1)))</f>
        <v>#N/A</v>
      </c>
      <c r="M78" s="32">
        <f>IF(N(ISNUMBER(L76))+N(LEFT(L77,1)=MID(L77,2,1))=2,IF(AND(ISNUMBER(FIND(L76,J78,1)),ISNUMBER(FIND(L78,J78,1))),R78*S78,0),0)</f>
        <v>0</v>
      </c>
      <c r="N78" s="32">
        <f t="shared" ref="N78" ca="1" si="35">M78/S78/R78</f>
        <v>0</v>
      </c>
      <c r="O78" s="26" t="str">
        <f>TRIM(IF(LEN($J78)=0,"-",SUBSTITUTE($J78,","," ")))</f>
        <v>1 4 5 6 7 8 9</v>
      </c>
      <c r="P78" s="32">
        <f ca="1">Q78*R78*2</f>
        <v>84</v>
      </c>
      <c r="Q78" s="29">
        <f>COMBIN(LEN(SUBSTITUTE(J78,",",)),2)</f>
        <v>21</v>
      </c>
      <c r="R78" s="29">
        <f t="shared" ca="1" si="29"/>
        <v>2</v>
      </c>
      <c r="S78" s="29">
        <f>Sheet1!W62</f>
        <v>3266.66</v>
      </c>
    </row>
    <row r="79" spans="1:20" ht="20.100000000000001" customHeight="1" x14ac:dyDescent="0.15">
      <c r="A79" s="39"/>
      <c r="B79" s="2" t="s">
        <v>147</v>
      </c>
      <c r="C79" s="20">
        <f t="shared" si="32"/>
        <v>126</v>
      </c>
      <c r="D79" s="20">
        <f t="shared" si="33"/>
        <v>0</v>
      </c>
      <c r="E79" s="20">
        <f t="shared" si="34"/>
        <v>126</v>
      </c>
      <c r="F79" s="1">
        <v>126</v>
      </c>
      <c r="H79" s="39" t="s">
        <v>187</v>
      </c>
      <c r="I79" s="6" t="s">
        <v>49</v>
      </c>
      <c r="J79" s="27" t="s">
        <v>347</v>
      </c>
      <c r="K79" s="35">
        <v>81158</v>
      </c>
      <c r="L79" s="7">
        <f>N(ISNUMBER(L76))+N(ISNUMBER(INT(LEFT(L77,1))))+N(ISNUMBER(INT(MID(L77,2,1))))</f>
        <v>3</v>
      </c>
      <c r="M79" s="37">
        <f>IF(L79=2,IF(SUM(N(ISNUMBER(FIND(L76,J79,1))),N(ISNUMBER(FIND(L77,J80,1))))=2,R79*S79,0),0)</f>
        <v>0</v>
      </c>
      <c r="N79" s="37">
        <f ca="1">M79/S79/R79</f>
        <v>0</v>
      </c>
      <c r="O79" s="38" t="str">
        <f>TRIM(IF(LEN($J79)=0,"-",SUBSTITUTE($J79,","," ")))&amp;","&amp;TRIM(IF(LEN($J80)=0,"-",SUBSTITUTE($J80,","," ")))</f>
        <v>0 1 2 5 6 7 8,0 1 2 7 8 9</v>
      </c>
      <c r="P79" s="37">
        <f ca="1">Q79*R79*2</f>
        <v>74</v>
      </c>
      <c r="Q79" s="37">
        <f>LEN(SUBSTITUTE(J79,",",))*LEN(SUBSTITUTE(J80,",",))-T79</f>
        <v>37</v>
      </c>
      <c r="R79" s="37">
        <f t="shared" ca="1" si="29"/>
        <v>1</v>
      </c>
      <c r="S79" s="37">
        <f>Sheet1!W63</f>
        <v>4900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0" ht="20.100000000000001" customHeight="1" x14ac:dyDescent="0.15">
      <c r="A80" s="39"/>
      <c r="B80" s="2" t="s">
        <v>148</v>
      </c>
      <c r="C80" s="20">
        <f t="shared" si="32"/>
        <v>144</v>
      </c>
      <c r="D80" s="20">
        <f t="shared" si="33"/>
        <v>144</v>
      </c>
      <c r="E80" s="20">
        <f t="shared" si="34"/>
        <v>0</v>
      </c>
      <c r="F80" s="1">
        <v>144</v>
      </c>
      <c r="H80" s="37"/>
      <c r="I80" s="6" t="s">
        <v>48</v>
      </c>
      <c r="J80" s="27" t="s">
        <v>277</v>
      </c>
      <c r="K80" s="35">
        <v>81158</v>
      </c>
      <c r="M80" s="37"/>
      <c r="N80" s="37"/>
      <c r="O80" s="38"/>
      <c r="P80" s="37"/>
      <c r="Q80" s="37"/>
      <c r="R80" s="37"/>
      <c r="S80" s="37"/>
    </row>
    <row r="81" spans="1:20" ht="20.100000000000001" customHeight="1" x14ac:dyDescent="0.15">
      <c r="A81" s="39"/>
      <c r="B81" s="2" t="s">
        <v>149</v>
      </c>
      <c r="C81" s="20">
        <f t="shared" si="32"/>
        <v>150</v>
      </c>
      <c r="D81" s="20">
        <f t="shared" si="33"/>
        <v>0</v>
      </c>
      <c r="E81" s="20">
        <f t="shared" si="34"/>
        <v>150</v>
      </c>
      <c r="F81" s="1">
        <v>150</v>
      </c>
      <c r="H81" s="6" t="s">
        <v>51</v>
      </c>
      <c r="I81" s="6" t="s">
        <v>53</v>
      </c>
      <c r="J81" s="27" t="s">
        <v>348</v>
      </c>
      <c r="K81" s="35">
        <f>K78</f>
        <v>81158</v>
      </c>
      <c r="M81" s="32">
        <f ca="1"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34.14</v>
      </c>
      <c r="N81" s="32">
        <f t="shared" ref="N81:N82" ca="1" si="36">M81/S81/R81</f>
        <v>3</v>
      </c>
      <c r="O81" s="26" t="str">
        <f t="shared" ref="O81:O82" si="37">TRIM(IF(LEN($J81)=0,"-",SUBSTITUTE($J81,","," ")))</f>
        <v>0 1 2 5 6 7 8 9</v>
      </c>
      <c r="P81" s="32">
        <f ca="1">Q81*R81*2</f>
        <v>32</v>
      </c>
      <c r="Q81" s="29">
        <f>LEN(SUBSTITUTE(J81,",",))</f>
        <v>8</v>
      </c>
      <c r="R81" s="29">
        <f t="shared" ca="1" si="29"/>
        <v>2</v>
      </c>
      <c r="S81" s="29">
        <f>Sheet1!W64</f>
        <v>5.69</v>
      </c>
    </row>
    <row r="82" spans="1:20" ht="20.100000000000001" customHeight="1" x14ac:dyDescent="0.15">
      <c r="A82" s="39"/>
      <c r="B82" s="2" t="s">
        <v>150</v>
      </c>
      <c r="C82" s="20">
        <f t="shared" si="32"/>
        <v>144</v>
      </c>
      <c r="D82" s="20">
        <f t="shared" si="33"/>
        <v>0</v>
      </c>
      <c r="E82" s="20">
        <f t="shared" si="34"/>
        <v>144</v>
      </c>
      <c r="F82" s="1">
        <v>144</v>
      </c>
      <c r="H82" s="6" t="s">
        <v>52</v>
      </c>
      <c r="I82" s="6" t="s">
        <v>50</v>
      </c>
      <c r="J82" s="34" t="s">
        <v>349</v>
      </c>
      <c r="K82" s="35">
        <f>K78</f>
        <v>81158</v>
      </c>
      <c r="L82" s="33">
        <f>COMBIN(SUM(N(ISNUMBER(FIND(MID(K82,2,1),J82,1))),N(ISNUMBER(FIND(MID(K82,3,1),J82,1))),N(ISNUMBER(FIND(MID(K82,4,1),J82,1))),N(ISNUMBER(FIND(MID(K82,5,1),J82,1)))),2)</f>
        <v>3</v>
      </c>
      <c r="M82" s="32">
        <f ca="1"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40.24</v>
      </c>
      <c r="N82" s="32">
        <f t="shared" ca="1" si="36"/>
        <v>1</v>
      </c>
      <c r="O82" s="26" t="str">
        <f t="shared" si="37"/>
        <v>1 0 2 6 7 8 9</v>
      </c>
      <c r="P82" s="32">
        <f ca="1">Q82*R82*2</f>
        <v>84</v>
      </c>
      <c r="Q82" s="29">
        <f>COMBIN(LEN(SUBSTITUTE(J82,",",)),2)</f>
        <v>21</v>
      </c>
      <c r="R82" s="29">
        <f t="shared" ca="1" si="29"/>
        <v>2</v>
      </c>
      <c r="S82" s="29">
        <f>Sheet1!W65</f>
        <v>20.12</v>
      </c>
    </row>
    <row r="83" spans="1:20" ht="20.100000000000001" customHeight="1" x14ac:dyDescent="0.15">
      <c r="A83" s="39"/>
      <c r="B83" s="2" t="s">
        <v>151</v>
      </c>
      <c r="C83" s="20">
        <f t="shared" si="32"/>
        <v>126</v>
      </c>
      <c r="D83" s="20">
        <f t="shared" si="33"/>
        <v>126</v>
      </c>
      <c r="E83" s="20">
        <f t="shared" si="34"/>
        <v>126</v>
      </c>
      <c r="F83" s="1">
        <v>126</v>
      </c>
      <c r="G83" s="6" t="s">
        <v>54</v>
      </c>
      <c r="H83" s="37" t="s">
        <v>55</v>
      </c>
      <c r="I83" s="6" t="s">
        <v>6</v>
      </c>
      <c r="J83" s="27" t="s">
        <v>351</v>
      </c>
      <c r="K83" s="35">
        <v>81158</v>
      </c>
      <c r="M83" s="37">
        <f ca="1">IF(AND(ISNUMBER(FIND(LEFT(K83,1),J83,1)),ISNUMBER(FIND(MID(K83,2,1),J84,1)),ISNUMBER(FIND(MID(K83,3,1),J85,1)),ISNUMBER(FIND(MID(K83,4,1),J86,1)),ISNUMBER(FIND(RIGHT(K83,1),J87,1))),R83*S83,0)</f>
        <v>588000</v>
      </c>
      <c r="N83" s="37">
        <f ca="1">M83/S83/R83</f>
        <v>1</v>
      </c>
      <c r="O83" s="38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37">
        <f ca="1">Q83*R83*2</f>
        <v>46656</v>
      </c>
      <c r="Q83" s="37">
        <f>LEN(SUBSTITUTE($J83,",",))*LEN(SUBSTITUTE($J84,",",))*LEN(SUBSTITUTE($J85,",",))*LEN(SUBSTITUTE($J86,",",))*LEN(SUBSTITUTE($J87,",",))</f>
        <v>7776</v>
      </c>
      <c r="R83" s="37">
        <f t="shared" ca="1" si="29"/>
        <v>3</v>
      </c>
      <c r="S83" s="37">
        <f>Sheet1!W66</f>
        <v>196000</v>
      </c>
    </row>
    <row r="84" spans="1:20" ht="20.100000000000001" customHeight="1" x14ac:dyDescent="0.15">
      <c r="A84" s="39"/>
      <c r="B84" s="2" t="s">
        <v>152</v>
      </c>
      <c r="C84" s="20">
        <f t="shared" si="32"/>
        <v>0</v>
      </c>
      <c r="D84" s="20">
        <f t="shared" si="33"/>
        <v>96</v>
      </c>
      <c r="E84" s="20">
        <f t="shared" si="34"/>
        <v>0</v>
      </c>
      <c r="F84" s="1">
        <v>96</v>
      </c>
      <c r="H84" s="37"/>
      <c r="I84" s="6" t="s">
        <v>7</v>
      </c>
      <c r="J84" s="27" t="s">
        <v>350</v>
      </c>
      <c r="K84" s="35">
        <v>81158</v>
      </c>
      <c r="M84" s="37"/>
      <c r="N84" s="37"/>
      <c r="O84" s="38"/>
      <c r="P84" s="37"/>
      <c r="Q84" s="37"/>
      <c r="R84" s="37"/>
      <c r="S84" s="37"/>
    </row>
    <row r="85" spans="1:20" ht="20.100000000000001" customHeight="1" x14ac:dyDescent="0.15">
      <c r="A85" s="39"/>
      <c r="B85" s="2" t="s">
        <v>153</v>
      </c>
      <c r="C85" s="20">
        <f t="shared" si="32"/>
        <v>54</v>
      </c>
      <c r="D85" s="20">
        <f t="shared" si="33"/>
        <v>54</v>
      </c>
      <c r="E85" s="20">
        <f t="shared" si="34"/>
        <v>54</v>
      </c>
      <c r="F85" s="1">
        <v>54</v>
      </c>
      <c r="H85" s="37"/>
      <c r="I85" s="6" t="s">
        <v>8</v>
      </c>
      <c r="J85" s="22" t="s">
        <v>175</v>
      </c>
      <c r="K85" s="35">
        <v>81158</v>
      </c>
      <c r="M85" s="37"/>
      <c r="N85" s="37"/>
      <c r="O85" s="38"/>
      <c r="P85" s="37"/>
      <c r="Q85" s="37"/>
      <c r="R85" s="37"/>
      <c r="S85" s="37"/>
    </row>
    <row r="86" spans="1:20" ht="20.100000000000001" customHeight="1" x14ac:dyDescent="0.15">
      <c r="A86" s="39" t="s">
        <v>123</v>
      </c>
      <c r="B86" s="2" t="s">
        <v>174</v>
      </c>
      <c r="C86" s="20">
        <f>IF(ISNUMBER(FIND($B86,$J$31,1)),$F86,0)</f>
        <v>1</v>
      </c>
      <c r="D86" s="20">
        <f>IF(ISNUMBER(FIND($B86,$J$46,1)),$F86,0)</f>
        <v>1</v>
      </c>
      <c r="E86" s="20">
        <f>IF(ISNUMBER(FIND($B86,$J$61,1)),$F86,0)</f>
        <v>1</v>
      </c>
      <c r="F86" s="1">
        <v>1</v>
      </c>
      <c r="H86" s="37"/>
      <c r="I86" s="6" t="s">
        <v>11</v>
      </c>
      <c r="J86" s="27" t="s">
        <v>352</v>
      </c>
      <c r="K86" s="35">
        <v>81158</v>
      </c>
      <c r="M86" s="37"/>
      <c r="N86" s="37"/>
      <c r="O86" s="38"/>
      <c r="P86" s="37"/>
      <c r="Q86" s="37"/>
      <c r="R86" s="37"/>
      <c r="S86" s="37"/>
    </row>
    <row r="87" spans="1:20" ht="20.100000000000001" customHeight="1" x14ac:dyDescent="0.15">
      <c r="A87" s="39"/>
      <c r="B87" s="2" t="s">
        <v>146</v>
      </c>
      <c r="C87" s="20">
        <f t="shared" ref="C87:C111" si="38">IF(ISNUMBER(FIND($B87,$J$31,1)),$F87,0)</f>
        <v>0</v>
      </c>
      <c r="D87" s="20">
        <f t="shared" ref="D87:D111" si="39">IF(ISNUMBER(FIND($B87,$J$46,1)),$F87,0)</f>
        <v>0</v>
      </c>
      <c r="E87" s="20">
        <f t="shared" ref="E87:E111" si="40">IF(ISNUMBER(FIND($B87,$J$61,1)),$F87,0)</f>
        <v>2</v>
      </c>
      <c r="F87" s="1">
        <v>2</v>
      </c>
      <c r="H87" s="37"/>
      <c r="I87" s="6" t="s">
        <v>12</v>
      </c>
      <c r="J87" s="22" t="s">
        <v>353</v>
      </c>
      <c r="K87" s="35">
        <v>81158</v>
      </c>
      <c r="M87" s="37"/>
      <c r="N87" s="37"/>
      <c r="O87" s="38"/>
      <c r="P87" s="37"/>
      <c r="Q87" s="37"/>
      <c r="R87" s="37"/>
      <c r="S87" s="37"/>
    </row>
    <row r="88" spans="1:20" ht="20.100000000000001" customHeight="1" x14ac:dyDescent="0.15">
      <c r="A88" s="39"/>
      <c r="B88" s="2" t="s">
        <v>147</v>
      </c>
      <c r="C88" s="20">
        <f t="shared" si="38"/>
        <v>2</v>
      </c>
      <c r="D88" s="20">
        <f t="shared" si="39"/>
        <v>0</v>
      </c>
      <c r="E88" s="20">
        <f t="shared" si="40"/>
        <v>0</v>
      </c>
      <c r="F88" s="1">
        <v>2</v>
      </c>
      <c r="H88" s="6" t="s">
        <v>56</v>
      </c>
      <c r="I88" s="6" t="s">
        <v>57</v>
      </c>
      <c r="J88" s="34" t="s">
        <v>354</v>
      </c>
      <c r="K88" s="35">
        <v>81158</v>
      </c>
      <c r="L88" s="7">
        <f>LOOKUP(SUM(LEN(SUBSTITUTE(K88,MID(K88,{1,2,3,4,5},1),))),{8,12,14,16,18,20;5,10,20,30,60,120})</f>
        <v>30</v>
      </c>
      <c r="M88" s="32">
        <f ca="1">IF(ISNUMBER(FIND(","&amp;K88&amp;",",J88,1)),R88*S88,0)</f>
        <v>784000</v>
      </c>
      <c r="N88" s="32">
        <f t="shared" ref="N88:N90" ca="1" si="41">M88/S88/R88</f>
        <v>1</v>
      </c>
      <c r="O88" s="26" t="str">
        <f t="shared" ref="O88:O89" si="42">TRIM(IF(LEN($J88)=0,"-",SUBSTITUTE($J88,","," ")))</f>
        <v>12212 85118 81158</v>
      </c>
      <c r="P88" s="32">
        <f ca="1">Q88*R88*2</f>
        <v>24</v>
      </c>
      <c r="Q88" s="29">
        <f>FINDNUMBER(J88,5)</f>
        <v>3</v>
      </c>
      <c r="R88" s="29">
        <f t="shared" ca="1" si="29"/>
        <v>4</v>
      </c>
      <c r="S88" s="29">
        <f>Sheet1!W67</f>
        <v>196000</v>
      </c>
    </row>
    <row r="89" spans="1:20" ht="20.100000000000001" customHeight="1" x14ac:dyDescent="0.15">
      <c r="A89" s="39"/>
      <c r="B89" s="2" t="s">
        <v>148</v>
      </c>
      <c r="C89" s="20">
        <f t="shared" si="38"/>
        <v>4</v>
      </c>
      <c r="D89" s="20">
        <f t="shared" si="39"/>
        <v>0</v>
      </c>
      <c r="E89" s="20">
        <f t="shared" si="40"/>
        <v>0</v>
      </c>
      <c r="F89" s="1">
        <v>4</v>
      </c>
      <c r="H89" s="6" t="s">
        <v>58</v>
      </c>
      <c r="I89" s="6" t="s">
        <v>61</v>
      </c>
      <c r="J89" s="27" t="s">
        <v>355</v>
      </c>
      <c r="K89" s="35">
        <f>K88</f>
        <v>81158</v>
      </c>
      <c r="L89" s="7">
        <f>_xlfn.MODE.SNGL(INT(LEFT(K89,1)),INT(MID(K89,2,1)),INT(MID(K89,3,1)),INT(MID(K89,4,1)),INT(MID(K89,5,1)))</f>
        <v>8</v>
      </c>
      <c r="M89" s="32">
        <f>IF(L88=120,IF(AND(ISNUMBER(FIND(LEFT(K89,1),J89,1)),ISNUMBER(FIND(MID(K89,2,1),J89,1)),ISNUMBER(FIND(MID(K89,3,1),J89,1)),ISNUMBER(FIND(MID(K89,4,1),J89,1)),ISNUMBER(FIND(MID(K89,5,1),J89,1))),R89*S89,0),0)</f>
        <v>0</v>
      </c>
      <c r="N89" s="32">
        <f t="shared" ca="1" si="41"/>
        <v>0</v>
      </c>
      <c r="O89" s="26" t="str">
        <f t="shared" si="42"/>
        <v>0 1 2 3 4 6 7 8 9</v>
      </c>
      <c r="P89" s="32">
        <f ca="1">Q89*R89*2</f>
        <v>252</v>
      </c>
      <c r="Q89" s="29">
        <f>COMBIN(LEN(SUBSTITUTE(J89,",",)),5)</f>
        <v>126</v>
      </c>
      <c r="R89" s="29">
        <f t="shared" ca="1" si="29"/>
        <v>1</v>
      </c>
      <c r="S89" s="29">
        <f>Sheet1!W68</f>
        <v>1633.33</v>
      </c>
    </row>
    <row r="90" spans="1:20" ht="20.100000000000001" customHeight="1" x14ac:dyDescent="0.15">
      <c r="A90" s="39"/>
      <c r="B90" s="2" t="s">
        <v>149</v>
      </c>
      <c r="C90" s="20">
        <f t="shared" si="38"/>
        <v>0</v>
      </c>
      <c r="D90" s="20">
        <f t="shared" si="39"/>
        <v>0</v>
      </c>
      <c r="E90" s="20">
        <f t="shared" si="40"/>
        <v>0</v>
      </c>
      <c r="F90" s="1">
        <v>5</v>
      </c>
      <c r="H90" s="37" t="s">
        <v>177</v>
      </c>
      <c r="I90" s="6" t="s">
        <v>62</v>
      </c>
      <c r="J90" s="27" t="s">
        <v>358</v>
      </c>
      <c r="K90" s="35">
        <v>81158</v>
      </c>
      <c r="L90" s="33">
        <f>_xlfn.MODE.SNGL(INT(LEFT(SUBSTITUTE(K88,L89,),1)),
         INT(MID(SUBSTITUTE(K88,L89,),2,1)),
         INT(MID(SUBSTITUTE(K88,L89,),3,1)))</f>
        <v>1</v>
      </c>
      <c r="M90" s="37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37">
        <f t="shared" ca="1" si="41"/>
        <v>0</v>
      </c>
      <c r="O90" s="38" t="str">
        <f>TRIM(IF(LEN($J90)=0,"-",SUBSTITUTE($J90,","," ")))&amp;","&amp;TRIM(IF(LEN($J91)=0,"-",SUBSTITUTE($J91,","," ")))</f>
        <v>0 1 5 7 9 6,0 1 4 5 6 8 9</v>
      </c>
      <c r="P90" s="37">
        <f ca="1">Q90*R90*2</f>
        <v>1080</v>
      </c>
      <c r="Q90" s="37">
        <f>LEN(SUBSTITUTE(J90,",",))*COMBIN(LEN(SUBSTITUTE(J91,",",)),3)-T90*COMBIN(LEN(SUBSTITUTE(J91,",",))-1,2)</f>
        <v>135</v>
      </c>
      <c r="R90" s="37">
        <f t="shared" ca="1" si="29"/>
        <v>4</v>
      </c>
      <c r="S90" s="37">
        <f>Sheet1!W69</f>
        <v>3266.66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39"/>
      <c r="B91" s="2" t="s">
        <v>150</v>
      </c>
      <c r="C91" s="20">
        <f t="shared" si="38"/>
        <v>6</v>
      </c>
      <c r="D91" s="20">
        <f t="shared" si="39"/>
        <v>0</v>
      </c>
      <c r="E91" s="20">
        <f t="shared" si="40"/>
        <v>6</v>
      </c>
      <c r="F91" s="1">
        <v>6</v>
      </c>
      <c r="H91" s="37"/>
      <c r="I91" s="6" t="s">
        <v>45</v>
      </c>
      <c r="J91" s="27" t="s">
        <v>357</v>
      </c>
      <c r="K91" s="35">
        <v>81158</v>
      </c>
      <c r="L91" s="7">
        <f>_xlfn.MODE.SNGL(INT(LEFT(SUBSTITUTE(K88,L89,),1)),
         INT(MID(SUBSTITUTE(K88,L89,),2,1)))</f>
        <v>1</v>
      </c>
      <c r="M91" s="37"/>
      <c r="N91" s="37"/>
      <c r="O91" s="38"/>
      <c r="P91" s="37"/>
      <c r="Q91" s="37"/>
      <c r="R91" s="37"/>
      <c r="S91" s="37"/>
    </row>
    <row r="92" spans="1:20" ht="20.100000000000001" customHeight="1" x14ac:dyDescent="0.15">
      <c r="A92" s="39"/>
      <c r="B92" s="2" t="s">
        <v>151</v>
      </c>
      <c r="C92" s="20">
        <f t="shared" si="38"/>
        <v>0</v>
      </c>
      <c r="D92" s="20">
        <f t="shared" si="39"/>
        <v>8</v>
      </c>
      <c r="E92" s="20">
        <f t="shared" si="40"/>
        <v>0</v>
      </c>
      <c r="F92" s="1">
        <v>8</v>
      </c>
      <c r="H92" s="37" t="s">
        <v>59</v>
      </c>
      <c r="I92" s="6" t="s">
        <v>62</v>
      </c>
      <c r="J92" s="27" t="s">
        <v>356</v>
      </c>
      <c r="K92" s="35">
        <v>81158</v>
      </c>
      <c r="M92" s="37">
        <f ca="1">IF(L88=30,
 IF(AND(ISNUMBER(FIND(L89,J92,1)),ISNUMBER(FIND(L90,J92,1)),ISNUMBER(FIND(SUBSTITUTE(SUBSTITUTE(K2,L89,),L90,),J93,1))
  ),R92*S92,0),0)</f>
        <v>26133.32</v>
      </c>
      <c r="N92" s="37">
        <f t="shared" ref="N92" ca="1" si="43">M92/S92/R92</f>
        <v>1</v>
      </c>
      <c r="O92" s="38" t="str">
        <f t="shared" ref="O92" si="44">TRIM(IF(LEN($J92)=0,"-",SUBSTITUTE($J92,","," ")))&amp;","&amp;TRIM(IF(LEN($J93)=0,"-",SUBSTITUTE($J93,","," ")))</f>
        <v>0 1 2 7 8,1 3 4 5 6 7</v>
      </c>
      <c r="P92" s="37">
        <f t="shared" ref="P92" ca="1" si="45">Q92*R92*2</f>
        <v>416</v>
      </c>
      <c r="Q92" s="37">
        <f>COMBIN(LEN(SUBSTITUTE(J92,",",)),2)*LEN(SUBSTITUTE(J93,",",))-T92*(LEN(SUBSTITUTE(J92,",",))-1)</f>
        <v>52</v>
      </c>
      <c r="R92" s="37">
        <f t="shared" ca="1" si="29"/>
        <v>4</v>
      </c>
      <c r="S92" s="37">
        <f>Sheet1!W70</f>
        <v>6533.33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39"/>
      <c r="B93" s="2" t="s">
        <v>152</v>
      </c>
      <c r="C93" s="20">
        <f t="shared" si="38"/>
        <v>0</v>
      </c>
      <c r="D93" s="20">
        <f t="shared" si="39"/>
        <v>10</v>
      </c>
      <c r="E93" s="20">
        <f t="shared" si="40"/>
        <v>0</v>
      </c>
      <c r="F93" s="1">
        <v>10</v>
      </c>
      <c r="H93" s="37"/>
      <c r="I93" s="6" t="s">
        <v>45</v>
      </c>
      <c r="J93" s="27" t="s">
        <v>331</v>
      </c>
      <c r="K93" s="35">
        <v>81158</v>
      </c>
      <c r="M93" s="37"/>
      <c r="N93" s="37"/>
      <c r="O93" s="38"/>
      <c r="P93" s="37"/>
      <c r="Q93" s="37"/>
      <c r="R93" s="37"/>
      <c r="S93" s="37"/>
    </row>
    <row r="94" spans="1:20" ht="20.100000000000001" customHeight="1" x14ac:dyDescent="0.15">
      <c r="A94" s="39"/>
      <c r="B94" s="2" t="s">
        <v>153</v>
      </c>
      <c r="C94" s="20">
        <f t="shared" si="38"/>
        <v>0</v>
      </c>
      <c r="D94" s="20">
        <f t="shared" si="39"/>
        <v>0</v>
      </c>
      <c r="E94" s="20">
        <f t="shared" si="40"/>
        <v>0</v>
      </c>
      <c r="F94" s="1">
        <v>11</v>
      </c>
      <c r="H94" s="37" t="s">
        <v>178</v>
      </c>
      <c r="I94" s="6" t="s">
        <v>63</v>
      </c>
      <c r="J94" s="34" t="s">
        <v>360</v>
      </c>
      <c r="K94" s="35">
        <f>K88</f>
        <v>81158</v>
      </c>
      <c r="M94" s="37">
        <f>IF(L88=20,
 IF(AND(ISNUMBER(FIND(L89,J94,1)),ISNUMBER(FIND(LEFT(SUBSTITUTE(K94,L89,),1),J95,1)),ISNUMBER(FIND(RIGHT(SUBSTITUTE(K94,L89,),1),J95,1))),R94*S94,0),0)</f>
        <v>0</v>
      </c>
      <c r="N94" s="37">
        <f t="shared" ref="N94" ca="1" si="46">M94/S94/R94</f>
        <v>0</v>
      </c>
      <c r="O94" s="38" t="str">
        <f t="shared" ref="O94" si="47">TRIM(IF(LEN($J94)=0,"-",SUBSTITUTE($J94,","," ")))&amp;","&amp;TRIM(IF(LEN($J95)=0,"-",SUBSTITUTE($J95,","," ")))</f>
        <v>0 1 2 7,0 1 8 9</v>
      </c>
      <c r="P94" s="37">
        <f t="shared" ref="P94" ca="1" si="48">Q94*R94*2</f>
        <v>36</v>
      </c>
      <c r="Q94" s="37">
        <f>LEN(SUBSTITUTE(J94,",",))*COMBIN(LEN(SUBSTITUTE(J95,",",)),2)-T94*(LEN(SUBSTITUTE(J95,",",))-1)</f>
        <v>18</v>
      </c>
      <c r="R94" s="37">
        <f ca="1">RANDBETWEEN(1,4)</f>
        <v>1</v>
      </c>
      <c r="S94" s="37">
        <f>Sheet1!W71</f>
        <v>9800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39"/>
      <c r="B95" s="2" t="s">
        <v>155</v>
      </c>
      <c r="C95" s="20">
        <f t="shared" si="38"/>
        <v>13</v>
      </c>
      <c r="D95" s="20">
        <f t="shared" si="39"/>
        <v>0</v>
      </c>
      <c r="E95" s="20">
        <f t="shared" si="40"/>
        <v>0</v>
      </c>
      <c r="F95" s="1">
        <v>13</v>
      </c>
      <c r="H95" s="37"/>
      <c r="I95" s="6" t="s">
        <v>45</v>
      </c>
      <c r="J95" s="22" t="s">
        <v>359</v>
      </c>
      <c r="K95" s="35">
        <v>81158</v>
      </c>
      <c r="M95" s="37"/>
      <c r="N95" s="37"/>
      <c r="O95" s="38"/>
      <c r="P95" s="37"/>
      <c r="Q95" s="37"/>
      <c r="R95" s="37"/>
      <c r="S95" s="37"/>
    </row>
    <row r="96" spans="1:20" ht="20.100000000000001" customHeight="1" x14ac:dyDescent="0.15">
      <c r="A96" s="39"/>
      <c r="B96" s="2" t="s">
        <v>156</v>
      </c>
      <c r="C96" s="20">
        <f t="shared" si="38"/>
        <v>0</v>
      </c>
      <c r="D96" s="20">
        <f t="shared" si="39"/>
        <v>0</v>
      </c>
      <c r="E96" s="20">
        <f t="shared" si="40"/>
        <v>0</v>
      </c>
      <c r="F96" s="1">
        <v>14</v>
      </c>
      <c r="H96" s="37" t="s">
        <v>179</v>
      </c>
      <c r="I96" s="6" t="s">
        <v>64</v>
      </c>
      <c r="J96" s="22" t="s">
        <v>361</v>
      </c>
      <c r="K96" s="35">
        <f>K88</f>
        <v>81158</v>
      </c>
      <c r="M96" s="37">
        <f>IF(L88=10,IF(AND(ISNUMBER(FIND(L89,J96,1)),ISNUMBER(FIND(L91,J97,1))),R96*S96,0),0)</f>
        <v>0</v>
      </c>
      <c r="N96" s="37">
        <f t="shared" ref="N96" ca="1" si="49">M96/S96/R96</f>
        <v>0</v>
      </c>
      <c r="O96" s="38" t="str">
        <f t="shared" ref="O96" si="50">TRIM(IF(LEN($J96)=0,"-",SUBSTITUTE($J96,","," ")))&amp;","&amp;TRIM(IF(LEN($J97)=0,"-",SUBSTITUTE($J97,","," ")))</f>
        <v>0 1 4,0 1 8</v>
      </c>
      <c r="P96" s="37">
        <f t="shared" ref="P96" ca="1" si="51">Q96*R96*2</f>
        <v>14</v>
      </c>
      <c r="Q96" s="37">
        <f>LEN(SUBSTITUTE(J96,",",))*LEN(SUBSTITUTE(J97,",",))-T96</f>
        <v>7</v>
      </c>
      <c r="R96" s="37">
        <f t="shared" ca="1" si="29"/>
        <v>1</v>
      </c>
      <c r="S96" s="37">
        <f>Sheet1!W72</f>
        <v>19600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0" ht="20.100000000000001" customHeight="1" x14ac:dyDescent="0.15">
      <c r="A97" s="39"/>
      <c r="B97" s="2" t="s">
        <v>157</v>
      </c>
      <c r="C97" s="20">
        <f t="shared" si="38"/>
        <v>0</v>
      </c>
      <c r="D97" s="20">
        <f t="shared" si="39"/>
        <v>0</v>
      </c>
      <c r="E97" s="20">
        <f t="shared" si="40"/>
        <v>0</v>
      </c>
      <c r="F97" s="1">
        <v>14</v>
      </c>
      <c r="H97" s="37"/>
      <c r="I97" s="6" t="s">
        <v>113</v>
      </c>
      <c r="J97" s="22" t="s">
        <v>362</v>
      </c>
      <c r="K97" s="35">
        <v>81158</v>
      </c>
      <c r="M97" s="37"/>
      <c r="N97" s="37"/>
      <c r="O97" s="38"/>
      <c r="P97" s="37"/>
      <c r="Q97" s="37"/>
      <c r="R97" s="37"/>
      <c r="S97" s="37"/>
    </row>
    <row r="98" spans="1:20" ht="20.100000000000001" customHeight="1" x14ac:dyDescent="0.15">
      <c r="A98" s="39"/>
      <c r="B98" s="2" t="s">
        <v>158</v>
      </c>
      <c r="C98" s="20">
        <f t="shared" si="38"/>
        <v>0</v>
      </c>
      <c r="D98" s="20">
        <f t="shared" si="39"/>
        <v>15</v>
      </c>
      <c r="E98" s="20">
        <f t="shared" si="40"/>
        <v>0</v>
      </c>
      <c r="F98" s="1">
        <v>15</v>
      </c>
      <c r="H98" s="37" t="s">
        <v>60</v>
      </c>
      <c r="I98" s="6" t="s">
        <v>65</v>
      </c>
      <c r="J98" s="22" t="s">
        <v>281</v>
      </c>
      <c r="K98" s="35">
        <v>81158</v>
      </c>
      <c r="M98" s="37">
        <f>IF(L88=5,IF(AND(
   ISNUMBER(FIND(L89,J98,1)),
   ISNUMBER(FIND(SUBSTITUTE(K98,L89,),J99,1))
  ),R98*S98,0
 ),0
)</f>
        <v>0</v>
      </c>
      <c r="N98" s="37">
        <f t="shared" ref="N98" ca="1" si="52">M98/S98/R98</f>
        <v>0</v>
      </c>
      <c r="O98" s="38" t="str">
        <f t="shared" ref="O98" si="53">TRIM(IF(LEN($J98)=0,"-",SUBSTITUTE($J98,","," ")))&amp;","&amp;TRIM(IF(LEN($J99)=0,"-",SUBSTITUTE($J99,","," ")))</f>
        <v>4 1 5,1 2 3</v>
      </c>
      <c r="P98" s="37">
        <f t="shared" ref="P98" ca="1" si="54">Q98*R98*2</f>
        <v>32</v>
      </c>
      <c r="Q98" s="37">
        <f>LEN(SUBSTITUTE(J98,",",))*LEN(SUBSTITUTE(J99,",",))-T98</f>
        <v>8</v>
      </c>
      <c r="R98" s="37">
        <f t="shared" ca="1" si="29"/>
        <v>2</v>
      </c>
      <c r="S98" s="37">
        <f>Sheet1!W73</f>
        <v>39200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0" ht="20.100000000000001" customHeight="1" x14ac:dyDescent="0.15">
      <c r="A99" s="39"/>
      <c r="B99" s="2" t="s">
        <v>159</v>
      </c>
      <c r="C99" s="20">
        <f t="shared" si="38"/>
        <v>0</v>
      </c>
      <c r="D99" s="20">
        <f t="shared" si="39"/>
        <v>0</v>
      </c>
      <c r="E99" s="20">
        <f t="shared" si="40"/>
        <v>15</v>
      </c>
      <c r="F99" s="1">
        <v>15</v>
      </c>
      <c r="H99" s="37"/>
      <c r="I99" s="6" t="s">
        <v>66</v>
      </c>
      <c r="J99" s="22" t="s">
        <v>282</v>
      </c>
      <c r="K99" s="35">
        <v>81158</v>
      </c>
      <c r="M99" s="37"/>
      <c r="N99" s="37"/>
      <c r="O99" s="38"/>
      <c r="P99" s="37"/>
      <c r="Q99" s="37"/>
      <c r="R99" s="37"/>
      <c r="S99" s="37"/>
    </row>
    <row r="100" spans="1:20" ht="20.100000000000001" customHeight="1" x14ac:dyDescent="0.15">
      <c r="A100" s="39"/>
      <c r="B100" s="2" t="s">
        <v>160</v>
      </c>
      <c r="C100" s="20">
        <f t="shared" si="38"/>
        <v>14</v>
      </c>
      <c r="D100" s="20">
        <f t="shared" si="39"/>
        <v>0</v>
      </c>
      <c r="E100" s="20">
        <f t="shared" si="40"/>
        <v>0</v>
      </c>
      <c r="F100" s="1">
        <v>14</v>
      </c>
      <c r="H100" s="6" t="s">
        <v>67</v>
      </c>
      <c r="I100" s="6" t="s">
        <v>70</v>
      </c>
      <c r="J100" s="27" t="s">
        <v>280</v>
      </c>
      <c r="K100" s="35">
        <v>81158</v>
      </c>
      <c r="M100" s="36">
        <f ca="1">IF(OR(ISNUMBER(FIND(MID(K100,1,1),J100,1)),ISNUMBER(FIND(MID(K100,2,1),J100,1)),ISNUMBER(FIND(MID(K100,3,1),J100,1)),ISNUMBER(FIND(MID(K100,4,1),J100,1)),ISNUMBER(FIND(MID(K100,5,1),J100,1))),R100*S100,0)</f>
        <v>9.56</v>
      </c>
      <c r="N100" s="32">
        <f t="shared" ref="N100:N109" ca="1" si="55">M100/S100/R100</f>
        <v>1</v>
      </c>
      <c r="O100" s="26" t="str">
        <f t="shared" ref="O100:O106" si="56">TRIM(IF(LEN($J100)=0,"-",SUBSTITUTE($J100,","," ")))</f>
        <v>0 1 2 3 4 5 6</v>
      </c>
      <c r="P100" s="32">
        <f t="shared" ref="P100:P106" ca="1" si="57">Q100*R100*2</f>
        <v>28</v>
      </c>
      <c r="Q100" s="32">
        <f>LEN(SUBSTITUTE(J100,",",))</f>
        <v>7</v>
      </c>
      <c r="R100" s="29">
        <f t="shared" ca="1" si="29"/>
        <v>2</v>
      </c>
      <c r="S100" s="29">
        <f>Sheet1!W74</f>
        <v>4.78</v>
      </c>
      <c r="T100" t="e">
        <f ca="1">_xlfn.MODE.SNGL(INT(LEFT(M2,1)),INT(MID(M2,2,1)),INT(MID(M2,3,1)),INT(MID(M2,4,1)),INT(MID(M2,5,1)))</f>
        <v>#VALUE!</v>
      </c>
    </row>
    <row r="101" spans="1:20" ht="20.100000000000001" customHeight="1" x14ac:dyDescent="0.15">
      <c r="A101" s="39"/>
      <c r="B101" s="2" t="s">
        <v>161</v>
      </c>
      <c r="C101" s="20">
        <f t="shared" si="38"/>
        <v>14</v>
      </c>
      <c r="D101" s="20">
        <f t="shared" si="39"/>
        <v>0</v>
      </c>
      <c r="E101" s="20">
        <f t="shared" si="40"/>
        <v>0</v>
      </c>
      <c r="F101" s="1">
        <v>14</v>
      </c>
      <c r="H101" s="6" t="s">
        <v>68</v>
      </c>
      <c r="I101" s="6" t="s">
        <v>70</v>
      </c>
      <c r="J101" s="22" t="s">
        <v>248</v>
      </c>
      <c r="K101" s="35">
        <v>81158</v>
      </c>
      <c r="M101" s="36">
        <f ca="1"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26.72</v>
      </c>
      <c r="N101" s="32">
        <f t="shared" ca="1" si="55"/>
        <v>1</v>
      </c>
      <c r="O101" s="26" t="str">
        <f t="shared" si="56"/>
        <v>0 1 2 3 4 5 6</v>
      </c>
      <c r="P101" s="32">
        <f t="shared" ca="1" si="57"/>
        <v>84</v>
      </c>
      <c r="Q101" s="29">
        <f>COMBIN(LEN(SUBSTITUTE(J101,",",)),2)</f>
        <v>21</v>
      </c>
      <c r="R101" s="29">
        <f t="shared" ca="1" si="29"/>
        <v>2</v>
      </c>
      <c r="S101" s="29">
        <f>Sheet1!W75</f>
        <v>13.36</v>
      </c>
      <c r="T101" t="e">
        <f ca="1">_xlfn.MODE.SNGL(INT(LEFT(SUBSTITUTE(M2,_xlfn.MODE.SNGL(INT(LEFT(M2,1)),INT(MID(M2,2,1)),INT(MID(M2,3,1)),INT(MID(M2,4,1)),INT(MID(M2,5,1))),),1)),
          INT(MID(SUBSTITUTE(M2,_xlfn.MODE.SNGL(INT(LEFT(M2,1)),INT(MID(M2,2,1)),INT(MID(M2,3,1)),INT(MID(M2,4,1)),INT(MID(M2,5,1))),),2,1)),
          INT(MID(SUBSTITUTE(M2,_xlfn.MODE.SNGL(INT(LEFT(M2,1)),INT(MID(M2,2,1)),INT(MID(M2,3,1)),INT(MID(M2,4,1)),INT(MID(M2,5,1))),),3,1)))</f>
        <v>#VALUE!</v>
      </c>
    </row>
    <row r="102" spans="1:20" ht="20.100000000000001" customHeight="1" x14ac:dyDescent="0.15">
      <c r="A102" s="39"/>
      <c r="B102" s="2" t="s">
        <v>162</v>
      </c>
      <c r="C102" s="20">
        <f t="shared" si="38"/>
        <v>0</v>
      </c>
      <c r="D102" s="20">
        <f t="shared" si="39"/>
        <v>0</v>
      </c>
      <c r="E102" s="20">
        <f t="shared" si="40"/>
        <v>0</v>
      </c>
      <c r="F102" s="1">
        <v>13</v>
      </c>
      <c r="H102" s="6" t="s">
        <v>69</v>
      </c>
      <c r="I102" s="6" t="s">
        <v>70</v>
      </c>
      <c r="J102" s="27" t="s">
        <v>405</v>
      </c>
      <c r="K102" s="35">
        <v>81158</v>
      </c>
      <c r="M102" s="32">
        <f ca="1"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180.2</v>
      </c>
      <c r="N102" s="32">
        <f t="shared" ca="1" si="55"/>
        <v>1</v>
      </c>
      <c r="O102" s="26" t="str">
        <f t="shared" si="56"/>
        <v>0 1 2 5 8 9</v>
      </c>
      <c r="P102" s="32">
        <f t="shared" ca="1" si="57"/>
        <v>160</v>
      </c>
      <c r="Q102" s="32">
        <f>COMBIN(LEN(SUBSTITUTE(J102,",",)),3)</f>
        <v>20</v>
      </c>
      <c r="R102" s="29">
        <f t="shared" ca="1" si="29"/>
        <v>4</v>
      </c>
      <c r="S102" s="29">
        <f>Sheet1!W76</f>
        <v>45.05</v>
      </c>
      <c r="T102">
        <f>LOOKUP(SUM(LEN(SUBSTITUTE(K88,MID(K88,{1,2,3,4,5},1),))),{8,12,14,16,18,20;5,10,20,30,60,120})</f>
        <v>30</v>
      </c>
    </row>
    <row r="103" spans="1:20" ht="20.100000000000001" customHeight="1" x14ac:dyDescent="0.15">
      <c r="A103" s="39"/>
      <c r="B103" s="2" t="s">
        <v>164</v>
      </c>
      <c r="C103" s="20">
        <f t="shared" si="38"/>
        <v>0</v>
      </c>
      <c r="D103" s="20">
        <f t="shared" si="39"/>
        <v>11</v>
      </c>
      <c r="E103" s="20">
        <f t="shared" si="40"/>
        <v>0</v>
      </c>
      <c r="F103" s="1">
        <v>11</v>
      </c>
      <c r="H103" s="6" t="s">
        <v>71</v>
      </c>
      <c r="I103" s="6" t="s">
        <v>71</v>
      </c>
      <c r="J103" s="27" t="s">
        <v>278</v>
      </c>
      <c r="K103" s="35">
        <v>81158</v>
      </c>
      <c r="M103" s="36">
        <f ca="1">IF(OR(ISNUMBER(FIND(MID(K103,1,1),J103,1)),ISNUMBER(FIND(MID(K103,2,1),J103,1)),ISNUMBER(FIND(MID(K103,3,1),J103,1)),ISNUMBER(FIND(MID(K103,4,1),J103,1)),ISNUMBER(FIND(MID(K103,5,1),J103,1))),R103*S103,0)</f>
        <v>9.56</v>
      </c>
      <c r="N103" s="32">
        <f t="shared" ca="1" si="55"/>
        <v>1</v>
      </c>
      <c r="O103" s="26" t="str">
        <f t="shared" si="56"/>
        <v>0 1 2 3 4 5 6 7 8 9</v>
      </c>
      <c r="P103" s="32">
        <f t="shared" ca="1" si="57"/>
        <v>40</v>
      </c>
      <c r="Q103" s="32">
        <f>LEN(SUBSTITUTE(J103,",",))</f>
        <v>10</v>
      </c>
      <c r="R103" s="29">
        <f t="shared" ca="1" si="29"/>
        <v>2</v>
      </c>
      <c r="S103" s="29">
        <f>Sheet1!W77</f>
        <v>4.78</v>
      </c>
    </row>
    <row r="104" spans="1:20" ht="20.100000000000001" customHeight="1" x14ac:dyDescent="0.15">
      <c r="A104" s="39"/>
      <c r="B104" s="2" t="s">
        <v>165</v>
      </c>
      <c r="C104" s="20">
        <f t="shared" si="38"/>
        <v>0</v>
      </c>
      <c r="D104" s="20">
        <f t="shared" si="39"/>
        <v>0</v>
      </c>
      <c r="E104" s="20">
        <f t="shared" si="40"/>
        <v>0</v>
      </c>
      <c r="F104" s="1">
        <v>10</v>
      </c>
      <c r="H104" s="6" t="s">
        <v>72</v>
      </c>
      <c r="I104" s="6" t="s">
        <v>72</v>
      </c>
      <c r="J104" s="27" t="s">
        <v>363</v>
      </c>
      <c r="K104" s="35">
        <f>K88</f>
        <v>81158</v>
      </c>
      <c r="M104" s="32">
        <f ca="1">IF(AND(L88=60,ISNUMBER(FIND(L89,J104,1))),R104*S104,
 IF(L88=30,SUM(N(ISNUMBER(FIND(L89,J104,1))),N(ISNUMBER(FIND(L90,J104,1))))*R104*S104,
  IF(AND(L88=10,ISNUMBER(FIND(L91,J104,1))),R104*S104,0)))</f>
        <v>192.48</v>
      </c>
      <c r="N104" s="32">
        <f t="shared" ca="1" si="55"/>
        <v>2</v>
      </c>
      <c r="O104" s="26" t="str">
        <f t="shared" si="56"/>
        <v>0 1 2 5 7 8</v>
      </c>
      <c r="P104" s="32">
        <f t="shared" ca="1" si="57"/>
        <v>48</v>
      </c>
      <c r="Q104" s="32">
        <f>LEN(SUBSTITUTE(J104,",",))</f>
        <v>6</v>
      </c>
      <c r="R104" s="29">
        <f t="shared" ca="1" si="29"/>
        <v>4</v>
      </c>
      <c r="S104" s="29">
        <f>Sheet1!W78</f>
        <v>24.06</v>
      </c>
    </row>
    <row r="105" spans="1:20" ht="20.100000000000001" customHeight="1" x14ac:dyDescent="0.15">
      <c r="A105" s="39"/>
      <c r="B105" s="2" t="s">
        <v>166</v>
      </c>
      <c r="C105" s="20">
        <f t="shared" si="38"/>
        <v>0</v>
      </c>
      <c r="D105" s="20">
        <f t="shared" si="39"/>
        <v>8</v>
      </c>
      <c r="E105" s="20">
        <f t="shared" si="40"/>
        <v>0</v>
      </c>
      <c r="F105" s="1">
        <v>8</v>
      </c>
      <c r="H105" s="6" t="s">
        <v>73</v>
      </c>
      <c r="I105" s="6" t="s">
        <v>73</v>
      </c>
      <c r="J105" s="27" t="s">
        <v>283</v>
      </c>
      <c r="K105" s="35">
        <v>81158</v>
      </c>
      <c r="M105" s="32">
        <f>IF(OR(L88=20,L88=10),IF(ISNUMBER(FIND(L89,J105,1)),R105*S105,0),0)</f>
        <v>0</v>
      </c>
      <c r="N105" s="32">
        <f t="shared" ca="1" si="55"/>
        <v>0</v>
      </c>
      <c r="O105" s="26" t="str">
        <f t="shared" si="56"/>
        <v>1 2</v>
      </c>
      <c r="P105" s="32">
        <f t="shared" ca="1" si="57"/>
        <v>16</v>
      </c>
      <c r="Q105" s="32">
        <f>LEN(SUBSTITUTE(J105,",",))</f>
        <v>2</v>
      </c>
      <c r="R105" s="29">
        <f t="shared" ca="1" si="29"/>
        <v>4</v>
      </c>
      <c r="S105" s="29">
        <f>Sheet1!W79</f>
        <v>228.97</v>
      </c>
    </row>
    <row r="106" spans="1:20" ht="20.100000000000001" customHeight="1" x14ac:dyDescent="0.15">
      <c r="A106" s="39"/>
      <c r="B106" s="2" t="s">
        <v>167</v>
      </c>
      <c r="C106" s="20">
        <f t="shared" si="38"/>
        <v>0</v>
      </c>
      <c r="D106" s="20">
        <f t="shared" si="39"/>
        <v>0</v>
      </c>
      <c r="E106" s="20">
        <f t="shared" si="40"/>
        <v>0</v>
      </c>
      <c r="F106" s="1">
        <v>6</v>
      </c>
      <c r="H106" s="6" t="s">
        <v>74</v>
      </c>
      <c r="I106" s="6" t="s">
        <v>74</v>
      </c>
      <c r="J106" s="27" t="s">
        <v>279</v>
      </c>
      <c r="K106" s="35">
        <v>81158</v>
      </c>
      <c r="M106" s="32">
        <f>IF(L88=5,IF(ISNUMBER(FIND(L89,J106,1)),R105*I106,0),0)</f>
        <v>0</v>
      </c>
      <c r="N106" s="32">
        <f t="shared" ca="1" si="55"/>
        <v>0</v>
      </c>
      <c r="O106" s="26" t="str">
        <f t="shared" si="56"/>
        <v>0 1 2 3 4 5 6 7 8 9</v>
      </c>
      <c r="P106" s="32">
        <f t="shared" ca="1" si="57"/>
        <v>80</v>
      </c>
      <c r="Q106" s="32">
        <f>LEN(SUBSTITUTE(J106,",",))</f>
        <v>10</v>
      </c>
      <c r="R106" s="29">
        <f t="shared" ca="1" si="29"/>
        <v>4</v>
      </c>
      <c r="S106" s="29">
        <f>Sheet1!W80</f>
        <v>4260.8599999999997</v>
      </c>
    </row>
    <row r="107" spans="1:20" ht="20.100000000000001" customHeight="1" x14ac:dyDescent="0.15">
      <c r="A107" s="39"/>
      <c r="B107" s="2" t="s">
        <v>168</v>
      </c>
      <c r="C107" s="20">
        <f t="shared" si="38"/>
        <v>0</v>
      </c>
      <c r="D107" s="20">
        <f t="shared" si="39"/>
        <v>0</v>
      </c>
      <c r="E107" s="20">
        <f t="shared" si="40"/>
        <v>0</v>
      </c>
      <c r="F107" s="1">
        <v>5</v>
      </c>
      <c r="G107" s="6" t="s">
        <v>75</v>
      </c>
      <c r="H107" s="37" t="s">
        <v>76</v>
      </c>
      <c r="I107" s="6" t="s">
        <v>77</v>
      </c>
      <c r="J107" s="22" t="s">
        <v>284</v>
      </c>
      <c r="K107" s="35">
        <v>81158</v>
      </c>
      <c r="M107" s="37">
        <f ca="1">IF(IF(INT(LEFT(K107,1))&lt;5,
 IF(MOD(LEFT(K107,1),2)=1,
  IF(OR(ISNUMBER(FIND("小",J107,1)),ISNUMBER(FIND("单",J107,1))),1,0),
   IF(OR(ISNUMBER(FIND("小",J107,1)),ISNUMBER(FIND("双",J107,1))),1,0)),
 IF(MOD(LEFT(K107,1),2)=1,
  IF(OR(ISNUMBER(FIND("大",J107,1)),ISNUMBER(FIND("单",J107,1))),1,0),
   IF(OR(ISNUMBER(FIND("大",J107,1)),ISNUMBER(FIND("双",J107,1))),1,0))
)+IF(INT(MID(K107,2,1))&lt;5,
 IF(MOD(MID(K107,2,1),2)=1,
  IF(OR(ISNUMBER(FIND("小",J108,1)),ISNUMBER(FIND("单",J108,1))),1,0),
   IF(OR(ISNUMBER(FIND("小",J108,1)),ISNUMBER(FIND("双",J108,1))),1,0)),
 IF(MOD(MID(K107,2,1),2)=1,
  IF(OR(ISNUMBER(FIND("大",J108,1)),ISNUMBER(FIND("单",J108,1))),1,0),
   IF(OR(ISNUMBER(FIND("大",J108,1)),ISNUMBER(FIND("双",J108,1))),1,0))
)=2,R107*S107,0)</f>
        <v>7.84</v>
      </c>
      <c r="N107" s="37">
        <f t="shared" ca="1" si="55"/>
        <v>1</v>
      </c>
      <c r="O107" s="38" t="str">
        <f t="shared" ref="O107:O109" si="58">TRIM(IF(LEN($J107)=0,"-",SUBSTITUTE($J107,","," ")))&amp;","&amp;TRIM(IF(LEN($J108)=0,"-",SUBSTITUTE($J108,","," ")))</f>
        <v>大 小 单 双,大 小 单 双</v>
      </c>
      <c r="P107" s="37">
        <f ca="1">Q107*R107*2</f>
        <v>32</v>
      </c>
      <c r="Q107" s="37">
        <f>LEN(SUBSTITUTE(J107,",",))*LEN(SUBSTITUTE(J108,",",))</f>
        <v>16</v>
      </c>
      <c r="R107" s="37">
        <f t="shared" ca="1" si="29"/>
        <v>1</v>
      </c>
      <c r="S107" s="37">
        <f>Sheet1!W81</f>
        <v>7.84</v>
      </c>
    </row>
    <row r="108" spans="1:20" ht="20.100000000000001" customHeight="1" x14ac:dyDescent="0.15">
      <c r="A108" s="39"/>
      <c r="B108" s="2" t="s">
        <v>169</v>
      </c>
      <c r="C108" s="20">
        <f t="shared" si="38"/>
        <v>0</v>
      </c>
      <c r="D108" s="20">
        <f t="shared" si="39"/>
        <v>0</v>
      </c>
      <c r="E108" s="20">
        <f t="shared" si="40"/>
        <v>0</v>
      </c>
      <c r="F108" s="1">
        <v>4</v>
      </c>
      <c r="H108" s="37"/>
      <c r="I108" s="6" t="s">
        <v>78</v>
      </c>
      <c r="J108" s="27" t="s">
        <v>285</v>
      </c>
      <c r="K108" s="35">
        <v>81158</v>
      </c>
      <c r="M108" s="37"/>
      <c r="N108" s="37"/>
      <c r="O108" s="38"/>
      <c r="P108" s="37"/>
      <c r="Q108" s="37"/>
      <c r="R108" s="37"/>
      <c r="S108" s="37"/>
    </row>
    <row r="109" spans="1:20" ht="20.100000000000001" customHeight="1" x14ac:dyDescent="0.15">
      <c r="A109" s="39"/>
      <c r="B109" s="2" t="s">
        <v>170</v>
      </c>
      <c r="C109" s="20">
        <f t="shared" si="38"/>
        <v>2</v>
      </c>
      <c r="D109" s="20">
        <f t="shared" si="39"/>
        <v>0</v>
      </c>
      <c r="E109" s="20">
        <f t="shared" si="40"/>
        <v>0</v>
      </c>
      <c r="F109" s="1">
        <v>2</v>
      </c>
      <c r="H109" s="37" t="s">
        <v>79</v>
      </c>
      <c r="I109" s="6" t="s">
        <v>80</v>
      </c>
      <c r="J109" s="27" t="s">
        <v>286</v>
      </c>
      <c r="K109" s="35">
        <v>81158</v>
      </c>
      <c r="M109" s="37">
        <f ca="1">IF(IF(INT(MID(K109,4,1))&lt;5,
 IF(MOD(MID(K109,4,1),2)=1,
  IF(OR(ISNUMBER(FIND("小",J109,1)),ISNUMBER(FIND("单",J109,1))),1,0),
   IF(OR(ISNUMBER(FIND("小",J109,1)),ISNUMBER(FIND("双",J109,1))),1,0)),
 IF(MOD(MID(K109,4,1),2)=1,
  IF(OR(ISNUMBER(FIND("大",J109,1)),ISNUMBER(FIND("单",J109,1))),1,0),
   IF(OR(ISNUMBER(FIND("大",J109,1)),ISNUMBER(FIND("双",J109,1))),1,0))
)+IF(INT(MID(K109,5,1))&lt;5,
 IF(MOD(MID(K109,5,1),2)=1,
  IF(OR(ISNUMBER(FIND("小",J110,1)),ISNUMBER(FIND("单",J110,1))),1,0),
   IF(OR(ISNUMBER(FIND("小",J110,1)),ISNUMBER(FIND("双",J110,1))),1,0)),
 IF(MOD(MID(K109,5,1),2)=1,
  IF(OR(ISNUMBER(FIND("大",J110,1)),ISNUMBER(FIND("单",J110,1))),1,0),
   IF(OR(ISNUMBER(FIND("大",J110,1)),ISNUMBER(FIND("双",J110,1))),1,0))
)=2,R109*S109,0)</f>
        <v>31.36</v>
      </c>
      <c r="N109" s="37">
        <f t="shared" ca="1" si="55"/>
        <v>1</v>
      </c>
      <c r="O109" s="38" t="str">
        <f t="shared" si="58"/>
        <v>大 小 单 双,大 小 单 双</v>
      </c>
      <c r="P109" s="37">
        <f t="shared" ref="P109" ca="1" si="59">Q109*R109*2</f>
        <v>128</v>
      </c>
      <c r="Q109" s="37">
        <f>LEN(SUBSTITUTE(J109,",",))*LEN(SUBSTITUTE(J110,",",))</f>
        <v>16</v>
      </c>
      <c r="R109" s="37">
        <f t="shared" ca="1" si="29"/>
        <v>4</v>
      </c>
      <c r="S109" s="37">
        <f>Sheet1!W82</f>
        <v>7.84</v>
      </c>
    </row>
    <row r="110" spans="1:20" ht="20.100000000000001" customHeight="1" x14ac:dyDescent="0.15">
      <c r="A110" s="39"/>
      <c r="B110" s="2" t="s">
        <v>171</v>
      </c>
      <c r="C110" s="20">
        <f t="shared" si="38"/>
        <v>2</v>
      </c>
      <c r="D110" s="20">
        <f t="shared" si="39"/>
        <v>0</v>
      </c>
      <c r="E110" s="20">
        <f t="shared" si="40"/>
        <v>2</v>
      </c>
      <c r="F110" s="1">
        <v>2</v>
      </c>
      <c r="H110" s="37"/>
      <c r="I110" s="6" t="s">
        <v>81</v>
      </c>
      <c r="J110" s="27" t="s">
        <v>254</v>
      </c>
      <c r="K110" s="35">
        <v>81158</v>
      </c>
      <c r="M110" s="37"/>
      <c r="N110" s="37"/>
      <c r="O110" s="38"/>
      <c r="P110" s="37"/>
      <c r="Q110" s="37"/>
      <c r="R110" s="37"/>
      <c r="S110" s="37"/>
    </row>
    <row r="111" spans="1:20" ht="20.100000000000001" customHeight="1" x14ac:dyDescent="0.15">
      <c r="A111" s="39"/>
      <c r="B111" s="2" t="s">
        <v>172</v>
      </c>
      <c r="C111" s="20">
        <f t="shared" si="38"/>
        <v>1</v>
      </c>
      <c r="D111" s="20">
        <f t="shared" si="39"/>
        <v>1</v>
      </c>
      <c r="E111" s="20">
        <f t="shared" si="40"/>
        <v>1</v>
      </c>
      <c r="F111" s="1">
        <v>1</v>
      </c>
      <c r="H111" s="37" t="s">
        <v>82</v>
      </c>
      <c r="I111" s="6" t="s">
        <v>83</v>
      </c>
      <c r="J111" s="27" t="s">
        <v>254</v>
      </c>
      <c r="K111" s="35">
        <v>81158</v>
      </c>
      <c r="M111" s="37">
        <f ca="1">IF(IF(INT(LEFT(K111,1))&lt;5,
 IF(MOD(LEFT(K111,1),2)=1,
  IF(OR(ISNUMBER(FIND("小",J111,1)),ISNUMBER(FIND("单",J111,1))),1,0),
   IF(OR(ISNUMBER(FIND("小",J111,1)),ISNUMBER(FIND("双",J111,1))),1,0)),
 IF(MOD(LEFT(K111,1),2)=1,
  IF(OR(ISNUMBER(FIND("大",J111,1)),ISNUMBER(FIND("单",J111,1))),1,0),
   IF(OR(ISNUMBER(FIND("大",J111,1)),ISNUMBER(FIND("双",J111,1))),1,0))
)+IF(INT(MID(K111,2,1))&lt;5,
 IF(MOD(MID(K111,2,1),2)=1,
  IF(OR(ISNUMBER(FIND("小",J112,1)),ISNUMBER(FIND("单",J112,1))),1,0),
   IF(OR(ISNUMBER(FIND("小",J112,1)),ISNUMBER(FIND("双",J112,1))),1,0)),
 IF(MOD(MID(K111,2,1),2)=1,
  IF(OR(ISNUMBER(FIND("大",J112,1)),ISNUMBER(FIND("单",J112,1))),1,0),
   IF(OR(ISNUMBER(FIND("大",J112,1)),ISNUMBER(FIND("双",J112,1))),1,0))
)+IF(INT(MID(K111,3,1))&lt;5,
 IF(MOD(MID(K111,3,1),2)=1,
  IF(OR(ISNUMBER(FIND("小",J113,1)),ISNUMBER(FIND("单",J113,1))),1,0),
   IF(OR(ISNUMBER(FIND("小",J113,1)),ISNUMBER(FIND("双",J113,1))),1,0)),
 IF(MOD(MID(K111,3,1),2)=1,
  IF(OR(ISNUMBER(FIND("大",J113,1)),ISNUMBER(FIND("单",J113,1))),1,0),
   IF(OR(ISNUMBER(FIND("大",J113,1)),ISNUMBER(FIND("双",J113,1))),1,0))
)=3,R111*S111,0)</f>
        <v>47.04</v>
      </c>
      <c r="N111" s="37">
        <f t="shared" ref="N111" ca="1" si="60">M111/S111/R111</f>
        <v>1</v>
      </c>
      <c r="O111" s="38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37">
        <f t="shared" ref="P111" ca="1" si="61">R111*Q111*2</f>
        <v>384</v>
      </c>
      <c r="Q111" s="37">
        <f>LEN(SUBSTITUTE(J111,",",))*LEN(SUBSTITUTE(J112,",",))*LEN(SUBSTITUTE(J113,",",))</f>
        <v>64</v>
      </c>
      <c r="R111" s="37">
        <f t="shared" ca="1" si="29"/>
        <v>3</v>
      </c>
      <c r="S111" s="37">
        <f>Sheet1!W83</f>
        <v>15.68</v>
      </c>
    </row>
    <row r="112" spans="1:20" ht="20.100000000000001" customHeight="1" x14ac:dyDescent="0.15">
      <c r="H112" s="37"/>
      <c r="I112" s="6" t="s">
        <v>84</v>
      </c>
      <c r="J112" s="27" t="s">
        <v>254</v>
      </c>
      <c r="K112" s="35">
        <v>81158</v>
      </c>
      <c r="M112" s="37"/>
      <c r="N112" s="37"/>
      <c r="O112" s="38"/>
      <c r="P112" s="37"/>
      <c r="Q112" s="37"/>
      <c r="R112" s="37"/>
      <c r="S112" s="37"/>
    </row>
    <row r="113" spans="7:19" ht="20.100000000000001" customHeight="1" x14ac:dyDescent="0.15">
      <c r="H113" s="37"/>
      <c r="I113" s="6" t="s">
        <v>85</v>
      </c>
      <c r="J113" s="27" t="s">
        <v>254</v>
      </c>
      <c r="K113" s="35">
        <v>81158</v>
      </c>
      <c r="M113" s="37"/>
      <c r="N113" s="37"/>
      <c r="O113" s="38"/>
      <c r="P113" s="37"/>
      <c r="Q113" s="37"/>
      <c r="R113" s="37"/>
      <c r="S113" s="37"/>
    </row>
    <row r="114" spans="7:19" ht="20.100000000000001" customHeight="1" x14ac:dyDescent="0.15">
      <c r="H114" s="37" t="s">
        <v>38</v>
      </c>
      <c r="I114" s="6" t="s">
        <v>85</v>
      </c>
      <c r="J114" s="27" t="s">
        <v>254</v>
      </c>
      <c r="K114" s="35">
        <v>81158</v>
      </c>
      <c r="M114" s="37">
        <f ca="1">IF(IF(INT(LEFT(K114,1))&lt;5,
 IF(MOD(LEFT(K114,1),2)=1,
  IF(OR(ISNUMBER(FIND("小",J114,1)),ISNUMBER(FIND("单",J114,1))),1,0),
   IF(OR(ISNUMBER(FIND("小",J114,1)),ISNUMBER(FIND("双",J114,1))),1,0)),
 IF(MOD(LEFT(K114,1),2)=1,
  IF(OR(ISNUMBER(FIND("大",J114,1)),ISNUMBER(FIND("单",J114,1))),1,0),
   IF(OR(ISNUMBER(FIND("大",J114,1)),ISNUMBER(FIND("双",J114,1))),1,0))
)+IF(INT(MID(K114,2,1))&lt;5,
 IF(MOD(MID(K114,2,1),2)=1,
  IF(OR(ISNUMBER(FIND("小",J115,1)),ISNUMBER(FIND("单",J115,1))),1,0),
   IF(OR(ISNUMBER(FIND("小",J115,1)),ISNUMBER(FIND("双",J115,1))),1,0)),
 IF(MOD(MID(K114,2,1),2)=1,
  IF(OR(ISNUMBER(FIND("大",J115,1)),ISNUMBER(FIND("单",J115,1))),1,0),
   IF(OR(ISNUMBER(FIND("大",J115,1)),ISNUMBER(FIND("双",J115,1))),1,0))
)+IF(INT(MID(K114,3,1))&lt;5,
 IF(MOD(MID(K114,3,1),2)=1,
  IF(OR(ISNUMBER(FIND("小",J116,1)),ISNUMBER(FIND("单",J116,1))),1,0),
   IF(OR(ISNUMBER(FIND("小",J116,1)),ISNUMBER(FIND("双",J116,1))),1,0)),
 IF(MOD(MID(K114,3,1),2)=1,
  IF(OR(ISNUMBER(FIND("大",J116,1)),ISNUMBER(FIND("单",J116,1))),1,0),
   IF(OR(ISNUMBER(FIND("大",J116,1)),ISNUMBER(FIND("双",J116,1))),1,0))
)=3,R114*S114,0)</f>
        <v>15.68</v>
      </c>
      <c r="N114" s="37">
        <f t="shared" ref="N114" ca="1" si="62">M114/S114/R114</f>
        <v>1</v>
      </c>
      <c r="O114" s="38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37">
        <f t="shared" ref="P114" ca="1" si="63">R114*Q114*2</f>
        <v>128</v>
      </c>
      <c r="Q114" s="37">
        <f>LEN(SUBSTITUTE(J114,",",))*LEN(SUBSTITUTE(J115,",",))*LEN(SUBSTITUTE(J116,",",))</f>
        <v>64</v>
      </c>
      <c r="R114" s="37">
        <f t="shared" ca="1" si="29"/>
        <v>1</v>
      </c>
      <c r="S114" s="37">
        <f>Sheet1!W84</f>
        <v>15.68</v>
      </c>
    </row>
    <row r="115" spans="7:19" ht="20.100000000000001" customHeight="1" x14ac:dyDescent="0.15">
      <c r="H115" s="37"/>
      <c r="I115" s="6" t="s">
        <v>86</v>
      </c>
      <c r="J115" s="27" t="s">
        <v>254</v>
      </c>
      <c r="K115" s="35">
        <v>81158</v>
      </c>
      <c r="M115" s="37"/>
      <c r="N115" s="37"/>
      <c r="O115" s="38"/>
      <c r="P115" s="37"/>
      <c r="Q115" s="37"/>
      <c r="R115" s="37"/>
      <c r="S115" s="37"/>
    </row>
    <row r="116" spans="7:19" ht="20.100000000000001" customHeight="1" x14ac:dyDescent="0.15">
      <c r="H116" s="37"/>
      <c r="I116" s="6" t="s">
        <v>81</v>
      </c>
      <c r="J116" s="27" t="s">
        <v>255</v>
      </c>
      <c r="K116" s="35">
        <v>81158</v>
      </c>
      <c r="M116" s="37"/>
      <c r="N116" s="37"/>
      <c r="O116" s="38"/>
      <c r="P116" s="37"/>
      <c r="Q116" s="37"/>
      <c r="R116" s="37"/>
      <c r="S116" s="37"/>
    </row>
    <row r="117" spans="7:19" ht="20.100000000000001" customHeight="1" x14ac:dyDescent="0.15">
      <c r="G117" s="6" t="s">
        <v>87</v>
      </c>
      <c r="H117" s="37" t="s">
        <v>87</v>
      </c>
      <c r="I117" s="6" t="s">
        <v>88</v>
      </c>
      <c r="J117" s="27" t="s">
        <v>256</v>
      </c>
      <c r="K117" s="35">
        <v>81158</v>
      </c>
      <c r="L117" s="32">
        <f>IF(SUM(MID(K117,1,1),MID(K117,2,1),MID(K117,3,1),MID(K117,4,1),MID(K117,5,1))&lt;23,
 IF(MOD(SUM(MID(K117,1,1),MID(K117,2,1),MID(K117,3,1),MID(K117,4,1),MID(K117,5,1)),2)=1,
  IF(OR(ISNUMBER(FIND("和小",J117,1)),ISNUMBER(FIND("和单",J117,1))),1,0),
  IF(OR(ISNUMBER(FIND("和小",J117,1)),ISNUMBER(FIND("和双",J117,1))),1,0)),
 IF(MOD(SUM(MID(K117,1,1),MID(K117,2,1),MID(K117,3,1),MID(K117,4,1),MID(K117,5,1)),2)=1,
  IF(OR(ISNUMBER(FIND("和大",J117,1)),ISNUMBER(FIND("和单",J117,1))),1,0),
  IF(OR(ISNUMBER(FIND("和大",J117,1)),ISNUMBER(FIND("和双",J117,1))),1,0))
)</f>
        <v>1</v>
      </c>
      <c r="M117" s="37">
        <f ca="1">IF(SUM(L117:L122)&gt;0,SUM(L117:L122)*R117*S117,0)</f>
        <v>11.76</v>
      </c>
      <c r="N117" s="37">
        <f ca="1">M117/S117/R117</f>
        <v>6</v>
      </c>
      <c r="O117" s="38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37">
        <f ca="1">R117*Q117</f>
        <v>34</v>
      </c>
      <c r="Q117" s="37">
        <f>LEN(SUBSTITUTE(J117,",",))/2+LEN(SUBSTITUTE(J118,",",))+LEN(SUBSTITUTE(J119,",",))+LEN(SUBSTITUTE(J120,",",))+LEN(SUBSTITUTE(J121,",",))+LEN(SUBSTITUTE(J122,",",))</f>
        <v>34</v>
      </c>
      <c r="R117" s="37">
        <f t="shared" ca="1" si="29"/>
        <v>1</v>
      </c>
      <c r="S117" s="37">
        <f>Sheet1!W85</f>
        <v>1.96</v>
      </c>
    </row>
    <row r="118" spans="7:19" ht="20.100000000000001" customHeight="1" x14ac:dyDescent="0.15">
      <c r="H118" s="37"/>
      <c r="I118" s="6" t="s">
        <v>6</v>
      </c>
      <c r="J118" s="27" t="s">
        <v>257</v>
      </c>
      <c r="K118" s="35">
        <f>K117</f>
        <v>81158</v>
      </c>
      <c r="L118" s="32">
        <f>IF(INT(LEFT(K117,1))&lt;5,
  IF(MOD(MID(K117,1,1),2)=1,
   IF(OR(MID(K117,1,1)=1,MID(K117,1,1)=2,MID(K117,1,1)=3,MID(K117,1,1)=5,MID(K117,1,1)=7),
    IF(OR(ISNUMBER(FIND("小",J118,1)),ISNUMBER(FIND("单",J118,1)),ISNUMBER(FIND("质",J118,1))),1,0),
    IF(OR(ISNUMBER(FIND("小",J118,1)),ISNUMBER(FIND("单",J118,1)),ISNUMBER(FIND("合",J118,1))),1,0)),
   IF(OR(MID(K117,1,1)=1,MID(K117,1,1)=2,MID(K117,1,1)=3,MID(K117,1,1)=5,MID(K117,1,1)=7),
    IF(OR(ISNUMBER(FIND("小",J118,1)),ISNUMBER(FIND("双",J118,1)),ISNUMBER(FIND("质",J118,1))),1,0),
    IF(OR(ISNUMBER(FIND("小",J118,1)),ISNUMBER(FIND("双",J118,1)),ISNUMBER(FIND("合",J118,1))),1,0))),
  IF(MOD(MID(K117,1,1),2)=1,
   IF(OR(MID(K117,1,1)=1,MID(K117,1,1)=2,MID(K117,1,1)=3,MID(K117,1,1)=5,MID(K117,1,1)=7),
    IF(OR(ISNUMBER(FIND("大",J118,1)),ISNUMBER(FIND("单",J118,1)),ISNUMBER(FIND("质",J118,1))),1,0),
    IF(OR(ISNUMBER(FIND("大",J118,1)),ISNUMBER(FIND("单",J118,1)),ISNUMBER(FIND("合",J118,1))),1,0)),
   IF(OR(MID(K117,1,1)=1,MID(K117,1,1)=2,MID(K117,1,1)=3,MID(K117,1,1)=5,MID(K117,1,1)=7),
    IF(OR(ISNUMBER(FIND("大",J118,1)),ISNUMBER(FIND("双",J118,1)),ISNUMBER(FIND("质",J118,1))),1,0),
    IF(OR(ISNUMBER(FIND("大",J118,1)),ISNUMBER(FIND("双",J118,1)),ISNUMBER(FIND("合",J118,1))),1,0)))
 )</f>
        <v>1</v>
      </c>
      <c r="M118" s="37"/>
      <c r="N118" s="37"/>
      <c r="O118" s="38"/>
      <c r="P118" s="37"/>
      <c r="Q118" s="37"/>
      <c r="R118" s="37"/>
      <c r="S118" s="37"/>
    </row>
    <row r="119" spans="7:19" ht="20.100000000000001" customHeight="1" x14ac:dyDescent="0.15">
      <c r="H119" s="37"/>
      <c r="I119" s="6" t="s">
        <v>7</v>
      </c>
      <c r="J119" s="27" t="s">
        <v>258</v>
      </c>
      <c r="K119" s="35">
        <f>K118</f>
        <v>81158</v>
      </c>
      <c r="L119" s="32">
        <f>IF(INT(LEFT(K118,1))&lt;5,
  IF(MOD(MID(K118,1,1),2)=1,
   IF(OR(MID(K118,1,1)=1,MID(K118,1,1)=2,MID(K118,1,1)=3,MID(K118,1,1)=5,MID(K118,1,1)=7),
    IF(OR(ISNUMBER(FIND("小",J119,1)),ISNUMBER(FIND("单",J119,1)),ISNUMBER(FIND("质",J119,1))),1,0),
    IF(OR(ISNUMBER(FIND("小",J119,1)),ISNUMBER(FIND("单",J119,1)),ISNUMBER(FIND("合",J119,1))),1,0)),
   IF(OR(MID(K118,1,1)=1,MID(K118,1,1)=2,MID(K118,1,1)=3,MID(K118,1,1)=5,MID(K118,1,1)=7),
    IF(OR(ISNUMBER(FIND("小",J119,1)),ISNUMBER(FIND("双",J119,1)),ISNUMBER(FIND("质",J119,1))),1,0),
    IF(OR(ISNUMBER(FIND("小",J119,1)),ISNUMBER(FIND("双",J119,1)),ISNUMBER(FIND("合",J119,1))),1,0))),
  IF(MOD(MID(K118,1,1),2)=1,
   IF(OR(MID(K118,1,1)=1,MID(K118,1,1)=2,MID(K118,1,1)=3,MID(K118,1,1)=5,MID(K118,1,1)=7),
    IF(OR(ISNUMBER(FIND("大",J119,1)),ISNUMBER(FIND("单",J119,1)),ISNUMBER(FIND("质",J119,1))),1,0),
    IF(OR(ISNUMBER(FIND("大",J119,1)),ISNUMBER(FIND("单",J119,1)),ISNUMBER(FIND("合",J119,1))),1,0)),
   IF(OR(MID(K118,1,1)=1,MID(K118,1,1)=2,MID(K118,1,1)=3,MID(K118,1,1)=5,MID(K118,1,1)=7),
    IF(OR(ISNUMBER(FIND("大",J119,1)),ISNUMBER(FIND("双",J119,1)),ISNUMBER(FIND("质",J119,1))),1,0),
    IF(OR(ISNUMBER(FIND("大",J119,1)),ISNUMBER(FIND("双",J119,1)),ISNUMBER(FIND("合",J119,1))),1,0)))
 )</f>
        <v>1</v>
      </c>
      <c r="M119" s="37"/>
      <c r="N119" s="37"/>
      <c r="O119" s="38"/>
      <c r="P119" s="37"/>
      <c r="Q119" s="37"/>
      <c r="R119" s="37"/>
      <c r="S119" s="37"/>
    </row>
    <row r="120" spans="7:19" ht="20.100000000000001" customHeight="1" x14ac:dyDescent="0.15">
      <c r="H120" s="37"/>
      <c r="I120" s="6" t="s">
        <v>8</v>
      </c>
      <c r="J120" s="27" t="s">
        <v>259</v>
      </c>
      <c r="K120" s="35">
        <f>K117</f>
        <v>81158</v>
      </c>
      <c r="L120" s="32">
        <f>IF(INT(LEFT(K119,1))&lt;5,
  IF(MOD(MID(K119,1,1),2)=1,
   IF(OR(MID(K119,1,1)=1,MID(K119,1,1)=2,MID(K119,1,1)=3,MID(K119,1,1)=5,MID(K119,1,1)=7),
    IF(OR(ISNUMBER(FIND("小",J120,1)),ISNUMBER(FIND("单",J120,1)),ISNUMBER(FIND("质",J120,1))),1,0),
    IF(OR(ISNUMBER(FIND("小",J120,1)),ISNUMBER(FIND("单",J120,1)),ISNUMBER(FIND("合",J120,1))),1,0)),
   IF(OR(MID(K119,1,1)=1,MID(K119,1,1)=2,MID(K119,1,1)=3,MID(K119,1,1)=5,MID(K119,1,1)=7),
    IF(OR(ISNUMBER(FIND("小",J120,1)),ISNUMBER(FIND("双",J120,1)),ISNUMBER(FIND("质",J120,1))),1,0),
    IF(OR(ISNUMBER(FIND("小",J120,1)),ISNUMBER(FIND("双",J120,1)),ISNUMBER(FIND("合",J120,1))),1,0))),
  IF(MOD(MID(K119,1,1),2)=1,
   IF(OR(MID(K119,1,1)=1,MID(K119,1,1)=2,MID(K119,1,1)=3,MID(K119,1,1)=5,MID(K119,1,1)=7),
    IF(OR(ISNUMBER(FIND("大",J120,1)),ISNUMBER(FIND("单",J120,1)),ISNUMBER(FIND("质",J120,1))),1,0),
    IF(OR(ISNUMBER(FIND("大",J120,1)),ISNUMBER(FIND("单",J120,1)),ISNUMBER(FIND("合",J120,1))),1,0)),
   IF(OR(MID(K119,1,1)=1,MID(K119,1,1)=2,MID(K119,1,1)=3,MID(K119,1,1)=5,MID(K119,1,1)=7),
    IF(OR(ISNUMBER(FIND("大",J120,1)),ISNUMBER(FIND("双",J120,1)),ISNUMBER(FIND("质",J120,1))),1,0),
    IF(OR(ISNUMBER(FIND("大",J120,1)),ISNUMBER(FIND("双",J120,1)),ISNUMBER(FIND("合",J120,1))),1,0)))
 )</f>
        <v>1</v>
      </c>
      <c r="M120" s="37"/>
      <c r="N120" s="37"/>
      <c r="O120" s="38"/>
      <c r="P120" s="37"/>
      <c r="Q120" s="37"/>
      <c r="R120" s="37"/>
      <c r="S120" s="37"/>
    </row>
    <row r="121" spans="7:19" ht="20.100000000000001" customHeight="1" x14ac:dyDescent="0.15">
      <c r="H121" s="37"/>
      <c r="I121" s="6" t="s">
        <v>11</v>
      </c>
      <c r="J121" s="27" t="s">
        <v>260</v>
      </c>
      <c r="K121" s="35">
        <f>K117</f>
        <v>81158</v>
      </c>
      <c r="L121" s="32">
        <f t="shared" ref="L121:L122" si="64">IF(INT(LEFT(K120,1))&lt;5,
  IF(MOD(MID(K120,1,1),2)=1,
   IF(OR(MID(K120,1,1)=1,MID(K120,1,1)=2,MID(K120,1,1)=3,MID(K120,1,1)=5,MID(K120,1,1)=7),
    IF(OR(ISNUMBER(FIND("小",J121,1)),ISNUMBER(FIND("单",J121,1)),ISNUMBER(FIND("质",J121,1))),1,0),
    IF(OR(ISNUMBER(FIND("小",J121,1)),ISNUMBER(FIND("单",J121,1)),ISNUMBER(FIND("合",J121,1))),1,0)),
   IF(OR(MID(K120,1,1)=1,MID(K120,1,1)=2,MID(K120,1,1)=3,MID(K120,1,1)=5,MID(K120,1,1)=7),
    IF(OR(ISNUMBER(FIND("小",J121,1)),ISNUMBER(FIND("双",J121,1)),ISNUMBER(FIND("质",J121,1))),1,0),
    IF(OR(ISNUMBER(FIND("小",J121,1)),ISNUMBER(FIND("双",J121,1)),ISNUMBER(FIND("合",J121,1))),1,0))),
  IF(MOD(MID(K120,1,1),2)=1,
   IF(OR(MID(K120,1,1)=1,MID(K120,1,1)=2,MID(K120,1,1)=3,MID(K120,1,1)=5,MID(K120,1,1)=7),
    IF(OR(ISNUMBER(FIND("大",J121,1)),ISNUMBER(FIND("单",J121,1)),ISNUMBER(FIND("质",J121,1))),1,0),
    IF(OR(ISNUMBER(FIND("大",J121,1)),ISNUMBER(FIND("单",J121,1)),ISNUMBER(FIND("合",J121,1))),1,0)),
   IF(OR(MID(K120,1,1)=1,MID(K120,1,1)=2,MID(K120,1,1)=3,MID(K120,1,1)=5,MID(K120,1,1)=7),
    IF(OR(ISNUMBER(FIND("大",J121,1)),ISNUMBER(FIND("双",J121,1)),ISNUMBER(FIND("质",J121,1))),1,0),
    IF(OR(ISNUMBER(FIND("大",J121,1)),ISNUMBER(FIND("双",J121,1)),ISNUMBER(FIND("合",J121,1))),1,0)))
 )</f>
        <v>1</v>
      </c>
      <c r="M121" s="37"/>
      <c r="N121" s="37"/>
      <c r="O121" s="38"/>
      <c r="P121" s="37"/>
      <c r="Q121" s="37"/>
      <c r="R121" s="37"/>
      <c r="S121" s="37"/>
    </row>
    <row r="122" spans="7:19" ht="20.100000000000001" customHeight="1" x14ac:dyDescent="0.15">
      <c r="H122" s="37"/>
      <c r="I122" s="6" t="s">
        <v>12</v>
      </c>
      <c r="J122" s="27" t="s">
        <v>261</v>
      </c>
      <c r="K122" s="35">
        <f>K117</f>
        <v>81158</v>
      </c>
      <c r="L122" s="32">
        <f t="shared" si="64"/>
        <v>1</v>
      </c>
      <c r="M122" s="37"/>
      <c r="N122" s="37"/>
      <c r="O122" s="38"/>
      <c r="P122" s="37"/>
      <c r="Q122" s="37"/>
      <c r="R122" s="37"/>
      <c r="S122" s="37"/>
    </row>
    <row r="123" spans="7:19" ht="20.100000000000001" customHeight="1" x14ac:dyDescent="0.15">
      <c r="G123" s="6" t="s">
        <v>89</v>
      </c>
      <c r="H123" s="37" t="s">
        <v>90</v>
      </c>
      <c r="I123" s="6" t="s">
        <v>91</v>
      </c>
      <c r="J123" s="27" t="s">
        <v>262</v>
      </c>
      <c r="K123" s="35">
        <v>81158</v>
      </c>
      <c r="L123" s="32">
        <f>IF(LEFT(K123,1)=MID(K123,2,1),IF(ISNUMBER(FIND("和",J123,1)),100,0),IF(LEFT(K123,1)&gt;MID(K123,2,1),IF(ISNUMBER(FIND("龙",J123,1)),1,0),IF(ISNUMBER(FIND("虎",J123,1)),1,0)))</f>
        <v>1</v>
      </c>
      <c r="M123" s="37">
        <f ca="1">IF(SUM(L123:L132)&gt;0,IF(SUM(L123:L132)=1000,R123*S128*10,IF(SUM(L123:L132)&gt;=100,LEFT(SUM(L123:L132),1)*R123*S128+RIGHT(SUM(L123:L132),1)*R123*S123,SUM(L123:L132)*S123*R123)),0)</f>
        <v>65.31</v>
      </c>
      <c r="N123" s="37"/>
      <c r="O123" s="38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37">
        <f ca="1">R123*Q123</f>
        <v>90</v>
      </c>
      <c r="Q123" s="37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37">
        <f t="shared" ca="1" si="29"/>
        <v>3</v>
      </c>
      <c r="S123" s="37">
        <f>Sheet1!W86</f>
        <v>2.177</v>
      </c>
    </row>
    <row r="124" spans="7:19" ht="20.100000000000001" customHeight="1" x14ac:dyDescent="0.15">
      <c r="H124" s="37"/>
      <c r="I124" s="6" t="s">
        <v>92</v>
      </c>
      <c r="J124" s="27" t="s">
        <v>263</v>
      </c>
      <c r="K124" s="35">
        <f>K123</f>
        <v>81158</v>
      </c>
      <c r="L124" s="32">
        <f t="shared" ref="L124:L132" si="65">IF(LEFT(K124,1)=MID(K124,2,1),IF(ISNUMBER(FIND("和",J124,1)),100,0),IF(LEFT(K124,1)&gt;MID(K124,2,1),IF(ISNUMBER(FIND("龙",J124,1)),1,0),IF(ISNUMBER(FIND("虎",J124,1)),1,0)))</f>
        <v>1</v>
      </c>
      <c r="M124" s="37"/>
      <c r="N124" s="37"/>
      <c r="O124" s="38"/>
      <c r="P124" s="37"/>
      <c r="Q124" s="37"/>
      <c r="R124" s="37"/>
      <c r="S124" s="37"/>
    </row>
    <row r="125" spans="7:19" ht="20.100000000000001" customHeight="1" x14ac:dyDescent="0.15">
      <c r="H125" s="37"/>
      <c r="I125" s="6" t="s">
        <v>93</v>
      </c>
      <c r="J125" s="27" t="s">
        <v>264</v>
      </c>
      <c r="K125" s="35">
        <f>K123</f>
        <v>81158</v>
      </c>
      <c r="L125" s="32">
        <f t="shared" si="65"/>
        <v>1</v>
      </c>
      <c r="M125" s="37"/>
      <c r="N125" s="37"/>
      <c r="O125" s="38"/>
      <c r="P125" s="37"/>
      <c r="Q125" s="37"/>
      <c r="R125" s="37"/>
      <c r="S125" s="37"/>
    </row>
    <row r="126" spans="7:19" ht="20.100000000000001" customHeight="1" x14ac:dyDescent="0.15">
      <c r="H126" s="37"/>
      <c r="I126" s="6" t="s">
        <v>94</v>
      </c>
      <c r="J126" s="27" t="s">
        <v>264</v>
      </c>
      <c r="K126" s="35">
        <f>K123</f>
        <v>81158</v>
      </c>
      <c r="L126" s="32">
        <f t="shared" si="65"/>
        <v>1</v>
      </c>
      <c r="M126" s="37"/>
      <c r="N126" s="37"/>
      <c r="O126" s="38"/>
      <c r="P126" s="37"/>
      <c r="Q126" s="37"/>
      <c r="R126" s="37"/>
      <c r="S126" s="37"/>
    </row>
    <row r="127" spans="7:19" ht="20.100000000000001" customHeight="1" x14ac:dyDescent="0.15">
      <c r="H127" s="37"/>
      <c r="I127" s="6" t="s">
        <v>95</v>
      </c>
      <c r="J127" s="27" t="s">
        <v>263</v>
      </c>
      <c r="K127" s="35">
        <f>K123</f>
        <v>81158</v>
      </c>
      <c r="L127" s="32">
        <f t="shared" si="65"/>
        <v>1</v>
      </c>
      <c r="M127" s="37"/>
      <c r="N127" s="37"/>
      <c r="O127" s="38"/>
      <c r="P127" s="37"/>
      <c r="Q127" s="37"/>
      <c r="R127" s="37"/>
      <c r="S127" s="37"/>
    </row>
    <row r="128" spans="7:19" ht="20.100000000000001" customHeight="1" x14ac:dyDescent="0.15">
      <c r="H128" s="37"/>
      <c r="I128" s="6" t="s">
        <v>96</v>
      </c>
      <c r="J128" s="27" t="s">
        <v>265</v>
      </c>
      <c r="K128" s="35">
        <f>K123</f>
        <v>81158</v>
      </c>
      <c r="L128" s="32">
        <f t="shared" si="65"/>
        <v>1</v>
      </c>
      <c r="M128" s="37"/>
      <c r="N128" s="37"/>
      <c r="O128" s="38"/>
      <c r="P128" s="37"/>
      <c r="Q128" s="37"/>
      <c r="R128" s="37"/>
      <c r="S128" s="37">
        <v>9.8000000000000007</v>
      </c>
    </row>
    <row r="129" spans="7:19" ht="20.100000000000001" customHeight="1" x14ac:dyDescent="0.15">
      <c r="H129" s="37"/>
      <c r="I129" s="6" t="s">
        <v>97</v>
      </c>
      <c r="J129" s="27" t="s">
        <v>262</v>
      </c>
      <c r="K129" s="35">
        <f>K123</f>
        <v>81158</v>
      </c>
      <c r="L129" s="32">
        <f t="shared" si="65"/>
        <v>1</v>
      </c>
      <c r="M129" s="37"/>
      <c r="N129" s="37"/>
      <c r="O129" s="38"/>
      <c r="P129" s="37"/>
      <c r="Q129" s="37"/>
      <c r="R129" s="37"/>
      <c r="S129" s="37"/>
    </row>
    <row r="130" spans="7:19" ht="20.100000000000001" customHeight="1" x14ac:dyDescent="0.15">
      <c r="H130" s="37"/>
      <c r="I130" s="6" t="s">
        <v>98</v>
      </c>
      <c r="J130" s="27" t="s">
        <v>266</v>
      </c>
      <c r="K130" s="35">
        <f>K123</f>
        <v>81158</v>
      </c>
      <c r="L130" s="32">
        <f t="shared" si="65"/>
        <v>1</v>
      </c>
      <c r="M130" s="37"/>
      <c r="N130" s="37"/>
      <c r="O130" s="38"/>
      <c r="P130" s="37"/>
      <c r="Q130" s="37"/>
      <c r="R130" s="37"/>
      <c r="S130" s="37"/>
    </row>
    <row r="131" spans="7:19" ht="20.100000000000001" customHeight="1" x14ac:dyDescent="0.15">
      <c r="H131" s="37"/>
      <c r="I131" s="6" t="s">
        <v>99</v>
      </c>
      <c r="J131" s="27" t="s">
        <v>263</v>
      </c>
      <c r="K131" s="35">
        <f>K123</f>
        <v>81158</v>
      </c>
      <c r="L131" s="32">
        <f t="shared" si="65"/>
        <v>1</v>
      </c>
      <c r="M131" s="37"/>
      <c r="N131" s="37"/>
      <c r="O131" s="38"/>
      <c r="P131" s="37"/>
      <c r="Q131" s="37"/>
      <c r="R131" s="37"/>
      <c r="S131" s="37"/>
    </row>
    <row r="132" spans="7:19" ht="20.100000000000001" customHeight="1" x14ac:dyDescent="0.15">
      <c r="H132" s="37"/>
      <c r="I132" s="6" t="s">
        <v>100</v>
      </c>
      <c r="J132" s="22" t="s">
        <v>215</v>
      </c>
      <c r="K132" s="35">
        <f>K123</f>
        <v>81158</v>
      </c>
      <c r="L132" s="32">
        <f t="shared" si="65"/>
        <v>1</v>
      </c>
      <c r="M132" s="37"/>
      <c r="N132" s="37"/>
      <c r="O132" s="38"/>
      <c r="P132" s="37"/>
      <c r="Q132" s="37"/>
      <c r="R132" s="37"/>
      <c r="S132" s="37"/>
    </row>
    <row r="133" spans="7:19" ht="20.100000000000001" customHeight="1" x14ac:dyDescent="0.15">
      <c r="G133" s="6" t="s">
        <v>101</v>
      </c>
      <c r="H133" s="6" t="s">
        <v>102</v>
      </c>
      <c r="I133" s="6" t="s">
        <v>103</v>
      </c>
      <c r="J133" s="9" t="s">
        <v>109</v>
      </c>
      <c r="K133" s="35">
        <v>81158</v>
      </c>
      <c r="M133" s="32">
        <f>IF(SUM(LEFT(K133,1),MID(K133,2,1),MID(K133,3,1),MID(K133,4,1),MID(K133,5,1))=LEFT(K133,1)*5,R133*S133,0)</f>
        <v>0</v>
      </c>
      <c r="N133" s="32">
        <f ca="1">M133/S133/R133</f>
        <v>0</v>
      </c>
      <c r="O133" s="26" t="str">
        <f t="shared" ref="O133" si="66">TRIM(IF(LEN($J133)=0,"-",SUBSTITUTE($J133,","," ")))</f>
        <v>0 1 2 3 4 5 6 7 8 9</v>
      </c>
      <c r="P133" s="32">
        <f t="shared" ref="P133" ca="1" si="67">Q133*R133*2</f>
        <v>60</v>
      </c>
      <c r="Q133" s="1">
        <f>LEN(SUBSTITUTE(J133,",",))</f>
        <v>10</v>
      </c>
      <c r="R133" s="29">
        <f t="shared" ref="R133" ca="1" si="68">RANDBETWEEN(1,4)</f>
        <v>3</v>
      </c>
      <c r="S133" s="29">
        <f>Sheet1!W88</f>
        <v>98000</v>
      </c>
    </row>
  </sheetData>
  <mergeCells count="179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N123:N132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M123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P2:P6"/>
    <mergeCell ref="R2:R6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S96:S97"/>
    <mergeCell ref="S98:S99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16:R17"/>
    <mergeCell ref="R25:R27"/>
    <mergeCell ref="R40:R42"/>
    <mergeCell ref="R55:R57"/>
    <mergeCell ref="R70:R73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R109:R110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Q16:Q17"/>
    <mergeCell ref="Q25:Q27"/>
    <mergeCell ref="Q40:Q42"/>
    <mergeCell ref="Q55:Q57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  <mergeCell ref="P16:P17"/>
    <mergeCell ref="P25:P27"/>
    <mergeCell ref="P40:P42"/>
    <mergeCell ref="P55:P57"/>
    <mergeCell ref="P70:P73"/>
    <mergeCell ref="M25:M27"/>
    <mergeCell ref="Q94:Q95"/>
    <mergeCell ref="Q96:Q97"/>
    <mergeCell ref="Q98:Q99"/>
    <mergeCell ref="Q107:Q108"/>
    <mergeCell ref="Q109:Q110"/>
    <mergeCell ref="Q76:Q77"/>
    <mergeCell ref="Q79:Q80"/>
    <mergeCell ref="Q83:Q87"/>
    <mergeCell ref="Q90:Q91"/>
    <mergeCell ref="Q92:Q93"/>
    <mergeCell ref="P109:P11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03"/>
  <sheetViews>
    <sheetView zoomScaleNormal="100" workbookViewId="0">
      <pane ySplit="1" topLeftCell="A2" activePane="bottomLeft" state="frozen"/>
      <selection activeCell="D1" sqref="D1"/>
      <selection pane="bottomLeft" activeCell="J3" sqref="J3"/>
    </sheetView>
  </sheetViews>
  <sheetFormatPr defaultColWidth="9" defaultRowHeight="13.5" x14ac:dyDescent="0.15"/>
  <cols>
    <col min="1" max="1" width="6.375" style="41" customWidth="1"/>
    <col min="2" max="2" width="6.125" style="41" customWidth="1"/>
    <col min="3" max="3" width="6.5" style="42" customWidth="1"/>
    <col min="4" max="4" width="6.875" style="41" customWidth="1"/>
    <col min="5" max="6" width="7.25" style="41" customWidth="1"/>
    <col min="7" max="7" width="7" style="41" customWidth="1"/>
    <col min="8" max="8" width="7.125" style="41" customWidth="1"/>
    <col min="9" max="9" width="5.375" style="41" customWidth="1"/>
    <col min="10" max="10" width="10.375" style="41" customWidth="1"/>
    <col min="11" max="11" width="4.75" style="41" customWidth="1"/>
    <col min="12" max="12" width="17.875" style="41" customWidth="1"/>
    <col min="13" max="13" width="12.875" style="41" customWidth="1"/>
    <col min="14" max="14" width="13.25" style="41" customWidth="1"/>
    <col min="15" max="15" width="14.625" style="41" customWidth="1"/>
    <col min="16" max="16" width="12.875" style="41" customWidth="1"/>
    <col min="17" max="17" width="14.5" style="41" customWidth="1"/>
    <col min="18" max="16384" width="9" style="41"/>
  </cols>
  <sheetData>
    <row r="1" spans="1:21" x14ac:dyDescent="0.15">
      <c r="A1" s="43" t="s">
        <v>394</v>
      </c>
      <c r="B1" s="46" t="s">
        <v>393</v>
      </c>
      <c r="C1" s="46" t="s">
        <v>392</v>
      </c>
      <c r="D1" s="45" t="s">
        <v>391</v>
      </c>
      <c r="E1" s="45"/>
      <c r="F1" s="45" t="s">
        <v>390</v>
      </c>
      <c r="G1" s="45"/>
      <c r="H1" s="45" t="s">
        <v>389</v>
      </c>
      <c r="I1" s="45"/>
      <c r="J1" s="43" t="s">
        <v>388</v>
      </c>
      <c r="K1" s="43"/>
      <c r="R1" s="43"/>
      <c r="S1" s="43"/>
      <c r="T1" s="43"/>
      <c r="U1" s="43"/>
    </row>
    <row r="2" spans="1:21" x14ac:dyDescent="0.15">
      <c r="A2" s="41">
        <v>1</v>
      </c>
      <c r="B2" s="41">
        <v>9.9</v>
      </c>
      <c r="C2" s="42">
        <v>9.9</v>
      </c>
      <c r="D2" s="43">
        <v>7001</v>
      </c>
      <c r="E2" s="41">
        <f>C2</f>
        <v>9.9</v>
      </c>
      <c r="F2" s="43">
        <v>8001</v>
      </c>
      <c r="G2" s="41">
        <f>$E2-0.1</f>
        <v>9.8000000000000007</v>
      </c>
      <c r="H2" s="43">
        <v>9001</v>
      </c>
      <c r="I2" s="41">
        <f>$E2-0.2</f>
        <v>9.7000000000000011</v>
      </c>
      <c r="J2" s="41">
        <v>150</v>
      </c>
      <c r="L2" s="43" t="s">
        <v>387</v>
      </c>
      <c r="M2" s="41" t="s">
        <v>395</v>
      </c>
    </row>
    <row r="3" spans="1:21" x14ac:dyDescent="0.15">
      <c r="A3" s="41">
        <v>2</v>
      </c>
      <c r="B3" s="41">
        <f>F2</f>
        <v>8001</v>
      </c>
      <c r="C3" s="42">
        <f>G2</f>
        <v>9.8000000000000007</v>
      </c>
      <c r="D3" s="43">
        <v>7002</v>
      </c>
      <c r="E3" s="41">
        <f>C3</f>
        <v>9.8000000000000007</v>
      </c>
      <c r="F3" s="43">
        <v>8002</v>
      </c>
      <c r="G3" s="41">
        <f>$E3-0.1</f>
        <v>9.7000000000000011</v>
      </c>
      <c r="H3" s="43">
        <v>9002</v>
      </c>
      <c r="I3" s="41">
        <f>$E3-0.2</f>
        <v>9.6000000000000014</v>
      </c>
      <c r="L3" s="43">
        <f>INDEX(A$1:I$203,J2+1,3)</f>
        <v>8.600000000000005</v>
      </c>
      <c r="M3" s="41">
        <v>0.1</v>
      </c>
    </row>
    <row r="4" spans="1:21" x14ac:dyDescent="0.15">
      <c r="A4" s="41">
        <v>3</v>
      </c>
      <c r="B4" s="41">
        <f>H2</f>
        <v>9001</v>
      </c>
      <c r="C4" s="42">
        <f>I2</f>
        <v>9.7000000000000011</v>
      </c>
      <c r="D4" s="43">
        <v>7003</v>
      </c>
      <c r="E4" s="41">
        <f>C4</f>
        <v>9.7000000000000011</v>
      </c>
      <c r="F4" s="43">
        <v>8003</v>
      </c>
      <c r="G4" s="41">
        <f>$E4-0.1</f>
        <v>9.6000000000000014</v>
      </c>
      <c r="H4" s="43">
        <v>9003</v>
      </c>
      <c r="I4" s="41">
        <f>$E4-0.2</f>
        <v>9.5000000000000018</v>
      </c>
    </row>
    <row r="5" spans="1:21" x14ac:dyDescent="0.15">
      <c r="A5" s="41">
        <v>4</v>
      </c>
      <c r="B5" s="41">
        <f>F3</f>
        <v>8002</v>
      </c>
      <c r="C5" s="42">
        <f>G3</f>
        <v>9.7000000000000011</v>
      </c>
      <c r="D5" s="43">
        <v>7004</v>
      </c>
      <c r="E5" s="41">
        <f>C5</f>
        <v>9.7000000000000011</v>
      </c>
      <c r="F5" s="43">
        <v>8004</v>
      </c>
      <c r="G5" s="41">
        <f>$E5-0.1</f>
        <v>9.6000000000000014</v>
      </c>
      <c r="H5" s="43">
        <v>9004</v>
      </c>
      <c r="I5" s="41">
        <f>$E5-0.2</f>
        <v>9.5000000000000018</v>
      </c>
      <c r="L5" s="43" t="s">
        <v>386</v>
      </c>
      <c r="M5" s="43" t="s">
        <v>385</v>
      </c>
      <c r="N5" s="43" t="s">
        <v>364</v>
      </c>
      <c r="O5" s="43" t="s">
        <v>384</v>
      </c>
    </row>
    <row r="6" spans="1:21" x14ac:dyDescent="0.15">
      <c r="A6" s="41">
        <v>5</v>
      </c>
      <c r="B6" s="41">
        <f>H3</f>
        <v>9002</v>
      </c>
      <c r="C6" s="42">
        <f>I3</f>
        <v>9.6000000000000014</v>
      </c>
      <c r="D6" s="43">
        <v>7005</v>
      </c>
      <c r="E6" s="41">
        <f>C6</f>
        <v>9.6000000000000014</v>
      </c>
      <c r="F6" s="43">
        <v>8005</v>
      </c>
      <c r="G6" s="41">
        <f>$E6-0.1</f>
        <v>9.5000000000000018</v>
      </c>
      <c r="H6" s="43">
        <v>9005</v>
      </c>
      <c r="I6" s="41">
        <f>$E6-0.2</f>
        <v>9.4000000000000021</v>
      </c>
      <c r="L6" s="41">
        <f>IF(ISNUMBER(INDEX(A$1:I$203,J2+1,2)),INDEX(A$1:I$203,J2+1,2),"没有上级")</f>
        <v>8108</v>
      </c>
      <c r="M6" s="44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108</v>
      </c>
      <c r="N6" s="41">
        <f>IF(ISNUMBER(INDEX(A$1:I$203,M6+1,3)),INDEX(A$1:I$203,M6+1,3),"没有上级")</f>
        <v>8.7000000000000046</v>
      </c>
      <c r="O6" s="41">
        <f>IF(ISNUMBER(N9-N6),N9-N6,"没有上级")</f>
        <v>9.9999999999999645E-2</v>
      </c>
    </row>
    <row r="7" spans="1:21" x14ac:dyDescent="0.15">
      <c r="A7" s="41">
        <v>6</v>
      </c>
      <c r="B7" s="41">
        <f>F4</f>
        <v>8003</v>
      </c>
      <c r="C7" s="42">
        <f>G4</f>
        <v>9.6000000000000014</v>
      </c>
      <c r="D7" s="43">
        <v>7006</v>
      </c>
      <c r="E7" s="41">
        <f>C7</f>
        <v>9.6000000000000014</v>
      </c>
      <c r="F7" s="43">
        <v>8006</v>
      </c>
      <c r="G7" s="41">
        <f>$E7-0.1</f>
        <v>9.5000000000000018</v>
      </c>
      <c r="H7" s="43">
        <v>9006</v>
      </c>
      <c r="I7" s="41">
        <f>$E7-0.2</f>
        <v>9.4000000000000021</v>
      </c>
    </row>
    <row r="8" spans="1:21" x14ac:dyDescent="0.15">
      <c r="A8" s="41">
        <v>7</v>
      </c>
      <c r="B8" s="41">
        <f>F5</f>
        <v>8004</v>
      </c>
      <c r="C8" s="42">
        <f>G5</f>
        <v>9.6000000000000014</v>
      </c>
      <c r="D8" s="43">
        <v>7007</v>
      </c>
      <c r="E8" s="41">
        <f>C8</f>
        <v>9.6000000000000014</v>
      </c>
      <c r="F8" s="43">
        <v>8007</v>
      </c>
      <c r="G8" s="41">
        <f>$E8-0.1</f>
        <v>9.5000000000000018</v>
      </c>
      <c r="H8" s="43">
        <v>9007</v>
      </c>
      <c r="I8" s="41">
        <f>$E8-0.2</f>
        <v>9.4000000000000021</v>
      </c>
      <c r="L8" s="43" t="s">
        <v>383</v>
      </c>
      <c r="M8" s="43" t="s">
        <v>382</v>
      </c>
      <c r="N8" s="43" t="s">
        <v>381</v>
      </c>
      <c r="O8" s="41" t="s">
        <v>481</v>
      </c>
    </row>
    <row r="9" spans="1:21" x14ac:dyDescent="0.15">
      <c r="A9" s="41">
        <v>8</v>
      </c>
      <c r="B9" s="41">
        <f>H5</f>
        <v>9004</v>
      </c>
      <c r="C9" s="42">
        <f>I5</f>
        <v>9.5000000000000018</v>
      </c>
      <c r="D9" s="43">
        <v>7008</v>
      </c>
      <c r="E9" s="41">
        <f>C9</f>
        <v>9.5000000000000018</v>
      </c>
      <c r="F9" s="43">
        <v>8008</v>
      </c>
      <c r="G9" s="41">
        <f>$E9-0.1</f>
        <v>9.4000000000000021</v>
      </c>
      <c r="H9" s="43">
        <v>9008</v>
      </c>
      <c r="I9" s="41">
        <f>$E9-0.2</f>
        <v>9.3000000000000025</v>
      </c>
      <c r="L9" s="41">
        <f>IF(ISNUMBER(INDEX(A$1:I$203,M6+1,2)),INDEX(A$1:I$203,M6+1,2),"没有上级了")</f>
        <v>8071</v>
      </c>
      <c r="M9" s="44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71</v>
      </c>
      <c r="N9" s="41">
        <f>IF(ISNUMBER(INDEX(A$1:I$203,M9+1,3)),INDEX(A$1:I$203,M9+1,3),"没有上级")</f>
        <v>8.8000000000000043</v>
      </c>
      <c r="O9" s="41">
        <f>IF(ISNUMBER(N12-N9),N12-N9,"没有上级")</f>
        <v>0.19999999999999929</v>
      </c>
    </row>
    <row r="10" spans="1:21" x14ac:dyDescent="0.15">
      <c r="A10" s="41">
        <v>9</v>
      </c>
      <c r="B10" s="41">
        <f>F6</f>
        <v>8005</v>
      </c>
      <c r="C10" s="42">
        <f>G6</f>
        <v>9.5000000000000018</v>
      </c>
      <c r="D10" s="43">
        <v>7009</v>
      </c>
      <c r="E10" s="41">
        <f>C10</f>
        <v>9.5000000000000018</v>
      </c>
      <c r="F10" s="43">
        <v>8009</v>
      </c>
      <c r="G10" s="41">
        <f>$E10-0.1</f>
        <v>9.4000000000000021</v>
      </c>
      <c r="H10" s="43">
        <v>9009</v>
      </c>
      <c r="I10" s="41">
        <f>$E10-0.2</f>
        <v>9.3000000000000025</v>
      </c>
    </row>
    <row r="11" spans="1:21" x14ac:dyDescent="0.15">
      <c r="A11" s="41">
        <v>10</v>
      </c>
      <c r="B11" s="41">
        <f>D7</f>
        <v>7006</v>
      </c>
      <c r="C11" s="42">
        <f>E7</f>
        <v>9.6000000000000014</v>
      </c>
      <c r="D11" s="43">
        <v>7010</v>
      </c>
      <c r="E11" s="41">
        <f>C11</f>
        <v>9.6000000000000014</v>
      </c>
      <c r="F11" s="43">
        <v>8010</v>
      </c>
      <c r="G11" s="41">
        <f>$E11-0.1</f>
        <v>9.5000000000000018</v>
      </c>
      <c r="H11" s="43">
        <v>9010</v>
      </c>
      <c r="I11" s="41">
        <f>$E11-0.2</f>
        <v>9.4000000000000021</v>
      </c>
      <c r="L11" s="43" t="s">
        <v>380</v>
      </c>
      <c r="M11" s="43" t="s">
        <v>379</v>
      </c>
      <c r="N11" s="43" t="s">
        <v>396</v>
      </c>
      <c r="O11" s="41" t="s">
        <v>482</v>
      </c>
    </row>
    <row r="12" spans="1:21" x14ac:dyDescent="0.15">
      <c r="A12" s="41">
        <v>11</v>
      </c>
      <c r="B12" s="41">
        <f>F7</f>
        <v>8006</v>
      </c>
      <c r="C12" s="42">
        <f>G7</f>
        <v>9.5000000000000018</v>
      </c>
      <c r="D12" s="43">
        <v>7011</v>
      </c>
      <c r="E12" s="41">
        <f>C12</f>
        <v>9.5000000000000018</v>
      </c>
      <c r="F12" s="43">
        <v>8011</v>
      </c>
      <c r="G12" s="41">
        <f>$E12-0.1</f>
        <v>9.4000000000000021</v>
      </c>
      <c r="H12" s="43">
        <v>9011</v>
      </c>
      <c r="I12" s="41">
        <f>$E12-0.2</f>
        <v>9.3000000000000025</v>
      </c>
      <c r="L12" s="41">
        <f>IF(ISNUMBER(INDEX(A$1:I$203,M9+1,2)),INDEX(A$1:I$203,M9+1,2),"没有上级了")</f>
        <v>9046</v>
      </c>
      <c r="M12" s="44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46</v>
      </c>
      <c r="N12" s="41">
        <f>IF(ISNUMBER(INDEX(A$1:I$203,M12+1,3)),INDEX(A$1:I$203,M12+1,3),"没有上级")</f>
        <v>9.0000000000000036</v>
      </c>
      <c r="O12" s="41">
        <f>IF(ISNUMBER(N15-N12),N15-N12,"没有上级")</f>
        <v>0.19999999999999929</v>
      </c>
    </row>
    <row r="13" spans="1:21" x14ac:dyDescent="0.15">
      <c r="A13" s="41">
        <v>12</v>
      </c>
      <c r="B13" s="41">
        <f>H7</f>
        <v>9006</v>
      </c>
      <c r="C13" s="42">
        <f>I7</f>
        <v>9.4000000000000021</v>
      </c>
      <c r="D13" s="43">
        <v>7012</v>
      </c>
      <c r="E13" s="41">
        <f>C13</f>
        <v>9.4000000000000021</v>
      </c>
      <c r="F13" s="43">
        <v>8012</v>
      </c>
      <c r="G13" s="41">
        <f>$E13-0.1</f>
        <v>9.3000000000000025</v>
      </c>
      <c r="H13" s="43">
        <v>9012</v>
      </c>
      <c r="I13" s="41">
        <f>$E13-0.2</f>
        <v>9.2000000000000028</v>
      </c>
    </row>
    <row r="14" spans="1:21" x14ac:dyDescent="0.15">
      <c r="A14" s="41">
        <v>13</v>
      </c>
      <c r="B14" s="41">
        <f>F8</f>
        <v>8007</v>
      </c>
      <c r="C14" s="42">
        <f>G8</f>
        <v>9.5000000000000018</v>
      </c>
      <c r="D14" s="43">
        <v>7013</v>
      </c>
      <c r="E14" s="41">
        <f>C14</f>
        <v>9.5000000000000018</v>
      </c>
      <c r="F14" s="43">
        <v>8013</v>
      </c>
      <c r="G14" s="41">
        <f>$E14-0.1</f>
        <v>9.4000000000000021</v>
      </c>
      <c r="H14" s="43">
        <v>9013</v>
      </c>
      <c r="I14" s="41">
        <f>$E14-0.2</f>
        <v>9.3000000000000025</v>
      </c>
      <c r="L14" s="43" t="s">
        <v>378</v>
      </c>
      <c r="M14" s="43" t="s">
        <v>377</v>
      </c>
      <c r="N14" s="43" t="s">
        <v>397</v>
      </c>
      <c r="O14" s="41" t="s">
        <v>483</v>
      </c>
    </row>
    <row r="15" spans="1:21" x14ac:dyDescent="0.15">
      <c r="A15" s="41">
        <v>14</v>
      </c>
      <c r="B15" s="41">
        <f>H8</f>
        <v>9007</v>
      </c>
      <c r="C15" s="42">
        <f>I8</f>
        <v>9.4000000000000021</v>
      </c>
      <c r="D15" s="43">
        <v>7014</v>
      </c>
      <c r="E15" s="41">
        <f>C15</f>
        <v>9.4000000000000021</v>
      </c>
      <c r="F15" s="43">
        <v>8014</v>
      </c>
      <c r="G15" s="41">
        <f>$E15-0.1</f>
        <v>9.3000000000000025</v>
      </c>
      <c r="H15" s="43">
        <v>9014</v>
      </c>
      <c r="I15" s="41">
        <f>$E15-0.2</f>
        <v>9.2000000000000028</v>
      </c>
      <c r="L15" s="41">
        <f>IF(ISNUMBER(INDEX(A$1:I$203,M12+1,2)),INDEX(A$1:I$203,M12+1,2),"没有上级了")</f>
        <v>9028</v>
      </c>
      <c r="M15" s="44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28</v>
      </c>
      <c r="N15" s="41">
        <f>IF(ISNUMBER(INDEX(A$1:I$203,M15+1,3)),INDEX(A$1:I$203,M15+1,3),"没有上级")</f>
        <v>9.2000000000000028</v>
      </c>
      <c r="O15" s="41">
        <f>IF(ISNUMBER(N18-N15),N18-N15,"没有上级")</f>
        <v>0.19999999999999929</v>
      </c>
    </row>
    <row r="16" spans="1:21" x14ac:dyDescent="0.15">
      <c r="A16" s="41">
        <v>15</v>
      </c>
      <c r="B16" s="41">
        <f>F9</f>
        <v>8008</v>
      </c>
      <c r="C16" s="42">
        <f>G9</f>
        <v>9.4000000000000021</v>
      </c>
      <c r="D16" s="43">
        <v>7015</v>
      </c>
      <c r="E16" s="41">
        <f>C16</f>
        <v>9.4000000000000021</v>
      </c>
      <c r="F16" s="43">
        <v>8015</v>
      </c>
      <c r="G16" s="41">
        <f>$E16-0.1</f>
        <v>9.3000000000000025</v>
      </c>
      <c r="H16" s="43">
        <v>9015</v>
      </c>
      <c r="I16" s="41">
        <f>$E16-0.2</f>
        <v>9.2000000000000028</v>
      </c>
    </row>
    <row r="17" spans="1:15" x14ac:dyDescent="0.15">
      <c r="A17" s="41">
        <v>16</v>
      </c>
      <c r="B17" s="41">
        <f>D10</f>
        <v>7009</v>
      </c>
      <c r="C17" s="42">
        <f>E10</f>
        <v>9.5000000000000018</v>
      </c>
      <c r="D17" s="43">
        <v>7016</v>
      </c>
      <c r="E17" s="41">
        <f>C17</f>
        <v>9.5000000000000018</v>
      </c>
      <c r="F17" s="43">
        <v>8016</v>
      </c>
      <c r="G17" s="41">
        <f>$E17-0.1</f>
        <v>9.4000000000000021</v>
      </c>
      <c r="H17" s="43">
        <v>9016</v>
      </c>
      <c r="I17" s="41">
        <f>$E17-0.2</f>
        <v>9.3000000000000025</v>
      </c>
      <c r="L17" s="43" t="s">
        <v>376</v>
      </c>
      <c r="M17" s="43" t="s">
        <v>375</v>
      </c>
      <c r="N17" s="43" t="s">
        <v>398</v>
      </c>
      <c r="O17" s="41" t="s">
        <v>484</v>
      </c>
    </row>
    <row r="18" spans="1:15" x14ac:dyDescent="0.15">
      <c r="A18" s="41">
        <v>17</v>
      </c>
      <c r="B18" s="41">
        <f>F10</f>
        <v>8009</v>
      </c>
      <c r="C18" s="42">
        <f>G10</f>
        <v>9.4000000000000021</v>
      </c>
      <c r="D18" s="43">
        <v>7017</v>
      </c>
      <c r="E18" s="41">
        <f>C18</f>
        <v>9.4000000000000021</v>
      </c>
      <c r="F18" s="43">
        <v>8017</v>
      </c>
      <c r="G18" s="41">
        <f>$E18-0.1</f>
        <v>9.3000000000000025</v>
      </c>
      <c r="H18" s="43">
        <v>9017</v>
      </c>
      <c r="I18" s="41">
        <f>$E18-0.2</f>
        <v>9.2000000000000028</v>
      </c>
      <c r="L18" s="41">
        <f>IF(ISNUMBER(INDEX(A$1:I$203,M15+1,2)),INDEX(A$1:I$203,M15+1,2),"没有上级了")</f>
        <v>9015</v>
      </c>
      <c r="M18" s="44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15</v>
      </c>
      <c r="N18" s="41">
        <f>IF(ISNUMBER(INDEX(A$1:I$203,M18+1,3)),INDEX(A$1:I$203,M18+1,3),"没有上级")</f>
        <v>9.4000000000000021</v>
      </c>
      <c r="O18" s="41">
        <f>IF(ISNUMBER(N21-N18),N21-N18,"没有上级")</f>
        <v>9.9999999999999645E-2</v>
      </c>
    </row>
    <row r="19" spans="1:15" x14ac:dyDescent="0.15">
      <c r="A19" s="41">
        <v>18</v>
      </c>
      <c r="B19" s="41">
        <f>H10</f>
        <v>9009</v>
      </c>
      <c r="C19" s="42">
        <f>I10</f>
        <v>9.3000000000000025</v>
      </c>
      <c r="D19" s="43">
        <v>7018</v>
      </c>
      <c r="E19" s="41">
        <f>C19</f>
        <v>9.3000000000000025</v>
      </c>
      <c r="F19" s="43">
        <v>8018</v>
      </c>
      <c r="G19" s="41">
        <f>$E19-0.1</f>
        <v>9.2000000000000028</v>
      </c>
      <c r="H19" s="43">
        <v>9018</v>
      </c>
      <c r="I19" s="41">
        <f>$E19-0.2</f>
        <v>9.1000000000000032</v>
      </c>
    </row>
    <row r="20" spans="1:15" x14ac:dyDescent="0.15">
      <c r="A20" s="41">
        <v>19</v>
      </c>
      <c r="B20" s="41">
        <f>F11</f>
        <v>8010</v>
      </c>
      <c r="C20" s="42">
        <f>G11</f>
        <v>9.5000000000000018</v>
      </c>
      <c r="D20" s="43">
        <v>7019</v>
      </c>
      <c r="E20" s="41">
        <f>C20</f>
        <v>9.5000000000000018</v>
      </c>
      <c r="F20" s="43">
        <v>8019</v>
      </c>
      <c r="G20" s="41">
        <f>$E20-0.1</f>
        <v>9.4000000000000021</v>
      </c>
      <c r="H20" s="43">
        <v>9019</v>
      </c>
      <c r="I20" s="41">
        <f>$E20-0.2</f>
        <v>9.3000000000000025</v>
      </c>
      <c r="L20" s="43" t="s">
        <v>374</v>
      </c>
      <c r="M20" s="43" t="s">
        <v>373</v>
      </c>
      <c r="N20" s="43" t="s">
        <v>399</v>
      </c>
      <c r="O20" s="41" t="s">
        <v>485</v>
      </c>
    </row>
    <row r="21" spans="1:15" x14ac:dyDescent="0.15">
      <c r="A21" s="41">
        <v>20</v>
      </c>
      <c r="B21" s="41">
        <f>H11</f>
        <v>9010</v>
      </c>
      <c r="C21" s="42">
        <f>I11</f>
        <v>9.4000000000000021</v>
      </c>
      <c r="D21" s="43">
        <v>7020</v>
      </c>
      <c r="E21" s="41">
        <f>C21</f>
        <v>9.4000000000000021</v>
      </c>
      <c r="F21" s="43">
        <v>8020</v>
      </c>
      <c r="G21" s="41">
        <f>$E21-0.1</f>
        <v>9.3000000000000025</v>
      </c>
      <c r="H21" s="43">
        <v>9020</v>
      </c>
      <c r="I21" s="41">
        <f>$E21-0.2</f>
        <v>9.2000000000000028</v>
      </c>
      <c r="L21" s="41">
        <f>IF(ISNUMBER(INDEX(A$1:I$203,M18+1,2)),INDEX(A$1:I$203,M18+1,2),"没有上级了")</f>
        <v>8008</v>
      </c>
      <c r="M21" s="44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8</v>
      </c>
      <c r="N21" s="41">
        <f>IF(ISNUMBER(INDEX(A$1:I$203,M21+1,3)),INDEX(A$1:I$203,M21+1,3),"没有上级")</f>
        <v>9.5000000000000018</v>
      </c>
      <c r="O21" s="41">
        <f>IF(ISNUMBER(N24-N21),N24-N21,"没有上级")</f>
        <v>0.19999999999999929</v>
      </c>
    </row>
    <row r="22" spans="1:15" x14ac:dyDescent="0.15">
      <c r="A22" s="41">
        <v>21</v>
      </c>
      <c r="B22" s="41">
        <f>H12</f>
        <v>9011</v>
      </c>
      <c r="C22" s="42">
        <f>I12</f>
        <v>9.3000000000000025</v>
      </c>
      <c r="D22" s="43">
        <v>7021</v>
      </c>
      <c r="E22" s="41">
        <f>C22</f>
        <v>9.3000000000000025</v>
      </c>
      <c r="F22" s="43">
        <v>8021</v>
      </c>
      <c r="G22" s="41">
        <f>$E22-0.1</f>
        <v>9.2000000000000028</v>
      </c>
      <c r="H22" s="43">
        <v>9021</v>
      </c>
      <c r="I22" s="41">
        <f>$E22-0.2</f>
        <v>9.1000000000000032</v>
      </c>
    </row>
    <row r="23" spans="1:15" x14ac:dyDescent="0.15">
      <c r="A23" s="41">
        <v>22</v>
      </c>
      <c r="B23" s="41">
        <f>F13</f>
        <v>8012</v>
      </c>
      <c r="C23" s="42">
        <f>G13</f>
        <v>9.3000000000000025</v>
      </c>
      <c r="D23" s="43">
        <v>7022</v>
      </c>
      <c r="E23" s="41">
        <f>C23</f>
        <v>9.3000000000000025</v>
      </c>
      <c r="F23" s="43">
        <v>8022</v>
      </c>
      <c r="G23" s="41">
        <f>$E23-0.1</f>
        <v>9.2000000000000028</v>
      </c>
      <c r="H23" s="43">
        <v>9022</v>
      </c>
      <c r="I23" s="41">
        <f>$E23-0.2</f>
        <v>9.1000000000000032</v>
      </c>
      <c r="L23" s="43" t="s">
        <v>372</v>
      </c>
      <c r="M23" s="43" t="s">
        <v>371</v>
      </c>
      <c r="N23" s="43" t="s">
        <v>400</v>
      </c>
      <c r="O23" s="41" t="s">
        <v>486</v>
      </c>
    </row>
    <row r="24" spans="1:15" x14ac:dyDescent="0.15">
      <c r="A24" s="41">
        <v>23</v>
      </c>
      <c r="B24" s="41">
        <f>H13</f>
        <v>9012</v>
      </c>
      <c r="C24" s="42">
        <f>I13</f>
        <v>9.2000000000000028</v>
      </c>
      <c r="D24" s="43">
        <v>7023</v>
      </c>
      <c r="E24" s="41">
        <f>C24</f>
        <v>9.2000000000000028</v>
      </c>
      <c r="F24" s="43">
        <v>8023</v>
      </c>
      <c r="G24" s="41">
        <f>$E24-0.1</f>
        <v>9.1000000000000032</v>
      </c>
      <c r="H24" s="43">
        <v>9023</v>
      </c>
      <c r="I24" s="41">
        <f>$E24-0.2</f>
        <v>9.0000000000000036</v>
      </c>
      <c r="L24" s="41">
        <f>IF(ISNUMBER(INDEX(A$1:I$203,M21+1,2)),INDEX(A$1:I$203,M21+1,2),"没有上级了")</f>
        <v>9004</v>
      </c>
      <c r="M24" s="44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4</v>
      </c>
      <c r="N24" s="41">
        <f>IF(ISNUMBER(INDEX(A$1:I$203,M24+1,3)),INDEX(A$1:I$203,M24+1,3),"没有上级")</f>
        <v>9.7000000000000011</v>
      </c>
      <c r="O24" s="41">
        <f>IF(ISNUMBER(N27-N24),N27-N24,"没有上级")</f>
        <v>9.9999999999999645E-2</v>
      </c>
    </row>
    <row r="25" spans="1:15" x14ac:dyDescent="0.15">
      <c r="A25" s="41">
        <v>24</v>
      </c>
      <c r="B25" s="41">
        <f>F14</f>
        <v>8013</v>
      </c>
      <c r="C25" s="42">
        <f>G14</f>
        <v>9.4000000000000021</v>
      </c>
      <c r="D25" s="43">
        <v>7024</v>
      </c>
      <c r="E25" s="41">
        <f>C25</f>
        <v>9.4000000000000021</v>
      </c>
      <c r="F25" s="43">
        <v>8024</v>
      </c>
      <c r="G25" s="41">
        <f>$E25-0.1</f>
        <v>9.3000000000000025</v>
      </c>
      <c r="H25" s="43">
        <v>9024</v>
      </c>
      <c r="I25" s="41">
        <f>$E25-0.2</f>
        <v>9.2000000000000028</v>
      </c>
    </row>
    <row r="26" spans="1:15" x14ac:dyDescent="0.15">
      <c r="A26" s="41">
        <v>25</v>
      </c>
      <c r="B26" s="41">
        <f>H14</f>
        <v>9013</v>
      </c>
      <c r="C26" s="42">
        <f>I14</f>
        <v>9.3000000000000025</v>
      </c>
      <c r="D26" s="43">
        <v>7025</v>
      </c>
      <c r="E26" s="41">
        <f>C26</f>
        <v>9.3000000000000025</v>
      </c>
      <c r="F26" s="43">
        <v>8025</v>
      </c>
      <c r="G26" s="41">
        <f>$E26-0.1</f>
        <v>9.2000000000000028</v>
      </c>
      <c r="H26" s="43">
        <v>9025</v>
      </c>
      <c r="I26" s="41">
        <f>$E26-0.2</f>
        <v>9.1000000000000032</v>
      </c>
      <c r="L26" s="43" t="s">
        <v>370</v>
      </c>
      <c r="M26" s="43" t="s">
        <v>369</v>
      </c>
      <c r="N26" s="43" t="s">
        <v>401</v>
      </c>
      <c r="O26" s="41" t="s">
        <v>487</v>
      </c>
    </row>
    <row r="27" spans="1:15" x14ac:dyDescent="0.15">
      <c r="A27" s="41">
        <v>26</v>
      </c>
      <c r="B27" s="41">
        <f>F15</f>
        <v>8014</v>
      </c>
      <c r="C27" s="42">
        <f>G15</f>
        <v>9.3000000000000025</v>
      </c>
      <c r="D27" s="43">
        <v>7026</v>
      </c>
      <c r="E27" s="41">
        <f>C27</f>
        <v>9.3000000000000025</v>
      </c>
      <c r="F27" s="43">
        <v>8026</v>
      </c>
      <c r="G27" s="41">
        <f>$E27-0.1</f>
        <v>9.2000000000000028</v>
      </c>
      <c r="H27" s="43">
        <v>9026</v>
      </c>
      <c r="I27" s="41">
        <f>$E27-0.2</f>
        <v>9.1000000000000032</v>
      </c>
      <c r="L27" s="41">
        <f>IF(ISNUMBER(INDEX(A$1:I$203,M24+1,2)),INDEX(A$1:I$203,M24+1,2),"没有上级了")</f>
        <v>8002</v>
      </c>
      <c r="M27" s="44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2</v>
      </c>
      <c r="N27" s="41">
        <f>IF(ISNUMBER(INDEX(A$1:I$203,M27+1,3)),INDEX(A$1:I$203,M27+1,3),"没有上级")</f>
        <v>9.8000000000000007</v>
      </c>
      <c r="O27" s="41">
        <f>IF(ISNUMBER(N30-N27),N30-N27,"没有上级")</f>
        <v>9.9999999999999645E-2</v>
      </c>
    </row>
    <row r="28" spans="1:15" x14ac:dyDescent="0.15">
      <c r="A28" s="41">
        <v>27</v>
      </c>
      <c r="B28" s="41">
        <f>H15</f>
        <v>9014</v>
      </c>
      <c r="C28" s="42">
        <f>I15</f>
        <v>9.2000000000000028</v>
      </c>
      <c r="D28" s="43">
        <v>7027</v>
      </c>
      <c r="E28" s="41">
        <f>C28</f>
        <v>9.2000000000000028</v>
      </c>
      <c r="F28" s="43">
        <v>8027</v>
      </c>
      <c r="G28" s="41">
        <f>$E28-0.1</f>
        <v>9.1000000000000032</v>
      </c>
      <c r="H28" s="43">
        <v>9027</v>
      </c>
      <c r="I28" s="41">
        <f>$E28-0.2</f>
        <v>9.0000000000000036</v>
      </c>
    </row>
    <row r="29" spans="1:15" x14ac:dyDescent="0.15">
      <c r="A29" s="41">
        <v>28</v>
      </c>
      <c r="B29" s="41">
        <f>H16</f>
        <v>9015</v>
      </c>
      <c r="C29" s="42">
        <f>I16</f>
        <v>9.2000000000000028</v>
      </c>
      <c r="D29" s="43">
        <v>7028</v>
      </c>
      <c r="E29" s="41">
        <f>C29</f>
        <v>9.2000000000000028</v>
      </c>
      <c r="F29" s="43">
        <v>8028</v>
      </c>
      <c r="G29" s="41">
        <f>$E29-0.1</f>
        <v>9.1000000000000032</v>
      </c>
      <c r="H29" s="43">
        <v>9028</v>
      </c>
      <c r="I29" s="41">
        <f>$E29-0.2</f>
        <v>9.0000000000000036</v>
      </c>
      <c r="L29" s="43" t="s">
        <v>368</v>
      </c>
      <c r="M29" s="43" t="s">
        <v>367</v>
      </c>
      <c r="N29" s="43" t="s">
        <v>402</v>
      </c>
      <c r="O29" s="41" t="s">
        <v>488</v>
      </c>
    </row>
    <row r="30" spans="1:15" x14ac:dyDescent="0.15">
      <c r="A30" s="41">
        <v>29</v>
      </c>
      <c r="B30" s="41">
        <f>F16</f>
        <v>8015</v>
      </c>
      <c r="C30" s="41">
        <f>G16</f>
        <v>9.3000000000000025</v>
      </c>
      <c r="D30" s="43">
        <v>7029</v>
      </c>
      <c r="E30" s="41">
        <f>C30</f>
        <v>9.3000000000000025</v>
      </c>
      <c r="F30" s="43">
        <v>8029</v>
      </c>
      <c r="G30" s="41">
        <f>$E30-0.1</f>
        <v>9.2000000000000028</v>
      </c>
      <c r="H30" s="43">
        <v>9029</v>
      </c>
      <c r="I30" s="41">
        <f>$E30-0.2</f>
        <v>9.1000000000000032</v>
      </c>
      <c r="L30" s="41">
        <f>IF(ISNUMBER(INDEX(A$1:I$203,M27+1,2)),INDEX(A$1:I$203,M27+1,2),"没有上级了")</f>
        <v>8001</v>
      </c>
      <c r="M30" s="44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1</v>
      </c>
      <c r="N30" s="41">
        <f>IF(ISNUMBER(INDEX(A$1:I$203,M30+1,3)),INDEX(A$1:I$203,M30+1,3),"没有上级")</f>
        <v>9.9</v>
      </c>
      <c r="O30" s="41" t="str">
        <f>IF(ISNUMBER(N33-N30),N33-N30,"没有上级")</f>
        <v>没有上级</v>
      </c>
    </row>
    <row r="31" spans="1:15" x14ac:dyDescent="0.15">
      <c r="A31" s="41">
        <v>30</v>
      </c>
      <c r="B31" s="41">
        <f>D17</f>
        <v>7016</v>
      </c>
      <c r="C31" s="41">
        <f>E17</f>
        <v>9.5000000000000018</v>
      </c>
      <c r="D31" s="43">
        <v>7030</v>
      </c>
      <c r="E31" s="41">
        <f>C31</f>
        <v>9.5000000000000018</v>
      </c>
      <c r="F31" s="43">
        <v>8030</v>
      </c>
      <c r="G31" s="41">
        <f>$E31-0.1</f>
        <v>9.4000000000000021</v>
      </c>
      <c r="H31" s="43">
        <v>9030</v>
      </c>
      <c r="I31" s="41">
        <f>$E31-0.2</f>
        <v>9.3000000000000025</v>
      </c>
    </row>
    <row r="32" spans="1:15" x14ac:dyDescent="0.15">
      <c r="A32" s="41">
        <v>31</v>
      </c>
      <c r="B32" s="41">
        <f>F18</f>
        <v>8017</v>
      </c>
      <c r="C32" s="41">
        <f>G18</f>
        <v>9.3000000000000025</v>
      </c>
      <c r="D32" s="43">
        <v>7031</v>
      </c>
      <c r="E32" s="41">
        <f>C32</f>
        <v>9.3000000000000025</v>
      </c>
      <c r="F32" s="43">
        <v>8031</v>
      </c>
      <c r="G32" s="41">
        <f>$E32-0.1</f>
        <v>9.2000000000000028</v>
      </c>
      <c r="H32" s="43">
        <v>9031</v>
      </c>
      <c r="I32" s="41">
        <f>$E32-0.2</f>
        <v>9.1000000000000032</v>
      </c>
      <c r="L32" s="43" t="s">
        <v>366</v>
      </c>
      <c r="M32" s="43" t="s">
        <v>365</v>
      </c>
      <c r="N32" s="43" t="s">
        <v>403</v>
      </c>
      <c r="O32" s="41" t="s">
        <v>489</v>
      </c>
    </row>
    <row r="33" spans="1:15" x14ac:dyDescent="0.15">
      <c r="A33" s="41">
        <v>32</v>
      </c>
      <c r="B33" s="41">
        <f>H18</f>
        <v>9017</v>
      </c>
      <c r="C33" s="41">
        <f>I18</f>
        <v>9.2000000000000028</v>
      </c>
      <c r="D33" s="43">
        <v>7032</v>
      </c>
      <c r="E33" s="41">
        <f>C33</f>
        <v>9.2000000000000028</v>
      </c>
      <c r="F33" s="43">
        <v>8032</v>
      </c>
      <c r="G33" s="41">
        <f>$E33-0.1</f>
        <v>9.1000000000000032</v>
      </c>
      <c r="H33" s="43">
        <v>9032</v>
      </c>
      <c r="I33" s="41">
        <f>$E33-0.2</f>
        <v>9.0000000000000036</v>
      </c>
      <c r="L33" s="41">
        <f>IF(ISNUMBER(INDEX(A$1:I$203,M30+1,2)),INDEX(A$1:I$203,M30+1,2),"没有上级了")</f>
        <v>9.9</v>
      </c>
      <c r="M33" s="44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41" t="str">
        <f>IF(ISNUMBER(INDEX(A$1:I$203,M33+1,3)),INDEX(A$1:I$203,M33+1,3),"没有上级")</f>
        <v>没有上级</v>
      </c>
      <c r="O33" s="41" t="str">
        <f>IF(ISNUMBER(N36-N33),N36-N33,"没有上级")</f>
        <v>没有上级</v>
      </c>
    </row>
    <row r="34" spans="1:15" x14ac:dyDescent="0.15">
      <c r="A34" s="41">
        <v>33</v>
      </c>
      <c r="B34" s="41">
        <f>F19</f>
        <v>8018</v>
      </c>
      <c r="C34" s="41">
        <f>G19</f>
        <v>9.2000000000000028</v>
      </c>
      <c r="D34" s="43">
        <v>7033</v>
      </c>
      <c r="E34" s="41">
        <f>C34</f>
        <v>9.2000000000000028</v>
      </c>
      <c r="F34" s="43">
        <v>8033</v>
      </c>
      <c r="G34" s="41">
        <f>$E34-0.1</f>
        <v>9.1000000000000032</v>
      </c>
      <c r="H34" s="43">
        <v>9033</v>
      </c>
      <c r="I34" s="41">
        <f>$E34-0.2</f>
        <v>9.0000000000000036</v>
      </c>
    </row>
    <row r="35" spans="1:15" x14ac:dyDescent="0.15">
      <c r="A35" s="41">
        <v>34</v>
      </c>
      <c r="B35" s="41">
        <f>H19</f>
        <v>9018</v>
      </c>
      <c r="C35" s="41">
        <f>I19</f>
        <v>9.1000000000000032</v>
      </c>
      <c r="D35" s="43">
        <v>7034</v>
      </c>
      <c r="E35" s="41">
        <f>C35</f>
        <v>9.1000000000000032</v>
      </c>
      <c r="F35" s="43">
        <v>8034</v>
      </c>
      <c r="G35" s="41">
        <f>$E35-0.1</f>
        <v>9.0000000000000036</v>
      </c>
      <c r="H35" s="43">
        <v>9034</v>
      </c>
      <c r="I35" s="41">
        <f>$E35-0.2</f>
        <v>8.9000000000000039</v>
      </c>
    </row>
    <row r="36" spans="1:15" x14ac:dyDescent="0.15">
      <c r="A36" s="41">
        <v>35</v>
      </c>
      <c r="B36" s="41">
        <f>D20</f>
        <v>7019</v>
      </c>
      <c r="C36" s="41">
        <f>E20</f>
        <v>9.5000000000000018</v>
      </c>
      <c r="D36" s="43">
        <v>7035</v>
      </c>
      <c r="E36" s="41">
        <f>C36</f>
        <v>9.5000000000000018</v>
      </c>
      <c r="F36" s="43">
        <v>8035</v>
      </c>
      <c r="G36" s="41">
        <f>$E36-0.1</f>
        <v>9.4000000000000021</v>
      </c>
      <c r="H36" s="43">
        <v>9035</v>
      </c>
      <c r="I36" s="41">
        <f>$E36-0.2</f>
        <v>9.3000000000000025</v>
      </c>
    </row>
    <row r="37" spans="1:15" x14ac:dyDescent="0.15">
      <c r="A37" s="41">
        <v>36</v>
      </c>
      <c r="B37" s="41">
        <f>H20</f>
        <v>9019</v>
      </c>
      <c r="C37" s="41">
        <f>I20</f>
        <v>9.3000000000000025</v>
      </c>
      <c r="D37" s="43">
        <v>7036</v>
      </c>
      <c r="E37" s="41">
        <f>C37</f>
        <v>9.3000000000000025</v>
      </c>
      <c r="F37" s="43">
        <v>8036</v>
      </c>
      <c r="G37" s="41">
        <f>$E37-0.1</f>
        <v>9.2000000000000028</v>
      </c>
      <c r="H37" s="43">
        <v>9036</v>
      </c>
      <c r="I37" s="41">
        <f>$E37-0.2</f>
        <v>9.1000000000000032</v>
      </c>
    </row>
    <row r="38" spans="1:15" x14ac:dyDescent="0.15">
      <c r="A38" s="41">
        <v>37</v>
      </c>
      <c r="B38" s="41">
        <f>F22</f>
        <v>8021</v>
      </c>
      <c r="C38" s="41">
        <f>G22</f>
        <v>9.2000000000000028</v>
      </c>
      <c r="D38" s="43">
        <v>7037</v>
      </c>
      <c r="E38" s="41">
        <f>C38</f>
        <v>9.2000000000000028</v>
      </c>
      <c r="F38" s="43">
        <v>8037</v>
      </c>
      <c r="G38" s="41">
        <f>$E38-0.1</f>
        <v>9.1000000000000032</v>
      </c>
      <c r="H38" s="43">
        <v>9037</v>
      </c>
      <c r="I38" s="41">
        <f>$E38-0.2</f>
        <v>9.0000000000000036</v>
      </c>
    </row>
    <row r="39" spans="1:15" x14ac:dyDescent="0.15">
      <c r="A39" s="41">
        <v>38</v>
      </c>
      <c r="B39" s="41">
        <f>H22</f>
        <v>9021</v>
      </c>
      <c r="C39" s="41">
        <f>I22</f>
        <v>9.1000000000000032</v>
      </c>
      <c r="D39" s="43">
        <v>7038</v>
      </c>
      <c r="E39" s="41">
        <f>C39</f>
        <v>9.1000000000000032</v>
      </c>
      <c r="F39" s="43">
        <v>8038</v>
      </c>
      <c r="G39" s="41">
        <f>$E39-0.1</f>
        <v>9.0000000000000036</v>
      </c>
      <c r="H39" s="43">
        <v>9038</v>
      </c>
      <c r="I39" s="41">
        <f>$E39-0.2</f>
        <v>8.9000000000000039</v>
      </c>
    </row>
    <row r="40" spans="1:15" x14ac:dyDescent="0.15">
      <c r="A40" s="41">
        <v>39</v>
      </c>
      <c r="B40" s="41">
        <f>F23</f>
        <v>8022</v>
      </c>
      <c r="C40" s="41">
        <f>G23</f>
        <v>9.2000000000000028</v>
      </c>
      <c r="D40" s="43">
        <v>7039</v>
      </c>
      <c r="E40" s="41">
        <f>C40</f>
        <v>9.2000000000000028</v>
      </c>
      <c r="F40" s="43">
        <v>8039</v>
      </c>
      <c r="G40" s="41">
        <f>$E40-0.1</f>
        <v>9.1000000000000032</v>
      </c>
      <c r="H40" s="43">
        <v>9039</v>
      </c>
      <c r="I40" s="41">
        <f>$E40-0.2</f>
        <v>9.0000000000000036</v>
      </c>
    </row>
    <row r="41" spans="1:15" x14ac:dyDescent="0.15">
      <c r="A41" s="41">
        <v>40</v>
      </c>
      <c r="B41" s="41">
        <f>F25</f>
        <v>8024</v>
      </c>
      <c r="C41" s="41">
        <f>G25</f>
        <v>9.3000000000000025</v>
      </c>
      <c r="D41" s="43">
        <v>7040</v>
      </c>
      <c r="E41" s="41">
        <f>C41</f>
        <v>9.3000000000000025</v>
      </c>
      <c r="F41" s="43">
        <v>8040</v>
      </c>
      <c r="G41" s="41">
        <f>$E41-0.1</f>
        <v>9.2000000000000028</v>
      </c>
      <c r="H41" s="43">
        <v>9040</v>
      </c>
      <c r="I41" s="41">
        <f>$E41-0.2</f>
        <v>9.1000000000000032</v>
      </c>
    </row>
    <row r="42" spans="1:15" x14ac:dyDescent="0.15">
      <c r="A42" s="41">
        <v>41</v>
      </c>
      <c r="B42" s="41">
        <f>H25</f>
        <v>9024</v>
      </c>
      <c r="C42" s="41">
        <f>I25</f>
        <v>9.2000000000000028</v>
      </c>
      <c r="D42" s="43">
        <v>7041</v>
      </c>
      <c r="E42" s="41">
        <f>C42</f>
        <v>9.2000000000000028</v>
      </c>
      <c r="F42" s="43">
        <v>8041</v>
      </c>
      <c r="G42" s="41">
        <f>$E42-0.1</f>
        <v>9.1000000000000032</v>
      </c>
      <c r="H42" s="43">
        <v>9041</v>
      </c>
      <c r="I42" s="41">
        <f>$E42-0.2</f>
        <v>9.0000000000000036</v>
      </c>
    </row>
    <row r="43" spans="1:15" x14ac:dyDescent="0.15">
      <c r="A43" s="41">
        <v>42</v>
      </c>
      <c r="B43" s="41">
        <f>H26</f>
        <v>9025</v>
      </c>
      <c r="C43" s="41">
        <f>I26</f>
        <v>9.1000000000000032</v>
      </c>
      <c r="D43" s="43">
        <v>7042</v>
      </c>
      <c r="E43" s="41">
        <f>C43</f>
        <v>9.1000000000000032</v>
      </c>
      <c r="F43" s="43">
        <v>8042</v>
      </c>
      <c r="G43" s="41">
        <f>$E43-0.1</f>
        <v>9.0000000000000036</v>
      </c>
      <c r="H43" s="43">
        <v>9042</v>
      </c>
      <c r="I43" s="41">
        <f>$E43-0.2</f>
        <v>8.9000000000000039</v>
      </c>
    </row>
    <row r="44" spans="1:15" x14ac:dyDescent="0.15">
      <c r="A44" s="41">
        <v>43</v>
      </c>
      <c r="B44" s="41">
        <f>F26</f>
        <v>8025</v>
      </c>
      <c r="C44" s="41">
        <f>G26</f>
        <v>9.2000000000000028</v>
      </c>
      <c r="D44" s="43">
        <v>7043</v>
      </c>
      <c r="E44" s="41">
        <f>C44</f>
        <v>9.2000000000000028</v>
      </c>
      <c r="F44" s="43">
        <v>8043</v>
      </c>
      <c r="G44" s="41">
        <f>$E44-0.1</f>
        <v>9.1000000000000032</v>
      </c>
      <c r="H44" s="43">
        <v>9043</v>
      </c>
      <c r="I44" s="41">
        <f>$E44-0.2</f>
        <v>9.0000000000000036</v>
      </c>
    </row>
    <row r="45" spans="1:15" x14ac:dyDescent="0.15">
      <c r="A45" s="41">
        <v>44</v>
      </c>
      <c r="B45" s="41">
        <f>D27</f>
        <v>7026</v>
      </c>
      <c r="C45" s="41">
        <f>E27</f>
        <v>9.3000000000000025</v>
      </c>
      <c r="D45" s="43">
        <v>7044</v>
      </c>
      <c r="E45" s="41">
        <f>C45</f>
        <v>9.3000000000000025</v>
      </c>
      <c r="F45" s="43">
        <v>8044</v>
      </c>
      <c r="G45" s="41">
        <f>$E45-0.1</f>
        <v>9.2000000000000028</v>
      </c>
      <c r="H45" s="43">
        <v>9044</v>
      </c>
      <c r="I45" s="41">
        <f>$E45-0.2</f>
        <v>9.1000000000000032</v>
      </c>
    </row>
    <row r="46" spans="1:15" x14ac:dyDescent="0.15">
      <c r="A46" s="41">
        <v>45</v>
      </c>
      <c r="B46" s="41">
        <f>H28</f>
        <v>9027</v>
      </c>
      <c r="C46" s="41">
        <f>I28</f>
        <v>9.0000000000000036</v>
      </c>
      <c r="D46" s="43">
        <v>7045</v>
      </c>
      <c r="E46" s="41">
        <f>C46</f>
        <v>9.0000000000000036</v>
      </c>
      <c r="F46" s="43">
        <v>8045</v>
      </c>
      <c r="G46" s="41">
        <f>$E46-0.1</f>
        <v>8.9000000000000039</v>
      </c>
      <c r="H46" s="43">
        <v>9045</v>
      </c>
      <c r="I46" s="41">
        <f>$E46-0.2</f>
        <v>8.8000000000000043</v>
      </c>
    </row>
    <row r="47" spans="1:15" x14ac:dyDescent="0.15">
      <c r="A47" s="41">
        <v>46</v>
      </c>
      <c r="B47" s="41">
        <f>H29</f>
        <v>9028</v>
      </c>
      <c r="C47" s="41">
        <f>I29</f>
        <v>9.0000000000000036</v>
      </c>
      <c r="D47" s="43">
        <v>7046</v>
      </c>
      <c r="E47" s="41">
        <f>C47</f>
        <v>9.0000000000000036</v>
      </c>
      <c r="F47" s="43">
        <v>8046</v>
      </c>
      <c r="G47" s="41">
        <f>$E47-0.1</f>
        <v>8.9000000000000039</v>
      </c>
      <c r="H47" s="43">
        <v>9046</v>
      </c>
      <c r="I47" s="41">
        <f>$E47-0.2</f>
        <v>8.8000000000000043</v>
      </c>
    </row>
    <row r="48" spans="1:15" x14ac:dyDescent="0.15">
      <c r="A48" s="41">
        <v>47</v>
      </c>
      <c r="B48" s="41">
        <f>F29</f>
        <v>8028</v>
      </c>
      <c r="C48" s="41">
        <f>G29</f>
        <v>9.1000000000000032</v>
      </c>
      <c r="D48" s="43">
        <v>7047</v>
      </c>
      <c r="E48" s="41">
        <f>C48</f>
        <v>9.1000000000000032</v>
      </c>
      <c r="F48" s="43">
        <v>8047</v>
      </c>
      <c r="G48" s="41">
        <f>$E48-0.1</f>
        <v>9.0000000000000036</v>
      </c>
      <c r="H48" s="43">
        <v>9047</v>
      </c>
      <c r="I48" s="41">
        <f>$E48-0.2</f>
        <v>8.9000000000000039</v>
      </c>
    </row>
    <row r="49" spans="1:9" x14ac:dyDescent="0.15">
      <c r="A49" s="41">
        <v>48</v>
      </c>
      <c r="B49" s="41">
        <f>F30</f>
        <v>8029</v>
      </c>
      <c r="C49" s="41">
        <f>G30</f>
        <v>9.2000000000000028</v>
      </c>
      <c r="D49" s="43">
        <v>7048</v>
      </c>
      <c r="E49" s="41">
        <f>C49</f>
        <v>9.2000000000000028</v>
      </c>
      <c r="F49" s="43">
        <v>8048</v>
      </c>
      <c r="G49" s="41">
        <f>$E49-0.1</f>
        <v>9.1000000000000032</v>
      </c>
      <c r="H49" s="43">
        <v>9048</v>
      </c>
      <c r="I49" s="41">
        <f>$E49-0.2</f>
        <v>9.0000000000000036</v>
      </c>
    </row>
    <row r="50" spans="1:9" x14ac:dyDescent="0.15">
      <c r="A50" s="41">
        <v>49</v>
      </c>
      <c r="B50" s="41">
        <f>H31</f>
        <v>9030</v>
      </c>
      <c r="C50" s="41">
        <f>I31</f>
        <v>9.3000000000000025</v>
      </c>
      <c r="D50" s="43">
        <v>7049</v>
      </c>
      <c r="E50" s="41">
        <f>C50</f>
        <v>9.3000000000000025</v>
      </c>
      <c r="F50" s="43">
        <v>8049</v>
      </c>
      <c r="G50" s="41">
        <f>$E50-0.1</f>
        <v>9.2000000000000028</v>
      </c>
      <c r="H50" s="43">
        <v>9049</v>
      </c>
      <c r="I50" s="41">
        <f>$E50-0.2</f>
        <v>9.1000000000000032</v>
      </c>
    </row>
    <row r="51" spans="1:9" x14ac:dyDescent="0.15">
      <c r="A51" s="41">
        <v>50</v>
      </c>
      <c r="B51" s="41">
        <f>H32</f>
        <v>9031</v>
      </c>
      <c r="C51" s="41">
        <f>I32</f>
        <v>9.1000000000000032</v>
      </c>
      <c r="D51" s="43">
        <v>7050</v>
      </c>
      <c r="E51" s="41">
        <f>C51</f>
        <v>9.1000000000000032</v>
      </c>
      <c r="F51" s="43">
        <v>8050</v>
      </c>
      <c r="G51" s="41">
        <f>$E51-0.1</f>
        <v>9.0000000000000036</v>
      </c>
      <c r="H51" s="43">
        <v>9050</v>
      </c>
      <c r="I51" s="41">
        <f>$E51-0.2</f>
        <v>8.9000000000000039</v>
      </c>
    </row>
    <row r="52" spans="1:9" x14ac:dyDescent="0.15">
      <c r="A52" s="41">
        <v>51</v>
      </c>
      <c r="B52" s="41">
        <f>F32</f>
        <v>8031</v>
      </c>
      <c r="C52" s="41">
        <f>G32</f>
        <v>9.2000000000000028</v>
      </c>
      <c r="D52" s="43">
        <v>7051</v>
      </c>
      <c r="E52" s="41">
        <f>C52</f>
        <v>9.2000000000000028</v>
      </c>
      <c r="F52" s="43">
        <v>8051</v>
      </c>
      <c r="G52" s="41">
        <f>$E52-0.1</f>
        <v>9.1000000000000032</v>
      </c>
      <c r="H52" s="43">
        <v>9051</v>
      </c>
      <c r="I52" s="41">
        <f>$E52-0.2</f>
        <v>9.0000000000000036</v>
      </c>
    </row>
    <row r="53" spans="1:9" x14ac:dyDescent="0.15">
      <c r="A53" s="41">
        <v>52</v>
      </c>
      <c r="B53" s="41">
        <f>F33</f>
        <v>8032</v>
      </c>
      <c r="C53" s="41">
        <f>G33</f>
        <v>9.1000000000000032</v>
      </c>
      <c r="D53" s="43">
        <v>7052</v>
      </c>
      <c r="E53" s="41">
        <f>C53</f>
        <v>9.1000000000000032</v>
      </c>
      <c r="F53" s="43">
        <v>8052</v>
      </c>
      <c r="G53" s="41">
        <f>$E53-0.1</f>
        <v>9.0000000000000036</v>
      </c>
      <c r="H53" s="43">
        <v>9052</v>
      </c>
      <c r="I53" s="41">
        <f>$E53-0.2</f>
        <v>8.9000000000000039</v>
      </c>
    </row>
    <row r="54" spans="1:9" x14ac:dyDescent="0.15">
      <c r="A54" s="41">
        <v>53</v>
      </c>
      <c r="B54" s="41">
        <f>H33</f>
        <v>9032</v>
      </c>
      <c r="C54" s="41">
        <f>I33</f>
        <v>9.0000000000000036</v>
      </c>
      <c r="D54" s="43">
        <v>7053</v>
      </c>
      <c r="E54" s="41">
        <f>C54</f>
        <v>9.0000000000000036</v>
      </c>
      <c r="F54" s="43">
        <v>8053</v>
      </c>
      <c r="G54" s="41">
        <f>$E54-0.1</f>
        <v>8.9000000000000039</v>
      </c>
      <c r="H54" s="43">
        <v>9053</v>
      </c>
      <c r="I54" s="41">
        <f>$E54-0.2</f>
        <v>8.8000000000000043</v>
      </c>
    </row>
    <row r="55" spans="1:9" x14ac:dyDescent="0.15">
      <c r="A55" s="41">
        <v>54</v>
      </c>
      <c r="B55" s="41">
        <f>F34</f>
        <v>8033</v>
      </c>
      <c r="C55" s="41">
        <f>G34</f>
        <v>9.1000000000000032</v>
      </c>
      <c r="D55" s="43">
        <v>7054</v>
      </c>
      <c r="E55" s="41">
        <f>C55</f>
        <v>9.1000000000000032</v>
      </c>
      <c r="F55" s="43">
        <v>8054</v>
      </c>
      <c r="G55" s="41">
        <f>$E55-0.1</f>
        <v>9.0000000000000036</v>
      </c>
      <c r="H55" s="43">
        <v>9054</v>
      </c>
      <c r="I55" s="41">
        <f>$E55-0.2</f>
        <v>8.9000000000000039</v>
      </c>
    </row>
    <row r="56" spans="1:9" x14ac:dyDescent="0.15">
      <c r="A56" s="41">
        <v>55</v>
      </c>
      <c r="B56" s="41">
        <f>H34</f>
        <v>9033</v>
      </c>
      <c r="C56" s="41">
        <f>I34</f>
        <v>9.0000000000000036</v>
      </c>
      <c r="D56" s="43">
        <v>7055</v>
      </c>
      <c r="E56" s="41">
        <f>C56</f>
        <v>9.0000000000000036</v>
      </c>
      <c r="F56" s="43">
        <v>8055</v>
      </c>
      <c r="G56" s="41">
        <f>$E56-0.1</f>
        <v>8.9000000000000039</v>
      </c>
      <c r="H56" s="43">
        <v>9055</v>
      </c>
      <c r="I56" s="41">
        <f>$E56-0.2</f>
        <v>8.8000000000000043</v>
      </c>
    </row>
    <row r="57" spans="1:9" x14ac:dyDescent="0.15">
      <c r="A57" s="41">
        <v>56</v>
      </c>
      <c r="B57" s="41">
        <f>H35</f>
        <v>9034</v>
      </c>
      <c r="C57" s="41">
        <f>I35</f>
        <v>8.9000000000000039</v>
      </c>
      <c r="D57" s="43">
        <v>7056</v>
      </c>
      <c r="E57" s="41">
        <f>C57</f>
        <v>8.9000000000000039</v>
      </c>
      <c r="F57" s="43">
        <v>8056</v>
      </c>
      <c r="G57" s="41">
        <f>$E57-0.1</f>
        <v>8.8000000000000043</v>
      </c>
      <c r="H57" s="43">
        <v>9056</v>
      </c>
      <c r="I57" s="41">
        <f>$E57-0.2</f>
        <v>8.7000000000000046</v>
      </c>
    </row>
    <row r="58" spans="1:9" x14ac:dyDescent="0.15">
      <c r="A58" s="41">
        <v>57</v>
      </c>
      <c r="B58" s="41">
        <f>H39</f>
        <v>9038</v>
      </c>
      <c r="C58" s="41">
        <f>I39</f>
        <v>8.9000000000000039</v>
      </c>
      <c r="D58" s="43">
        <v>7057</v>
      </c>
      <c r="E58" s="41">
        <f>C58</f>
        <v>8.9000000000000039</v>
      </c>
      <c r="F58" s="43">
        <v>8057</v>
      </c>
      <c r="G58" s="41">
        <f>$E58-0.1</f>
        <v>8.8000000000000043</v>
      </c>
      <c r="H58" s="43">
        <v>9057</v>
      </c>
      <c r="I58" s="41">
        <f>$E58-0.2</f>
        <v>8.7000000000000046</v>
      </c>
    </row>
    <row r="59" spans="1:9" x14ac:dyDescent="0.15">
      <c r="A59" s="41">
        <v>58</v>
      </c>
      <c r="B59" s="41">
        <f>H40</f>
        <v>9039</v>
      </c>
      <c r="C59" s="41">
        <f>I40</f>
        <v>9.0000000000000036</v>
      </c>
      <c r="D59" s="43">
        <v>7058</v>
      </c>
      <c r="E59" s="41">
        <f>C59</f>
        <v>9.0000000000000036</v>
      </c>
      <c r="F59" s="43">
        <v>8058</v>
      </c>
      <c r="G59" s="41">
        <f>$E59-0.1</f>
        <v>8.9000000000000039</v>
      </c>
      <c r="H59" s="43">
        <v>9058</v>
      </c>
      <c r="I59" s="41">
        <f>$E59-0.2</f>
        <v>8.8000000000000043</v>
      </c>
    </row>
    <row r="60" spans="1:9" x14ac:dyDescent="0.15">
      <c r="A60" s="41">
        <v>59</v>
      </c>
      <c r="B60" s="41">
        <f>F41</f>
        <v>8040</v>
      </c>
      <c r="C60" s="41">
        <f>G41</f>
        <v>9.2000000000000028</v>
      </c>
      <c r="D60" s="43">
        <v>7059</v>
      </c>
      <c r="E60" s="41">
        <f>C60</f>
        <v>9.2000000000000028</v>
      </c>
      <c r="F60" s="43">
        <v>8059</v>
      </c>
      <c r="G60" s="41">
        <f>$E60-0.1</f>
        <v>9.1000000000000032</v>
      </c>
      <c r="H60" s="43">
        <v>9059</v>
      </c>
      <c r="I60" s="41">
        <f>$E60-0.2</f>
        <v>9.0000000000000036</v>
      </c>
    </row>
    <row r="61" spans="1:9" x14ac:dyDescent="0.15">
      <c r="A61" s="41">
        <v>60</v>
      </c>
      <c r="B61" s="41">
        <f>H41</f>
        <v>9040</v>
      </c>
      <c r="C61" s="41">
        <f>I41</f>
        <v>9.1000000000000032</v>
      </c>
      <c r="D61" s="43">
        <v>7060</v>
      </c>
      <c r="E61" s="41">
        <f>C61</f>
        <v>9.1000000000000032</v>
      </c>
      <c r="F61" s="43">
        <v>8060</v>
      </c>
      <c r="G61" s="41">
        <f>$E61-0.1</f>
        <v>9.0000000000000036</v>
      </c>
      <c r="H61" s="43">
        <v>9060</v>
      </c>
      <c r="I61" s="41">
        <f>$E61-0.2</f>
        <v>8.9000000000000039</v>
      </c>
    </row>
    <row r="62" spans="1:9" x14ac:dyDescent="0.15">
      <c r="A62" s="41">
        <v>61</v>
      </c>
      <c r="B62" s="41">
        <f>H42</f>
        <v>9041</v>
      </c>
      <c r="C62" s="41">
        <f>I42</f>
        <v>9.0000000000000036</v>
      </c>
      <c r="D62" s="43">
        <v>7061</v>
      </c>
      <c r="E62" s="41">
        <f>C62</f>
        <v>9.0000000000000036</v>
      </c>
      <c r="F62" s="43">
        <v>8061</v>
      </c>
      <c r="G62" s="41">
        <f>$E62-0.1</f>
        <v>8.9000000000000039</v>
      </c>
      <c r="H62" s="43">
        <v>9061</v>
      </c>
      <c r="I62" s="41">
        <f>$E62-0.2</f>
        <v>8.8000000000000043</v>
      </c>
    </row>
    <row r="63" spans="1:9" x14ac:dyDescent="0.15">
      <c r="A63" s="41">
        <v>62</v>
      </c>
      <c r="B63" s="41">
        <f>F42</f>
        <v>8041</v>
      </c>
      <c r="C63" s="41">
        <f>G42</f>
        <v>9.1000000000000032</v>
      </c>
      <c r="D63" s="43">
        <v>7062</v>
      </c>
      <c r="E63" s="41">
        <f>C63</f>
        <v>9.1000000000000032</v>
      </c>
      <c r="F63" s="43">
        <v>8062</v>
      </c>
      <c r="G63" s="41">
        <f>$E63-0.1</f>
        <v>9.0000000000000036</v>
      </c>
      <c r="H63" s="43">
        <v>9062</v>
      </c>
      <c r="I63" s="41">
        <f>$E63-0.2</f>
        <v>8.9000000000000039</v>
      </c>
    </row>
    <row r="64" spans="1:9" x14ac:dyDescent="0.15">
      <c r="A64" s="41">
        <v>63</v>
      </c>
      <c r="B64" s="41">
        <f>F43</f>
        <v>8042</v>
      </c>
      <c r="C64" s="41">
        <f>G43</f>
        <v>9.0000000000000036</v>
      </c>
      <c r="D64" s="43">
        <v>7063</v>
      </c>
      <c r="E64" s="41">
        <f>C64</f>
        <v>9.0000000000000036</v>
      </c>
      <c r="F64" s="43">
        <v>8063</v>
      </c>
      <c r="G64" s="41">
        <f>$E64-0.1</f>
        <v>8.9000000000000039</v>
      </c>
      <c r="H64" s="43">
        <v>9063</v>
      </c>
      <c r="I64" s="41">
        <f>$E64-0.2</f>
        <v>8.8000000000000043</v>
      </c>
    </row>
    <row r="65" spans="1:9" x14ac:dyDescent="0.15">
      <c r="A65" s="41">
        <v>64</v>
      </c>
      <c r="B65" s="41">
        <f>H43</f>
        <v>9042</v>
      </c>
      <c r="C65" s="41">
        <f>I43</f>
        <v>8.9000000000000039</v>
      </c>
      <c r="D65" s="43">
        <v>7064</v>
      </c>
      <c r="E65" s="41">
        <f>C65</f>
        <v>8.9000000000000039</v>
      </c>
      <c r="F65" s="43">
        <v>8064</v>
      </c>
      <c r="G65" s="41">
        <f>$E65-0.1</f>
        <v>8.8000000000000043</v>
      </c>
      <c r="H65" s="43">
        <v>9064</v>
      </c>
      <c r="I65" s="41">
        <f>$E65-0.2</f>
        <v>8.7000000000000046</v>
      </c>
    </row>
    <row r="66" spans="1:9" x14ac:dyDescent="0.15">
      <c r="A66" s="41">
        <v>65</v>
      </c>
      <c r="B66" s="41">
        <f>H44</f>
        <v>9043</v>
      </c>
      <c r="C66" s="41">
        <f>I44</f>
        <v>9.0000000000000036</v>
      </c>
      <c r="D66" s="43">
        <v>7065</v>
      </c>
      <c r="E66" s="41">
        <f>C66</f>
        <v>9.0000000000000036</v>
      </c>
      <c r="F66" s="43">
        <v>8065</v>
      </c>
      <c r="G66" s="41">
        <f>$E66-0.1</f>
        <v>8.9000000000000039</v>
      </c>
      <c r="H66" s="43">
        <v>9065</v>
      </c>
      <c r="I66" s="41">
        <f>$E66-0.2</f>
        <v>8.8000000000000043</v>
      </c>
    </row>
    <row r="67" spans="1:9" x14ac:dyDescent="0.15">
      <c r="A67" s="41">
        <v>66</v>
      </c>
      <c r="B67" s="41">
        <f>F44</f>
        <v>8043</v>
      </c>
      <c r="C67" s="41">
        <f>G44</f>
        <v>9.1000000000000032</v>
      </c>
      <c r="D67" s="43">
        <v>7066</v>
      </c>
      <c r="E67" s="41">
        <f>C67</f>
        <v>9.1000000000000032</v>
      </c>
      <c r="F67" s="43">
        <v>8066</v>
      </c>
      <c r="G67" s="41">
        <f>$E67-0.1</f>
        <v>9.0000000000000036</v>
      </c>
      <c r="H67" s="43">
        <v>9066</v>
      </c>
      <c r="I67" s="41">
        <f>$E67-0.2</f>
        <v>8.9000000000000039</v>
      </c>
    </row>
    <row r="68" spans="1:9" x14ac:dyDescent="0.15">
      <c r="A68" s="41">
        <v>67</v>
      </c>
      <c r="B68" s="41">
        <f>F45</f>
        <v>8044</v>
      </c>
      <c r="C68" s="41">
        <f>G45</f>
        <v>9.2000000000000028</v>
      </c>
      <c r="D68" s="43">
        <v>7067</v>
      </c>
      <c r="E68" s="41">
        <f>C68</f>
        <v>9.2000000000000028</v>
      </c>
      <c r="F68" s="43">
        <v>8067</v>
      </c>
      <c r="G68" s="41">
        <f>$E68-0.1</f>
        <v>9.1000000000000032</v>
      </c>
      <c r="H68" s="43">
        <v>9067</v>
      </c>
      <c r="I68" s="41">
        <f>$E68-0.2</f>
        <v>9.0000000000000036</v>
      </c>
    </row>
    <row r="69" spans="1:9" x14ac:dyDescent="0.15">
      <c r="A69" s="41">
        <v>68</v>
      </c>
      <c r="B69" s="41">
        <f>H45</f>
        <v>9044</v>
      </c>
      <c r="C69" s="41">
        <f>I45</f>
        <v>9.1000000000000032</v>
      </c>
      <c r="D69" s="43">
        <v>7068</v>
      </c>
      <c r="E69" s="41">
        <f>C69</f>
        <v>9.1000000000000032</v>
      </c>
      <c r="F69" s="43">
        <v>8068</v>
      </c>
      <c r="G69" s="41">
        <f>$E69-0.1</f>
        <v>9.0000000000000036</v>
      </c>
      <c r="H69" s="43">
        <v>9068</v>
      </c>
      <c r="I69" s="41">
        <f>$E69-0.2</f>
        <v>8.9000000000000039</v>
      </c>
    </row>
    <row r="70" spans="1:9" x14ac:dyDescent="0.15">
      <c r="A70" s="41">
        <v>69</v>
      </c>
      <c r="B70" s="41">
        <f>F46</f>
        <v>8045</v>
      </c>
      <c r="C70" s="41">
        <f>G46</f>
        <v>8.9000000000000039</v>
      </c>
      <c r="D70" s="43">
        <v>7069</v>
      </c>
      <c r="E70" s="41">
        <f>C70</f>
        <v>8.9000000000000039</v>
      </c>
      <c r="F70" s="43">
        <v>8069</v>
      </c>
      <c r="G70" s="41">
        <f>$E70-0.1</f>
        <v>8.8000000000000043</v>
      </c>
      <c r="H70" s="43">
        <v>9069</v>
      </c>
      <c r="I70" s="41">
        <f>$E70-0.2</f>
        <v>8.7000000000000046</v>
      </c>
    </row>
    <row r="71" spans="1:9" x14ac:dyDescent="0.15">
      <c r="A71" s="41">
        <v>70</v>
      </c>
      <c r="B71" s="41">
        <f>H46</f>
        <v>9045</v>
      </c>
      <c r="C71" s="41">
        <f>I46</f>
        <v>8.8000000000000043</v>
      </c>
      <c r="D71" s="43">
        <v>7070</v>
      </c>
      <c r="E71" s="41">
        <f>C71</f>
        <v>8.8000000000000043</v>
      </c>
      <c r="F71" s="43">
        <v>8070</v>
      </c>
      <c r="G71" s="41">
        <f>$E71-0.1</f>
        <v>8.7000000000000046</v>
      </c>
      <c r="H71" s="43">
        <v>9070</v>
      </c>
      <c r="I71" s="41">
        <f>$E71-0.2</f>
        <v>8.600000000000005</v>
      </c>
    </row>
    <row r="72" spans="1:9" x14ac:dyDescent="0.15">
      <c r="A72" s="41">
        <v>71</v>
      </c>
      <c r="B72" s="41">
        <f>H47</f>
        <v>9046</v>
      </c>
      <c r="C72" s="41">
        <f>I47</f>
        <v>8.8000000000000043</v>
      </c>
      <c r="D72" s="43">
        <v>7071</v>
      </c>
      <c r="E72" s="41">
        <f>C72</f>
        <v>8.8000000000000043</v>
      </c>
      <c r="F72" s="43">
        <v>8071</v>
      </c>
      <c r="G72" s="41">
        <f>$E72-0.1</f>
        <v>8.7000000000000046</v>
      </c>
      <c r="H72" s="43">
        <v>9071</v>
      </c>
      <c r="I72" s="41">
        <f>$E72-0.2</f>
        <v>8.600000000000005</v>
      </c>
    </row>
    <row r="73" spans="1:9" x14ac:dyDescent="0.15">
      <c r="A73" s="41">
        <v>72</v>
      </c>
      <c r="B73" s="41">
        <f>F49</f>
        <v>8048</v>
      </c>
      <c r="C73" s="41">
        <f>G49</f>
        <v>9.1000000000000032</v>
      </c>
      <c r="D73" s="43">
        <v>7072</v>
      </c>
      <c r="E73" s="41">
        <f>C73</f>
        <v>9.1000000000000032</v>
      </c>
      <c r="F73" s="43">
        <v>8072</v>
      </c>
      <c r="G73" s="41">
        <f>$E73-0.1</f>
        <v>9.0000000000000036</v>
      </c>
      <c r="H73" s="43">
        <v>9072</v>
      </c>
      <c r="I73" s="41">
        <f>$E73-0.2</f>
        <v>8.9000000000000039</v>
      </c>
    </row>
    <row r="74" spans="1:9" x14ac:dyDescent="0.15">
      <c r="A74" s="41">
        <v>73</v>
      </c>
      <c r="B74" s="41">
        <f>H49</f>
        <v>9048</v>
      </c>
      <c r="C74" s="41">
        <f>I49</f>
        <v>9.0000000000000036</v>
      </c>
      <c r="D74" s="43">
        <v>7073</v>
      </c>
      <c r="E74" s="41">
        <f>C74</f>
        <v>9.0000000000000036</v>
      </c>
      <c r="F74" s="43">
        <v>8073</v>
      </c>
      <c r="G74" s="41">
        <f>$E74-0.1</f>
        <v>8.9000000000000039</v>
      </c>
      <c r="H74" s="43">
        <v>9073</v>
      </c>
      <c r="I74" s="41">
        <f>$E74-0.2</f>
        <v>8.8000000000000043</v>
      </c>
    </row>
    <row r="75" spans="1:9" x14ac:dyDescent="0.15">
      <c r="A75" s="41">
        <v>74</v>
      </c>
      <c r="B75" s="41">
        <f>H50</f>
        <v>9049</v>
      </c>
      <c r="C75" s="41">
        <f>I50</f>
        <v>9.1000000000000032</v>
      </c>
      <c r="D75" s="43">
        <v>7074</v>
      </c>
      <c r="E75" s="41">
        <f>C75</f>
        <v>9.1000000000000032</v>
      </c>
      <c r="F75" s="43">
        <v>8074</v>
      </c>
      <c r="G75" s="41">
        <f>$E75-0.1</f>
        <v>9.0000000000000036</v>
      </c>
      <c r="H75" s="43">
        <v>9074</v>
      </c>
      <c r="I75" s="41">
        <f>$E75-0.2</f>
        <v>8.9000000000000039</v>
      </c>
    </row>
    <row r="76" spans="1:9" x14ac:dyDescent="0.15">
      <c r="A76" s="41">
        <v>75</v>
      </c>
      <c r="B76" s="41">
        <f>F50</f>
        <v>8049</v>
      </c>
      <c r="C76" s="41">
        <f>G50</f>
        <v>9.2000000000000028</v>
      </c>
      <c r="D76" s="43">
        <v>7075</v>
      </c>
      <c r="E76" s="41">
        <f>C76</f>
        <v>9.2000000000000028</v>
      </c>
      <c r="F76" s="43">
        <v>8075</v>
      </c>
      <c r="G76" s="41">
        <f>$E76-0.1</f>
        <v>9.1000000000000032</v>
      </c>
      <c r="H76" s="43">
        <v>9075</v>
      </c>
      <c r="I76" s="41">
        <f>$E76-0.2</f>
        <v>9.0000000000000036</v>
      </c>
    </row>
    <row r="77" spans="1:9" x14ac:dyDescent="0.15">
      <c r="A77" s="41">
        <v>76</v>
      </c>
      <c r="B77" s="41">
        <f>H51</f>
        <v>9050</v>
      </c>
      <c r="C77" s="41">
        <f>I51</f>
        <v>8.9000000000000039</v>
      </c>
      <c r="D77" s="43">
        <v>7076</v>
      </c>
      <c r="E77" s="41">
        <f>C77</f>
        <v>8.9000000000000039</v>
      </c>
      <c r="F77" s="43">
        <v>8076</v>
      </c>
      <c r="G77" s="41">
        <f>$E77-0.1</f>
        <v>8.8000000000000043</v>
      </c>
      <c r="H77" s="43">
        <v>9076</v>
      </c>
      <c r="I77" s="41">
        <f>$E77-0.2</f>
        <v>8.7000000000000046</v>
      </c>
    </row>
    <row r="78" spans="1:9" x14ac:dyDescent="0.15">
      <c r="A78" s="41">
        <v>77</v>
      </c>
      <c r="B78" s="41">
        <f>F51</f>
        <v>8050</v>
      </c>
      <c r="C78" s="41">
        <f>G51</f>
        <v>9.0000000000000036</v>
      </c>
      <c r="D78" s="43">
        <v>7077</v>
      </c>
      <c r="E78" s="41">
        <f>C78</f>
        <v>9.0000000000000036</v>
      </c>
      <c r="F78" s="43">
        <v>8077</v>
      </c>
      <c r="G78" s="41">
        <f>$E78-0.1</f>
        <v>8.9000000000000039</v>
      </c>
      <c r="H78" s="43">
        <v>9077</v>
      </c>
      <c r="I78" s="41">
        <f>$E78-0.2</f>
        <v>8.8000000000000043</v>
      </c>
    </row>
    <row r="79" spans="1:9" x14ac:dyDescent="0.15">
      <c r="A79" s="41">
        <v>78</v>
      </c>
      <c r="B79" s="41">
        <f>F53</f>
        <v>8052</v>
      </c>
      <c r="C79" s="41">
        <f>G53</f>
        <v>9.0000000000000036</v>
      </c>
      <c r="D79" s="43">
        <v>7078</v>
      </c>
      <c r="E79" s="41">
        <f>C79</f>
        <v>9.0000000000000036</v>
      </c>
      <c r="F79" s="43">
        <v>8078</v>
      </c>
      <c r="G79" s="41">
        <f>$E79-0.1</f>
        <v>8.9000000000000039</v>
      </c>
      <c r="H79" s="43">
        <v>9078</v>
      </c>
      <c r="I79" s="41">
        <f>$E79-0.2</f>
        <v>8.8000000000000043</v>
      </c>
    </row>
    <row r="80" spans="1:9" x14ac:dyDescent="0.15">
      <c r="A80" s="41">
        <v>79</v>
      </c>
      <c r="B80" s="41">
        <f>H53</f>
        <v>9052</v>
      </c>
      <c r="C80" s="41">
        <f>I53</f>
        <v>8.9000000000000039</v>
      </c>
      <c r="D80" s="43">
        <v>7079</v>
      </c>
      <c r="E80" s="41">
        <f>C80</f>
        <v>8.9000000000000039</v>
      </c>
      <c r="F80" s="43">
        <v>8079</v>
      </c>
      <c r="G80" s="41">
        <f>$E80-0.1</f>
        <v>8.8000000000000043</v>
      </c>
      <c r="H80" s="43">
        <v>9079</v>
      </c>
      <c r="I80" s="41">
        <f>$E80-0.2</f>
        <v>8.7000000000000046</v>
      </c>
    </row>
    <row r="81" spans="1:9" x14ac:dyDescent="0.15">
      <c r="A81" s="41">
        <v>80</v>
      </c>
      <c r="B81" s="41">
        <f>F56</f>
        <v>8055</v>
      </c>
      <c r="C81" s="41">
        <f>G56</f>
        <v>8.9000000000000039</v>
      </c>
      <c r="D81" s="43">
        <v>7080</v>
      </c>
      <c r="E81" s="41">
        <f>C81</f>
        <v>8.9000000000000039</v>
      </c>
      <c r="F81" s="43">
        <v>8080</v>
      </c>
      <c r="G81" s="41">
        <f>$E81-0.1</f>
        <v>8.8000000000000043</v>
      </c>
      <c r="H81" s="43">
        <v>9080</v>
      </c>
      <c r="I81" s="41">
        <f>$E81-0.2</f>
        <v>8.7000000000000046</v>
      </c>
    </row>
    <row r="82" spans="1:9" x14ac:dyDescent="0.15">
      <c r="A82" s="41">
        <v>81</v>
      </c>
      <c r="B82" s="41">
        <f>H56</f>
        <v>9055</v>
      </c>
      <c r="C82" s="41">
        <f>I56</f>
        <v>8.8000000000000043</v>
      </c>
      <c r="D82" s="43">
        <v>7081</v>
      </c>
      <c r="E82" s="41">
        <f>C82</f>
        <v>8.8000000000000043</v>
      </c>
      <c r="F82" s="43">
        <v>8081</v>
      </c>
      <c r="G82" s="41">
        <f>$E82-0.1</f>
        <v>8.7000000000000046</v>
      </c>
      <c r="H82" s="43">
        <v>9081</v>
      </c>
      <c r="I82" s="41">
        <f>$E82-0.2</f>
        <v>8.600000000000005</v>
      </c>
    </row>
    <row r="83" spans="1:9" x14ac:dyDescent="0.15">
      <c r="A83" s="41">
        <v>82</v>
      </c>
      <c r="B83" s="41">
        <f>D57</f>
        <v>7056</v>
      </c>
      <c r="C83" s="41">
        <f>E57</f>
        <v>8.9000000000000039</v>
      </c>
      <c r="D83" s="43">
        <v>7082</v>
      </c>
      <c r="E83" s="41">
        <f>C83</f>
        <v>8.9000000000000039</v>
      </c>
      <c r="F83" s="43">
        <v>8082</v>
      </c>
      <c r="G83" s="41">
        <f>$E83-0.1</f>
        <v>8.8000000000000043</v>
      </c>
      <c r="H83" s="43">
        <v>9082</v>
      </c>
      <c r="I83" s="41">
        <f>$E83-0.2</f>
        <v>8.7000000000000046</v>
      </c>
    </row>
    <row r="84" spans="1:9" x14ac:dyDescent="0.15">
      <c r="A84" s="41">
        <v>83</v>
      </c>
      <c r="B84" s="41">
        <f>D58</f>
        <v>7057</v>
      </c>
      <c r="C84" s="41">
        <f>E58</f>
        <v>8.9000000000000039</v>
      </c>
      <c r="D84" s="43">
        <v>7083</v>
      </c>
      <c r="E84" s="41">
        <f>C84</f>
        <v>8.9000000000000039</v>
      </c>
      <c r="F84" s="43">
        <v>8083</v>
      </c>
      <c r="G84" s="41">
        <f>$E84-0.1</f>
        <v>8.8000000000000043</v>
      </c>
      <c r="H84" s="43">
        <v>9083</v>
      </c>
      <c r="I84" s="41">
        <f>$E84-0.2</f>
        <v>8.7000000000000046</v>
      </c>
    </row>
    <row r="85" spans="1:9" x14ac:dyDescent="0.15">
      <c r="A85" s="41">
        <v>84</v>
      </c>
      <c r="B85" s="41">
        <f>F58</f>
        <v>8057</v>
      </c>
      <c r="C85" s="41">
        <f>G58</f>
        <v>8.8000000000000043</v>
      </c>
      <c r="D85" s="43">
        <v>7084</v>
      </c>
      <c r="E85" s="41">
        <f>C85</f>
        <v>8.8000000000000043</v>
      </c>
      <c r="F85" s="43">
        <v>8084</v>
      </c>
      <c r="G85" s="41">
        <f>$E85-0.1</f>
        <v>8.7000000000000046</v>
      </c>
      <c r="H85" s="43">
        <v>9084</v>
      </c>
      <c r="I85" s="41">
        <f>$E85-0.2</f>
        <v>8.600000000000005</v>
      </c>
    </row>
    <row r="86" spans="1:9" x14ac:dyDescent="0.15">
      <c r="A86" s="41">
        <v>85</v>
      </c>
      <c r="B86" s="41">
        <f>H58</f>
        <v>9057</v>
      </c>
      <c r="C86" s="41">
        <f>I58</f>
        <v>8.7000000000000046</v>
      </c>
      <c r="D86" s="43">
        <v>7085</v>
      </c>
      <c r="E86" s="41">
        <f>C86</f>
        <v>8.7000000000000046</v>
      </c>
      <c r="F86" s="43">
        <v>8085</v>
      </c>
      <c r="G86" s="41">
        <f>$E86-0.1</f>
        <v>8.600000000000005</v>
      </c>
      <c r="H86" s="43">
        <v>9085</v>
      </c>
      <c r="I86" s="41">
        <f>$E86-0.2</f>
        <v>8.5000000000000053</v>
      </c>
    </row>
    <row r="87" spans="1:9" x14ac:dyDescent="0.15">
      <c r="A87" s="41">
        <v>86</v>
      </c>
      <c r="B87" s="41">
        <f>F59</f>
        <v>8058</v>
      </c>
      <c r="C87" s="41">
        <f>G59</f>
        <v>8.9000000000000039</v>
      </c>
      <c r="D87" s="43">
        <v>7086</v>
      </c>
      <c r="E87" s="41">
        <f>C87</f>
        <v>8.9000000000000039</v>
      </c>
      <c r="F87" s="43">
        <v>8086</v>
      </c>
      <c r="G87" s="41">
        <f>$E87-0.1</f>
        <v>8.8000000000000043</v>
      </c>
      <c r="H87" s="43">
        <v>9086</v>
      </c>
      <c r="I87" s="41">
        <f>$E87-0.2</f>
        <v>8.7000000000000046</v>
      </c>
    </row>
    <row r="88" spans="1:9" x14ac:dyDescent="0.15">
      <c r="A88" s="41">
        <v>87</v>
      </c>
      <c r="B88" s="41">
        <f>H59</f>
        <v>9058</v>
      </c>
      <c r="C88" s="41">
        <f>I59</f>
        <v>8.8000000000000043</v>
      </c>
      <c r="D88" s="43">
        <v>7087</v>
      </c>
      <c r="E88" s="41">
        <f>C88</f>
        <v>8.8000000000000043</v>
      </c>
      <c r="F88" s="43">
        <v>8087</v>
      </c>
      <c r="G88" s="41">
        <f>$E88-0.1</f>
        <v>8.7000000000000046</v>
      </c>
      <c r="H88" s="43">
        <v>9087</v>
      </c>
      <c r="I88" s="41">
        <f>$E88-0.2</f>
        <v>8.600000000000005</v>
      </c>
    </row>
    <row r="89" spans="1:9" x14ac:dyDescent="0.15">
      <c r="A89" s="41">
        <v>88</v>
      </c>
      <c r="B89" s="41">
        <f>H60</f>
        <v>9059</v>
      </c>
      <c r="C89" s="41">
        <f>I60</f>
        <v>9.0000000000000036</v>
      </c>
      <c r="D89" s="43">
        <v>7088</v>
      </c>
      <c r="E89" s="41">
        <f>C89</f>
        <v>9.0000000000000036</v>
      </c>
      <c r="F89" s="43">
        <v>8088</v>
      </c>
      <c r="G89" s="41">
        <f>$E89-0.1</f>
        <v>8.9000000000000039</v>
      </c>
      <c r="H89" s="43">
        <v>9088</v>
      </c>
      <c r="I89" s="41">
        <f>$E89-0.2</f>
        <v>8.8000000000000043</v>
      </c>
    </row>
    <row r="90" spans="1:9" x14ac:dyDescent="0.15">
      <c r="A90" s="41">
        <v>89</v>
      </c>
      <c r="B90" s="41">
        <f>F60</f>
        <v>8059</v>
      </c>
      <c r="C90" s="41">
        <f>G60</f>
        <v>9.1000000000000032</v>
      </c>
      <c r="D90" s="43">
        <v>7089</v>
      </c>
      <c r="E90" s="41">
        <f>C90</f>
        <v>9.1000000000000032</v>
      </c>
      <c r="F90" s="43">
        <v>8089</v>
      </c>
      <c r="G90" s="41">
        <f>$E90-0.1</f>
        <v>9.0000000000000036</v>
      </c>
      <c r="H90" s="43">
        <v>9089</v>
      </c>
      <c r="I90" s="41">
        <f>$E90-0.2</f>
        <v>8.9000000000000039</v>
      </c>
    </row>
    <row r="91" spans="1:9" x14ac:dyDescent="0.15">
      <c r="A91" s="41">
        <v>90</v>
      </c>
      <c r="B91" s="41">
        <f>F61</f>
        <v>8060</v>
      </c>
      <c r="C91" s="41">
        <f>G61</f>
        <v>9.0000000000000036</v>
      </c>
      <c r="D91" s="43">
        <v>7090</v>
      </c>
      <c r="E91" s="41">
        <f>C91</f>
        <v>9.0000000000000036</v>
      </c>
      <c r="F91" s="43">
        <v>8090</v>
      </c>
      <c r="G91" s="41">
        <f>$E91-0.1</f>
        <v>8.9000000000000039</v>
      </c>
      <c r="H91" s="43">
        <v>9090</v>
      </c>
      <c r="I91" s="41">
        <f>$E91-0.2</f>
        <v>8.8000000000000043</v>
      </c>
    </row>
    <row r="92" spans="1:9" x14ac:dyDescent="0.15">
      <c r="A92" s="41">
        <v>91</v>
      </c>
      <c r="B92" s="41">
        <f>H61</f>
        <v>9060</v>
      </c>
      <c r="C92" s="41">
        <f>I61</f>
        <v>8.9000000000000039</v>
      </c>
      <c r="D92" s="43">
        <v>7091</v>
      </c>
      <c r="E92" s="41">
        <f>C92</f>
        <v>8.9000000000000039</v>
      </c>
      <c r="F92" s="43">
        <v>8091</v>
      </c>
      <c r="G92" s="41">
        <f>$E92-0.1</f>
        <v>8.8000000000000043</v>
      </c>
      <c r="H92" s="43">
        <v>9091</v>
      </c>
      <c r="I92" s="41">
        <f>$E92-0.2</f>
        <v>8.7000000000000046</v>
      </c>
    </row>
    <row r="93" spans="1:9" x14ac:dyDescent="0.15">
      <c r="A93" s="41">
        <v>92</v>
      </c>
      <c r="B93" s="41">
        <f>F62</f>
        <v>8061</v>
      </c>
      <c r="C93" s="41">
        <f>G62</f>
        <v>8.9000000000000039</v>
      </c>
      <c r="D93" s="43">
        <v>7092</v>
      </c>
      <c r="E93" s="41">
        <f>C93</f>
        <v>8.9000000000000039</v>
      </c>
      <c r="F93" s="43">
        <v>8092</v>
      </c>
      <c r="G93" s="41">
        <f>$E93-0.1</f>
        <v>8.8000000000000043</v>
      </c>
      <c r="H93" s="43">
        <v>9092</v>
      </c>
      <c r="I93" s="41">
        <f>$E93-0.2</f>
        <v>8.7000000000000046</v>
      </c>
    </row>
    <row r="94" spans="1:9" x14ac:dyDescent="0.15">
      <c r="A94" s="41">
        <v>93</v>
      </c>
      <c r="B94" s="41">
        <f>H62</f>
        <v>9061</v>
      </c>
      <c r="C94" s="41">
        <f>I62</f>
        <v>8.8000000000000043</v>
      </c>
      <c r="D94" s="43">
        <v>7093</v>
      </c>
      <c r="E94" s="41">
        <f>C94</f>
        <v>8.8000000000000043</v>
      </c>
      <c r="F94" s="43">
        <v>8093</v>
      </c>
      <c r="G94" s="41">
        <f>$E94-0.1</f>
        <v>8.7000000000000046</v>
      </c>
      <c r="H94" s="43">
        <v>9093</v>
      </c>
      <c r="I94" s="41">
        <f>$E94-0.2</f>
        <v>8.600000000000005</v>
      </c>
    </row>
    <row r="95" spans="1:9" x14ac:dyDescent="0.15">
      <c r="A95" s="41">
        <v>94</v>
      </c>
      <c r="B95" s="41">
        <f>H63</f>
        <v>9062</v>
      </c>
      <c r="C95" s="41">
        <f>I63</f>
        <v>8.9000000000000039</v>
      </c>
      <c r="D95" s="43">
        <v>7094</v>
      </c>
      <c r="E95" s="41">
        <f>C95</f>
        <v>8.9000000000000039</v>
      </c>
      <c r="F95" s="43">
        <v>8094</v>
      </c>
      <c r="G95" s="41">
        <f>$E95-0.1</f>
        <v>8.8000000000000043</v>
      </c>
      <c r="H95" s="43">
        <v>9094</v>
      </c>
      <c r="I95" s="41">
        <f>$E95-0.2</f>
        <v>8.7000000000000046</v>
      </c>
    </row>
    <row r="96" spans="1:9" x14ac:dyDescent="0.15">
      <c r="A96" s="41">
        <v>95</v>
      </c>
      <c r="B96" s="41">
        <f>F63</f>
        <v>8062</v>
      </c>
      <c r="C96" s="41">
        <f>G63</f>
        <v>9.0000000000000036</v>
      </c>
      <c r="D96" s="43">
        <v>7095</v>
      </c>
      <c r="E96" s="41">
        <f>C96</f>
        <v>9.0000000000000036</v>
      </c>
      <c r="F96" s="43">
        <v>8095</v>
      </c>
      <c r="G96" s="41">
        <f>$E96-0.1</f>
        <v>8.9000000000000039</v>
      </c>
      <c r="H96" s="43">
        <v>9095</v>
      </c>
      <c r="I96" s="41">
        <f>$E96-0.2</f>
        <v>8.8000000000000043</v>
      </c>
    </row>
    <row r="97" spans="1:9" x14ac:dyDescent="0.15">
      <c r="A97" s="41">
        <v>96</v>
      </c>
      <c r="B97" s="41">
        <f>F64</f>
        <v>8063</v>
      </c>
      <c r="C97" s="41">
        <f>G64</f>
        <v>8.9000000000000039</v>
      </c>
      <c r="D97" s="43">
        <v>7096</v>
      </c>
      <c r="E97" s="41">
        <f>C97</f>
        <v>8.9000000000000039</v>
      </c>
      <c r="F97" s="43">
        <v>8096</v>
      </c>
      <c r="G97" s="41">
        <f>$E97-0.1</f>
        <v>8.8000000000000043</v>
      </c>
      <c r="H97" s="43">
        <v>9096</v>
      </c>
      <c r="I97" s="41">
        <f>$E97-0.2</f>
        <v>8.7000000000000046</v>
      </c>
    </row>
    <row r="98" spans="1:9" x14ac:dyDescent="0.15">
      <c r="A98" s="41">
        <v>97</v>
      </c>
      <c r="B98" s="41">
        <f>H64</f>
        <v>9063</v>
      </c>
      <c r="C98" s="41">
        <f>I64</f>
        <v>8.8000000000000043</v>
      </c>
      <c r="D98" s="43">
        <v>7097</v>
      </c>
      <c r="E98" s="41">
        <f>C98</f>
        <v>8.8000000000000043</v>
      </c>
      <c r="F98" s="43">
        <v>8097</v>
      </c>
      <c r="G98" s="41">
        <f>$E98-0.1</f>
        <v>8.7000000000000046</v>
      </c>
      <c r="H98" s="43">
        <v>9097</v>
      </c>
      <c r="I98" s="41">
        <f>$E98-0.2</f>
        <v>8.600000000000005</v>
      </c>
    </row>
    <row r="99" spans="1:9" x14ac:dyDescent="0.15">
      <c r="A99" s="41">
        <v>98</v>
      </c>
      <c r="B99" s="41">
        <f>H65</f>
        <v>9064</v>
      </c>
      <c r="C99" s="41">
        <f>I65</f>
        <v>8.7000000000000046</v>
      </c>
      <c r="D99" s="43">
        <v>7098</v>
      </c>
      <c r="E99" s="41">
        <f>C99</f>
        <v>8.7000000000000046</v>
      </c>
      <c r="F99" s="43">
        <v>8098</v>
      </c>
      <c r="G99" s="41">
        <f>$E99-0.1</f>
        <v>8.600000000000005</v>
      </c>
      <c r="H99" s="43">
        <v>9098</v>
      </c>
      <c r="I99" s="41">
        <f>$E99-0.2</f>
        <v>8.5000000000000053</v>
      </c>
    </row>
    <row r="100" spans="1:9" x14ac:dyDescent="0.15">
      <c r="A100" s="41">
        <v>99</v>
      </c>
      <c r="B100" s="41">
        <f>F65</f>
        <v>8064</v>
      </c>
      <c r="C100" s="41">
        <f>G65</f>
        <v>8.8000000000000043</v>
      </c>
      <c r="D100" s="43">
        <v>7099</v>
      </c>
      <c r="E100" s="41">
        <f>C100</f>
        <v>8.8000000000000043</v>
      </c>
      <c r="F100" s="43">
        <v>8099</v>
      </c>
      <c r="G100" s="41">
        <f>$E100-0.1</f>
        <v>8.7000000000000046</v>
      </c>
      <c r="H100" s="43">
        <v>9099</v>
      </c>
      <c r="I100" s="41">
        <f>$E100-0.2</f>
        <v>8.600000000000005</v>
      </c>
    </row>
    <row r="101" spans="1:9" x14ac:dyDescent="0.15">
      <c r="A101" s="41">
        <v>100</v>
      </c>
      <c r="B101" s="41">
        <f>F68</f>
        <v>8067</v>
      </c>
      <c r="C101" s="41">
        <f>G68</f>
        <v>9.1000000000000032</v>
      </c>
      <c r="D101" s="43">
        <v>7100</v>
      </c>
      <c r="E101" s="41">
        <f>C101</f>
        <v>9.1000000000000032</v>
      </c>
      <c r="F101" s="43">
        <v>8100</v>
      </c>
      <c r="G101" s="41">
        <f>$E101-0.1</f>
        <v>9.0000000000000036</v>
      </c>
      <c r="H101" s="43">
        <v>9100</v>
      </c>
      <c r="I101" s="41">
        <f>$E101-0.2</f>
        <v>8.9000000000000039</v>
      </c>
    </row>
    <row r="102" spans="1:9" x14ac:dyDescent="0.15">
      <c r="A102" s="41">
        <v>101</v>
      </c>
      <c r="B102" s="41">
        <f>H68</f>
        <v>9067</v>
      </c>
      <c r="C102" s="41">
        <f>I68</f>
        <v>9.0000000000000036</v>
      </c>
      <c r="D102" s="43">
        <v>7101</v>
      </c>
      <c r="E102" s="41">
        <f>C102</f>
        <v>9.0000000000000036</v>
      </c>
      <c r="F102" s="43">
        <v>8101</v>
      </c>
      <c r="G102" s="41">
        <f>$E102-0.1</f>
        <v>8.9000000000000039</v>
      </c>
      <c r="H102" s="43">
        <v>9101</v>
      </c>
      <c r="I102" s="41">
        <f>$E102-0.2</f>
        <v>8.8000000000000043</v>
      </c>
    </row>
    <row r="103" spans="1:9" x14ac:dyDescent="0.15">
      <c r="A103" s="41">
        <v>102</v>
      </c>
      <c r="B103" s="41">
        <f>F69</f>
        <v>8068</v>
      </c>
      <c r="C103" s="41">
        <f>G69</f>
        <v>9.0000000000000036</v>
      </c>
      <c r="D103" s="43">
        <v>7102</v>
      </c>
      <c r="E103" s="41">
        <f>C103</f>
        <v>9.0000000000000036</v>
      </c>
      <c r="F103" s="43">
        <v>8102</v>
      </c>
      <c r="G103" s="41">
        <f>$E103-0.1</f>
        <v>8.9000000000000039</v>
      </c>
      <c r="H103" s="43">
        <v>9102</v>
      </c>
      <c r="I103" s="41">
        <f>$E103-0.2</f>
        <v>8.8000000000000043</v>
      </c>
    </row>
    <row r="104" spans="1:9" x14ac:dyDescent="0.15">
      <c r="A104" s="41">
        <v>103</v>
      </c>
      <c r="B104" s="41">
        <f>H69</f>
        <v>9068</v>
      </c>
      <c r="C104" s="41">
        <f>I69</f>
        <v>8.9000000000000039</v>
      </c>
      <c r="D104" s="43">
        <v>7103</v>
      </c>
      <c r="E104" s="41">
        <f>C104</f>
        <v>8.9000000000000039</v>
      </c>
      <c r="F104" s="43">
        <v>8103</v>
      </c>
      <c r="G104" s="41">
        <f>$E104-0.1</f>
        <v>8.8000000000000043</v>
      </c>
      <c r="H104" s="43">
        <v>9103</v>
      </c>
      <c r="I104" s="41">
        <f>$E104-0.2</f>
        <v>8.7000000000000046</v>
      </c>
    </row>
    <row r="105" spans="1:9" x14ac:dyDescent="0.15">
      <c r="A105" s="41">
        <v>104</v>
      </c>
      <c r="B105" s="41">
        <f>D70</f>
        <v>7069</v>
      </c>
      <c r="C105" s="41">
        <f>E70</f>
        <v>8.9000000000000039</v>
      </c>
      <c r="D105" s="43">
        <v>7104</v>
      </c>
      <c r="E105" s="41">
        <f>C105</f>
        <v>8.9000000000000039</v>
      </c>
      <c r="F105" s="43">
        <v>8104</v>
      </c>
      <c r="G105" s="41">
        <f>$E105-0.1</f>
        <v>8.8000000000000043</v>
      </c>
      <c r="H105" s="43">
        <v>9104</v>
      </c>
      <c r="I105" s="41">
        <f>$E105-0.2</f>
        <v>8.7000000000000046</v>
      </c>
    </row>
    <row r="106" spans="1:9" x14ac:dyDescent="0.15">
      <c r="A106" s="41">
        <v>105</v>
      </c>
      <c r="B106" s="41">
        <f>H70</f>
        <v>9069</v>
      </c>
      <c r="C106" s="41">
        <f>I70</f>
        <v>8.7000000000000046</v>
      </c>
      <c r="D106" s="43">
        <v>7105</v>
      </c>
      <c r="E106" s="41">
        <f>C106</f>
        <v>8.7000000000000046</v>
      </c>
      <c r="F106" s="43">
        <v>8105</v>
      </c>
      <c r="G106" s="41">
        <f>$E106-0.1</f>
        <v>8.600000000000005</v>
      </c>
      <c r="H106" s="43">
        <v>9105</v>
      </c>
      <c r="I106" s="41">
        <f>$E106-0.2</f>
        <v>8.5000000000000053</v>
      </c>
    </row>
    <row r="107" spans="1:9" x14ac:dyDescent="0.15">
      <c r="A107" s="41">
        <v>106</v>
      </c>
      <c r="B107" s="41">
        <f>H71</f>
        <v>9070</v>
      </c>
      <c r="C107" s="41">
        <f>I71</f>
        <v>8.600000000000005</v>
      </c>
      <c r="D107" s="43">
        <v>7106</v>
      </c>
      <c r="E107" s="41">
        <f>C107</f>
        <v>8.600000000000005</v>
      </c>
      <c r="F107" s="43">
        <v>8106</v>
      </c>
      <c r="G107" s="41">
        <f>$E107-0.1</f>
        <v>8.5000000000000053</v>
      </c>
      <c r="H107" s="43">
        <v>9106</v>
      </c>
      <c r="I107" s="41">
        <f>$E107-0.2</f>
        <v>8.4000000000000057</v>
      </c>
    </row>
    <row r="108" spans="1:9" x14ac:dyDescent="0.15">
      <c r="A108" s="41">
        <v>107</v>
      </c>
      <c r="B108" s="41">
        <f>F71</f>
        <v>8070</v>
      </c>
      <c r="C108" s="41">
        <f>G71</f>
        <v>8.7000000000000046</v>
      </c>
      <c r="D108" s="43">
        <v>7107</v>
      </c>
      <c r="E108" s="41">
        <f>C108</f>
        <v>8.7000000000000046</v>
      </c>
      <c r="F108" s="43">
        <v>8107</v>
      </c>
      <c r="G108" s="41">
        <f>$E108-0.1</f>
        <v>8.600000000000005</v>
      </c>
      <c r="H108" s="43">
        <v>9107</v>
      </c>
      <c r="I108" s="41">
        <f>$E108-0.2</f>
        <v>8.5000000000000053</v>
      </c>
    </row>
    <row r="109" spans="1:9" x14ac:dyDescent="0.15">
      <c r="A109" s="41">
        <v>108</v>
      </c>
      <c r="B109" s="41">
        <f>F72</f>
        <v>8071</v>
      </c>
      <c r="C109" s="41">
        <f>G72</f>
        <v>8.7000000000000046</v>
      </c>
      <c r="D109" s="43">
        <v>7108</v>
      </c>
      <c r="E109" s="41">
        <f>C109</f>
        <v>8.7000000000000046</v>
      </c>
      <c r="F109" s="43">
        <v>8108</v>
      </c>
      <c r="G109" s="41">
        <f>$E109-0.1</f>
        <v>8.600000000000005</v>
      </c>
      <c r="H109" s="43">
        <v>9108</v>
      </c>
      <c r="I109" s="41">
        <f>$E109-0.2</f>
        <v>8.5000000000000053</v>
      </c>
    </row>
    <row r="110" spans="1:9" x14ac:dyDescent="0.15">
      <c r="A110" s="41">
        <v>109</v>
      </c>
      <c r="B110" s="41">
        <f>H72</f>
        <v>9071</v>
      </c>
      <c r="C110" s="41">
        <f>I72</f>
        <v>8.600000000000005</v>
      </c>
      <c r="D110" s="43">
        <v>7109</v>
      </c>
      <c r="E110" s="41">
        <f>C110</f>
        <v>8.600000000000005</v>
      </c>
      <c r="F110" s="43">
        <v>8109</v>
      </c>
      <c r="G110" s="41">
        <f>$E110-0.1</f>
        <v>8.5000000000000053</v>
      </c>
      <c r="H110" s="43">
        <v>9109</v>
      </c>
      <c r="I110" s="41">
        <f>$E110-0.2</f>
        <v>8.4000000000000057</v>
      </c>
    </row>
    <row r="111" spans="1:9" x14ac:dyDescent="0.15">
      <c r="A111" s="41">
        <v>110</v>
      </c>
      <c r="B111" s="41">
        <f>H48</f>
        <v>9047</v>
      </c>
      <c r="C111" s="41">
        <f>I48</f>
        <v>8.9000000000000039</v>
      </c>
      <c r="D111" s="43">
        <v>7110</v>
      </c>
      <c r="E111" s="41">
        <f>C111</f>
        <v>8.9000000000000039</v>
      </c>
      <c r="F111" s="43">
        <v>8110</v>
      </c>
      <c r="G111" s="41">
        <f>$E111-0.1</f>
        <v>8.8000000000000043</v>
      </c>
      <c r="H111" s="43">
        <v>9110</v>
      </c>
      <c r="I111" s="41">
        <f>$E111-0.2</f>
        <v>8.7000000000000046</v>
      </c>
    </row>
    <row r="112" spans="1:9" x14ac:dyDescent="0.15">
      <c r="A112" s="41">
        <v>111</v>
      </c>
      <c r="B112" s="41">
        <f>D73</f>
        <v>7072</v>
      </c>
      <c r="C112" s="41">
        <f>E73</f>
        <v>9.1000000000000032</v>
      </c>
      <c r="D112" s="43">
        <v>7111</v>
      </c>
      <c r="E112" s="41">
        <f>C112</f>
        <v>9.1000000000000032</v>
      </c>
      <c r="F112" s="43">
        <v>8111</v>
      </c>
      <c r="G112" s="41">
        <f>$E112-0.1</f>
        <v>9.0000000000000036</v>
      </c>
      <c r="H112" s="43">
        <v>9111</v>
      </c>
      <c r="I112" s="41">
        <f>$E112-0.2</f>
        <v>8.9000000000000039</v>
      </c>
    </row>
    <row r="113" spans="1:9" x14ac:dyDescent="0.15">
      <c r="A113" s="41">
        <v>112</v>
      </c>
      <c r="B113" s="41">
        <f>H73</f>
        <v>9072</v>
      </c>
      <c r="C113" s="41">
        <f>I73</f>
        <v>8.9000000000000039</v>
      </c>
      <c r="D113" s="43">
        <v>7112</v>
      </c>
      <c r="E113" s="41">
        <f>C113</f>
        <v>8.9000000000000039</v>
      </c>
      <c r="F113" s="43">
        <v>8112</v>
      </c>
      <c r="G113" s="41">
        <f>$E113-0.1</f>
        <v>8.8000000000000043</v>
      </c>
      <c r="H113" s="43">
        <v>9112</v>
      </c>
      <c r="I113" s="41">
        <f>$E113-0.2</f>
        <v>8.7000000000000046</v>
      </c>
    </row>
    <row r="114" spans="1:9" x14ac:dyDescent="0.15">
      <c r="A114" s="41">
        <v>113</v>
      </c>
      <c r="B114" s="41">
        <f>F74</f>
        <v>8073</v>
      </c>
      <c r="C114" s="41">
        <f>G74</f>
        <v>8.9000000000000039</v>
      </c>
      <c r="D114" s="43">
        <v>7113</v>
      </c>
      <c r="E114" s="41">
        <f>C114</f>
        <v>8.9000000000000039</v>
      </c>
      <c r="F114" s="43">
        <v>8113</v>
      </c>
      <c r="G114" s="41">
        <f>$E114-0.1</f>
        <v>8.8000000000000043</v>
      </c>
      <c r="H114" s="43">
        <v>9113</v>
      </c>
      <c r="I114" s="41">
        <f>$E114-0.2</f>
        <v>8.7000000000000046</v>
      </c>
    </row>
    <row r="115" spans="1:9" x14ac:dyDescent="0.15">
      <c r="A115" s="41">
        <v>114</v>
      </c>
      <c r="B115" s="41">
        <f>H74</f>
        <v>9073</v>
      </c>
      <c r="C115" s="41">
        <f>I74</f>
        <v>8.8000000000000043</v>
      </c>
      <c r="D115" s="43">
        <v>7114</v>
      </c>
      <c r="E115" s="41">
        <f>C115</f>
        <v>8.8000000000000043</v>
      </c>
      <c r="F115" s="43">
        <v>8114</v>
      </c>
      <c r="G115" s="41">
        <f>$E115-0.1</f>
        <v>8.7000000000000046</v>
      </c>
      <c r="H115" s="43">
        <v>9114</v>
      </c>
      <c r="I115" s="41">
        <f>$E115-0.2</f>
        <v>8.600000000000005</v>
      </c>
    </row>
    <row r="116" spans="1:9" x14ac:dyDescent="0.15">
      <c r="A116" s="41">
        <v>115</v>
      </c>
      <c r="B116" s="41">
        <f>H75</f>
        <v>9074</v>
      </c>
      <c r="C116" s="41">
        <f>I75</f>
        <v>8.9000000000000039</v>
      </c>
      <c r="D116" s="43">
        <v>7115</v>
      </c>
      <c r="E116" s="41">
        <f>C116</f>
        <v>8.9000000000000039</v>
      </c>
      <c r="F116" s="43">
        <v>8115</v>
      </c>
      <c r="G116" s="41">
        <f>$E116-0.1</f>
        <v>8.8000000000000043</v>
      </c>
      <c r="H116" s="43">
        <v>9115</v>
      </c>
      <c r="I116" s="41">
        <f>$E116-0.2</f>
        <v>8.7000000000000046</v>
      </c>
    </row>
    <row r="117" spans="1:9" x14ac:dyDescent="0.15">
      <c r="A117" s="41">
        <v>116</v>
      </c>
      <c r="B117" s="41">
        <f>F75</f>
        <v>8074</v>
      </c>
      <c r="C117" s="41">
        <f>G75</f>
        <v>9.0000000000000036</v>
      </c>
      <c r="D117" s="43">
        <v>7116</v>
      </c>
      <c r="E117" s="41">
        <f>C117</f>
        <v>9.0000000000000036</v>
      </c>
      <c r="F117" s="43">
        <v>8116</v>
      </c>
      <c r="G117" s="41">
        <f>$E117-0.1</f>
        <v>8.9000000000000039</v>
      </c>
      <c r="H117" s="43">
        <v>9116</v>
      </c>
      <c r="I117" s="41">
        <f>$E117-0.2</f>
        <v>8.8000000000000043</v>
      </c>
    </row>
    <row r="118" spans="1:9" x14ac:dyDescent="0.15">
      <c r="A118" s="41">
        <v>117</v>
      </c>
      <c r="B118" s="41">
        <f>F76</f>
        <v>8075</v>
      </c>
      <c r="C118" s="41">
        <f>G76</f>
        <v>9.1000000000000032</v>
      </c>
      <c r="D118" s="43">
        <v>7117</v>
      </c>
      <c r="E118" s="41">
        <f>C118</f>
        <v>9.1000000000000032</v>
      </c>
      <c r="F118" s="43">
        <v>8117</v>
      </c>
      <c r="G118" s="41">
        <f>$E118-0.1</f>
        <v>9.0000000000000036</v>
      </c>
      <c r="H118" s="43">
        <v>9117</v>
      </c>
      <c r="I118" s="41">
        <f>$E118-0.2</f>
        <v>8.9000000000000039</v>
      </c>
    </row>
    <row r="119" spans="1:9" x14ac:dyDescent="0.15">
      <c r="A119" s="41">
        <v>118</v>
      </c>
      <c r="B119" s="41">
        <f>H76</f>
        <v>9075</v>
      </c>
      <c r="C119" s="41">
        <f>I76</f>
        <v>9.0000000000000036</v>
      </c>
      <c r="D119" s="43">
        <v>7118</v>
      </c>
      <c r="E119" s="41">
        <f>C119</f>
        <v>9.0000000000000036</v>
      </c>
      <c r="F119" s="43">
        <v>8118</v>
      </c>
      <c r="G119" s="41">
        <f>$E119-0.1</f>
        <v>8.9000000000000039</v>
      </c>
      <c r="H119" s="43">
        <v>9118</v>
      </c>
      <c r="I119" s="41">
        <f>$E119-0.2</f>
        <v>8.8000000000000043</v>
      </c>
    </row>
    <row r="120" spans="1:9" x14ac:dyDescent="0.15">
      <c r="A120" s="41">
        <v>119</v>
      </c>
      <c r="B120" s="41">
        <f>F81</f>
        <v>8080</v>
      </c>
      <c r="C120" s="41">
        <f>G81</f>
        <v>8.8000000000000043</v>
      </c>
      <c r="D120" s="43">
        <v>7119</v>
      </c>
      <c r="E120" s="41">
        <f>C120</f>
        <v>8.8000000000000043</v>
      </c>
      <c r="F120" s="43">
        <v>8119</v>
      </c>
      <c r="G120" s="41">
        <f>$E120-0.1</f>
        <v>8.7000000000000046</v>
      </c>
      <c r="H120" s="43">
        <v>9119</v>
      </c>
      <c r="I120" s="41">
        <f>$E120-0.2</f>
        <v>8.600000000000005</v>
      </c>
    </row>
    <row r="121" spans="1:9" x14ac:dyDescent="0.15">
      <c r="A121" s="41">
        <v>120</v>
      </c>
      <c r="B121" s="41">
        <f>H83</f>
        <v>9082</v>
      </c>
      <c r="C121" s="41">
        <f>I83</f>
        <v>8.7000000000000046</v>
      </c>
      <c r="D121" s="43">
        <v>7120</v>
      </c>
      <c r="E121" s="41">
        <f>C121</f>
        <v>8.7000000000000046</v>
      </c>
      <c r="F121" s="43">
        <v>8120</v>
      </c>
      <c r="G121" s="41">
        <f>$E121-0.1</f>
        <v>8.600000000000005</v>
      </c>
      <c r="H121" s="43">
        <v>9120</v>
      </c>
      <c r="I121" s="41">
        <f>$E121-0.2</f>
        <v>8.5000000000000053</v>
      </c>
    </row>
    <row r="122" spans="1:9" x14ac:dyDescent="0.15">
      <c r="A122" s="41">
        <v>121</v>
      </c>
      <c r="B122" s="41">
        <f>F83</f>
        <v>8082</v>
      </c>
      <c r="C122" s="41">
        <f>G83</f>
        <v>8.8000000000000043</v>
      </c>
      <c r="D122" s="43">
        <v>7121</v>
      </c>
      <c r="E122" s="41">
        <f>C122</f>
        <v>8.8000000000000043</v>
      </c>
      <c r="F122" s="43">
        <v>8121</v>
      </c>
      <c r="G122" s="41">
        <f>$E122-0.1</f>
        <v>8.7000000000000046</v>
      </c>
      <c r="H122" s="43">
        <v>9121</v>
      </c>
      <c r="I122" s="41">
        <f>$E122-0.2</f>
        <v>8.600000000000005</v>
      </c>
    </row>
    <row r="123" spans="1:9" x14ac:dyDescent="0.15">
      <c r="A123" s="41">
        <v>122</v>
      </c>
      <c r="B123" s="41">
        <f>H87</f>
        <v>9086</v>
      </c>
      <c r="C123" s="41">
        <f>I87</f>
        <v>8.7000000000000046</v>
      </c>
      <c r="D123" s="43">
        <v>7122</v>
      </c>
      <c r="E123" s="41">
        <f>C123</f>
        <v>8.7000000000000046</v>
      </c>
      <c r="F123" s="43">
        <v>8122</v>
      </c>
      <c r="G123" s="41">
        <f>$E123-0.1</f>
        <v>8.600000000000005</v>
      </c>
      <c r="H123" s="43">
        <v>9122</v>
      </c>
      <c r="I123" s="41">
        <f>$E123-0.2</f>
        <v>8.5000000000000053</v>
      </c>
    </row>
    <row r="124" spans="1:9" x14ac:dyDescent="0.15">
      <c r="A124" s="41">
        <v>123</v>
      </c>
      <c r="B124" s="41">
        <f>H89</f>
        <v>9088</v>
      </c>
      <c r="C124" s="41">
        <f>I89</f>
        <v>8.8000000000000043</v>
      </c>
      <c r="D124" s="43">
        <v>7123</v>
      </c>
      <c r="E124" s="41">
        <f>C124</f>
        <v>8.8000000000000043</v>
      </c>
      <c r="F124" s="43">
        <v>8123</v>
      </c>
      <c r="G124" s="41">
        <f>$E124-0.1</f>
        <v>8.7000000000000046</v>
      </c>
      <c r="H124" s="43">
        <v>9123</v>
      </c>
      <c r="I124" s="41">
        <f>$E124-0.2</f>
        <v>8.600000000000005</v>
      </c>
    </row>
    <row r="125" spans="1:9" x14ac:dyDescent="0.15">
      <c r="A125" s="41">
        <v>124</v>
      </c>
      <c r="B125" s="41">
        <f>F89</f>
        <v>8088</v>
      </c>
      <c r="C125" s="41">
        <f>G89</f>
        <v>8.9000000000000039</v>
      </c>
      <c r="D125" s="43">
        <v>7124</v>
      </c>
      <c r="E125" s="41">
        <f>C125</f>
        <v>8.9000000000000039</v>
      </c>
      <c r="F125" s="43">
        <v>8124</v>
      </c>
      <c r="G125" s="41">
        <f>$E125-0.1</f>
        <v>8.8000000000000043</v>
      </c>
      <c r="H125" s="43">
        <v>9124</v>
      </c>
      <c r="I125" s="41">
        <f>$E125-0.2</f>
        <v>8.7000000000000046</v>
      </c>
    </row>
    <row r="126" spans="1:9" x14ac:dyDescent="0.15">
      <c r="A126" s="41">
        <v>125</v>
      </c>
      <c r="B126" s="41">
        <f>F92</f>
        <v>8091</v>
      </c>
      <c r="C126" s="41">
        <f>G92</f>
        <v>8.8000000000000043</v>
      </c>
      <c r="D126" s="43">
        <v>7125</v>
      </c>
      <c r="E126" s="41">
        <f>C126</f>
        <v>8.8000000000000043</v>
      </c>
      <c r="F126" s="43">
        <v>8125</v>
      </c>
      <c r="G126" s="41">
        <f>$E126-0.1</f>
        <v>8.7000000000000046</v>
      </c>
      <c r="H126" s="43">
        <v>9125</v>
      </c>
      <c r="I126" s="41">
        <f>$E126-0.2</f>
        <v>8.600000000000005</v>
      </c>
    </row>
    <row r="127" spans="1:9" x14ac:dyDescent="0.15">
      <c r="A127" s="41">
        <v>126</v>
      </c>
      <c r="B127" s="41">
        <f>H92</f>
        <v>9091</v>
      </c>
      <c r="C127" s="41">
        <f>I92</f>
        <v>8.7000000000000046</v>
      </c>
      <c r="D127" s="43">
        <v>7126</v>
      </c>
      <c r="E127" s="41">
        <f>C127</f>
        <v>8.7000000000000046</v>
      </c>
      <c r="F127" s="43">
        <v>8126</v>
      </c>
      <c r="G127" s="41">
        <f>$E127-0.1</f>
        <v>8.600000000000005</v>
      </c>
      <c r="H127" s="43">
        <v>9126</v>
      </c>
      <c r="I127" s="41">
        <f>$E127-0.2</f>
        <v>8.5000000000000053</v>
      </c>
    </row>
    <row r="128" spans="1:9" x14ac:dyDescent="0.15">
      <c r="A128" s="41">
        <v>127</v>
      </c>
      <c r="B128" s="41">
        <f>D93</f>
        <v>7092</v>
      </c>
      <c r="C128" s="41">
        <f>E93</f>
        <v>8.9000000000000039</v>
      </c>
      <c r="D128" s="43">
        <v>7127</v>
      </c>
      <c r="E128" s="41">
        <f>C128</f>
        <v>8.9000000000000039</v>
      </c>
      <c r="F128" s="43">
        <v>8127</v>
      </c>
      <c r="G128" s="41">
        <f>$E128-0.1</f>
        <v>8.8000000000000043</v>
      </c>
      <c r="H128" s="43">
        <v>9127</v>
      </c>
      <c r="I128" s="41">
        <f>$E128-0.2</f>
        <v>8.7000000000000046</v>
      </c>
    </row>
    <row r="129" spans="1:9" x14ac:dyDescent="0.15">
      <c r="A129" s="41">
        <v>128</v>
      </c>
      <c r="B129" s="41">
        <f>F93</f>
        <v>8092</v>
      </c>
      <c r="C129" s="41">
        <f>G93</f>
        <v>8.8000000000000043</v>
      </c>
      <c r="D129" s="43">
        <v>7128</v>
      </c>
      <c r="E129" s="41">
        <f>C129</f>
        <v>8.8000000000000043</v>
      </c>
      <c r="F129" s="43">
        <v>8128</v>
      </c>
      <c r="G129" s="41">
        <f>$E129-0.1</f>
        <v>8.7000000000000046</v>
      </c>
      <c r="H129" s="43">
        <v>9128</v>
      </c>
      <c r="I129" s="41">
        <f>$E129-0.2</f>
        <v>8.600000000000005</v>
      </c>
    </row>
    <row r="130" spans="1:9" x14ac:dyDescent="0.15">
      <c r="A130" s="41">
        <v>129</v>
      </c>
      <c r="B130" s="41">
        <f>H93</f>
        <v>9092</v>
      </c>
      <c r="C130" s="41">
        <f>I93</f>
        <v>8.7000000000000046</v>
      </c>
      <c r="D130" s="43">
        <v>7129</v>
      </c>
      <c r="E130" s="41">
        <f>C130</f>
        <v>8.7000000000000046</v>
      </c>
      <c r="F130" s="43">
        <v>8129</v>
      </c>
      <c r="G130" s="41">
        <f>$E130-0.1</f>
        <v>8.600000000000005</v>
      </c>
      <c r="H130" s="43">
        <v>9129</v>
      </c>
      <c r="I130" s="41">
        <f>$E130-0.2</f>
        <v>8.5000000000000053</v>
      </c>
    </row>
    <row r="131" spans="1:9" x14ac:dyDescent="0.15">
      <c r="A131" s="41">
        <v>130</v>
      </c>
      <c r="B131" s="41">
        <f>H93</f>
        <v>9092</v>
      </c>
      <c r="C131" s="41">
        <f>I93</f>
        <v>8.7000000000000046</v>
      </c>
      <c r="D131" s="43">
        <v>7130</v>
      </c>
      <c r="E131" s="41">
        <f>C131</f>
        <v>8.7000000000000046</v>
      </c>
      <c r="F131" s="43">
        <v>8130</v>
      </c>
      <c r="G131" s="41">
        <f>$E131-0.1</f>
        <v>8.600000000000005</v>
      </c>
      <c r="H131" s="43">
        <v>9130</v>
      </c>
      <c r="I131" s="41">
        <f>$E131-0.2</f>
        <v>8.5000000000000053</v>
      </c>
    </row>
    <row r="132" spans="1:9" x14ac:dyDescent="0.15">
      <c r="A132" s="41">
        <v>131</v>
      </c>
      <c r="B132" s="41">
        <f>H95</f>
        <v>9094</v>
      </c>
      <c r="C132" s="41">
        <f>I95</f>
        <v>8.7000000000000046</v>
      </c>
      <c r="D132" s="43">
        <v>7131</v>
      </c>
      <c r="E132" s="41">
        <f>C132</f>
        <v>8.7000000000000046</v>
      </c>
      <c r="F132" s="43">
        <v>8131</v>
      </c>
      <c r="G132" s="41">
        <f>$E132-0.1</f>
        <v>8.600000000000005</v>
      </c>
      <c r="H132" s="43">
        <v>9131</v>
      </c>
      <c r="I132" s="41">
        <f>$E132-0.2</f>
        <v>8.5000000000000053</v>
      </c>
    </row>
    <row r="133" spans="1:9" x14ac:dyDescent="0.15">
      <c r="A133" s="41">
        <v>132</v>
      </c>
      <c r="B133" s="41">
        <f>F95</f>
        <v>8094</v>
      </c>
      <c r="C133" s="41">
        <f>G95</f>
        <v>8.8000000000000043</v>
      </c>
      <c r="D133" s="43">
        <v>7132</v>
      </c>
      <c r="E133" s="41">
        <f>C133</f>
        <v>8.8000000000000043</v>
      </c>
      <c r="F133" s="43">
        <v>8132</v>
      </c>
      <c r="G133" s="41">
        <f>$E133-0.1</f>
        <v>8.7000000000000046</v>
      </c>
      <c r="H133" s="43">
        <v>9132</v>
      </c>
      <c r="I133" s="41">
        <f>$E133-0.2</f>
        <v>8.600000000000005</v>
      </c>
    </row>
    <row r="134" spans="1:9" x14ac:dyDescent="0.15">
      <c r="A134" s="41">
        <v>133</v>
      </c>
      <c r="B134" s="41">
        <f>F97</f>
        <v>8096</v>
      </c>
      <c r="C134" s="41">
        <f>G97</f>
        <v>8.8000000000000043</v>
      </c>
      <c r="D134" s="43">
        <v>7133</v>
      </c>
      <c r="E134" s="41">
        <f>C134</f>
        <v>8.8000000000000043</v>
      </c>
      <c r="F134" s="43">
        <v>8133</v>
      </c>
      <c r="G134" s="41">
        <f>$E134-0.1</f>
        <v>8.7000000000000046</v>
      </c>
      <c r="H134" s="43">
        <v>9133</v>
      </c>
      <c r="I134" s="41">
        <f>$E134-0.2</f>
        <v>8.600000000000005</v>
      </c>
    </row>
    <row r="135" spans="1:9" x14ac:dyDescent="0.15">
      <c r="A135" s="41">
        <v>134</v>
      </c>
      <c r="B135" s="41">
        <f>H97</f>
        <v>9096</v>
      </c>
      <c r="C135" s="41">
        <f>I97</f>
        <v>8.7000000000000046</v>
      </c>
      <c r="D135" s="43">
        <v>7134</v>
      </c>
      <c r="E135" s="41">
        <f>C135</f>
        <v>8.7000000000000046</v>
      </c>
      <c r="F135" s="43">
        <v>8134</v>
      </c>
      <c r="G135" s="41">
        <f>$E135-0.1</f>
        <v>8.600000000000005</v>
      </c>
      <c r="H135" s="43">
        <v>9134</v>
      </c>
      <c r="I135" s="41">
        <f>$E135-0.2</f>
        <v>8.5000000000000053</v>
      </c>
    </row>
    <row r="136" spans="1:9" x14ac:dyDescent="0.15">
      <c r="A136" s="41">
        <v>135</v>
      </c>
      <c r="B136" s="41">
        <f>F99</f>
        <v>8098</v>
      </c>
      <c r="C136" s="41">
        <f>G99</f>
        <v>8.600000000000005</v>
      </c>
      <c r="D136" s="43">
        <v>7135</v>
      </c>
      <c r="E136" s="41">
        <f>C136</f>
        <v>8.600000000000005</v>
      </c>
      <c r="F136" s="43">
        <v>8135</v>
      </c>
      <c r="G136" s="41">
        <f>$E136-0.1</f>
        <v>8.5000000000000053</v>
      </c>
      <c r="H136" s="43">
        <v>9135</v>
      </c>
      <c r="I136" s="41">
        <f>$E136-0.2</f>
        <v>8.4000000000000057</v>
      </c>
    </row>
    <row r="137" spans="1:9" x14ac:dyDescent="0.15">
      <c r="A137" s="41">
        <v>136</v>
      </c>
      <c r="B137" s="41">
        <f>H99</f>
        <v>9098</v>
      </c>
      <c r="C137" s="41">
        <f>I99</f>
        <v>8.5000000000000053</v>
      </c>
      <c r="D137" s="43">
        <v>7136</v>
      </c>
      <c r="E137" s="41">
        <f>C137</f>
        <v>8.5000000000000053</v>
      </c>
      <c r="F137" s="43">
        <v>8136</v>
      </c>
      <c r="G137" s="41">
        <f>$E137-0.1</f>
        <v>8.4000000000000057</v>
      </c>
      <c r="H137" s="43">
        <v>9136</v>
      </c>
      <c r="I137" s="41">
        <f>$E137-0.2</f>
        <v>8.300000000000006</v>
      </c>
    </row>
    <row r="138" spans="1:9" x14ac:dyDescent="0.15">
      <c r="A138" s="41">
        <v>137</v>
      </c>
      <c r="B138" s="41">
        <f>H100</f>
        <v>9099</v>
      </c>
      <c r="C138" s="41">
        <f>I100</f>
        <v>8.600000000000005</v>
      </c>
      <c r="D138" s="43">
        <v>7137</v>
      </c>
      <c r="E138" s="41">
        <f>C138</f>
        <v>8.600000000000005</v>
      </c>
      <c r="F138" s="43">
        <v>8137</v>
      </c>
      <c r="G138" s="41">
        <f>$E138-0.1</f>
        <v>8.5000000000000053</v>
      </c>
      <c r="H138" s="43">
        <v>9137</v>
      </c>
      <c r="I138" s="41">
        <f>$E138-0.2</f>
        <v>8.4000000000000057</v>
      </c>
    </row>
    <row r="139" spans="1:9" x14ac:dyDescent="0.15">
      <c r="A139" s="41">
        <v>138</v>
      </c>
      <c r="B139" s="41">
        <f>F100</f>
        <v>8099</v>
      </c>
      <c r="C139" s="41">
        <f>G100</f>
        <v>8.7000000000000046</v>
      </c>
      <c r="D139" s="43">
        <v>7138</v>
      </c>
      <c r="E139" s="41">
        <f>C139</f>
        <v>8.7000000000000046</v>
      </c>
      <c r="F139" s="43">
        <v>8138</v>
      </c>
      <c r="G139" s="41">
        <f>$E139-0.1</f>
        <v>8.600000000000005</v>
      </c>
      <c r="H139" s="43">
        <v>9138</v>
      </c>
      <c r="I139" s="41">
        <f>$E139-0.2</f>
        <v>8.5000000000000053</v>
      </c>
    </row>
    <row r="140" spans="1:9" x14ac:dyDescent="0.15">
      <c r="A140" s="41">
        <v>139</v>
      </c>
      <c r="B140" s="41">
        <f>F101</f>
        <v>8100</v>
      </c>
      <c r="C140" s="41">
        <f>G101</f>
        <v>9.0000000000000036</v>
      </c>
      <c r="D140" s="43">
        <v>7139</v>
      </c>
      <c r="E140" s="41">
        <f>C140</f>
        <v>9.0000000000000036</v>
      </c>
      <c r="F140" s="43">
        <v>8139</v>
      </c>
      <c r="G140" s="41">
        <f>$E140-0.1</f>
        <v>8.9000000000000039</v>
      </c>
      <c r="H140" s="43">
        <v>9139</v>
      </c>
      <c r="I140" s="41">
        <f>$E140-0.2</f>
        <v>8.8000000000000043</v>
      </c>
    </row>
    <row r="141" spans="1:9" x14ac:dyDescent="0.15">
      <c r="A141" s="41">
        <v>140</v>
      </c>
      <c r="B141" s="41">
        <f>H101</f>
        <v>9100</v>
      </c>
      <c r="C141" s="41">
        <f>I101</f>
        <v>8.9000000000000039</v>
      </c>
      <c r="D141" s="43">
        <v>7140</v>
      </c>
      <c r="E141" s="41">
        <f>C141</f>
        <v>8.9000000000000039</v>
      </c>
      <c r="F141" s="43">
        <v>8140</v>
      </c>
      <c r="G141" s="41">
        <f>$E141-0.1</f>
        <v>8.8000000000000043</v>
      </c>
      <c r="H141" s="43">
        <v>9140</v>
      </c>
      <c r="I141" s="41">
        <f>$E141-0.2</f>
        <v>8.7000000000000046</v>
      </c>
    </row>
    <row r="142" spans="1:9" x14ac:dyDescent="0.15">
      <c r="A142" s="41">
        <v>141</v>
      </c>
      <c r="B142" s="41">
        <f>F104</f>
        <v>8103</v>
      </c>
      <c r="C142" s="41">
        <f>G104</f>
        <v>8.8000000000000043</v>
      </c>
      <c r="D142" s="43">
        <v>7141</v>
      </c>
      <c r="E142" s="41">
        <f>C142</f>
        <v>8.8000000000000043</v>
      </c>
      <c r="F142" s="43">
        <v>8141</v>
      </c>
      <c r="G142" s="41">
        <f>$E142-0.1</f>
        <v>8.7000000000000046</v>
      </c>
      <c r="H142" s="43">
        <v>9141</v>
      </c>
      <c r="I142" s="41">
        <f>$E142-0.2</f>
        <v>8.600000000000005</v>
      </c>
    </row>
    <row r="143" spans="1:9" x14ac:dyDescent="0.15">
      <c r="A143" s="41">
        <v>142</v>
      </c>
      <c r="B143" s="41">
        <f>H104</f>
        <v>9103</v>
      </c>
      <c r="C143" s="41">
        <f>I104</f>
        <v>8.7000000000000046</v>
      </c>
      <c r="D143" s="43">
        <v>7142</v>
      </c>
      <c r="E143" s="41">
        <f>C143</f>
        <v>8.7000000000000046</v>
      </c>
      <c r="F143" s="43">
        <v>8142</v>
      </c>
      <c r="G143" s="41">
        <f>$E143-0.1</f>
        <v>8.600000000000005</v>
      </c>
      <c r="H143" s="43">
        <v>9142</v>
      </c>
      <c r="I143" s="41">
        <f>$E143-0.2</f>
        <v>8.5000000000000053</v>
      </c>
    </row>
    <row r="144" spans="1:9" x14ac:dyDescent="0.15">
      <c r="A144" s="41">
        <v>143</v>
      </c>
      <c r="B144" s="41">
        <f>H105</f>
        <v>9104</v>
      </c>
      <c r="C144" s="41">
        <f>I105</f>
        <v>8.7000000000000046</v>
      </c>
      <c r="D144" s="43">
        <v>7143</v>
      </c>
      <c r="E144" s="41">
        <f>C144</f>
        <v>8.7000000000000046</v>
      </c>
      <c r="F144" s="43">
        <v>8143</v>
      </c>
      <c r="G144" s="41">
        <f>$E144-0.1</f>
        <v>8.600000000000005</v>
      </c>
      <c r="H144" s="43">
        <v>9143</v>
      </c>
      <c r="I144" s="41">
        <f>$E144-0.2</f>
        <v>8.5000000000000053</v>
      </c>
    </row>
    <row r="145" spans="1:9" x14ac:dyDescent="0.15">
      <c r="A145" s="41">
        <v>144</v>
      </c>
      <c r="B145" s="41">
        <f>F105</f>
        <v>8104</v>
      </c>
      <c r="C145" s="41">
        <f>G105</f>
        <v>8.8000000000000043</v>
      </c>
      <c r="D145" s="43">
        <v>7144</v>
      </c>
      <c r="E145" s="41">
        <f>C145</f>
        <v>8.8000000000000043</v>
      </c>
      <c r="F145" s="43">
        <v>8144</v>
      </c>
      <c r="G145" s="41">
        <f>$E145-0.1</f>
        <v>8.7000000000000046</v>
      </c>
      <c r="H145" s="43">
        <v>9144</v>
      </c>
      <c r="I145" s="41">
        <f>$E145-0.2</f>
        <v>8.600000000000005</v>
      </c>
    </row>
    <row r="146" spans="1:9" x14ac:dyDescent="0.15">
      <c r="A146" s="41">
        <v>145</v>
      </c>
      <c r="B146" s="41">
        <f>F105</f>
        <v>8104</v>
      </c>
      <c r="C146" s="41">
        <f>G105</f>
        <v>8.8000000000000043</v>
      </c>
      <c r="D146" s="43">
        <v>7145</v>
      </c>
      <c r="E146" s="41">
        <f>C146</f>
        <v>8.8000000000000043</v>
      </c>
      <c r="F146" s="43">
        <v>8145</v>
      </c>
      <c r="G146" s="41">
        <f>$E146-0.1</f>
        <v>8.7000000000000046</v>
      </c>
      <c r="H146" s="43">
        <v>9145</v>
      </c>
      <c r="I146" s="41">
        <f>$E146-0.2</f>
        <v>8.600000000000005</v>
      </c>
    </row>
    <row r="147" spans="1:9" x14ac:dyDescent="0.15">
      <c r="A147" s="41">
        <v>146</v>
      </c>
      <c r="B147" s="41">
        <f>H105</f>
        <v>9104</v>
      </c>
      <c r="C147" s="41">
        <f>I105</f>
        <v>8.7000000000000046</v>
      </c>
      <c r="D147" s="43">
        <v>7146</v>
      </c>
      <c r="E147" s="41">
        <f>C147</f>
        <v>8.7000000000000046</v>
      </c>
      <c r="F147" s="43">
        <v>8146</v>
      </c>
      <c r="G147" s="41">
        <f>$E147-0.1</f>
        <v>8.600000000000005</v>
      </c>
      <c r="H147" s="43">
        <v>9146</v>
      </c>
      <c r="I147" s="41">
        <f>$E147-0.2</f>
        <v>8.5000000000000053</v>
      </c>
    </row>
    <row r="148" spans="1:9" x14ac:dyDescent="0.15">
      <c r="A148" s="41">
        <v>147</v>
      </c>
      <c r="B148" s="41">
        <f>F107</f>
        <v>8106</v>
      </c>
      <c r="C148" s="41">
        <f>G107</f>
        <v>8.5000000000000053</v>
      </c>
      <c r="D148" s="43">
        <v>7147</v>
      </c>
      <c r="E148" s="41">
        <f>C148</f>
        <v>8.5000000000000053</v>
      </c>
      <c r="F148" s="43">
        <v>8147</v>
      </c>
      <c r="G148" s="41">
        <f>$E148-0.1</f>
        <v>8.4000000000000057</v>
      </c>
      <c r="H148" s="43">
        <v>9147</v>
      </c>
      <c r="I148" s="41">
        <f>$E148-0.2</f>
        <v>8.300000000000006</v>
      </c>
    </row>
    <row r="149" spans="1:9" x14ac:dyDescent="0.15">
      <c r="A149" s="41">
        <v>148</v>
      </c>
      <c r="B149" s="41">
        <f>H107</f>
        <v>9106</v>
      </c>
      <c r="C149" s="41">
        <f>I107</f>
        <v>8.4000000000000057</v>
      </c>
      <c r="D149" s="43">
        <v>7148</v>
      </c>
      <c r="E149" s="41">
        <f>C149</f>
        <v>8.4000000000000057</v>
      </c>
      <c r="F149" s="43">
        <v>8148</v>
      </c>
      <c r="G149" s="41">
        <f>$E149-0.1</f>
        <v>8.300000000000006</v>
      </c>
      <c r="H149" s="43">
        <v>9148</v>
      </c>
      <c r="I149" s="41">
        <f>$E149-0.2</f>
        <v>8.2000000000000064</v>
      </c>
    </row>
    <row r="150" spans="1:9" x14ac:dyDescent="0.15">
      <c r="A150" s="41">
        <v>149</v>
      </c>
      <c r="B150" s="41">
        <f>H109</f>
        <v>9108</v>
      </c>
      <c r="C150" s="41">
        <f>I109</f>
        <v>8.5000000000000053</v>
      </c>
      <c r="D150" s="43">
        <v>7149</v>
      </c>
      <c r="E150" s="41">
        <f>C150</f>
        <v>8.5000000000000053</v>
      </c>
      <c r="F150" s="43">
        <v>8149</v>
      </c>
      <c r="G150" s="41">
        <f>$E150-0.1</f>
        <v>8.4000000000000057</v>
      </c>
      <c r="H150" s="43">
        <v>9149</v>
      </c>
      <c r="I150" s="41">
        <f>$E150-0.2</f>
        <v>8.300000000000006</v>
      </c>
    </row>
    <row r="151" spans="1:9" x14ac:dyDescent="0.15">
      <c r="A151" s="41">
        <v>150</v>
      </c>
      <c r="B151" s="41">
        <f>F109</f>
        <v>8108</v>
      </c>
      <c r="C151" s="41">
        <f>G109</f>
        <v>8.600000000000005</v>
      </c>
      <c r="D151" s="43">
        <v>7150</v>
      </c>
      <c r="E151" s="41">
        <f>C151</f>
        <v>8.600000000000005</v>
      </c>
      <c r="F151" s="43">
        <v>8150</v>
      </c>
      <c r="G151" s="41">
        <f>$E151-0.1</f>
        <v>8.5000000000000053</v>
      </c>
      <c r="H151" s="43">
        <v>9150</v>
      </c>
      <c r="I151" s="41">
        <f>$E151-0.2</f>
        <v>8.4000000000000057</v>
      </c>
    </row>
    <row r="152" spans="1:9" x14ac:dyDescent="0.15">
      <c r="A152" s="41">
        <v>151</v>
      </c>
      <c r="B152" s="41">
        <f>F112</f>
        <v>8111</v>
      </c>
      <c r="C152" s="41">
        <f>G112</f>
        <v>9.0000000000000036</v>
      </c>
      <c r="D152" s="43">
        <v>7151</v>
      </c>
      <c r="E152" s="41">
        <f>C152</f>
        <v>9.0000000000000036</v>
      </c>
      <c r="F152" s="43">
        <v>8151</v>
      </c>
      <c r="G152" s="41">
        <f>$E152-0.1</f>
        <v>8.9000000000000039</v>
      </c>
      <c r="H152" s="43">
        <v>9151</v>
      </c>
      <c r="I152" s="41">
        <f>$E152-0.2</f>
        <v>8.8000000000000043</v>
      </c>
    </row>
    <row r="153" spans="1:9" x14ac:dyDescent="0.15">
      <c r="A153" s="41">
        <v>152</v>
      </c>
      <c r="B153" s="41">
        <f>H112</f>
        <v>9111</v>
      </c>
      <c r="C153" s="41">
        <f>I112</f>
        <v>8.9000000000000039</v>
      </c>
      <c r="D153" s="43">
        <v>7152</v>
      </c>
      <c r="E153" s="41">
        <f>C153</f>
        <v>8.9000000000000039</v>
      </c>
      <c r="F153" s="43">
        <v>8152</v>
      </c>
      <c r="G153" s="41">
        <f>$E153-0.1</f>
        <v>8.8000000000000043</v>
      </c>
      <c r="H153" s="43">
        <v>9152</v>
      </c>
      <c r="I153" s="41">
        <f>$E153-0.2</f>
        <v>8.7000000000000046</v>
      </c>
    </row>
    <row r="154" spans="1:9" x14ac:dyDescent="0.15">
      <c r="A154" s="41">
        <v>153</v>
      </c>
      <c r="B154" s="41">
        <f>H114</f>
        <v>9113</v>
      </c>
      <c r="C154" s="41">
        <f>I114</f>
        <v>8.7000000000000046</v>
      </c>
      <c r="D154" s="43">
        <v>7153</v>
      </c>
      <c r="E154" s="41">
        <f>C154</f>
        <v>8.7000000000000046</v>
      </c>
      <c r="F154" s="43">
        <v>8153</v>
      </c>
      <c r="G154" s="41">
        <f>$E154-0.1</f>
        <v>8.600000000000005</v>
      </c>
      <c r="H154" s="43">
        <v>9153</v>
      </c>
      <c r="I154" s="41">
        <f>$E154-0.2</f>
        <v>8.5000000000000053</v>
      </c>
    </row>
    <row r="155" spans="1:9" x14ac:dyDescent="0.15">
      <c r="A155" s="41">
        <v>154</v>
      </c>
      <c r="B155" s="41">
        <f>F114</f>
        <v>8113</v>
      </c>
      <c r="C155" s="41">
        <f>G114</f>
        <v>8.8000000000000043</v>
      </c>
      <c r="D155" s="43">
        <v>7154</v>
      </c>
      <c r="E155" s="41">
        <f>C155</f>
        <v>8.8000000000000043</v>
      </c>
      <c r="F155" s="43">
        <v>8154</v>
      </c>
      <c r="G155" s="41">
        <f>$E155-0.1</f>
        <v>8.7000000000000046</v>
      </c>
      <c r="H155" s="43">
        <v>9154</v>
      </c>
      <c r="I155" s="41">
        <f>$E155-0.2</f>
        <v>8.600000000000005</v>
      </c>
    </row>
    <row r="156" spans="1:9" x14ac:dyDescent="0.15">
      <c r="A156" s="41">
        <v>155</v>
      </c>
      <c r="B156" s="41">
        <f>F116</f>
        <v>8115</v>
      </c>
      <c r="C156" s="41">
        <f>G116</f>
        <v>8.8000000000000043</v>
      </c>
      <c r="D156" s="43">
        <v>7155</v>
      </c>
      <c r="E156" s="41">
        <f>C156</f>
        <v>8.8000000000000043</v>
      </c>
      <c r="F156" s="43">
        <v>8155</v>
      </c>
      <c r="G156" s="41">
        <f>$E156-0.1</f>
        <v>8.7000000000000046</v>
      </c>
      <c r="H156" s="43">
        <v>9155</v>
      </c>
      <c r="I156" s="41">
        <f>$E156-0.2</f>
        <v>8.600000000000005</v>
      </c>
    </row>
    <row r="157" spans="1:9" x14ac:dyDescent="0.15">
      <c r="A157" s="41">
        <v>156</v>
      </c>
      <c r="B157" s="41">
        <f>H116</f>
        <v>9115</v>
      </c>
      <c r="C157" s="41">
        <f>I116</f>
        <v>8.7000000000000046</v>
      </c>
      <c r="D157" s="43">
        <v>7156</v>
      </c>
      <c r="E157" s="41">
        <f>C157</f>
        <v>8.7000000000000046</v>
      </c>
      <c r="F157" s="43">
        <v>8156</v>
      </c>
      <c r="G157" s="41">
        <f>$E157-0.1</f>
        <v>8.600000000000005</v>
      </c>
      <c r="H157" s="43">
        <v>9156</v>
      </c>
      <c r="I157" s="41">
        <f>$E157-0.2</f>
        <v>8.5000000000000053</v>
      </c>
    </row>
    <row r="158" spans="1:9" x14ac:dyDescent="0.15">
      <c r="A158" s="41">
        <v>157</v>
      </c>
      <c r="B158" s="41">
        <f>F118</f>
        <v>8117</v>
      </c>
      <c r="C158" s="41">
        <f>G118</f>
        <v>9.0000000000000036</v>
      </c>
      <c r="D158" s="43">
        <v>7157</v>
      </c>
      <c r="E158" s="41">
        <f>C158</f>
        <v>9.0000000000000036</v>
      </c>
      <c r="F158" s="43">
        <v>8157</v>
      </c>
      <c r="G158" s="41">
        <f>$E158-0.1</f>
        <v>8.9000000000000039</v>
      </c>
      <c r="H158" s="43">
        <v>9157</v>
      </c>
      <c r="I158" s="41">
        <f>$E158-0.2</f>
        <v>8.8000000000000043</v>
      </c>
    </row>
    <row r="159" spans="1:9" x14ac:dyDescent="0.15">
      <c r="A159" s="41">
        <v>158</v>
      </c>
      <c r="B159" s="41">
        <f>H118</f>
        <v>9117</v>
      </c>
      <c r="C159" s="41">
        <f>I118</f>
        <v>8.9000000000000039</v>
      </c>
      <c r="D159" s="43">
        <v>7158</v>
      </c>
      <c r="E159" s="41">
        <f>C159</f>
        <v>8.9000000000000039</v>
      </c>
      <c r="F159" s="43">
        <v>8158</v>
      </c>
      <c r="G159" s="41">
        <f>$E159-0.1</f>
        <v>8.8000000000000043</v>
      </c>
      <c r="H159" s="43">
        <v>9158</v>
      </c>
      <c r="I159" s="41">
        <f>$E159-0.2</f>
        <v>8.7000000000000046</v>
      </c>
    </row>
    <row r="160" spans="1:9" x14ac:dyDescent="0.15">
      <c r="A160" s="41">
        <v>159</v>
      </c>
      <c r="B160" s="41">
        <f>H120</f>
        <v>9119</v>
      </c>
      <c r="C160" s="41">
        <f>I120</f>
        <v>8.600000000000005</v>
      </c>
      <c r="D160" s="43">
        <v>7159</v>
      </c>
      <c r="E160" s="41">
        <f>C160</f>
        <v>8.600000000000005</v>
      </c>
      <c r="F160" s="43">
        <v>8159</v>
      </c>
      <c r="G160" s="41">
        <f>$E160-0.1</f>
        <v>8.5000000000000053</v>
      </c>
      <c r="H160" s="43">
        <v>9159</v>
      </c>
      <c r="I160" s="41">
        <f>$E160-0.2</f>
        <v>8.4000000000000057</v>
      </c>
    </row>
    <row r="161" spans="1:9" x14ac:dyDescent="0.15">
      <c r="A161" s="41">
        <v>160</v>
      </c>
      <c r="B161" s="41">
        <f>F120</f>
        <v>8119</v>
      </c>
      <c r="C161" s="41">
        <f>G120</f>
        <v>8.7000000000000046</v>
      </c>
      <c r="D161" s="43">
        <v>7160</v>
      </c>
      <c r="E161" s="41">
        <f>C161</f>
        <v>8.7000000000000046</v>
      </c>
      <c r="F161" s="43">
        <v>8160</v>
      </c>
      <c r="G161" s="41">
        <f>$E161-0.1</f>
        <v>8.600000000000005</v>
      </c>
      <c r="H161" s="43">
        <v>9160</v>
      </c>
      <c r="I161" s="41">
        <f>$E161-0.2</f>
        <v>8.5000000000000053</v>
      </c>
    </row>
    <row r="162" spans="1:9" x14ac:dyDescent="0.15">
      <c r="A162" s="41">
        <v>161</v>
      </c>
      <c r="B162" s="41">
        <f>H123</f>
        <v>9122</v>
      </c>
      <c r="C162" s="41">
        <f>I123</f>
        <v>8.5000000000000053</v>
      </c>
      <c r="D162" s="43">
        <v>7161</v>
      </c>
      <c r="E162" s="41">
        <f>C162</f>
        <v>8.5000000000000053</v>
      </c>
      <c r="F162" s="43">
        <v>8161</v>
      </c>
      <c r="G162" s="41">
        <f>$E162-0.1</f>
        <v>8.4000000000000057</v>
      </c>
      <c r="H162" s="43">
        <v>9161</v>
      </c>
      <c r="I162" s="41">
        <f>$E162-0.2</f>
        <v>8.300000000000006</v>
      </c>
    </row>
    <row r="163" spans="1:9" x14ac:dyDescent="0.15">
      <c r="A163" s="41">
        <v>162</v>
      </c>
      <c r="B163" s="41">
        <f>F123</f>
        <v>8122</v>
      </c>
      <c r="C163" s="41">
        <f>G123</f>
        <v>8.600000000000005</v>
      </c>
      <c r="D163" s="43">
        <v>7162</v>
      </c>
      <c r="E163" s="41">
        <f>C163</f>
        <v>8.600000000000005</v>
      </c>
      <c r="F163" s="43">
        <v>8162</v>
      </c>
      <c r="G163" s="41">
        <f>$E163-0.1</f>
        <v>8.5000000000000053</v>
      </c>
      <c r="H163" s="43">
        <v>9162</v>
      </c>
      <c r="I163" s="41">
        <f>$E163-0.2</f>
        <v>8.4000000000000057</v>
      </c>
    </row>
    <row r="164" spans="1:9" x14ac:dyDescent="0.15">
      <c r="A164" s="41">
        <v>163</v>
      </c>
      <c r="B164" s="41">
        <f>D124</f>
        <v>7123</v>
      </c>
      <c r="C164" s="41">
        <f>E124</f>
        <v>8.8000000000000043</v>
      </c>
      <c r="D164" s="43">
        <v>7163</v>
      </c>
      <c r="E164" s="41">
        <f>C164</f>
        <v>8.8000000000000043</v>
      </c>
      <c r="F164" s="43">
        <v>8163</v>
      </c>
      <c r="G164" s="41">
        <f>$E164-0.1</f>
        <v>8.7000000000000046</v>
      </c>
      <c r="H164" s="43">
        <v>9163</v>
      </c>
      <c r="I164" s="41">
        <f>$E164-0.2</f>
        <v>8.600000000000005</v>
      </c>
    </row>
    <row r="165" spans="1:9" x14ac:dyDescent="0.15">
      <c r="A165" s="41">
        <v>164</v>
      </c>
      <c r="B165" s="41">
        <f>F124</f>
        <v>8123</v>
      </c>
      <c r="C165" s="41">
        <f>G124</f>
        <v>8.7000000000000046</v>
      </c>
      <c r="D165" s="43">
        <v>7164</v>
      </c>
      <c r="E165" s="41">
        <f>C165</f>
        <v>8.7000000000000046</v>
      </c>
      <c r="F165" s="43">
        <v>8164</v>
      </c>
      <c r="G165" s="41">
        <f>$E165-0.1</f>
        <v>8.600000000000005</v>
      </c>
      <c r="H165" s="43">
        <v>9164</v>
      </c>
      <c r="I165" s="41">
        <f>$E165-0.2</f>
        <v>8.5000000000000053</v>
      </c>
    </row>
    <row r="166" spans="1:9" x14ac:dyDescent="0.15">
      <c r="A166" s="41">
        <v>165</v>
      </c>
      <c r="B166" s="41">
        <f>H124</f>
        <v>9123</v>
      </c>
      <c r="C166" s="41">
        <f>I124</f>
        <v>8.600000000000005</v>
      </c>
      <c r="D166" s="43">
        <v>7165</v>
      </c>
      <c r="E166" s="41">
        <f>C166</f>
        <v>8.600000000000005</v>
      </c>
      <c r="F166" s="43">
        <v>8165</v>
      </c>
      <c r="G166" s="41">
        <f>$E166-0.1</f>
        <v>8.5000000000000053</v>
      </c>
      <c r="H166" s="43">
        <v>9165</v>
      </c>
      <c r="I166" s="41">
        <f>$E166-0.2</f>
        <v>8.4000000000000057</v>
      </c>
    </row>
    <row r="167" spans="1:9" x14ac:dyDescent="0.15">
      <c r="A167" s="41">
        <v>166</v>
      </c>
      <c r="B167" s="41">
        <f>F125</f>
        <v>8124</v>
      </c>
      <c r="C167" s="41">
        <f>G125</f>
        <v>8.8000000000000043</v>
      </c>
      <c r="D167" s="43">
        <v>7166</v>
      </c>
      <c r="E167" s="41">
        <f>C167</f>
        <v>8.8000000000000043</v>
      </c>
      <c r="F167" s="43">
        <v>8166</v>
      </c>
      <c r="G167" s="41">
        <f>$E167-0.1</f>
        <v>8.7000000000000046</v>
      </c>
      <c r="H167" s="43">
        <v>9166</v>
      </c>
      <c r="I167" s="41">
        <f>$E167-0.2</f>
        <v>8.600000000000005</v>
      </c>
    </row>
    <row r="168" spans="1:9" x14ac:dyDescent="0.15">
      <c r="A168" s="41">
        <v>167</v>
      </c>
      <c r="B168" s="41">
        <f>H125</f>
        <v>9124</v>
      </c>
      <c r="C168" s="41">
        <f>I125</f>
        <v>8.7000000000000046</v>
      </c>
      <c r="D168" s="43">
        <v>7167</v>
      </c>
      <c r="E168" s="41">
        <f>C168</f>
        <v>8.7000000000000046</v>
      </c>
      <c r="F168" s="43">
        <v>8167</v>
      </c>
      <c r="G168" s="41">
        <f>$E168-0.1</f>
        <v>8.600000000000005</v>
      </c>
      <c r="H168" s="43">
        <v>9167</v>
      </c>
      <c r="I168" s="41">
        <f>$E168-0.2</f>
        <v>8.5000000000000053</v>
      </c>
    </row>
    <row r="169" spans="1:9" x14ac:dyDescent="0.15">
      <c r="A169" s="41">
        <v>168</v>
      </c>
      <c r="B169" s="41">
        <f>D128</f>
        <v>7127</v>
      </c>
      <c r="C169" s="41">
        <f>E128</f>
        <v>8.9000000000000039</v>
      </c>
      <c r="D169" s="43">
        <v>7168</v>
      </c>
      <c r="E169" s="41">
        <f>C169</f>
        <v>8.9000000000000039</v>
      </c>
      <c r="F169" s="43">
        <v>8168</v>
      </c>
      <c r="G169" s="41">
        <f>$E169-0.1</f>
        <v>8.8000000000000043</v>
      </c>
      <c r="H169" s="43">
        <v>9168</v>
      </c>
      <c r="I169" s="41">
        <f>$E169-0.2</f>
        <v>8.7000000000000046</v>
      </c>
    </row>
    <row r="170" spans="1:9" x14ac:dyDescent="0.15">
      <c r="A170" s="41">
        <v>169</v>
      </c>
      <c r="B170" s="41">
        <f>F128</f>
        <v>8127</v>
      </c>
      <c r="C170" s="41">
        <f>G128</f>
        <v>8.8000000000000043</v>
      </c>
      <c r="D170" s="43">
        <v>7169</v>
      </c>
      <c r="E170" s="41">
        <f>C170</f>
        <v>8.8000000000000043</v>
      </c>
      <c r="F170" s="43">
        <v>8169</v>
      </c>
      <c r="G170" s="41">
        <f>$E170-0.1</f>
        <v>8.7000000000000046</v>
      </c>
      <c r="H170" s="43">
        <v>9169</v>
      </c>
      <c r="I170" s="41">
        <f>$E170-0.2</f>
        <v>8.600000000000005</v>
      </c>
    </row>
    <row r="171" spans="1:9" x14ac:dyDescent="0.15">
      <c r="A171" s="41">
        <v>170</v>
      </c>
      <c r="B171" s="41">
        <f>H128</f>
        <v>9127</v>
      </c>
      <c r="C171" s="41">
        <f>I128</f>
        <v>8.7000000000000046</v>
      </c>
      <c r="D171" s="43">
        <v>7170</v>
      </c>
      <c r="E171" s="41">
        <f>C171</f>
        <v>8.7000000000000046</v>
      </c>
      <c r="F171" s="43">
        <v>8170</v>
      </c>
      <c r="G171" s="41">
        <f>$E171-0.1</f>
        <v>8.600000000000005</v>
      </c>
      <c r="H171" s="43">
        <v>9170</v>
      </c>
      <c r="I171" s="41">
        <f>$E171-0.2</f>
        <v>8.5000000000000053</v>
      </c>
    </row>
    <row r="172" spans="1:9" x14ac:dyDescent="0.15">
      <c r="A172" s="41">
        <v>171</v>
      </c>
      <c r="B172" s="41">
        <f>H129</f>
        <v>9128</v>
      </c>
      <c r="C172" s="41">
        <f>I129</f>
        <v>8.600000000000005</v>
      </c>
      <c r="D172" s="43">
        <v>7171</v>
      </c>
      <c r="E172" s="41">
        <f>C172</f>
        <v>8.600000000000005</v>
      </c>
      <c r="F172" s="43">
        <v>8171</v>
      </c>
      <c r="G172" s="41">
        <f>$E172-0.1</f>
        <v>8.5000000000000053</v>
      </c>
      <c r="H172" s="43">
        <v>9171</v>
      </c>
      <c r="I172" s="41">
        <f>$E172-0.2</f>
        <v>8.4000000000000057</v>
      </c>
    </row>
    <row r="173" spans="1:9" x14ac:dyDescent="0.15">
      <c r="A173" s="41">
        <v>172</v>
      </c>
      <c r="B173" s="41">
        <f>F129</f>
        <v>8128</v>
      </c>
      <c r="C173" s="41">
        <f>G129</f>
        <v>8.7000000000000046</v>
      </c>
      <c r="D173" s="43">
        <v>7172</v>
      </c>
      <c r="E173" s="41">
        <f>C173</f>
        <v>8.7000000000000046</v>
      </c>
      <c r="F173" s="43">
        <v>8172</v>
      </c>
      <c r="G173" s="41">
        <f>$E173-0.1</f>
        <v>8.600000000000005</v>
      </c>
      <c r="H173" s="43">
        <v>9172</v>
      </c>
      <c r="I173" s="41">
        <f>$E173-0.2</f>
        <v>8.5000000000000053</v>
      </c>
    </row>
    <row r="174" spans="1:9" x14ac:dyDescent="0.15">
      <c r="A174" s="41">
        <v>173</v>
      </c>
      <c r="B174" s="41">
        <f>D130</f>
        <v>7129</v>
      </c>
      <c r="C174" s="41">
        <f>E130</f>
        <v>8.7000000000000046</v>
      </c>
      <c r="D174" s="43">
        <v>7173</v>
      </c>
      <c r="E174" s="41">
        <f>C174</f>
        <v>8.7000000000000046</v>
      </c>
      <c r="F174" s="43">
        <v>8173</v>
      </c>
      <c r="G174" s="41">
        <f>$E174-0.1</f>
        <v>8.600000000000005</v>
      </c>
      <c r="H174" s="43">
        <v>9173</v>
      </c>
      <c r="I174" s="41">
        <f>$E174-0.2</f>
        <v>8.5000000000000053</v>
      </c>
    </row>
    <row r="175" spans="1:9" x14ac:dyDescent="0.15">
      <c r="A175" s="41">
        <v>174</v>
      </c>
      <c r="B175" s="41">
        <f>F130</f>
        <v>8129</v>
      </c>
      <c r="C175" s="41">
        <f>G130</f>
        <v>8.600000000000005</v>
      </c>
      <c r="D175" s="43">
        <v>7174</v>
      </c>
      <c r="E175" s="41">
        <f>C175</f>
        <v>8.600000000000005</v>
      </c>
      <c r="F175" s="43">
        <v>8174</v>
      </c>
      <c r="G175" s="41">
        <f>$E175-0.1</f>
        <v>8.5000000000000053</v>
      </c>
      <c r="H175" s="43">
        <v>9174</v>
      </c>
      <c r="I175" s="41">
        <f>$E175-0.2</f>
        <v>8.4000000000000057</v>
      </c>
    </row>
    <row r="176" spans="1:9" x14ac:dyDescent="0.15">
      <c r="A176" s="41">
        <v>175</v>
      </c>
      <c r="B176" s="41">
        <f>H130</f>
        <v>9129</v>
      </c>
      <c r="C176" s="41">
        <f>I130</f>
        <v>8.5000000000000053</v>
      </c>
      <c r="D176" s="43">
        <v>7175</v>
      </c>
      <c r="E176" s="41">
        <f>C176</f>
        <v>8.5000000000000053</v>
      </c>
      <c r="F176" s="43">
        <v>8175</v>
      </c>
      <c r="G176" s="41">
        <f>$E176-0.1</f>
        <v>8.4000000000000057</v>
      </c>
      <c r="H176" s="43">
        <v>9175</v>
      </c>
      <c r="I176" s="41">
        <f>$E176-0.2</f>
        <v>8.300000000000006</v>
      </c>
    </row>
    <row r="177" spans="1:9" x14ac:dyDescent="0.15">
      <c r="A177" s="41">
        <v>176</v>
      </c>
      <c r="B177" s="41">
        <f>H133</f>
        <v>9132</v>
      </c>
      <c r="C177" s="41">
        <f>I133</f>
        <v>8.600000000000005</v>
      </c>
      <c r="D177" s="43">
        <v>7176</v>
      </c>
      <c r="E177" s="41">
        <f>C177</f>
        <v>8.600000000000005</v>
      </c>
      <c r="F177" s="43">
        <v>8176</v>
      </c>
      <c r="G177" s="41">
        <f>$E177-0.1</f>
        <v>8.5000000000000053</v>
      </c>
      <c r="H177" s="43">
        <v>9176</v>
      </c>
      <c r="I177" s="41">
        <f>$E177-0.2</f>
        <v>8.4000000000000057</v>
      </c>
    </row>
    <row r="178" spans="1:9" x14ac:dyDescent="0.15">
      <c r="A178" s="41">
        <v>177</v>
      </c>
      <c r="B178" s="41">
        <f>F133</f>
        <v>8132</v>
      </c>
      <c r="C178" s="41">
        <f>G133</f>
        <v>8.7000000000000046</v>
      </c>
      <c r="D178" s="43">
        <v>7177</v>
      </c>
      <c r="E178" s="41">
        <f>C178</f>
        <v>8.7000000000000046</v>
      </c>
      <c r="F178" s="43">
        <v>8177</v>
      </c>
      <c r="G178" s="41">
        <f>$E178-0.1</f>
        <v>8.600000000000005</v>
      </c>
      <c r="H178" s="43">
        <v>9177</v>
      </c>
      <c r="I178" s="41">
        <f>$E178-0.2</f>
        <v>8.5000000000000053</v>
      </c>
    </row>
    <row r="179" spans="1:9" x14ac:dyDescent="0.15">
      <c r="A179" s="41">
        <v>178</v>
      </c>
      <c r="B179" s="41">
        <f>F135</f>
        <v>8134</v>
      </c>
      <c r="C179" s="41">
        <f>G135</f>
        <v>8.600000000000005</v>
      </c>
      <c r="D179" s="43">
        <v>7178</v>
      </c>
      <c r="E179" s="41">
        <f>C179</f>
        <v>8.600000000000005</v>
      </c>
      <c r="F179" s="43">
        <v>8178</v>
      </c>
      <c r="G179" s="41">
        <f>$E179-0.1</f>
        <v>8.5000000000000053</v>
      </c>
      <c r="H179" s="43">
        <v>9178</v>
      </c>
      <c r="I179" s="41">
        <f>$E179-0.2</f>
        <v>8.4000000000000057</v>
      </c>
    </row>
    <row r="180" spans="1:9" x14ac:dyDescent="0.15">
      <c r="A180" s="41">
        <v>179</v>
      </c>
      <c r="B180" s="41">
        <f>H135</f>
        <v>9134</v>
      </c>
      <c r="C180" s="41">
        <f>I135</f>
        <v>8.5000000000000053</v>
      </c>
      <c r="D180" s="43">
        <v>7179</v>
      </c>
      <c r="E180" s="41">
        <f>C180</f>
        <v>8.5000000000000053</v>
      </c>
      <c r="F180" s="43">
        <v>8179</v>
      </c>
      <c r="G180" s="41">
        <f>$E180-0.1</f>
        <v>8.4000000000000057</v>
      </c>
      <c r="H180" s="43">
        <v>9179</v>
      </c>
      <c r="I180" s="41">
        <f>$E180-0.2</f>
        <v>8.300000000000006</v>
      </c>
    </row>
    <row r="181" spans="1:9" x14ac:dyDescent="0.15">
      <c r="A181" s="41">
        <v>180</v>
      </c>
      <c r="B181" s="41">
        <f>F136</f>
        <v>8135</v>
      </c>
      <c r="C181" s="41">
        <f>G136</f>
        <v>8.5000000000000053</v>
      </c>
      <c r="D181" s="43">
        <v>7180</v>
      </c>
      <c r="E181" s="41">
        <f>C181</f>
        <v>8.5000000000000053</v>
      </c>
      <c r="F181" s="43">
        <v>8180</v>
      </c>
      <c r="G181" s="41">
        <f>$E181-0.1</f>
        <v>8.4000000000000057</v>
      </c>
      <c r="H181" s="43">
        <v>9180</v>
      </c>
      <c r="I181" s="41">
        <f>$E181-0.2</f>
        <v>8.300000000000006</v>
      </c>
    </row>
    <row r="182" spans="1:9" x14ac:dyDescent="0.15">
      <c r="A182" s="41">
        <v>181</v>
      </c>
      <c r="B182" s="41">
        <f>H136</f>
        <v>9135</v>
      </c>
      <c r="C182" s="41">
        <f>I136</f>
        <v>8.4000000000000057</v>
      </c>
      <c r="D182" s="43">
        <v>7181</v>
      </c>
      <c r="E182" s="41">
        <f>C182</f>
        <v>8.4000000000000057</v>
      </c>
      <c r="F182" s="43">
        <v>8181</v>
      </c>
      <c r="G182" s="41">
        <f>$E182-0.1</f>
        <v>8.300000000000006</v>
      </c>
      <c r="H182" s="43">
        <v>9181</v>
      </c>
      <c r="I182" s="41">
        <f>$E182-0.2</f>
        <v>8.2000000000000064</v>
      </c>
    </row>
    <row r="183" spans="1:9" x14ac:dyDescent="0.15">
      <c r="A183" s="41">
        <v>182</v>
      </c>
      <c r="B183" s="41">
        <f>D140</f>
        <v>7139</v>
      </c>
      <c r="C183" s="41">
        <f>E140</f>
        <v>9.0000000000000036</v>
      </c>
      <c r="D183" s="43">
        <v>7182</v>
      </c>
      <c r="E183" s="41">
        <f>C183</f>
        <v>9.0000000000000036</v>
      </c>
      <c r="F183" s="43">
        <v>8182</v>
      </c>
      <c r="G183" s="41">
        <f>$E183-0.1</f>
        <v>8.9000000000000039</v>
      </c>
      <c r="H183" s="43">
        <v>9182</v>
      </c>
      <c r="I183" s="41">
        <f>$E183-0.2</f>
        <v>8.8000000000000043</v>
      </c>
    </row>
    <row r="184" spans="1:9" x14ac:dyDescent="0.15">
      <c r="A184" s="41">
        <v>183</v>
      </c>
      <c r="B184" s="41">
        <f>F140</f>
        <v>8139</v>
      </c>
      <c r="C184" s="41">
        <f>G140</f>
        <v>8.9000000000000039</v>
      </c>
      <c r="D184" s="43">
        <v>7183</v>
      </c>
      <c r="E184" s="41">
        <f>C184</f>
        <v>8.9000000000000039</v>
      </c>
      <c r="F184" s="43">
        <v>8183</v>
      </c>
      <c r="G184" s="41">
        <f>$E184-0.1</f>
        <v>8.8000000000000043</v>
      </c>
      <c r="H184" s="43">
        <v>9183</v>
      </c>
      <c r="I184" s="41">
        <f>$E184-0.2</f>
        <v>8.7000000000000046</v>
      </c>
    </row>
    <row r="185" spans="1:9" x14ac:dyDescent="0.15">
      <c r="A185" s="41">
        <v>184</v>
      </c>
      <c r="B185" s="41">
        <f>H140</f>
        <v>9139</v>
      </c>
      <c r="C185" s="41">
        <f>I140</f>
        <v>8.8000000000000043</v>
      </c>
      <c r="D185" s="43">
        <v>7184</v>
      </c>
      <c r="E185" s="41">
        <f>C185</f>
        <v>8.8000000000000043</v>
      </c>
      <c r="F185" s="43">
        <v>8184</v>
      </c>
      <c r="G185" s="41">
        <f>$E185-0.1</f>
        <v>8.7000000000000046</v>
      </c>
      <c r="H185" s="43">
        <v>9184</v>
      </c>
      <c r="I185" s="41">
        <f>$E185-0.2</f>
        <v>8.600000000000005</v>
      </c>
    </row>
    <row r="186" spans="1:9" x14ac:dyDescent="0.15">
      <c r="A186" s="41">
        <v>185</v>
      </c>
      <c r="B186" s="41">
        <f>H141</f>
        <v>9140</v>
      </c>
      <c r="C186" s="41">
        <f>I141</f>
        <v>8.7000000000000046</v>
      </c>
      <c r="D186" s="43">
        <v>7185</v>
      </c>
      <c r="E186" s="41">
        <f>C186</f>
        <v>8.7000000000000046</v>
      </c>
      <c r="F186" s="43">
        <v>8185</v>
      </c>
      <c r="G186" s="41">
        <f>$E186-0.1</f>
        <v>8.600000000000005</v>
      </c>
      <c r="H186" s="43">
        <v>9185</v>
      </c>
      <c r="I186" s="41">
        <f>$E186-0.2</f>
        <v>8.5000000000000053</v>
      </c>
    </row>
    <row r="187" spans="1:9" x14ac:dyDescent="0.15">
      <c r="A187" s="41">
        <v>186</v>
      </c>
      <c r="B187" s="41">
        <f>F141</f>
        <v>8140</v>
      </c>
      <c r="C187" s="41">
        <f>G141</f>
        <v>8.8000000000000043</v>
      </c>
      <c r="D187" s="43">
        <v>7186</v>
      </c>
      <c r="E187" s="41">
        <f>C187</f>
        <v>8.8000000000000043</v>
      </c>
      <c r="F187" s="43">
        <v>8186</v>
      </c>
      <c r="G187" s="41">
        <f>$E187-0.1</f>
        <v>8.7000000000000046</v>
      </c>
      <c r="H187" s="43">
        <v>9186</v>
      </c>
      <c r="I187" s="41">
        <f>$E187-0.2</f>
        <v>8.600000000000005</v>
      </c>
    </row>
    <row r="188" spans="1:9" x14ac:dyDescent="0.15">
      <c r="A188" s="41">
        <v>187</v>
      </c>
      <c r="B188" s="41">
        <f>D144</f>
        <v>7143</v>
      </c>
      <c r="C188" s="41">
        <f>E144</f>
        <v>8.7000000000000046</v>
      </c>
      <c r="D188" s="43">
        <v>7187</v>
      </c>
      <c r="E188" s="41">
        <f>C188</f>
        <v>8.7000000000000046</v>
      </c>
      <c r="F188" s="43">
        <v>8187</v>
      </c>
      <c r="G188" s="41">
        <f>$E188-0.1</f>
        <v>8.600000000000005</v>
      </c>
      <c r="H188" s="43">
        <v>9187</v>
      </c>
      <c r="I188" s="41">
        <f>$E188-0.2</f>
        <v>8.5000000000000053</v>
      </c>
    </row>
    <row r="189" spans="1:9" x14ac:dyDescent="0.15">
      <c r="A189" s="41">
        <v>188</v>
      </c>
      <c r="B189" s="41">
        <f>F144</f>
        <v>8143</v>
      </c>
      <c r="C189" s="41">
        <f>G144</f>
        <v>8.600000000000005</v>
      </c>
      <c r="D189" s="43">
        <v>7188</v>
      </c>
      <c r="E189" s="41">
        <f>C189</f>
        <v>8.600000000000005</v>
      </c>
      <c r="F189" s="43">
        <v>8188</v>
      </c>
      <c r="G189" s="41">
        <f>$E189-0.1</f>
        <v>8.5000000000000053</v>
      </c>
      <c r="H189" s="43">
        <v>9188</v>
      </c>
      <c r="I189" s="41">
        <f>$E189-0.2</f>
        <v>8.4000000000000057</v>
      </c>
    </row>
    <row r="190" spans="1:9" x14ac:dyDescent="0.15">
      <c r="A190" s="41">
        <v>189</v>
      </c>
      <c r="B190" s="41">
        <f>H144</f>
        <v>9143</v>
      </c>
      <c r="C190" s="41">
        <f>I144</f>
        <v>8.5000000000000053</v>
      </c>
      <c r="D190" s="43">
        <v>7189</v>
      </c>
      <c r="E190" s="41">
        <f>C190</f>
        <v>8.5000000000000053</v>
      </c>
      <c r="F190" s="43">
        <v>8189</v>
      </c>
      <c r="G190" s="41">
        <f>$E190-0.1</f>
        <v>8.4000000000000057</v>
      </c>
      <c r="H190" s="43">
        <v>9189</v>
      </c>
      <c r="I190" s="41">
        <f>$E190-0.2</f>
        <v>8.300000000000006</v>
      </c>
    </row>
    <row r="191" spans="1:9" x14ac:dyDescent="0.15">
      <c r="A191" s="41">
        <v>190</v>
      </c>
      <c r="B191" s="43">
        <f>H145</f>
        <v>9144</v>
      </c>
      <c r="C191" s="43">
        <f>I145</f>
        <v>8.600000000000005</v>
      </c>
      <c r="D191" s="43">
        <v>7190</v>
      </c>
      <c r="E191" s="41">
        <f>C191</f>
        <v>8.600000000000005</v>
      </c>
      <c r="F191" s="43">
        <v>8190</v>
      </c>
      <c r="G191" s="41">
        <f>$E191-0.1</f>
        <v>8.5000000000000053</v>
      </c>
      <c r="H191" s="43">
        <v>9190</v>
      </c>
      <c r="I191" s="41">
        <f>$E191-0.2</f>
        <v>8.4000000000000057</v>
      </c>
    </row>
    <row r="192" spans="1:9" x14ac:dyDescent="0.15">
      <c r="A192" s="41">
        <v>191</v>
      </c>
      <c r="B192" s="43">
        <f>F145</f>
        <v>8144</v>
      </c>
      <c r="C192" s="43">
        <f>G145</f>
        <v>8.7000000000000046</v>
      </c>
      <c r="D192" s="43">
        <v>7191</v>
      </c>
      <c r="E192" s="41">
        <f>C192</f>
        <v>8.7000000000000046</v>
      </c>
      <c r="F192" s="43">
        <v>8191</v>
      </c>
      <c r="G192" s="41">
        <f>$E192-0.1</f>
        <v>8.600000000000005</v>
      </c>
      <c r="H192" s="43">
        <v>9191</v>
      </c>
      <c r="I192" s="41">
        <f>$E192-0.2</f>
        <v>8.5000000000000053</v>
      </c>
    </row>
    <row r="193" spans="1:9" x14ac:dyDescent="0.15">
      <c r="A193" s="41">
        <v>192</v>
      </c>
      <c r="B193" s="41">
        <f>D146</f>
        <v>7145</v>
      </c>
      <c r="C193" s="41">
        <f>E146</f>
        <v>8.8000000000000043</v>
      </c>
      <c r="D193" s="43">
        <v>7192</v>
      </c>
      <c r="E193" s="41">
        <f>C193</f>
        <v>8.8000000000000043</v>
      </c>
      <c r="F193" s="43">
        <v>8192</v>
      </c>
      <c r="G193" s="41">
        <f>$E193-0.1</f>
        <v>8.7000000000000046</v>
      </c>
      <c r="H193" s="43">
        <v>9192</v>
      </c>
      <c r="I193" s="41">
        <f>$E193-0.2</f>
        <v>8.600000000000005</v>
      </c>
    </row>
    <row r="194" spans="1:9" x14ac:dyDescent="0.15">
      <c r="A194" s="41">
        <v>193</v>
      </c>
      <c r="B194" s="41">
        <f>F146</f>
        <v>8145</v>
      </c>
      <c r="C194" s="41">
        <f>G146</f>
        <v>8.7000000000000046</v>
      </c>
      <c r="D194" s="43">
        <v>7193</v>
      </c>
      <c r="E194" s="41">
        <f>C194</f>
        <v>8.7000000000000046</v>
      </c>
      <c r="F194" s="43">
        <v>8193</v>
      </c>
      <c r="G194" s="41">
        <f>$E194-0.1</f>
        <v>8.600000000000005</v>
      </c>
      <c r="H194" s="43">
        <v>9193</v>
      </c>
      <c r="I194" s="41">
        <f>$E194-0.2</f>
        <v>8.5000000000000053</v>
      </c>
    </row>
    <row r="195" spans="1:9" x14ac:dyDescent="0.15">
      <c r="A195" s="41">
        <v>194</v>
      </c>
      <c r="B195" s="41">
        <f>H146</f>
        <v>9145</v>
      </c>
      <c r="C195" s="41">
        <f>I146</f>
        <v>8.600000000000005</v>
      </c>
      <c r="D195" s="43">
        <v>7194</v>
      </c>
      <c r="E195" s="41">
        <f>C195</f>
        <v>8.600000000000005</v>
      </c>
      <c r="F195" s="43">
        <v>8194</v>
      </c>
      <c r="G195" s="41">
        <f>$E195-0.1</f>
        <v>8.5000000000000053</v>
      </c>
      <c r="H195" s="43">
        <v>9194</v>
      </c>
      <c r="I195" s="41">
        <f>$E195-0.2</f>
        <v>8.4000000000000057</v>
      </c>
    </row>
    <row r="196" spans="1:9" x14ac:dyDescent="0.15">
      <c r="A196" s="41">
        <v>195</v>
      </c>
      <c r="B196" s="41">
        <f>H149</f>
        <v>9148</v>
      </c>
      <c r="C196" s="41">
        <f>I149</f>
        <v>8.2000000000000064</v>
      </c>
      <c r="D196" s="43">
        <v>7195</v>
      </c>
      <c r="E196" s="41">
        <f>C196</f>
        <v>8.2000000000000064</v>
      </c>
      <c r="F196" s="43">
        <v>8195</v>
      </c>
      <c r="G196" s="41">
        <f>$E196-0.1</f>
        <v>8.1000000000000068</v>
      </c>
      <c r="H196" s="43">
        <v>9195</v>
      </c>
      <c r="I196" s="41">
        <f>$E196-0.2</f>
        <v>8.0000000000000071</v>
      </c>
    </row>
    <row r="197" spans="1:9" x14ac:dyDescent="0.15">
      <c r="A197" s="41">
        <v>196</v>
      </c>
      <c r="B197" s="41">
        <f>F149</f>
        <v>8148</v>
      </c>
      <c r="C197" s="41">
        <f>G149</f>
        <v>8.300000000000006</v>
      </c>
      <c r="D197" s="43">
        <v>7196</v>
      </c>
      <c r="E197" s="41">
        <f>C197</f>
        <v>8.300000000000006</v>
      </c>
      <c r="F197" s="43">
        <v>8196</v>
      </c>
      <c r="G197" s="41">
        <f>$E197-0.1</f>
        <v>8.2000000000000064</v>
      </c>
      <c r="H197" s="43">
        <v>9196</v>
      </c>
      <c r="I197" s="41">
        <f>$E197-0.2</f>
        <v>8.1000000000000068</v>
      </c>
    </row>
    <row r="198" spans="1:9" x14ac:dyDescent="0.15">
      <c r="A198" s="41">
        <v>197</v>
      </c>
      <c r="B198" s="41">
        <f>H155</f>
        <v>9154</v>
      </c>
      <c r="C198" s="41">
        <f>I155</f>
        <v>8.600000000000005</v>
      </c>
      <c r="D198" s="43">
        <v>7197</v>
      </c>
      <c r="E198" s="41">
        <f>C198</f>
        <v>8.600000000000005</v>
      </c>
      <c r="F198" s="43">
        <v>8197</v>
      </c>
      <c r="G198" s="41">
        <f>$E198-0.1</f>
        <v>8.5000000000000053</v>
      </c>
      <c r="H198" s="43">
        <v>9197</v>
      </c>
      <c r="I198" s="41">
        <f>$E198-0.2</f>
        <v>8.4000000000000057</v>
      </c>
    </row>
    <row r="199" spans="1:9" x14ac:dyDescent="0.15">
      <c r="A199" s="41">
        <v>198</v>
      </c>
      <c r="B199" s="41">
        <f>F155</f>
        <v>8154</v>
      </c>
      <c r="C199" s="41">
        <f>G155</f>
        <v>8.7000000000000046</v>
      </c>
      <c r="D199" s="43">
        <v>7198</v>
      </c>
      <c r="E199" s="41">
        <f>C199</f>
        <v>8.7000000000000046</v>
      </c>
      <c r="F199" s="43">
        <v>8198</v>
      </c>
      <c r="G199" s="41">
        <f>$E199-0.1</f>
        <v>8.600000000000005</v>
      </c>
      <c r="H199" s="43">
        <v>9198</v>
      </c>
      <c r="I199" s="41">
        <f>$E199-0.2</f>
        <v>8.5000000000000053</v>
      </c>
    </row>
    <row r="200" spans="1:9" x14ac:dyDescent="0.15">
      <c r="A200" s="41">
        <v>199</v>
      </c>
      <c r="B200" s="41">
        <f>H159</f>
        <v>9158</v>
      </c>
      <c r="C200" s="41">
        <f>I159</f>
        <v>8.7000000000000046</v>
      </c>
      <c r="D200" s="43">
        <v>7199</v>
      </c>
      <c r="E200" s="41">
        <f>C200</f>
        <v>8.7000000000000046</v>
      </c>
      <c r="F200" s="43">
        <v>8199</v>
      </c>
      <c r="G200" s="41">
        <f>$E200-0.1</f>
        <v>8.600000000000005</v>
      </c>
      <c r="H200" s="43">
        <v>9199</v>
      </c>
      <c r="I200" s="41">
        <f>$E200-0.2</f>
        <v>8.5000000000000053</v>
      </c>
    </row>
    <row r="201" spans="1:9" x14ac:dyDescent="0.15">
      <c r="A201" s="41">
        <v>200</v>
      </c>
      <c r="B201" s="41">
        <f>F159</f>
        <v>8158</v>
      </c>
      <c r="C201" s="41">
        <f>G159</f>
        <v>8.8000000000000043</v>
      </c>
      <c r="D201" s="43">
        <v>7200</v>
      </c>
      <c r="E201" s="41">
        <f>C201</f>
        <v>8.8000000000000043</v>
      </c>
      <c r="F201" s="43">
        <v>8200</v>
      </c>
      <c r="G201" s="41">
        <f>$E201-0.1</f>
        <v>8.7000000000000046</v>
      </c>
      <c r="H201" s="43">
        <v>9200</v>
      </c>
      <c r="I201" s="41">
        <f>$E201-0.2</f>
        <v>8.600000000000005</v>
      </c>
    </row>
    <row r="202" spans="1:9" x14ac:dyDescent="0.15">
      <c r="A202" s="41">
        <v>201</v>
      </c>
      <c r="B202" s="41">
        <f>F80</f>
        <v>8079</v>
      </c>
      <c r="C202" s="41">
        <f>G80</f>
        <v>8.8000000000000043</v>
      </c>
      <c r="D202" s="43">
        <v>7201</v>
      </c>
      <c r="E202" s="41">
        <f>C202</f>
        <v>8.8000000000000043</v>
      </c>
      <c r="F202" s="43">
        <v>8201</v>
      </c>
      <c r="G202" s="41">
        <f>$E202-0.1</f>
        <v>8.7000000000000046</v>
      </c>
      <c r="H202" s="43">
        <v>9201</v>
      </c>
      <c r="I202" s="41">
        <f>$E202-0.2</f>
        <v>8.600000000000005</v>
      </c>
    </row>
    <row r="203" spans="1:9" x14ac:dyDescent="0.15">
      <c r="A203" s="41">
        <v>202</v>
      </c>
      <c r="B203" s="41">
        <f>H80</f>
        <v>9079</v>
      </c>
      <c r="C203" s="41">
        <f>I80</f>
        <v>8.7000000000000046</v>
      </c>
      <c r="D203" s="43">
        <v>7202</v>
      </c>
      <c r="E203" s="41">
        <f>C203</f>
        <v>8.7000000000000046</v>
      </c>
      <c r="F203" s="43">
        <v>8202</v>
      </c>
      <c r="G203" s="41">
        <f>$E203-0.1</f>
        <v>8.600000000000005</v>
      </c>
      <c r="H203" s="43">
        <v>9202</v>
      </c>
      <c r="I203" s="41">
        <f>$E203-0.2</f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"/>
  <sheetViews>
    <sheetView topLeftCell="A7" zoomScaleNormal="100" workbookViewId="0">
      <selection sqref="A1:A99"/>
    </sheetView>
  </sheetViews>
  <sheetFormatPr defaultRowHeight="20.100000000000001" customHeight="1" x14ac:dyDescent="0.15"/>
  <cols>
    <col min="1" max="1" width="9.5" style="41" bestFit="1" customWidth="1"/>
    <col min="2" max="16384" width="9" style="41"/>
  </cols>
  <sheetData>
    <row r="1" spans="1:12" ht="26.25" customHeight="1" x14ac:dyDescent="0.15">
      <c r="A1" s="49">
        <v>1</v>
      </c>
      <c r="B1" s="48">
        <v>2</v>
      </c>
      <c r="C1" s="48">
        <v>4</v>
      </c>
      <c r="D1" s="48">
        <v>7</v>
      </c>
      <c r="E1" s="48">
        <v>13</v>
      </c>
      <c r="F1" s="49">
        <v>24</v>
      </c>
      <c r="G1" s="49">
        <v>40</v>
      </c>
      <c r="H1" s="49">
        <v>59</v>
      </c>
      <c r="I1" s="49">
        <v>88</v>
      </c>
      <c r="J1" s="49">
        <v>123</v>
      </c>
      <c r="K1" s="43">
        <v>163</v>
      </c>
    </row>
    <row r="2" spans="1:12" ht="26.25" customHeight="1" x14ac:dyDescent="0.15">
      <c r="A2" s="49"/>
      <c r="B2" s="48"/>
      <c r="C2" s="48"/>
      <c r="D2" s="48"/>
      <c r="E2" s="48"/>
      <c r="F2" s="49"/>
      <c r="G2" s="49"/>
      <c r="H2" s="49"/>
      <c r="I2" s="49"/>
      <c r="J2" s="49"/>
      <c r="K2" s="43">
        <v>164</v>
      </c>
      <c r="L2" s="41">
        <f ca="1">INDIRECT("A"&amp;ROW(B1))</f>
        <v>1</v>
      </c>
    </row>
    <row r="3" spans="1:12" ht="26.25" customHeight="1" x14ac:dyDescent="0.15">
      <c r="A3" s="49"/>
      <c r="B3" s="48"/>
      <c r="C3" s="48"/>
      <c r="D3" s="48"/>
      <c r="E3" s="48"/>
      <c r="F3" s="49"/>
      <c r="G3" s="49"/>
      <c r="H3" s="49"/>
      <c r="I3" s="49"/>
      <c r="J3" s="49"/>
      <c r="K3" s="43">
        <v>165</v>
      </c>
    </row>
    <row r="4" spans="1:12" ht="26.25" customHeight="1" x14ac:dyDescent="0.15">
      <c r="A4" s="49"/>
      <c r="B4" s="48"/>
      <c r="C4" s="48"/>
      <c r="D4" s="48"/>
      <c r="E4" s="48"/>
      <c r="F4" s="49"/>
      <c r="G4" s="49"/>
      <c r="H4" s="49"/>
      <c r="I4" s="49"/>
      <c r="J4" s="49">
        <v>124</v>
      </c>
      <c r="K4" s="43">
        <v>166</v>
      </c>
    </row>
    <row r="5" spans="1:12" ht="26.25" customHeight="1" x14ac:dyDescent="0.15">
      <c r="A5" s="49"/>
      <c r="B5" s="48"/>
      <c r="C5" s="48"/>
      <c r="D5" s="48"/>
      <c r="E5" s="48"/>
      <c r="F5" s="49"/>
      <c r="G5" s="49"/>
      <c r="H5" s="49"/>
      <c r="I5" s="49"/>
      <c r="J5" s="49"/>
      <c r="K5" s="43">
        <v>167</v>
      </c>
    </row>
    <row r="6" spans="1:12" ht="26.25" customHeight="1" x14ac:dyDescent="0.15">
      <c r="A6" s="49"/>
      <c r="B6" s="48"/>
      <c r="C6" s="48"/>
      <c r="D6" s="48"/>
      <c r="E6" s="48"/>
      <c r="F6" s="49"/>
      <c r="G6" s="49"/>
      <c r="H6" s="49"/>
      <c r="I6" s="43">
        <v>89</v>
      </c>
      <c r="J6" s="43"/>
      <c r="K6" s="43"/>
    </row>
    <row r="7" spans="1:12" ht="26.25" customHeight="1" x14ac:dyDescent="0.15">
      <c r="A7" s="49"/>
      <c r="B7" s="48"/>
      <c r="C7" s="48"/>
      <c r="D7" s="48"/>
      <c r="E7" s="48"/>
      <c r="F7" s="49"/>
      <c r="G7" s="49"/>
      <c r="H7" s="49">
        <v>60</v>
      </c>
      <c r="I7" s="43">
        <v>90</v>
      </c>
      <c r="J7" s="43"/>
      <c r="K7" s="43"/>
    </row>
    <row r="8" spans="1:12" ht="26.25" customHeight="1" x14ac:dyDescent="0.15">
      <c r="A8" s="49"/>
      <c r="B8" s="48"/>
      <c r="C8" s="48"/>
      <c r="D8" s="48"/>
      <c r="E8" s="48"/>
      <c r="F8" s="49"/>
      <c r="G8" s="49"/>
      <c r="H8" s="49"/>
      <c r="I8" s="49">
        <v>91</v>
      </c>
      <c r="J8" s="43">
        <v>125</v>
      </c>
      <c r="K8" s="43"/>
    </row>
    <row r="9" spans="1:12" ht="26.25" customHeight="1" x14ac:dyDescent="0.15">
      <c r="A9" s="49"/>
      <c r="B9" s="48"/>
      <c r="C9" s="48"/>
      <c r="D9" s="48"/>
      <c r="E9" s="48"/>
      <c r="F9" s="49"/>
      <c r="G9" s="49"/>
      <c r="H9" s="49"/>
      <c r="I9" s="49"/>
      <c r="J9" s="43">
        <v>126</v>
      </c>
      <c r="K9" s="43"/>
    </row>
    <row r="10" spans="1:12" ht="26.25" customHeight="1" x14ac:dyDescent="0.15">
      <c r="A10" s="49"/>
      <c r="B10" s="48"/>
      <c r="C10" s="48"/>
      <c r="D10" s="48"/>
      <c r="E10" s="48"/>
      <c r="F10" s="49"/>
      <c r="G10" s="49">
        <v>41</v>
      </c>
      <c r="H10" s="49">
        <v>61</v>
      </c>
      <c r="I10" s="49">
        <v>92</v>
      </c>
      <c r="J10" s="49">
        <v>127</v>
      </c>
      <c r="K10" s="43">
        <v>168</v>
      </c>
    </row>
    <row r="11" spans="1:12" ht="26.25" customHeight="1" x14ac:dyDescent="0.15">
      <c r="A11" s="49"/>
      <c r="B11" s="48"/>
      <c r="C11" s="48"/>
      <c r="D11" s="48"/>
      <c r="E11" s="48"/>
      <c r="F11" s="49"/>
      <c r="G11" s="49"/>
      <c r="H11" s="49"/>
      <c r="I11" s="49"/>
      <c r="J11" s="49"/>
      <c r="K11" s="43">
        <v>169</v>
      </c>
    </row>
    <row r="12" spans="1:12" ht="26.25" customHeight="1" x14ac:dyDescent="0.15">
      <c r="A12" s="49"/>
      <c r="B12" s="48"/>
      <c r="C12" s="48"/>
      <c r="D12" s="48"/>
      <c r="E12" s="48"/>
      <c r="F12" s="49"/>
      <c r="G12" s="49"/>
      <c r="H12" s="49"/>
      <c r="I12" s="49"/>
      <c r="J12" s="49"/>
      <c r="K12" s="43">
        <v>170</v>
      </c>
    </row>
    <row r="13" spans="1:12" ht="26.25" customHeight="1" x14ac:dyDescent="0.15">
      <c r="A13" s="49"/>
      <c r="B13" s="48"/>
      <c r="C13" s="48"/>
      <c r="D13" s="48"/>
      <c r="E13" s="48"/>
      <c r="F13" s="49"/>
      <c r="G13" s="49"/>
      <c r="H13" s="49"/>
      <c r="I13" s="49"/>
      <c r="J13" s="49">
        <v>128</v>
      </c>
      <c r="K13" s="43">
        <v>171</v>
      </c>
    </row>
    <row r="14" spans="1:12" ht="26.25" customHeight="1" x14ac:dyDescent="0.15">
      <c r="A14" s="49"/>
      <c r="B14" s="48"/>
      <c r="C14" s="48"/>
      <c r="D14" s="48"/>
      <c r="E14" s="48"/>
      <c r="F14" s="49"/>
      <c r="G14" s="49"/>
      <c r="H14" s="49"/>
      <c r="I14" s="49"/>
      <c r="J14" s="49"/>
      <c r="K14" s="43">
        <v>172</v>
      </c>
    </row>
    <row r="15" spans="1:12" ht="26.25" customHeight="1" x14ac:dyDescent="0.15">
      <c r="A15" s="49"/>
      <c r="B15" s="48"/>
      <c r="C15" s="48"/>
      <c r="D15" s="48"/>
      <c r="E15" s="48"/>
      <c r="F15" s="49"/>
      <c r="G15" s="49"/>
      <c r="H15" s="49"/>
      <c r="I15" s="49"/>
      <c r="J15" s="49">
        <v>129</v>
      </c>
      <c r="K15" s="43">
        <v>173</v>
      </c>
    </row>
    <row r="16" spans="1:12" ht="26.25" customHeight="1" x14ac:dyDescent="0.15">
      <c r="A16" s="49"/>
      <c r="B16" s="48"/>
      <c r="C16" s="48"/>
      <c r="D16" s="48"/>
      <c r="E16" s="48"/>
      <c r="F16" s="49"/>
      <c r="G16" s="49"/>
      <c r="H16" s="49"/>
      <c r="I16" s="49"/>
      <c r="J16" s="49"/>
      <c r="K16" s="43">
        <v>174</v>
      </c>
    </row>
    <row r="17" spans="1:11" ht="26.25" customHeight="1" x14ac:dyDescent="0.15">
      <c r="A17" s="49"/>
      <c r="B17" s="48"/>
      <c r="C17" s="48"/>
      <c r="D17" s="48"/>
      <c r="E17" s="48"/>
      <c r="F17" s="49"/>
      <c r="G17" s="49"/>
      <c r="H17" s="49"/>
      <c r="I17" s="49"/>
      <c r="J17" s="49"/>
      <c r="K17" s="43">
        <v>175</v>
      </c>
    </row>
    <row r="18" spans="1:11" ht="26.25" customHeight="1" x14ac:dyDescent="0.15">
      <c r="A18" s="49"/>
      <c r="B18" s="48"/>
      <c r="C18" s="48"/>
      <c r="D18" s="48"/>
      <c r="E18" s="48"/>
      <c r="F18" s="49"/>
      <c r="G18" s="49"/>
      <c r="H18" s="49"/>
      <c r="I18" s="49"/>
      <c r="J18" s="43">
        <v>130</v>
      </c>
      <c r="K18" s="43"/>
    </row>
    <row r="19" spans="1:11" ht="26.25" customHeight="1" x14ac:dyDescent="0.15">
      <c r="A19" s="49"/>
      <c r="B19" s="48"/>
      <c r="C19" s="48"/>
      <c r="D19" s="48"/>
      <c r="E19" s="48"/>
      <c r="F19" s="49"/>
      <c r="G19" s="49"/>
      <c r="H19" s="49"/>
      <c r="I19" s="43">
        <v>93</v>
      </c>
      <c r="J19" s="43"/>
      <c r="K19" s="43"/>
    </row>
    <row r="20" spans="1:11" ht="26.25" customHeight="1" x14ac:dyDescent="0.15">
      <c r="A20" s="49"/>
      <c r="B20" s="48"/>
      <c r="C20" s="48"/>
      <c r="D20" s="48"/>
      <c r="E20" s="48"/>
      <c r="F20" s="49"/>
      <c r="G20" s="49"/>
      <c r="H20" s="49">
        <v>62</v>
      </c>
      <c r="I20" s="49">
        <v>94</v>
      </c>
      <c r="J20" s="43">
        <v>131</v>
      </c>
      <c r="K20" s="43"/>
    </row>
    <row r="21" spans="1:11" ht="26.25" customHeight="1" x14ac:dyDescent="0.15">
      <c r="A21" s="49"/>
      <c r="B21" s="48"/>
      <c r="C21" s="48"/>
      <c r="D21" s="48"/>
      <c r="E21" s="48"/>
      <c r="F21" s="49"/>
      <c r="G21" s="49"/>
      <c r="H21" s="49"/>
      <c r="I21" s="49"/>
      <c r="J21" s="49">
        <v>132</v>
      </c>
      <c r="K21" s="43">
        <v>176</v>
      </c>
    </row>
    <row r="22" spans="1:11" ht="26.25" customHeight="1" x14ac:dyDescent="0.15">
      <c r="A22" s="49"/>
      <c r="B22" s="48"/>
      <c r="C22" s="48"/>
      <c r="D22" s="48"/>
      <c r="E22" s="48"/>
      <c r="F22" s="49"/>
      <c r="G22" s="49"/>
      <c r="H22" s="49"/>
      <c r="I22" s="49"/>
      <c r="J22" s="49"/>
      <c r="K22" s="43">
        <v>177</v>
      </c>
    </row>
    <row r="23" spans="1:11" ht="26.25" customHeight="1" x14ac:dyDescent="0.15">
      <c r="A23" s="49"/>
      <c r="B23" s="48"/>
      <c r="C23" s="48"/>
      <c r="D23" s="48"/>
      <c r="E23" s="48"/>
      <c r="F23" s="49"/>
      <c r="G23" s="49"/>
      <c r="H23" s="49"/>
      <c r="I23" s="43">
        <v>95</v>
      </c>
      <c r="J23" s="43"/>
      <c r="K23" s="43"/>
    </row>
    <row r="24" spans="1:11" ht="26.25" customHeight="1" x14ac:dyDescent="0.15">
      <c r="A24" s="49"/>
      <c r="B24" s="48"/>
      <c r="C24" s="48"/>
      <c r="D24" s="48"/>
      <c r="E24" s="48"/>
      <c r="F24" s="49">
        <v>25</v>
      </c>
      <c r="G24" s="49">
        <v>42</v>
      </c>
      <c r="H24" s="49">
        <v>63</v>
      </c>
      <c r="I24" s="49">
        <v>96</v>
      </c>
      <c r="J24" s="43">
        <v>133</v>
      </c>
      <c r="K24" s="43"/>
    </row>
    <row r="25" spans="1:11" ht="26.25" customHeight="1" x14ac:dyDescent="0.15">
      <c r="A25" s="49"/>
      <c r="B25" s="48"/>
      <c r="C25" s="48"/>
      <c r="D25" s="48"/>
      <c r="E25" s="48"/>
      <c r="F25" s="49"/>
      <c r="G25" s="49"/>
      <c r="H25" s="49"/>
      <c r="I25" s="49"/>
      <c r="J25" s="49">
        <v>134</v>
      </c>
      <c r="K25" s="43">
        <v>178</v>
      </c>
    </row>
    <row r="26" spans="1:11" ht="26.25" customHeight="1" x14ac:dyDescent="0.15">
      <c r="A26" s="49"/>
      <c r="B26" s="48"/>
      <c r="C26" s="48"/>
      <c r="D26" s="48"/>
      <c r="E26" s="48"/>
      <c r="F26" s="49"/>
      <c r="G26" s="49"/>
      <c r="H26" s="49"/>
      <c r="I26" s="49"/>
      <c r="J26" s="49"/>
      <c r="K26" s="43">
        <v>179</v>
      </c>
    </row>
    <row r="27" spans="1:11" ht="26.25" customHeight="1" x14ac:dyDescent="0.15">
      <c r="A27" s="49"/>
      <c r="B27" s="48"/>
      <c r="C27" s="48"/>
      <c r="D27" s="48"/>
      <c r="E27" s="48"/>
      <c r="F27" s="49"/>
      <c r="G27" s="49"/>
      <c r="H27" s="49"/>
      <c r="I27" s="43">
        <v>97</v>
      </c>
      <c r="J27" s="43"/>
      <c r="K27" s="43"/>
    </row>
    <row r="28" spans="1:11" ht="26.25" customHeight="1" x14ac:dyDescent="0.15">
      <c r="A28" s="49"/>
      <c r="B28" s="48"/>
      <c r="C28" s="48"/>
      <c r="D28" s="48"/>
      <c r="E28" s="48"/>
      <c r="F28" s="49"/>
      <c r="G28" s="49"/>
      <c r="H28" s="49">
        <v>64</v>
      </c>
      <c r="I28" s="49">
        <v>98</v>
      </c>
      <c r="J28" s="49">
        <v>135</v>
      </c>
      <c r="K28" s="43">
        <v>180</v>
      </c>
    </row>
    <row r="29" spans="1:11" ht="26.25" customHeight="1" x14ac:dyDescent="0.15">
      <c r="A29" s="49"/>
      <c r="B29" s="48"/>
      <c r="C29" s="48"/>
      <c r="D29" s="48"/>
      <c r="E29" s="48"/>
      <c r="F29" s="49"/>
      <c r="G29" s="49"/>
      <c r="H29" s="49"/>
      <c r="I29" s="49"/>
      <c r="J29" s="49"/>
      <c r="K29" s="43">
        <v>181</v>
      </c>
    </row>
    <row r="30" spans="1:11" ht="26.25" customHeight="1" x14ac:dyDescent="0.15">
      <c r="A30" s="49"/>
      <c r="B30" s="48"/>
      <c r="C30" s="48"/>
      <c r="D30" s="48"/>
      <c r="E30" s="48"/>
      <c r="F30" s="49"/>
      <c r="G30" s="49"/>
      <c r="H30" s="49"/>
      <c r="I30" s="49"/>
      <c r="J30" s="43">
        <v>136</v>
      </c>
      <c r="K30" s="43"/>
    </row>
    <row r="31" spans="1:11" ht="26.25" customHeight="1" x14ac:dyDescent="0.15">
      <c r="A31" s="49"/>
      <c r="B31" s="48"/>
      <c r="C31" s="48"/>
      <c r="D31" s="48"/>
      <c r="E31" s="48"/>
      <c r="F31" s="49"/>
      <c r="G31" s="49"/>
      <c r="H31" s="49"/>
      <c r="I31" s="48">
        <v>99</v>
      </c>
      <c r="J31" s="41">
        <v>137</v>
      </c>
      <c r="K31" s="43"/>
    </row>
    <row r="32" spans="1:11" ht="26.25" customHeight="1" x14ac:dyDescent="0.15">
      <c r="A32" s="49"/>
      <c r="B32" s="48"/>
      <c r="C32" s="48"/>
      <c r="D32" s="48"/>
      <c r="E32" s="48"/>
      <c r="F32" s="49"/>
      <c r="G32" s="49"/>
      <c r="H32" s="49"/>
      <c r="I32" s="48"/>
      <c r="J32" s="41">
        <v>138</v>
      </c>
      <c r="K32" s="43"/>
    </row>
    <row r="33" spans="1:11" ht="26.25" customHeight="1" x14ac:dyDescent="0.15">
      <c r="A33" s="49"/>
      <c r="B33" s="48"/>
      <c r="C33" s="48"/>
      <c r="D33" s="48"/>
      <c r="E33" s="48"/>
      <c r="F33" s="49"/>
      <c r="G33" s="49">
        <v>43</v>
      </c>
      <c r="H33" s="43">
        <v>65</v>
      </c>
      <c r="K33" s="43"/>
    </row>
    <row r="34" spans="1:11" ht="26.25" customHeight="1" x14ac:dyDescent="0.15">
      <c r="A34" s="49"/>
      <c r="B34" s="48"/>
      <c r="C34" s="48"/>
      <c r="D34" s="48"/>
      <c r="E34" s="48"/>
      <c r="F34" s="49"/>
      <c r="G34" s="49"/>
      <c r="H34" s="43">
        <v>66</v>
      </c>
      <c r="K34" s="43"/>
    </row>
    <row r="35" spans="1:11" ht="26.25" customHeight="1" x14ac:dyDescent="0.15">
      <c r="A35" s="49"/>
      <c r="B35" s="48"/>
      <c r="C35" s="48"/>
      <c r="D35" s="48"/>
      <c r="E35" s="48">
        <v>14</v>
      </c>
      <c r="F35" s="49">
        <v>26</v>
      </c>
      <c r="G35" s="49">
        <v>44</v>
      </c>
      <c r="H35" s="49">
        <v>67</v>
      </c>
      <c r="I35" s="49">
        <v>100</v>
      </c>
      <c r="J35" s="49">
        <v>139</v>
      </c>
      <c r="K35" s="43">
        <v>182</v>
      </c>
    </row>
    <row r="36" spans="1:11" ht="26.25" customHeight="1" x14ac:dyDescent="0.15">
      <c r="A36" s="49"/>
      <c r="B36" s="48"/>
      <c r="C36" s="48"/>
      <c r="D36" s="48"/>
      <c r="E36" s="48"/>
      <c r="F36" s="49"/>
      <c r="G36" s="49"/>
      <c r="H36" s="49"/>
      <c r="I36" s="49"/>
      <c r="J36" s="49"/>
      <c r="K36" s="43">
        <v>183</v>
      </c>
    </row>
    <row r="37" spans="1:11" ht="26.25" customHeight="1" x14ac:dyDescent="0.15">
      <c r="A37" s="49"/>
      <c r="B37" s="48"/>
      <c r="C37" s="48"/>
      <c r="D37" s="48"/>
      <c r="E37" s="48"/>
      <c r="F37" s="49"/>
      <c r="G37" s="49"/>
      <c r="H37" s="49"/>
      <c r="I37" s="49"/>
      <c r="J37" s="49"/>
      <c r="K37" s="43">
        <v>184</v>
      </c>
    </row>
    <row r="38" spans="1:11" ht="26.25" customHeight="1" x14ac:dyDescent="0.15">
      <c r="A38" s="49"/>
      <c r="B38" s="48"/>
      <c r="C38" s="48"/>
      <c r="D38" s="48"/>
      <c r="E38" s="48"/>
      <c r="F38" s="49"/>
      <c r="G38" s="49"/>
      <c r="H38" s="49"/>
      <c r="I38" s="49"/>
      <c r="J38" s="49">
        <v>140</v>
      </c>
      <c r="K38" s="43">
        <v>185</v>
      </c>
    </row>
    <row r="39" spans="1:11" ht="26.25" customHeight="1" x14ac:dyDescent="0.15">
      <c r="A39" s="49"/>
      <c r="B39" s="48"/>
      <c r="C39" s="48"/>
      <c r="D39" s="48"/>
      <c r="E39" s="48"/>
      <c r="F39" s="49"/>
      <c r="G39" s="49"/>
      <c r="H39" s="49"/>
      <c r="I39" s="49"/>
      <c r="J39" s="49"/>
      <c r="K39" s="43">
        <v>186</v>
      </c>
    </row>
    <row r="40" spans="1:11" ht="26.25" customHeight="1" x14ac:dyDescent="0.15">
      <c r="A40" s="49"/>
      <c r="B40" s="48"/>
      <c r="C40" s="48"/>
      <c r="D40" s="48"/>
      <c r="E40" s="48"/>
      <c r="F40" s="49"/>
      <c r="G40" s="49"/>
      <c r="H40" s="49"/>
      <c r="I40" s="43">
        <v>101</v>
      </c>
      <c r="J40" s="43"/>
      <c r="K40" s="43"/>
    </row>
    <row r="41" spans="1:11" ht="26.25" customHeight="1" x14ac:dyDescent="0.15">
      <c r="A41" s="49"/>
      <c r="B41" s="48"/>
      <c r="C41" s="48"/>
      <c r="D41" s="48"/>
      <c r="E41" s="48"/>
      <c r="F41" s="49"/>
      <c r="G41" s="49"/>
      <c r="H41" s="49">
        <v>68</v>
      </c>
      <c r="I41" s="43">
        <v>102</v>
      </c>
      <c r="J41" s="43"/>
      <c r="K41" s="43"/>
    </row>
    <row r="42" spans="1:11" ht="26.25" customHeight="1" x14ac:dyDescent="0.15">
      <c r="A42" s="49"/>
      <c r="B42" s="48"/>
      <c r="C42" s="48"/>
      <c r="D42" s="48"/>
      <c r="E42" s="48"/>
      <c r="F42" s="49"/>
      <c r="G42" s="49"/>
      <c r="H42" s="49"/>
      <c r="I42" s="49">
        <v>103</v>
      </c>
      <c r="J42" s="43">
        <v>141</v>
      </c>
      <c r="K42" s="43"/>
    </row>
    <row r="43" spans="1:11" ht="26.25" customHeight="1" x14ac:dyDescent="0.15">
      <c r="A43" s="49"/>
      <c r="B43" s="48"/>
      <c r="C43" s="48"/>
      <c r="D43" s="48"/>
      <c r="E43" s="48"/>
      <c r="F43" s="49"/>
      <c r="G43" s="49"/>
      <c r="H43" s="49"/>
      <c r="I43" s="49"/>
      <c r="J43" s="43">
        <v>142</v>
      </c>
      <c r="K43" s="43"/>
    </row>
    <row r="44" spans="1:11" ht="26.25" customHeight="1" x14ac:dyDescent="0.15">
      <c r="A44" s="49"/>
      <c r="B44" s="48"/>
      <c r="C44" s="48"/>
      <c r="D44" s="48"/>
      <c r="E44" s="48"/>
      <c r="F44" s="49">
        <v>27</v>
      </c>
      <c r="G44" s="49">
        <v>45</v>
      </c>
      <c r="H44" s="49">
        <v>69</v>
      </c>
      <c r="I44" s="49">
        <v>104</v>
      </c>
      <c r="J44" s="49">
        <v>143</v>
      </c>
      <c r="K44" s="43">
        <v>187</v>
      </c>
    </row>
    <row r="45" spans="1:11" ht="26.25" customHeight="1" x14ac:dyDescent="0.15">
      <c r="A45" s="49"/>
      <c r="B45" s="48"/>
      <c r="C45" s="48"/>
      <c r="D45" s="48"/>
      <c r="E45" s="48"/>
      <c r="F45" s="49"/>
      <c r="G45" s="49"/>
      <c r="H45" s="49"/>
      <c r="I45" s="49"/>
      <c r="J45" s="49"/>
      <c r="K45" s="43">
        <v>188</v>
      </c>
    </row>
    <row r="46" spans="1:11" ht="26.25" customHeight="1" x14ac:dyDescent="0.15">
      <c r="A46" s="49"/>
      <c r="B46" s="48"/>
      <c r="C46" s="48"/>
      <c r="D46" s="48"/>
      <c r="E46" s="48"/>
      <c r="F46" s="49"/>
      <c r="G46" s="49"/>
      <c r="H46" s="49"/>
      <c r="I46" s="49"/>
      <c r="J46" s="49"/>
      <c r="K46" s="43">
        <v>189</v>
      </c>
    </row>
    <row r="47" spans="1:11" ht="26.25" customHeight="1" x14ac:dyDescent="0.15">
      <c r="A47" s="49"/>
      <c r="B47" s="48"/>
      <c r="C47" s="48"/>
      <c r="D47" s="48"/>
      <c r="E47" s="48"/>
      <c r="F47" s="49"/>
      <c r="G47" s="49"/>
      <c r="H47" s="49"/>
      <c r="I47" s="49"/>
      <c r="J47" s="49">
        <v>144</v>
      </c>
      <c r="K47" s="43">
        <v>190</v>
      </c>
    </row>
    <row r="48" spans="1:11" ht="26.25" customHeight="1" x14ac:dyDescent="0.15">
      <c r="A48" s="49"/>
      <c r="B48" s="48"/>
      <c r="C48" s="48"/>
      <c r="D48" s="48"/>
      <c r="E48" s="48"/>
      <c r="F48" s="49"/>
      <c r="G48" s="49"/>
      <c r="H48" s="49"/>
      <c r="I48" s="49"/>
      <c r="J48" s="49"/>
      <c r="K48" s="43">
        <v>191</v>
      </c>
    </row>
    <row r="49" spans="1:11" ht="26.25" customHeight="1" x14ac:dyDescent="0.15">
      <c r="A49" s="49"/>
      <c r="B49" s="48"/>
      <c r="C49" s="48"/>
      <c r="D49" s="48"/>
      <c r="E49" s="48"/>
      <c r="F49" s="49"/>
      <c r="G49" s="49"/>
      <c r="H49" s="49"/>
      <c r="I49" s="49"/>
      <c r="J49" s="49">
        <v>145</v>
      </c>
      <c r="K49" s="43">
        <v>192</v>
      </c>
    </row>
    <row r="50" spans="1:11" ht="26.25" customHeight="1" x14ac:dyDescent="0.15">
      <c r="A50" s="49"/>
      <c r="B50" s="48"/>
      <c r="C50" s="48"/>
      <c r="D50" s="48"/>
      <c r="E50" s="48"/>
      <c r="F50" s="49"/>
      <c r="G50" s="49"/>
      <c r="H50" s="49"/>
      <c r="I50" s="49"/>
      <c r="J50" s="49"/>
      <c r="K50" s="43">
        <v>193</v>
      </c>
    </row>
    <row r="51" spans="1:11" ht="26.25" customHeight="1" x14ac:dyDescent="0.15">
      <c r="A51" s="49"/>
      <c r="B51" s="48"/>
      <c r="C51" s="48"/>
      <c r="D51" s="48"/>
      <c r="E51" s="48"/>
      <c r="F51" s="49"/>
      <c r="G51" s="49"/>
      <c r="H51" s="49"/>
      <c r="I51" s="49"/>
      <c r="J51" s="49"/>
      <c r="K51" s="43">
        <v>194</v>
      </c>
    </row>
    <row r="52" spans="1:11" ht="26.25" customHeight="1" x14ac:dyDescent="0.15">
      <c r="A52" s="49"/>
      <c r="B52" s="48"/>
      <c r="C52" s="48"/>
      <c r="D52" s="48"/>
      <c r="E52" s="48"/>
      <c r="F52" s="49"/>
      <c r="G52" s="49"/>
      <c r="H52" s="49"/>
      <c r="I52" s="49"/>
      <c r="J52" s="43">
        <v>146</v>
      </c>
      <c r="K52" s="43"/>
    </row>
    <row r="53" spans="1:11" ht="26.25" customHeight="1" x14ac:dyDescent="0.15">
      <c r="A53" s="49"/>
      <c r="B53" s="48"/>
      <c r="C53" s="48"/>
      <c r="D53" s="48"/>
      <c r="E53" s="48"/>
      <c r="F53" s="49"/>
      <c r="G53" s="49"/>
      <c r="H53" s="49"/>
      <c r="I53" s="43">
        <v>105</v>
      </c>
      <c r="J53" s="43"/>
      <c r="K53" s="43"/>
    </row>
    <row r="54" spans="1:11" ht="26.25" customHeight="1" x14ac:dyDescent="0.15">
      <c r="A54" s="49"/>
      <c r="B54" s="48"/>
      <c r="C54" s="48"/>
      <c r="D54" s="48"/>
      <c r="E54" s="48"/>
      <c r="F54" s="49"/>
      <c r="G54" s="49"/>
      <c r="H54" s="49">
        <v>70</v>
      </c>
      <c r="I54" s="49">
        <v>106</v>
      </c>
      <c r="J54" s="43">
        <v>147</v>
      </c>
      <c r="K54" s="43"/>
    </row>
    <row r="55" spans="1:11" ht="26.25" customHeight="1" x14ac:dyDescent="0.15">
      <c r="A55" s="49"/>
      <c r="B55" s="48"/>
      <c r="C55" s="48"/>
      <c r="D55" s="48"/>
      <c r="E55" s="48"/>
      <c r="F55" s="49"/>
      <c r="G55" s="49"/>
      <c r="H55" s="49"/>
      <c r="I55" s="49"/>
      <c r="J55" s="49">
        <v>148</v>
      </c>
      <c r="K55" s="43">
        <v>195</v>
      </c>
    </row>
    <row r="56" spans="1:11" ht="26.25" customHeight="1" x14ac:dyDescent="0.15">
      <c r="A56" s="49"/>
      <c r="B56" s="48"/>
      <c r="C56" s="48"/>
      <c r="D56" s="48"/>
      <c r="E56" s="48"/>
      <c r="F56" s="49"/>
      <c r="G56" s="49"/>
      <c r="H56" s="49"/>
      <c r="I56" s="49"/>
      <c r="J56" s="49"/>
      <c r="K56" s="43">
        <v>196</v>
      </c>
    </row>
    <row r="57" spans="1:11" ht="26.25" customHeight="1" x14ac:dyDescent="0.15">
      <c r="A57" s="49"/>
      <c r="B57" s="48"/>
      <c r="C57" s="48"/>
      <c r="D57" s="48"/>
      <c r="E57" s="48"/>
      <c r="F57" s="49"/>
      <c r="G57" s="49"/>
      <c r="H57" s="49"/>
      <c r="I57" s="43">
        <v>107</v>
      </c>
      <c r="J57" s="43"/>
      <c r="K57" s="43"/>
    </row>
    <row r="58" spans="1:11" ht="26.25" customHeight="1" x14ac:dyDescent="0.15">
      <c r="A58" s="49"/>
      <c r="B58" s="48"/>
      <c r="C58" s="48"/>
      <c r="D58" s="48">
        <v>8</v>
      </c>
      <c r="E58" s="48">
        <v>15</v>
      </c>
      <c r="F58" s="49">
        <v>28</v>
      </c>
      <c r="G58" s="49">
        <v>46</v>
      </c>
      <c r="H58" s="49">
        <v>71</v>
      </c>
      <c r="I58" s="49">
        <v>108</v>
      </c>
      <c r="J58" s="43">
        <v>149</v>
      </c>
      <c r="K58" s="43"/>
    </row>
    <row r="59" spans="1:11" ht="26.25" customHeight="1" x14ac:dyDescent="0.15">
      <c r="A59" s="49"/>
      <c r="B59" s="48"/>
      <c r="C59" s="48"/>
      <c r="D59" s="48"/>
      <c r="E59" s="48"/>
      <c r="F59" s="49"/>
      <c r="G59" s="49"/>
      <c r="H59" s="49"/>
      <c r="I59" s="49"/>
      <c r="J59" s="43">
        <v>150</v>
      </c>
      <c r="K59" s="43"/>
    </row>
    <row r="60" spans="1:11" ht="26.25" customHeight="1" x14ac:dyDescent="0.15">
      <c r="A60" s="49"/>
      <c r="B60" s="48"/>
      <c r="C60" s="48"/>
      <c r="D60" s="48"/>
      <c r="E60" s="48"/>
      <c r="F60" s="49"/>
      <c r="G60" s="49"/>
      <c r="H60" s="49"/>
      <c r="I60" s="43">
        <v>109</v>
      </c>
      <c r="J60" s="47"/>
      <c r="K60" s="43"/>
    </row>
    <row r="61" spans="1:11" ht="26.25" customHeight="1" x14ac:dyDescent="0.15">
      <c r="A61" s="49"/>
      <c r="B61" s="48"/>
      <c r="C61" s="48"/>
      <c r="D61" s="48"/>
      <c r="E61" s="48"/>
      <c r="F61" s="49"/>
      <c r="G61" s="43">
        <v>47</v>
      </c>
      <c r="H61" s="47">
        <v>110</v>
      </c>
      <c r="I61" s="47"/>
      <c r="J61" s="47"/>
      <c r="K61" s="43"/>
    </row>
    <row r="62" spans="1:11" ht="26.25" customHeight="1" x14ac:dyDescent="0.15">
      <c r="A62" s="49"/>
      <c r="B62" s="48"/>
      <c r="C62" s="48"/>
      <c r="D62" s="48"/>
      <c r="E62" s="48"/>
      <c r="F62" s="49">
        <v>29</v>
      </c>
      <c r="G62" s="49">
        <v>48</v>
      </c>
      <c r="H62" s="49">
        <v>72</v>
      </c>
      <c r="I62" s="48">
        <v>111</v>
      </c>
      <c r="J62" s="47">
        <v>151</v>
      </c>
      <c r="K62" s="43"/>
    </row>
    <row r="63" spans="1:11" ht="26.25" customHeight="1" x14ac:dyDescent="0.15">
      <c r="A63" s="49"/>
      <c r="B63" s="48"/>
      <c r="C63" s="48"/>
      <c r="D63" s="48"/>
      <c r="E63" s="48"/>
      <c r="F63" s="49"/>
      <c r="G63" s="49"/>
      <c r="H63" s="49"/>
      <c r="I63" s="48"/>
      <c r="J63" s="47">
        <v>152</v>
      </c>
      <c r="K63" s="43"/>
    </row>
    <row r="64" spans="1:11" ht="26.25" customHeight="1" x14ac:dyDescent="0.15">
      <c r="A64" s="49"/>
      <c r="B64" s="48"/>
      <c r="C64" s="48"/>
      <c r="D64" s="48"/>
      <c r="E64" s="48"/>
      <c r="F64" s="49"/>
      <c r="G64" s="49"/>
      <c r="H64" s="49"/>
      <c r="I64" s="41">
        <v>112</v>
      </c>
      <c r="J64" s="47"/>
      <c r="K64" s="43"/>
    </row>
    <row r="65" spans="1:11" ht="26.25" customHeight="1" x14ac:dyDescent="0.15">
      <c r="A65" s="49"/>
      <c r="B65" s="48"/>
      <c r="C65" s="48"/>
      <c r="D65" s="48"/>
      <c r="E65" s="48"/>
      <c r="F65" s="49"/>
      <c r="G65" s="49"/>
      <c r="H65" s="49">
        <v>73</v>
      </c>
      <c r="I65" s="49">
        <v>113</v>
      </c>
      <c r="J65" s="43">
        <v>153</v>
      </c>
      <c r="K65" s="43"/>
    </row>
    <row r="66" spans="1:11" ht="26.25" customHeight="1" x14ac:dyDescent="0.15">
      <c r="A66" s="49"/>
      <c r="B66" s="48"/>
      <c r="C66" s="48"/>
      <c r="D66" s="48"/>
      <c r="E66" s="48"/>
      <c r="F66" s="49"/>
      <c r="G66" s="49"/>
      <c r="H66" s="49"/>
      <c r="I66" s="49"/>
      <c r="J66" s="49">
        <v>154</v>
      </c>
      <c r="K66" s="43">
        <v>197</v>
      </c>
    </row>
    <row r="67" spans="1:11" ht="26.25" customHeight="1" x14ac:dyDescent="0.15">
      <c r="A67" s="49"/>
      <c r="B67" s="48"/>
      <c r="C67" s="48"/>
      <c r="D67" s="48"/>
      <c r="E67" s="48"/>
      <c r="F67" s="49"/>
      <c r="G67" s="49"/>
      <c r="H67" s="49"/>
      <c r="I67" s="49"/>
      <c r="J67" s="49"/>
      <c r="K67" s="43">
        <v>198</v>
      </c>
    </row>
    <row r="68" spans="1:11" ht="26.25" customHeight="1" x14ac:dyDescent="0.15">
      <c r="A68" s="49"/>
      <c r="B68" s="48"/>
      <c r="C68" s="48"/>
      <c r="D68" s="48"/>
      <c r="E68" s="48"/>
      <c r="F68" s="49"/>
      <c r="G68" s="49"/>
      <c r="H68" s="49"/>
      <c r="I68" s="43">
        <v>114</v>
      </c>
      <c r="J68" s="43"/>
      <c r="K68" s="43"/>
    </row>
    <row r="69" spans="1:11" ht="26.25" customHeight="1" x14ac:dyDescent="0.15">
      <c r="A69" s="49"/>
      <c r="B69" s="48"/>
      <c r="C69" s="48">
        <v>5</v>
      </c>
      <c r="D69" s="48">
        <v>9</v>
      </c>
      <c r="E69" s="48">
        <v>16</v>
      </c>
      <c r="F69" s="49">
        <v>30</v>
      </c>
      <c r="G69" s="49">
        <v>49</v>
      </c>
      <c r="H69" s="49">
        <v>74</v>
      </c>
      <c r="I69" s="48">
        <v>115</v>
      </c>
      <c r="J69" s="47">
        <v>155</v>
      </c>
      <c r="K69" s="43"/>
    </row>
    <row r="70" spans="1:11" ht="26.25" customHeight="1" x14ac:dyDescent="0.15">
      <c r="A70" s="49"/>
      <c r="B70" s="48"/>
      <c r="C70" s="48"/>
      <c r="D70" s="48"/>
      <c r="E70" s="48"/>
      <c r="F70" s="49"/>
      <c r="G70" s="49"/>
      <c r="H70" s="49"/>
      <c r="I70" s="48"/>
      <c r="J70" s="47">
        <v>156</v>
      </c>
      <c r="K70" s="43"/>
    </row>
    <row r="71" spans="1:11" ht="26.25" customHeight="1" x14ac:dyDescent="0.15">
      <c r="A71" s="49"/>
      <c r="B71" s="48"/>
      <c r="C71" s="48"/>
      <c r="D71" s="48"/>
      <c r="E71" s="48"/>
      <c r="F71" s="49"/>
      <c r="G71" s="49"/>
      <c r="H71" s="49"/>
      <c r="I71" s="41">
        <v>116</v>
      </c>
      <c r="J71" s="47"/>
      <c r="K71" s="43"/>
    </row>
    <row r="72" spans="1:11" ht="26.25" customHeight="1" x14ac:dyDescent="0.15">
      <c r="A72" s="49"/>
      <c r="B72" s="48"/>
      <c r="C72" s="48"/>
      <c r="D72" s="48"/>
      <c r="E72" s="48"/>
      <c r="F72" s="49"/>
      <c r="G72" s="49"/>
      <c r="H72" s="49">
        <v>75</v>
      </c>
      <c r="I72" s="49">
        <v>117</v>
      </c>
      <c r="J72" s="43">
        <v>157</v>
      </c>
      <c r="K72" s="43"/>
    </row>
    <row r="73" spans="1:11" ht="26.25" customHeight="1" x14ac:dyDescent="0.15">
      <c r="A73" s="49"/>
      <c r="B73" s="48"/>
      <c r="C73" s="48"/>
      <c r="D73" s="48"/>
      <c r="E73" s="48"/>
      <c r="F73" s="49"/>
      <c r="G73" s="49"/>
      <c r="H73" s="49"/>
      <c r="I73" s="49"/>
      <c r="J73" s="49">
        <v>158</v>
      </c>
      <c r="K73" s="43">
        <v>199</v>
      </c>
    </row>
    <row r="74" spans="1:11" ht="26.25" customHeight="1" x14ac:dyDescent="0.15">
      <c r="A74" s="49"/>
      <c r="B74" s="48"/>
      <c r="C74" s="48"/>
      <c r="D74" s="48"/>
      <c r="E74" s="48"/>
      <c r="F74" s="49"/>
      <c r="G74" s="49"/>
      <c r="H74" s="49"/>
      <c r="I74" s="49"/>
      <c r="J74" s="49"/>
      <c r="K74" s="43">
        <v>200</v>
      </c>
    </row>
    <row r="75" spans="1:11" ht="26.25" customHeight="1" x14ac:dyDescent="0.15">
      <c r="A75" s="49"/>
      <c r="B75" s="48"/>
      <c r="C75" s="48"/>
      <c r="D75" s="48"/>
      <c r="E75" s="48"/>
      <c r="F75" s="49"/>
      <c r="G75" s="49"/>
      <c r="H75" s="49"/>
      <c r="I75" s="43">
        <v>118</v>
      </c>
      <c r="J75" s="43"/>
      <c r="K75" s="43"/>
    </row>
    <row r="76" spans="1:11" ht="26.25" customHeight="1" x14ac:dyDescent="0.15">
      <c r="A76" s="49"/>
      <c r="B76" s="48"/>
      <c r="C76" s="48"/>
      <c r="D76" s="48"/>
      <c r="E76" s="49">
        <v>17</v>
      </c>
      <c r="F76" s="49">
        <v>31</v>
      </c>
      <c r="G76" s="48">
        <v>50</v>
      </c>
      <c r="H76" s="47">
        <v>76</v>
      </c>
      <c r="I76" s="43"/>
      <c r="K76" s="43"/>
    </row>
    <row r="77" spans="1:11" ht="20.100000000000001" customHeight="1" x14ac:dyDescent="0.15">
      <c r="A77" s="49"/>
      <c r="B77" s="48"/>
      <c r="C77" s="48"/>
      <c r="D77" s="48"/>
      <c r="E77" s="49"/>
      <c r="F77" s="49"/>
      <c r="G77" s="48"/>
      <c r="H77" s="47">
        <v>77</v>
      </c>
      <c r="I77" s="43"/>
      <c r="K77" s="43"/>
    </row>
    <row r="78" spans="1:11" ht="20.100000000000001" customHeight="1" x14ac:dyDescent="0.15">
      <c r="A78" s="49"/>
      <c r="B78" s="48"/>
      <c r="C78" s="48"/>
      <c r="D78" s="48"/>
      <c r="E78" s="49"/>
      <c r="F78" s="49"/>
      <c r="G78" s="41">
        <v>51</v>
      </c>
      <c r="H78" s="47"/>
      <c r="I78" s="43"/>
      <c r="K78" s="43"/>
    </row>
    <row r="79" spans="1:11" ht="20.100000000000001" customHeight="1" x14ac:dyDescent="0.15">
      <c r="A79" s="49"/>
      <c r="B79" s="48"/>
      <c r="C79" s="48"/>
      <c r="D79" s="48"/>
      <c r="E79" s="49"/>
      <c r="F79" s="49">
        <v>32</v>
      </c>
      <c r="G79" s="49">
        <v>52</v>
      </c>
      <c r="H79" s="43">
        <v>78</v>
      </c>
      <c r="I79" s="43"/>
      <c r="K79" s="43"/>
    </row>
    <row r="80" spans="1:11" ht="20.100000000000001" customHeight="1" x14ac:dyDescent="0.15">
      <c r="A80" s="49"/>
      <c r="B80" s="48"/>
      <c r="C80" s="48"/>
      <c r="D80" s="48"/>
      <c r="E80" s="49"/>
      <c r="F80" s="49"/>
      <c r="G80" s="49"/>
      <c r="H80" s="49">
        <v>79</v>
      </c>
      <c r="I80" s="43">
        <v>201</v>
      </c>
      <c r="K80" s="43"/>
    </row>
    <row r="81" spans="1:11" ht="20.100000000000001" customHeight="1" x14ac:dyDescent="0.15">
      <c r="A81" s="49"/>
      <c r="B81" s="48"/>
      <c r="C81" s="48"/>
      <c r="D81" s="48"/>
      <c r="E81" s="49"/>
      <c r="F81" s="49"/>
      <c r="G81" s="49"/>
      <c r="H81" s="49"/>
      <c r="I81" s="43">
        <v>202</v>
      </c>
      <c r="K81" s="43"/>
    </row>
    <row r="82" spans="1:11" ht="20.100000000000001" customHeight="1" x14ac:dyDescent="0.15">
      <c r="A82" s="49"/>
      <c r="B82" s="48"/>
      <c r="C82" s="48"/>
      <c r="D82" s="48"/>
      <c r="E82" s="49"/>
      <c r="F82" s="49"/>
      <c r="G82" s="43">
        <v>53</v>
      </c>
      <c r="H82" s="43"/>
      <c r="I82" s="43"/>
      <c r="K82" s="43"/>
    </row>
    <row r="83" spans="1:11" ht="20.100000000000001" customHeight="1" x14ac:dyDescent="0.15">
      <c r="A83" s="49"/>
      <c r="B83" s="48"/>
      <c r="C83" s="48"/>
      <c r="D83" s="48"/>
      <c r="E83" s="48">
        <v>18</v>
      </c>
      <c r="F83" s="48">
        <v>33</v>
      </c>
      <c r="G83" s="43">
        <v>54</v>
      </c>
      <c r="K83" s="43"/>
    </row>
    <row r="84" spans="1:11" ht="20.100000000000001" customHeight="1" x14ac:dyDescent="0.15">
      <c r="A84" s="49"/>
      <c r="B84" s="48"/>
      <c r="C84" s="48"/>
      <c r="D84" s="48"/>
      <c r="E84" s="48"/>
      <c r="F84" s="48"/>
      <c r="G84" s="48">
        <v>55</v>
      </c>
      <c r="H84" s="48">
        <v>80</v>
      </c>
      <c r="I84" s="48">
        <v>119</v>
      </c>
      <c r="J84" s="41">
        <v>159</v>
      </c>
      <c r="K84" s="43"/>
    </row>
    <row r="85" spans="1:11" ht="20.100000000000001" customHeight="1" x14ac:dyDescent="0.15">
      <c r="A85" s="49"/>
      <c r="B85" s="48"/>
      <c r="C85" s="48"/>
      <c r="D85" s="48"/>
      <c r="E85" s="48"/>
      <c r="F85" s="48"/>
      <c r="G85" s="48"/>
      <c r="H85" s="48"/>
      <c r="I85" s="48"/>
      <c r="J85" s="41">
        <v>160</v>
      </c>
      <c r="K85" s="43"/>
    </row>
    <row r="86" spans="1:11" ht="20.100000000000001" customHeight="1" x14ac:dyDescent="0.15">
      <c r="A86" s="49"/>
      <c r="B86" s="48"/>
      <c r="C86" s="48"/>
      <c r="D86" s="48"/>
      <c r="E86" s="48"/>
      <c r="F86" s="48"/>
      <c r="G86" s="48"/>
      <c r="H86" s="41">
        <v>81</v>
      </c>
      <c r="K86" s="43"/>
    </row>
    <row r="87" spans="1:11" ht="20.100000000000001" customHeight="1" x14ac:dyDescent="0.15">
      <c r="A87" s="49"/>
      <c r="B87" s="48"/>
      <c r="C87" s="48"/>
      <c r="D87" s="48"/>
      <c r="E87" s="48"/>
      <c r="F87" s="48">
        <v>34</v>
      </c>
      <c r="G87" s="48">
        <v>56</v>
      </c>
      <c r="H87" s="48">
        <v>82</v>
      </c>
      <c r="I87" s="41">
        <v>120</v>
      </c>
      <c r="K87" s="43"/>
    </row>
    <row r="88" spans="1:11" ht="20.100000000000001" customHeight="1" x14ac:dyDescent="0.15">
      <c r="A88" s="49"/>
      <c r="B88" s="48"/>
      <c r="C88" s="48"/>
      <c r="D88" s="48"/>
      <c r="E88" s="48"/>
      <c r="F88" s="48"/>
      <c r="G88" s="48"/>
      <c r="H88" s="48"/>
      <c r="I88" s="41">
        <v>121</v>
      </c>
      <c r="K88" s="43"/>
    </row>
    <row r="89" spans="1:11" ht="20.100000000000001" customHeight="1" x14ac:dyDescent="0.15">
      <c r="A89" s="49"/>
      <c r="B89" s="48">
        <v>3</v>
      </c>
      <c r="C89" s="48">
        <v>6</v>
      </c>
      <c r="D89" s="49">
        <v>10</v>
      </c>
      <c r="E89" s="48">
        <v>19</v>
      </c>
      <c r="F89" s="47">
        <v>35</v>
      </c>
      <c r="G89" s="47"/>
      <c r="H89" s="47"/>
      <c r="I89" s="43"/>
      <c r="J89" s="43"/>
      <c r="K89" s="43"/>
    </row>
    <row r="90" spans="1:11" ht="20.100000000000001" customHeight="1" x14ac:dyDescent="0.15">
      <c r="A90" s="49"/>
      <c r="B90" s="48"/>
      <c r="C90" s="48"/>
      <c r="D90" s="49"/>
      <c r="E90" s="48"/>
      <c r="F90" s="47">
        <v>36</v>
      </c>
      <c r="G90" s="47"/>
      <c r="H90" s="47"/>
      <c r="I90" s="43"/>
      <c r="J90" s="43"/>
      <c r="K90" s="43"/>
    </row>
    <row r="91" spans="1:11" ht="20.100000000000001" customHeight="1" x14ac:dyDescent="0.15">
      <c r="A91" s="49"/>
      <c r="B91" s="48"/>
      <c r="C91" s="48"/>
      <c r="D91" s="49"/>
      <c r="E91" s="41">
        <v>20</v>
      </c>
      <c r="F91" s="43"/>
      <c r="G91" s="43"/>
      <c r="H91" s="43"/>
      <c r="I91" s="47"/>
      <c r="J91" s="43"/>
      <c r="K91" s="43"/>
    </row>
    <row r="92" spans="1:11" ht="20.100000000000001" customHeight="1" x14ac:dyDescent="0.15">
      <c r="A92" s="49"/>
      <c r="B92" s="48"/>
      <c r="C92" s="48"/>
      <c r="D92" s="45">
        <v>11</v>
      </c>
      <c r="E92" s="49">
        <v>21</v>
      </c>
      <c r="F92" s="43">
        <v>37</v>
      </c>
      <c r="G92" s="43"/>
      <c r="H92" s="47"/>
      <c r="I92" s="47"/>
      <c r="J92" s="43"/>
      <c r="K92" s="43"/>
    </row>
    <row r="93" spans="1:11" ht="20.100000000000001" customHeight="1" x14ac:dyDescent="0.15">
      <c r="A93" s="49"/>
      <c r="B93" s="48"/>
      <c r="C93" s="48"/>
      <c r="D93" s="45"/>
      <c r="E93" s="49"/>
      <c r="F93" s="49">
        <v>38</v>
      </c>
      <c r="G93" s="49">
        <v>57</v>
      </c>
      <c r="H93" s="47">
        <v>83</v>
      </c>
      <c r="I93" s="47"/>
      <c r="J93" s="43"/>
      <c r="K93" s="43"/>
    </row>
    <row r="94" spans="1:11" ht="20.100000000000001" customHeight="1" x14ac:dyDescent="0.15">
      <c r="A94" s="49"/>
      <c r="B94" s="48"/>
      <c r="C94" s="48"/>
      <c r="D94" s="45"/>
      <c r="E94" s="49"/>
      <c r="F94" s="49"/>
      <c r="G94" s="49"/>
      <c r="H94" s="47">
        <v>84</v>
      </c>
      <c r="I94" s="47"/>
      <c r="J94" s="43"/>
      <c r="K94" s="43"/>
    </row>
    <row r="95" spans="1:11" ht="20.100000000000001" customHeight="1" x14ac:dyDescent="0.15">
      <c r="A95" s="49"/>
      <c r="B95" s="48"/>
      <c r="C95" s="48"/>
      <c r="D95" s="45"/>
      <c r="E95" s="49"/>
      <c r="F95" s="49"/>
      <c r="G95" s="49"/>
      <c r="H95" s="47">
        <v>85</v>
      </c>
      <c r="I95" s="47"/>
      <c r="J95" s="43"/>
      <c r="K95" s="43"/>
    </row>
    <row r="96" spans="1:11" ht="20.100000000000001" customHeight="1" x14ac:dyDescent="0.15">
      <c r="A96" s="49"/>
      <c r="B96" s="48"/>
      <c r="C96" s="48"/>
      <c r="D96" s="48">
        <v>12</v>
      </c>
      <c r="E96" s="49">
        <v>22</v>
      </c>
      <c r="F96" s="49">
        <v>39</v>
      </c>
      <c r="G96" s="49">
        <v>58</v>
      </c>
      <c r="H96" s="49">
        <v>86</v>
      </c>
      <c r="I96" s="49">
        <v>122</v>
      </c>
      <c r="J96" s="43">
        <v>161</v>
      </c>
      <c r="K96" s="43"/>
    </row>
    <row r="97" spans="1:11" ht="27.75" customHeight="1" x14ac:dyDescent="0.15">
      <c r="A97" s="49"/>
      <c r="B97" s="48"/>
      <c r="C97" s="48"/>
      <c r="D97" s="48"/>
      <c r="E97" s="49"/>
      <c r="F97" s="49"/>
      <c r="G97" s="49"/>
      <c r="H97" s="49"/>
      <c r="I97" s="49"/>
      <c r="J97" s="43">
        <v>162</v>
      </c>
      <c r="K97" s="43"/>
    </row>
    <row r="98" spans="1:11" ht="30.75" customHeight="1" x14ac:dyDescent="0.15">
      <c r="A98" s="49"/>
      <c r="B98" s="48"/>
      <c r="C98" s="48"/>
      <c r="D98" s="48"/>
      <c r="E98" s="49"/>
      <c r="F98" s="49"/>
      <c r="G98" s="49"/>
      <c r="H98" s="43">
        <v>87</v>
      </c>
      <c r="I98" s="43"/>
      <c r="J98" s="43"/>
      <c r="K98" s="43"/>
    </row>
    <row r="99" spans="1:11" ht="20.100000000000001" customHeight="1" x14ac:dyDescent="0.15">
      <c r="A99" s="49"/>
      <c r="B99" s="48"/>
      <c r="C99" s="48"/>
      <c r="D99" s="48"/>
      <c r="E99" s="43">
        <v>23</v>
      </c>
      <c r="F99" s="43"/>
      <c r="G99" s="43"/>
      <c r="I99" s="47"/>
      <c r="J99" s="43"/>
      <c r="K99" s="43"/>
    </row>
  </sheetData>
  <mergeCells count="102">
    <mergeCell ref="D58:D68"/>
    <mergeCell ref="D69:D88"/>
    <mergeCell ref="C1:C68"/>
    <mergeCell ref="F44:F57"/>
    <mergeCell ref="G35:G43"/>
    <mergeCell ref="F62:F68"/>
    <mergeCell ref="G58:G60"/>
    <mergeCell ref="G62:G68"/>
    <mergeCell ref="H62:H64"/>
    <mergeCell ref="B89:B99"/>
    <mergeCell ref="A1:A99"/>
    <mergeCell ref="H7:H9"/>
    <mergeCell ref="H44:H53"/>
    <mergeCell ref="E58:E68"/>
    <mergeCell ref="F1:F23"/>
    <mergeCell ref="F24:F34"/>
    <mergeCell ref="G24:G32"/>
    <mergeCell ref="H35:H40"/>
    <mergeCell ref="G44:G57"/>
    <mergeCell ref="J15:J17"/>
    <mergeCell ref="H20:H23"/>
    <mergeCell ref="I20:I22"/>
    <mergeCell ref="J21:J22"/>
    <mergeCell ref="H1:H6"/>
    <mergeCell ref="B1:B88"/>
    <mergeCell ref="D1:D57"/>
    <mergeCell ref="E35:E57"/>
    <mergeCell ref="E1:E34"/>
    <mergeCell ref="F35:F43"/>
    <mergeCell ref="I1:I5"/>
    <mergeCell ref="J1:J3"/>
    <mergeCell ref="J4:J5"/>
    <mergeCell ref="G10:G23"/>
    <mergeCell ref="H10:H19"/>
    <mergeCell ref="I10:I18"/>
    <mergeCell ref="G1:G9"/>
    <mergeCell ref="I8:I9"/>
    <mergeCell ref="J10:J12"/>
    <mergeCell ref="J13:J14"/>
    <mergeCell ref="J25:J26"/>
    <mergeCell ref="I28:I30"/>
    <mergeCell ref="J28:J29"/>
    <mergeCell ref="G33:G34"/>
    <mergeCell ref="I31:I32"/>
    <mergeCell ref="H28:H32"/>
    <mergeCell ref="H24:H27"/>
    <mergeCell ref="I24:I26"/>
    <mergeCell ref="I35:I39"/>
    <mergeCell ref="J35:J37"/>
    <mergeCell ref="J38:J39"/>
    <mergeCell ref="H41:H43"/>
    <mergeCell ref="I42:I43"/>
    <mergeCell ref="J49:J51"/>
    <mergeCell ref="J73:J74"/>
    <mergeCell ref="E69:E75"/>
    <mergeCell ref="H58:H60"/>
    <mergeCell ref="I58:I59"/>
    <mergeCell ref="I69:I70"/>
    <mergeCell ref="I72:I74"/>
    <mergeCell ref="F58:F61"/>
    <mergeCell ref="I62:I63"/>
    <mergeCell ref="H65:H68"/>
    <mergeCell ref="I65:I67"/>
    <mergeCell ref="J66:J67"/>
    <mergeCell ref="I44:I52"/>
    <mergeCell ref="J44:J46"/>
    <mergeCell ref="J47:J48"/>
    <mergeCell ref="H54:H57"/>
    <mergeCell ref="I54:I56"/>
    <mergeCell ref="J55:J56"/>
    <mergeCell ref="H80:H81"/>
    <mergeCell ref="E83:E88"/>
    <mergeCell ref="F83:F86"/>
    <mergeCell ref="F87:F88"/>
    <mergeCell ref="F69:F75"/>
    <mergeCell ref="G69:G75"/>
    <mergeCell ref="H69:H71"/>
    <mergeCell ref="H72:H75"/>
    <mergeCell ref="D92:D95"/>
    <mergeCell ref="C69:C88"/>
    <mergeCell ref="E76:E82"/>
    <mergeCell ref="F76:F78"/>
    <mergeCell ref="G76:G77"/>
    <mergeCell ref="F79:F82"/>
    <mergeCell ref="G79:G81"/>
    <mergeCell ref="D96:D99"/>
    <mergeCell ref="C89:C99"/>
    <mergeCell ref="E96:E98"/>
    <mergeCell ref="F96:F98"/>
    <mergeCell ref="G87:G88"/>
    <mergeCell ref="G96:G98"/>
    <mergeCell ref="D89:D91"/>
    <mergeCell ref="E89:E90"/>
    <mergeCell ref="E92:E95"/>
    <mergeCell ref="F93:F95"/>
    <mergeCell ref="I96:I97"/>
    <mergeCell ref="H96:H97"/>
    <mergeCell ref="I84:I85"/>
    <mergeCell ref="H87:H88"/>
    <mergeCell ref="G93:G95"/>
    <mergeCell ref="G84:G86"/>
    <mergeCell ref="H84:H8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topLeftCell="A61" workbookViewId="0">
      <selection activeCell="E90" sqref="E90"/>
    </sheetView>
  </sheetViews>
  <sheetFormatPr defaultRowHeight="13.5" x14ac:dyDescent="0.15"/>
  <cols>
    <col min="1" max="2" width="14.75" style="6" customWidth="1"/>
    <col min="3" max="3" width="21.75" style="9" customWidth="1"/>
    <col min="4" max="4" width="13.625" style="6" bestFit="1" customWidth="1"/>
    <col min="5" max="5" width="12.5" style="6" bestFit="1" customWidth="1"/>
    <col min="6" max="6" width="11.375" style="6" customWidth="1"/>
    <col min="7" max="7" width="18.5" style="6" bestFit="1" customWidth="1"/>
    <col min="8" max="8" width="15.75" style="6" customWidth="1"/>
    <col min="9" max="9" width="12.25" style="6" customWidth="1"/>
    <col min="10" max="10" width="9" style="6"/>
    <col min="11" max="11" width="15.125" style="6" customWidth="1"/>
    <col min="12" max="12" width="97.125" style="6" bestFit="1" customWidth="1"/>
    <col min="13" max="13" width="14.75" style="6" bestFit="1" customWidth="1"/>
    <col min="14" max="14" width="17.25" style="6" bestFit="1" customWidth="1"/>
    <col min="15" max="15" width="13.625" style="6" bestFit="1" customWidth="1"/>
    <col min="16" max="16" width="12.5" style="6" bestFit="1" customWidth="1"/>
    <col min="17" max="17" width="11.375" style="6" bestFit="1" customWidth="1"/>
    <col min="18" max="18" width="16" style="6" bestFit="1" customWidth="1"/>
    <col min="19" max="19" width="18.5" style="6" bestFit="1" customWidth="1"/>
    <col min="20" max="20" width="13.625" style="6" bestFit="1" customWidth="1"/>
    <col min="21" max="16384" width="9" style="6"/>
  </cols>
  <sheetData>
    <row r="1" spans="1:12" x14ac:dyDescent="0.15">
      <c r="A1" s="6" t="s">
        <v>204</v>
      </c>
      <c r="B1" s="6" t="s">
        <v>205</v>
      </c>
      <c r="C1" s="6" t="s">
        <v>206</v>
      </c>
      <c r="D1" s="6" t="s">
        <v>207</v>
      </c>
      <c r="E1" s="6" t="s">
        <v>208</v>
      </c>
      <c r="F1" s="6" t="s">
        <v>209</v>
      </c>
      <c r="G1" s="6" t="s">
        <v>210</v>
      </c>
      <c r="H1" s="6" t="s">
        <v>211</v>
      </c>
      <c r="I1" s="6" t="s">
        <v>212</v>
      </c>
    </row>
    <row r="2" spans="1:12" x14ac:dyDescent="0.15">
      <c r="A2" s="13" t="s">
        <v>4</v>
      </c>
      <c r="B2" s="13" t="s">
        <v>5</v>
      </c>
      <c r="C2" s="12" t="s">
        <v>247</v>
      </c>
      <c r="D2" s="12">
        <v>2</v>
      </c>
      <c r="E2" s="13">
        <v>1</v>
      </c>
      <c r="F2" s="12">
        <v>52</v>
      </c>
      <c r="G2" s="13">
        <v>81158</v>
      </c>
      <c r="H2" s="13">
        <v>117.60000000000001</v>
      </c>
      <c r="I2" s="13">
        <v>1000065.6</v>
      </c>
      <c r="J2" s="6">
        <f>11*2*2</f>
        <v>44</v>
      </c>
      <c r="K2" s="21"/>
      <c r="L2" s="21"/>
    </row>
    <row r="3" spans="1:12" x14ac:dyDescent="0.15">
      <c r="A3" s="13" t="s">
        <v>13</v>
      </c>
      <c r="B3" s="13" t="s">
        <v>14</v>
      </c>
      <c r="C3" s="12" t="s">
        <v>406</v>
      </c>
      <c r="D3" s="12">
        <v>3</v>
      </c>
      <c r="E3" s="13">
        <v>1</v>
      </c>
      <c r="F3" s="13">
        <v>120</v>
      </c>
      <c r="G3" s="13">
        <v>81158</v>
      </c>
      <c r="H3" s="13">
        <v>588</v>
      </c>
      <c r="I3" s="13">
        <v>1000533.6</v>
      </c>
      <c r="K3" s="21"/>
      <c r="L3" s="21"/>
    </row>
    <row r="4" spans="1:12" x14ac:dyDescent="0.15">
      <c r="A4" s="13" t="s">
        <v>13</v>
      </c>
      <c r="B4" s="13" t="s">
        <v>15</v>
      </c>
      <c r="C4" s="12" t="s">
        <v>407</v>
      </c>
      <c r="D4" s="12">
        <v>4</v>
      </c>
      <c r="E4" s="13">
        <v>1</v>
      </c>
      <c r="F4" s="13">
        <v>32</v>
      </c>
      <c r="G4" s="13">
        <v>81158</v>
      </c>
      <c r="H4" s="13">
        <v>784</v>
      </c>
      <c r="I4" s="13">
        <v>1001285.6</v>
      </c>
      <c r="K4" s="21"/>
      <c r="L4" s="21"/>
    </row>
    <row r="5" spans="1:12" x14ac:dyDescent="0.15">
      <c r="A5" s="13" t="s">
        <v>13</v>
      </c>
      <c r="B5" s="13" t="s">
        <v>17</v>
      </c>
      <c r="C5" s="12" t="s">
        <v>408</v>
      </c>
      <c r="D5" s="12">
        <v>1</v>
      </c>
      <c r="E5" s="13">
        <v>1</v>
      </c>
      <c r="F5" s="13">
        <v>44</v>
      </c>
      <c r="G5" s="13">
        <v>81158</v>
      </c>
      <c r="H5" s="13">
        <v>196</v>
      </c>
      <c r="I5" s="13">
        <v>1001437.6</v>
      </c>
      <c r="K5" s="21"/>
      <c r="L5" s="20"/>
    </row>
    <row r="6" spans="1:12" x14ac:dyDescent="0.15">
      <c r="A6" s="13" t="s">
        <v>13</v>
      </c>
      <c r="B6" s="13" t="s">
        <v>19</v>
      </c>
      <c r="C6" s="12" t="s">
        <v>242</v>
      </c>
      <c r="D6" s="12">
        <v>1</v>
      </c>
      <c r="E6" s="13">
        <v>1</v>
      </c>
      <c r="F6" s="13">
        <v>112</v>
      </c>
      <c r="G6" s="13">
        <v>81158</v>
      </c>
      <c r="H6" s="13">
        <v>196</v>
      </c>
      <c r="I6" s="13">
        <v>1001521.6</v>
      </c>
      <c r="K6" s="21"/>
      <c r="L6" s="20"/>
    </row>
    <row r="7" spans="1:12" x14ac:dyDescent="0.15">
      <c r="A7" s="12" t="s">
        <v>13</v>
      </c>
      <c r="B7" s="12" t="s">
        <v>21</v>
      </c>
      <c r="C7" s="12" t="s">
        <v>242</v>
      </c>
      <c r="D7" s="12">
        <v>2</v>
      </c>
      <c r="E7" s="13">
        <v>1</v>
      </c>
      <c r="F7" s="13">
        <v>60</v>
      </c>
      <c r="G7" s="13">
        <v>81158</v>
      </c>
      <c r="H7" s="13">
        <v>196</v>
      </c>
      <c r="I7" s="19">
        <v>1001657.6</v>
      </c>
      <c r="K7" s="21"/>
      <c r="L7" s="20"/>
    </row>
    <row r="8" spans="1:12" x14ac:dyDescent="0.15">
      <c r="A8" s="12" t="s">
        <v>13</v>
      </c>
      <c r="B8" s="12" t="s">
        <v>22</v>
      </c>
      <c r="C8" s="12" t="s">
        <v>409</v>
      </c>
      <c r="D8" s="12">
        <v>2</v>
      </c>
      <c r="E8" s="20">
        <v>1</v>
      </c>
      <c r="F8" s="20">
        <v>16</v>
      </c>
      <c r="G8" s="20">
        <v>81158</v>
      </c>
      <c r="H8" s="20">
        <v>196</v>
      </c>
      <c r="I8" s="19">
        <v>1001837.6</v>
      </c>
      <c r="K8" s="21"/>
      <c r="L8" s="20"/>
    </row>
    <row r="9" spans="1:12" x14ac:dyDescent="0.15">
      <c r="A9" s="12" t="s">
        <v>13</v>
      </c>
      <c r="B9" s="12" t="s">
        <v>23</v>
      </c>
      <c r="C9" s="12" t="s">
        <v>410</v>
      </c>
      <c r="D9" s="12">
        <v>4</v>
      </c>
      <c r="E9" s="20">
        <v>1</v>
      </c>
      <c r="F9" s="20">
        <v>136</v>
      </c>
      <c r="G9" s="20">
        <v>81158</v>
      </c>
      <c r="H9" s="20">
        <v>392</v>
      </c>
      <c r="I9" s="19">
        <v>1002093.6</v>
      </c>
      <c r="K9" s="21"/>
      <c r="L9" s="20"/>
    </row>
    <row r="10" spans="1:12" x14ac:dyDescent="0.15">
      <c r="A10" s="12" t="s">
        <v>13</v>
      </c>
      <c r="B10" s="12" t="s">
        <v>24</v>
      </c>
      <c r="C10" s="12" t="s">
        <v>411</v>
      </c>
      <c r="D10" s="12">
        <v>1</v>
      </c>
      <c r="E10" s="20">
        <v>1</v>
      </c>
      <c r="F10" s="20">
        <v>18</v>
      </c>
      <c r="G10" s="20">
        <v>81158</v>
      </c>
      <c r="H10" s="20">
        <v>98</v>
      </c>
      <c r="I10" s="19">
        <v>1002173.6</v>
      </c>
      <c r="K10" s="21"/>
      <c r="L10" s="20"/>
    </row>
    <row r="11" spans="1:12" x14ac:dyDescent="0.15">
      <c r="A11" s="12" t="s">
        <v>26</v>
      </c>
      <c r="B11" s="12" t="s">
        <v>14</v>
      </c>
      <c r="C11" s="12" t="s">
        <v>412</v>
      </c>
      <c r="D11" s="12">
        <v>2</v>
      </c>
      <c r="E11" s="13">
        <v>1</v>
      </c>
      <c r="F11" s="13">
        <v>64</v>
      </c>
      <c r="G11" s="13">
        <v>81158</v>
      </c>
      <c r="H11" s="13">
        <v>392</v>
      </c>
      <c r="I11" s="19">
        <v>1002501.6</v>
      </c>
      <c r="K11" s="21"/>
      <c r="L11" s="20"/>
    </row>
    <row r="12" spans="1:12" x14ac:dyDescent="0.15">
      <c r="A12" s="12" t="s">
        <v>26</v>
      </c>
      <c r="B12" s="12" t="s">
        <v>15</v>
      </c>
      <c r="C12" s="12" t="s">
        <v>413</v>
      </c>
      <c r="D12" s="12">
        <v>2</v>
      </c>
      <c r="E12" s="13">
        <v>1</v>
      </c>
      <c r="F12" s="13">
        <v>16</v>
      </c>
      <c r="G12" s="13">
        <v>81158</v>
      </c>
      <c r="H12" s="13">
        <v>392</v>
      </c>
      <c r="I12" s="19">
        <v>1002877.6</v>
      </c>
      <c r="K12" s="21"/>
      <c r="L12" s="20"/>
    </row>
    <row r="13" spans="1:12" x14ac:dyDescent="0.15">
      <c r="A13" s="12" t="s">
        <v>26</v>
      </c>
      <c r="B13" s="12" t="s">
        <v>17</v>
      </c>
      <c r="C13" s="12" t="s">
        <v>414</v>
      </c>
      <c r="D13" s="12">
        <v>3</v>
      </c>
      <c r="E13" s="13">
        <v>1</v>
      </c>
      <c r="F13" s="13">
        <v>282</v>
      </c>
      <c r="G13" s="13">
        <v>81158</v>
      </c>
      <c r="H13" s="13">
        <v>588</v>
      </c>
      <c r="I13" s="19">
        <v>1003183.6</v>
      </c>
      <c r="K13" s="21"/>
      <c r="L13" s="20"/>
    </row>
    <row r="14" spans="1:12" x14ac:dyDescent="0.15">
      <c r="A14" s="12" t="s">
        <v>26</v>
      </c>
      <c r="B14" s="12" t="s">
        <v>19</v>
      </c>
      <c r="C14" s="12" t="s">
        <v>243</v>
      </c>
      <c r="D14" s="12">
        <v>1</v>
      </c>
      <c r="E14" s="13">
        <v>1</v>
      </c>
      <c r="F14" s="13">
        <v>132</v>
      </c>
      <c r="G14" s="13">
        <v>81158</v>
      </c>
      <c r="H14" s="13">
        <v>196</v>
      </c>
      <c r="I14" s="19">
        <v>1003247.6</v>
      </c>
      <c r="K14" s="21"/>
      <c r="L14" s="20"/>
    </row>
    <row r="15" spans="1:12" x14ac:dyDescent="0.15">
      <c r="A15" s="12" t="s">
        <v>26</v>
      </c>
      <c r="B15" s="12" t="s">
        <v>21</v>
      </c>
      <c r="C15" s="12" t="s">
        <v>242</v>
      </c>
      <c r="D15" s="12">
        <v>3</v>
      </c>
      <c r="E15" s="13">
        <v>1</v>
      </c>
      <c r="F15" s="13">
        <v>90</v>
      </c>
      <c r="G15" s="13">
        <v>81158</v>
      </c>
      <c r="H15" s="13">
        <v>294</v>
      </c>
      <c r="I15" s="19">
        <v>1003451.6</v>
      </c>
      <c r="K15" s="21"/>
      <c r="L15" s="20"/>
    </row>
    <row r="16" spans="1:12" x14ac:dyDescent="0.15">
      <c r="A16" s="12" t="s">
        <v>26</v>
      </c>
      <c r="B16" s="12" t="s">
        <v>22</v>
      </c>
      <c r="C16" s="12" t="s">
        <v>415</v>
      </c>
      <c r="D16" s="12">
        <v>4</v>
      </c>
      <c r="E16" s="13">
        <v>1</v>
      </c>
      <c r="F16" s="13">
        <v>40</v>
      </c>
      <c r="G16" s="13">
        <v>81158</v>
      </c>
      <c r="H16" s="13">
        <v>392</v>
      </c>
      <c r="I16" s="19">
        <v>1003803.6</v>
      </c>
      <c r="K16" s="21"/>
      <c r="L16" s="20"/>
    </row>
    <row r="17" spans="1:12" x14ac:dyDescent="0.15">
      <c r="A17" s="12" t="s">
        <v>26</v>
      </c>
      <c r="B17" s="12" t="s">
        <v>23</v>
      </c>
      <c r="C17" s="12" t="s">
        <v>244</v>
      </c>
      <c r="D17" s="12">
        <v>2</v>
      </c>
      <c r="E17" s="13">
        <v>1</v>
      </c>
      <c r="F17" s="13">
        <v>72</v>
      </c>
      <c r="G17" s="13">
        <v>81158</v>
      </c>
      <c r="H17" s="13">
        <v>196</v>
      </c>
      <c r="I17" s="19">
        <v>1003927.6</v>
      </c>
      <c r="K17" s="21"/>
      <c r="L17" s="20"/>
    </row>
    <row r="18" spans="1:12" x14ac:dyDescent="0.15">
      <c r="A18" s="12" t="s">
        <v>26</v>
      </c>
      <c r="B18" s="12" t="s">
        <v>24</v>
      </c>
      <c r="C18" s="12" t="s">
        <v>245</v>
      </c>
      <c r="D18" s="12">
        <v>1</v>
      </c>
      <c r="E18" s="13">
        <v>1</v>
      </c>
      <c r="F18" s="13">
        <v>18</v>
      </c>
      <c r="G18" s="13">
        <v>81158</v>
      </c>
      <c r="H18" s="13">
        <v>98</v>
      </c>
      <c r="I18" s="19">
        <v>1004007.6</v>
      </c>
      <c r="K18" s="21"/>
      <c r="L18" s="20"/>
    </row>
    <row r="19" spans="1:12" x14ac:dyDescent="0.15">
      <c r="A19" s="12" t="s">
        <v>27</v>
      </c>
      <c r="B19" s="12" t="s">
        <v>5</v>
      </c>
      <c r="C19" s="12" t="s">
        <v>416</v>
      </c>
      <c r="D19" s="12">
        <v>4</v>
      </c>
      <c r="E19" s="13">
        <v>1</v>
      </c>
      <c r="F19" s="13">
        <v>1440</v>
      </c>
      <c r="G19" s="13">
        <v>81158</v>
      </c>
      <c r="H19" s="13">
        <v>7840</v>
      </c>
      <c r="I19" s="19">
        <v>1010407.6</v>
      </c>
      <c r="K19" s="21"/>
      <c r="L19" s="21"/>
    </row>
    <row r="20" spans="1:12" x14ac:dyDescent="0.15">
      <c r="A20" s="12" t="s">
        <v>27</v>
      </c>
      <c r="B20" s="12" t="s">
        <v>28</v>
      </c>
      <c r="C20" s="12" t="s">
        <v>417</v>
      </c>
      <c r="D20" s="12">
        <v>1</v>
      </c>
      <c r="E20" s="13">
        <v>1</v>
      </c>
      <c r="F20" s="13">
        <v>10</v>
      </c>
      <c r="G20" s="13">
        <v>81158</v>
      </c>
      <c r="H20" s="13">
        <v>1960</v>
      </c>
      <c r="I20" s="19">
        <v>1012357.6</v>
      </c>
      <c r="K20" s="21"/>
      <c r="L20" s="20"/>
    </row>
    <row r="21" spans="1:12" x14ac:dyDescent="0.15">
      <c r="A21" s="12" t="s">
        <v>27</v>
      </c>
      <c r="B21" s="12" t="s">
        <v>17</v>
      </c>
      <c r="C21" s="12" t="s">
        <v>246</v>
      </c>
      <c r="D21" s="12">
        <v>4</v>
      </c>
      <c r="E21" s="13">
        <v>1</v>
      </c>
      <c r="F21" s="13">
        <v>3048</v>
      </c>
      <c r="G21" s="13">
        <v>81158</v>
      </c>
      <c r="H21" s="13">
        <v>7840</v>
      </c>
      <c r="I21" s="19">
        <v>1017149.6</v>
      </c>
      <c r="K21" s="21"/>
      <c r="L21" s="20"/>
    </row>
    <row r="22" spans="1:12" x14ac:dyDescent="0.15">
      <c r="A22" s="12" t="s">
        <v>27</v>
      </c>
      <c r="B22" s="12" t="s">
        <v>19</v>
      </c>
      <c r="C22" s="12" t="s">
        <v>418</v>
      </c>
      <c r="D22" s="12">
        <v>1</v>
      </c>
      <c r="E22" s="13">
        <v>1</v>
      </c>
      <c r="F22" s="13">
        <v>1508</v>
      </c>
      <c r="G22" s="13">
        <v>81158</v>
      </c>
      <c r="H22" s="13">
        <v>1960</v>
      </c>
      <c r="I22" s="19">
        <v>1017601.6</v>
      </c>
      <c r="K22" s="21"/>
      <c r="L22" s="20"/>
    </row>
    <row r="23" spans="1:12" x14ac:dyDescent="0.15">
      <c r="A23" s="12" t="s">
        <v>27</v>
      </c>
      <c r="B23" s="12" t="s">
        <v>23</v>
      </c>
      <c r="C23" s="12" t="s">
        <v>419</v>
      </c>
      <c r="D23" s="12">
        <v>3</v>
      </c>
      <c r="E23" s="13">
        <v>1</v>
      </c>
      <c r="F23" s="13">
        <v>354</v>
      </c>
      <c r="G23" s="13">
        <v>81158</v>
      </c>
      <c r="H23" s="13">
        <v>1959.9900000000002</v>
      </c>
      <c r="I23" s="19">
        <v>1019207.59</v>
      </c>
      <c r="K23" s="21"/>
      <c r="L23" s="20"/>
    </row>
    <row r="24" spans="1:12" x14ac:dyDescent="0.15">
      <c r="A24" s="12" t="s">
        <v>27</v>
      </c>
      <c r="B24" s="12" t="s">
        <v>29</v>
      </c>
      <c r="C24" s="12" t="s">
        <v>420</v>
      </c>
      <c r="D24" s="12">
        <v>1</v>
      </c>
      <c r="E24" s="13">
        <v>1</v>
      </c>
      <c r="F24" s="13">
        <v>112</v>
      </c>
      <c r="G24" s="13">
        <v>81158</v>
      </c>
      <c r="H24" s="13">
        <v>653.33000000000004</v>
      </c>
      <c r="I24" s="19">
        <v>1019748.9199999999</v>
      </c>
      <c r="K24" s="21"/>
      <c r="L24" s="20"/>
    </row>
    <row r="25" spans="1:12" x14ac:dyDescent="0.15">
      <c r="A25" s="12" t="s">
        <v>27</v>
      </c>
      <c r="B25" s="12" t="s">
        <v>30</v>
      </c>
      <c r="C25" s="12" t="s">
        <v>242</v>
      </c>
      <c r="D25" s="12">
        <v>1</v>
      </c>
      <c r="E25" s="13">
        <v>1</v>
      </c>
      <c r="F25" s="13">
        <v>40</v>
      </c>
      <c r="G25" s="13">
        <v>81158</v>
      </c>
      <c r="H25" s="13">
        <v>0</v>
      </c>
      <c r="I25" s="19">
        <v>1019708.9199999999</v>
      </c>
      <c r="K25" s="21"/>
      <c r="L25" s="20"/>
    </row>
    <row r="26" spans="1:12" x14ac:dyDescent="0.15">
      <c r="A26" s="12" t="s">
        <v>27</v>
      </c>
      <c r="B26" s="12" t="s">
        <v>31</v>
      </c>
      <c r="C26" s="12" t="s">
        <v>421</v>
      </c>
      <c r="D26" s="12">
        <v>2</v>
      </c>
      <c r="E26" s="13">
        <v>1</v>
      </c>
      <c r="F26" s="13">
        <v>20</v>
      </c>
      <c r="G26" s="13">
        <v>81158</v>
      </c>
      <c r="H26" s="13">
        <v>1306.6600000000001</v>
      </c>
      <c r="I26" s="19">
        <v>1020995.58</v>
      </c>
      <c r="K26" s="21"/>
      <c r="L26" s="20"/>
    </row>
    <row r="27" spans="1:12" x14ac:dyDescent="0.15">
      <c r="A27" s="12" t="s">
        <v>27</v>
      </c>
      <c r="B27" s="12" t="s">
        <v>24</v>
      </c>
      <c r="C27" s="12" t="s">
        <v>422</v>
      </c>
      <c r="D27" s="12">
        <v>2</v>
      </c>
      <c r="E27" s="13">
        <v>1</v>
      </c>
      <c r="F27" s="13">
        <v>216</v>
      </c>
      <c r="G27" s="13">
        <v>81158</v>
      </c>
      <c r="H27" s="13">
        <v>1306.6600000000001</v>
      </c>
      <c r="I27" s="19">
        <v>1022086.24</v>
      </c>
      <c r="K27" s="21"/>
      <c r="L27" s="20"/>
    </row>
    <row r="28" spans="1:12" x14ac:dyDescent="0.15">
      <c r="A28" s="12" t="s">
        <v>27</v>
      </c>
      <c r="B28" s="12" t="s">
        <v>32</v>
      </c>
      <c r="C28" s="12" t="s">
        <v>423</v>
      </c>
      <c r="D28" s="12">
        <v>2</v>
      </c>
      <c r="E28" s="13">
        <v>1</v>
      </c>
      <c r="F28" s="13">
        <v>4</v>
      </c>
      <c r="G28" s="13">
        <v>81158</v>
      </c>
      <c r="H28" s="13">
        <v>1306.6600000000001</v>
      </c>
      <c r="I28" s="19">
        <v>1023388.9</v>
      </c>
      <c r="K28" s="21"/>
      <c r="L28" s="20"/>
    </row>
    <row r="29" spans="1:12" x14ac:dyDescent="0.15">
      <c r="A29" s="12" t="s">
        <v>27</v>
      </c>
      <c r="B29" s="12" t="s">
        <v>33</v>
      </c>
      <c r="C29" s="12" t="s">
        <v>424</v>
      </c>
      <c r="D29" s="12">
        <v>1</v>
      </c>
      <c r="E29" s="13">
        <v>1</v>
      </c>
      <c r="F29" s="13">
        <v>2</v>
      </c>
      <c r="G29" s="13">
        <v>81158</v>
      </c>
      <c r="H29" s="13">
        <v>0</v>
      </c>
      <c r="I29" s="19">
        <v>1023386.9</v>
      </c>
      <c r="K29" s="21"/>
      <c r="L29" s="20"/>
    </row>
    <row r="30" spans="1:12" x14ac:dyDescent="0.15">
      <c r="A30" s="12" t="s">
        <v>27</v>
      </c>
      <c r="B30" s="12" t="s">
        <v>35</v>
      </c>
      <c r="C30" s="12" t="s">
        <v>425</v>
      </c>
      <c r="D30" s="12">
        <v>1</v>
      </c>
      <c r="E30" s="13">
        <v>1</v>
      </c>
      <c r="F30" s="13">
        <v>14</v>
      </c>
      <c r="G30" s="13">
        <v>81158</v>
      </c>
      <c r="H30" s="13">
        <v>14.46</v>
      </c>
      <c r="I30" s="19">
        <v>1023387.36</v>
      </c>
      <c r="K30" s="21"/>
      <c r="L30" s="20"/>
    </row>
    <row r="31" spans="1:12" x14ac:dyDescent="0.15">
      <c r="A31" s="12" t="s">
        <v>27</v>
      </c>
      <c r="B31" s="12" t="s">
        <v>36</v>
      </c>
      <c r="C31" s="12" t="s">
        <v>426</v>
      </c>
      <c r="D31" s="12">
        <v>2</v>
      </c>
      <c r="E31" s="20">
        <v>1</v>
      </c>
      <c r="F31" s="20">
        <v>84</v>
      </c>
      <c r="G31" s="20">
        <v>81158</v>
      </c>
      <c r="H31" s="20">
        <v>72.58</v>
      </c>
      <c r="I31" s="20">
        <v>1023375.94</v>
      </c>
      <c r="K31" s="21"/>
      <c r="L31" s="20"/>
    </row>
    <row r="32" spans="1:12" x14ac:dyDescent="0.15">
      <c r="A32" s="12" t="s">
        <v>217</v>
      </c>
      <c r="B32" s="12" t="s">
        <v>5</v>
      </c>
      <c r="C32" s="12" t="s">
        <v>427</v>
      </c>
      <c r="D32" s="12">
        <v>3</v>
      </c>
      <c r="E32" s="20">
        <v>1</v>
      </c>
      <c r="F32" s="20">
        <v>1296</v>
      </c>
      <c r="G32" s="20">
        <v>81158</v>
      </c>
      <c r="H32" s="20">
        <v>5880</v>
      </c>
      <c r="I32" s="20">
        <v>1027959.94</v>
      </c>
      <c r="K32" s="21"/>
      <c r="L32" s="21"/>
    </row>
    <row r="33" spans="1:12" x14ac:dyDescent="0.15">
      <c r="A33" s="12" t="s">
        <v>217</v>
      </c>
      <c r="B33" s="12" t="s">
        <v>28</v>
      </c>
      <c r="C33" s="12" t="s">
        <v>428</v>
      </c>
      <c r="D33" s="12">
        <v>3</v>
      </c>
      <c r="E33" s="20">
        <v>1</v>
      </c>
      <c r="F33" s="20">
        <v>12</v>
      </c>
      <c r="G33" s="20">
        <v>81158</v>
      </c>
      <c r="H33" s="20">
        <v>5880</v>
      </c>
      <c r="I33" s="20">
        <v>1033827.94</v>
      </c>
      <c r="K33" s="21"/>
      <c r="L33" s="20"/>
    </row>
    <row r="34" spans="1:12" x14ac:dyDescent="0.15">
      <c r="A34" s="12" t="s">
        <v>217</v>
      </c>
      <c r="B34" s="12" t="s">
        <v>17</v>
      </c>
      <c r="C34" s="12" t="s">
        <v>429</v>
      </c>
      <c r="D34" s="12">
        <v>2</v>
      </c>
      <c r="E34" s="20">
        <v>1</v>
      </c>
      <c r="F34" s="20">
        <v>1372</v>
      </c>
      <c r="G34" s="20">
        <v>81158</v>
      </c>
      <c r="H34" s="20">
        <v>3920</v>
      </c>
      <c r="I34" s="20">
        <v>1036375.94</v>
      </c>
      <c r="K34" s="21"/>
      <c r="L34" s="20"/>
    </row>
    <row r="35" spans="1:12" x14ac:dyDescent="0.15">
      <c r="A35" s="12" t="s">
        <v>217</v>
      </c>
      <c r="B35" s="12" t="s">
        <v>19</v>
      </c>
      <c r="C35" s="12" t="s">
        <v>430</v>
      </c>
      <c r="D35" s="12">
        <v>1</v>
      </c>
      <c r="E35" s="20">
        <v>1</v>
      </c>
      <c r="F35" s="20">
        <v>1160</v>
      </c>
      <c r="G35" s="20">
        <v>81158</v>
      </c>
      <c r="H35" s="20">
        <v>1960</v>
      </c>
      <c r="I35" s="20">
        <v>1037175.94</v>
      </c>
      <c r="K35" s="21"/>
      <c r="L35" s="20"/>
    </row>
    <row r="36" spans="1:12" x14ac:dyDescent="0.15">
      <c r="A36" s="12" t="s">
        <v>217</v>
      </c>
      <c r="B36" s="12" t="s">
        <v>23</v>
      </c>
      <c r="C36" s="12" t="s">
        <v>431</v>
      </c>
      <c r="D36" s="12">
        <v>4</v>
      </c>
      <c r="E36" s="20">
        <v>1</v>
      </c>
      <c r="F36" s="20">
        <v>432</v>
      </c>
      <c r="G36" s="20">
        <v>81158</v>
      </c>
      <c r="H36" s="20">
        <v>2613.3200000000002</v>
      </c>
      <c r="I36" s="20">
        <v>1039357.2599999999</v>
      </c>
      <c r="K36" s="21"/>
      <c r="L36" s="20"/>
    </row>
    <row r="37" spans="1:12" x14ac:dyDescent="0.15">
      <c r="A37" s="12" t="s">
        <v>217</v>
      </c>
      <c r="B37" s="12" t="s">
        <v>29</v>
      </c>
      <c r="C37" s="12" t="s">
        <v>432</v>
      </c>
      <c r="D37" s="12">
        <v>4</v>
      </c>
      <c r="E37" s="20">
        <v>1</v>
      </c>
      <c r="F37" s="20">
        <v>240</v>
      </c>
      <c r="G37" s="20">
        <v>81158</v>
      </c>
      <c r="H37" s="20">
        <v>2613.3200000000002</v>
      </c>
      <c r="I37" s="20">
        <v>1041730.5799999998</v>
      </c>
      <c r="K37" s="21"/>
      <c r="L37" s="20"/>
    </row>
    <row r="38" spans="1:12" x14ac:dyDescent="0.15">
      <c r="A38" s="12" t="s">
        <v>217</v>
      </c>
      <c r="B38" s="12" t="s">
        <v>30</v>
      </c>
      <c r="C38" s="12" t="s">
        <v>433</v>
      </c>
      <c r="D38" s="12">
        <v>4</v>
      </c>
      <c r="E38" s="20">
        <v>1</v>
      </c>
      <c r="F38" s="20">
        <v>280</v>
      </c>
      <c r="G38" s="20">
        <v>81158</v>
      </c>
      <c r="H38" s="20">
        <v>0</v>
      </c>
      <c r="I38" s="20">
        <v>1041450.5799999998</v>
      </c>
      <c r="K38" s="21"/>
      <c r="L38" s="20"/>
    </row>
    <row r="39" spans="1:12" x14ac:dyDescent="0.15">
      <c r="A39" s="12" t="s">
        <v>217</v>
      </c>
      <c r="B39" s="12" t="s">
        <v>31</v>
      </c>
      <c r="C39" s="12" t="s">
        <v>434</v>
      </c>
      <c r="D39" s="12">
        <v>3</v>
      </c>
      <c r="E39" s="20">
        <v>1</v>
      </c>
      <c r="F39" s="20">
        <v>6</v>
      </c>
      <c r="G39" s="20">
        <v>81158</v>
      </c>
      <c r="H39" s="20">
        <v>1959.9900000000002</v>
      </c>
      <c r="I39" s="20">
        <v>1043404.5699999998</v>
      </c>
      <c r="K39" s="21"/>
      <c r="L39" s="20"/>
    </row>
    <row r="40" spans="1:12" x14ac:dyDescent="0.15">
      <c r="A40" s="12" t="s">
        <v>217</v>
      </c>
      <c r="B40" s="12" t="s">
        <v>24</v>
      </c>
      <c r="C40" s="12" t="s">
        <v>435</v>
      </c>
      <c r="D40" s="12">
        <v>4</v>
      </c>
      <c r="E40" s="20">
        <v>1</v>
      </c>
      <c r="F40" s="20">
        <v>432</v>
      </c>
      <c r="G40" s="20">
        <v>81158</v>
      </c>
      <c r="H40" s="20">
        <v>2613.3200000000002</v>
      </c>
      <c r="I40" s="20">
        <v>1045585.8899999998</v>
      </c>
      <c r="K40" s="21"/>
      <c r="L40" s="20"/>
    </row>
    <row r="41" spans="1:12" x14ac:dyDescent="0.15">
      <c r="A41" s="12" t="s">
        <v>217</v>
      </c>
      <c r="B41" s="12" t="s">
        <v>32</v>
      </c>
      <c r="C41" s="12" t="s">
        <v>434</v>
      </c>
      <c r="D41" s="20">
        <v>4</v>
      </c>
      <c r="E41" s="20">
        <v>1</v>
      </c>
      <c r="F41" s="20">
        <v>8</v>
      </c>
      <c r="G41" s="20">
        <v>81158</v>
      </c>
      <c r="H41" s="20">
        <v>2613.3200000000002</v>
      </c>
      <c r="I41" s="20">
        <v>1048191.2099999997</v>
      </c>
      <c r="K41" s="21"/>
      <c r="L41" s="20"/>
    </row>
    <row r="42" spans="1:12" x14ac:dyDescent="0.15">
      <c r="A42" s="12" t="s">
        <v>217</v>
      </c>
      <c r="B42" s="12" t="s">
        <v>33</v>
      </c>
      <c r="C42" s="12" t="s">
        <v>436</v>
      </c>
      <c r="D42" s="20">
        <v>1</v>
      </c>
      <c r="E42" s="20">
        <v>1</v>
      </c>
      <c r="F42" s="20">
        <v>2</v>
      </c>
      <c r="G42" s="20">
        <v>81158</v>
      </c>
      <c r="H42" s="20">
        <v>0</v>
      </c>
      <c r="I42" s="20">
        <v>1048189.2099999997</v>
      </c>
      <c r="K42" s="21"/>
      <c r="L42" s="20"/>
    </row>
    <row r="43" spans="1:12" x14ac:dyDescent="0.15">
      <c r="A43" s="12" t="s">
        <v>217</v>
      </c>
      <c r="B43" s="12" t="s">
        <v>35</v>
      </c>
      <c r="C43" s="12" t="s">
        <v>218</v>
      </c>
      <c r="D43" s="25">
        <v>2</v>
      </c>
      <c r="E43" s="20">
        <v>1</v>
      </c>
      <c r="F43" s="20">
        <v>20</v>
      </c>
      <c r="G43" s="20">
        <v>81158</v>
      </c>
      <c r="H43" s="20">
        <v>14.46</v>
      </c>
      <c r="I43" s="20">
        <v>1048183.6699999997</v>
      </c>
      <c r="K43" s="21"/>
      <c r="L43" s="20"/>
    </row>
    <row r="44" spans="1:12" x14ac:dyDescent="0.15">
      <c r="A44" s="12" t="s">
        <v>217</v>
      </c>
      <c r="B44" s="12" t="s">
        <v>36</v>
      </c>
      <c r="C44" s="12" t="s">
        <v>437</v>
      </c>
      <c r="D44" s="25">
        <v>4</v>
      </c>
      <c r="E44" s="20">
        <v>1</v>
      </c>
      <c r="F44" s="20">
        <v>48</v>
      </c>
      <c r="G44" s="20">
        <v>81158</v>
      </c>
      <c r="H44" s="20">
        <v>290.32</v>
      </c>
      <c r="I44" s="20">
        <v>1048425.9899999996</v>
      </c>
      <c r="K44" s="21"/>
      <c r="L44" s="20"/>
    </row>
    <row r="45" spans="1:12" x14ac:dyDescent="0.15">
      <c r="A45" s="12" t="s">
        <v>219</v>
      </c>
      <c r="B45" s="12" t="s">
        <v>5</v>
      </c>
      <c r="C45" s="12" t="s">
        <v>438</v>
      </c>
      <c r="D45" s="25">
        <v>3</v>
      </c>
      <c r="E45" s="20">
        <v>1</v>
      </c>
      <c r="F45" s="20">
        <v>1440</v>
      </c>
      <c r="G45" s="20">
        <v>81158</v>
      </c>
      <c r="H45" s="20">
        <v>5880</v>
      </c>
      <c r="I45" s="20">
        <v>1052865.9899999998</v>
      </c>
      <c r="K45" s="21"/>
      <c r="L45" s="20"/>
    </row>
    <row r="46" spans="1:12" x14ac:dyDescent="0.15">
      <c r="A46" s="12" t="s">
        <v>219</v>
      </c>
      <c r="B46" s="12" t="s">
        <v>28</v>
      </c>
      <c r="C46" s="12" t="s">
        <v>439</v>
      </c>
      <c r="D46" s="25">
        <v>1</v>
      </c>
      <c r="E46" s="20">
        <v>1</v>
      </c>
      <c r="F46" s="20">
        <v>2</v>
      </c>
      <c r="G46" s="20">
        <v>81158</v>
      </c>
      <c r="H46" s="20">
        <v>1960</v>
      </c>
      <c r="I46" s="20">
        <v>1054823.9899999998</v>
      </c>
      <c r="K46" s="21"/>
      <c r="L46" s="20"/>
    </row>
    <row r="47" spans="1:12" x14ac:dyDescent="0.15">
      <c r="A47" s="12" t="s">
        <v>219</v>
      </c>
      <c r="B47" s="12" t="s">
        <v>17</v>
      </c>
      <c r="C47" s="12" t="s">
        <v>440</v>
      </c>
      <c r="D47" s="25">
        <v>2</v>
      </c>
      <c r="E47" s="20">
        <v>1</v>
      </c>
      <c r="F47" s="20">
        <v>1124</v>
      </c>
      <c r="G47" s="20">
        <v>81158</v>
      </c>
      <c r="H47" s="20">
        <v>3920</v>
      </c>
      <c r="I47" s="20">
        <v>1057619.9899999998</v>
      </c>
      <c r="K47" s="21"/>
      <c r="L47" s="20"/>
    </row>
    <row r="48" spans="1:12" x14ac:dyDescent="0.15">
      <c r="A48" s="12" t="s">
        <v>219</v>
      </c>
      <c r="B48" s="12" t="s">
        <v>19</v>
      </c>
      <c r="C48" s="12" t="s">
        <v>441</v>
      </c>
      <c r="D48" s="25">
        <v>3</v>
      </c>
      <c r="E48" s="20">
        <v>1</v>
      </c>
      <c r="F48" s="20">
        <v>3984</v>
      </c>
      <c r="G48" s="20">
        <v>81158</v>
      </c>
      <c r="H48" s="20">
        <v>5880</v>
      </c>
      <c r="I48" s="20">
        <v>1059515.9899999998</v>
      </c>
      <c r="K48" s="21"/>
      <c r="L48" s="20"/>
    </row>
    <row r="49" spans="1:12" x14ac:dyDescent="0.15">
      <c r="A49" s="12" t="s">
        <v>219</v>
      </c>
      <c r="B49" s="12" t="s">
        <v>23</v>
      </c>
      <c r="C49" s="12" t="s">
        <v>442</v>
      </c>
      <c r="D49" s="25">
        <v>3</v>
      </c>
      <c r="E49" s="20">
        <v>1</v>
      </c>
      <c r="F49" s="20">
        <v>162</v>
      </c>
      <c r="G49" s="20">
        <v>81158</v>
      </c>
      <c r="H49" s="20">
        <v>979.99500000000012</v>
      </c>
      <c r="I49" s="20">
        <v>1060333.9849999999</v>
      </c>
      <c r="K49" s="21"/>
      <c r="L49" s="20"/>
    </row>
    <row r="50" spans="1:12" x14ac:dyDescent="0.15">
      <c r="A50" s="12" t="s">
        <v>219</v>
      </c>
      <c r="B50" s="12" t="s">
        <v>29</v>
      </c>
      <c r="C50" s="12" t="s">
        <v>443</v>
      </c>
      <c r="D50" s="25">
        <v>2</v>
      </c>
      <c r="E50" s="20">
        <v>1</v>
      </c>
      <c r="F50" s="20">
        <v>224</v>
      </c>
      <c r="G50" s="20">
        <v>81158</v>
      </c>
      <c r="H50" s="20">
        <v>0</v>
      </c>
      <c r="I50" s="20">
        <v>1060109.9849999999</v>
      </c>
      <c r="K50" s="21"/>
      <c r="L50" s="20"/>
    </row>
    <row r="51" spans="1:12" x14ac:dyDescent="0.15">
      <c r="A51" s="12" t="s">
        <v>219</v>
      </c>
      <c r="B51" s="12" t="s">
        <v>30</v>
      </c>
      <c r="C51" s="12" t="s">
        <v>443</v>
      </c>
      <c r="D51" s="25">
        <v>3</v>
      </c>
      <c r="E51" s="20">
        <v>1</v>
      </c>
      <c r="F51" s="20">
        <v>336</v>
      </c>
      <c r="G51" s="20">
        <v>81158</v>
      </c>
      <c r="H51" s="20">
        <v>979.98</v>
      </c>
      <c r="I51" s="20">
        <v>1060753.9649999999</v>
      </c>
      <c r="K51" s="21"/>
      <c r="L51" s="20"/>
    </row>
    <row r="52" spans="1:12" x14ac:dyDescent="0.15">
      <c r="A52" s="12" t="s">
        <v>219</v>
      </c>
      <c r="B52" s="12" t="s">
        <v>31</v>
      </c>
      <c r="C52" s="12" t="s">
        <v>444</v>
      </c>
      <c r="D52" s="25">
        <v>1</v>
      </c>
      <c r="E52" s="20">
        <v>1</v>
      </c>
      <c r="F52" s="20">
        <v>2</v>
      </c>
      <c r="G52" s="20">
        <v>81158</v>
      </c>
      <c r="H52" s="20">
        <v>326.66500000000002</v>
      </c>
      <c r="I52" s="20">
        <v>1061078.6299999999</v>
      </c>
      <c r="K52" s="21"/>
      <c r="L52" s="20"/>
    </row>
    <row r="53" spans="1:12" x14ac:dyDescent="0.15">
      <c r="A53" s="12" t="s">
        <v>219</v>
      </c>
      <c r="B53" s="12" t="s">
        <v>24</v>
      </c>
      <c r="C53" s="12" t="s">
        <v>422</v>
      </c>
      <c r="D53" s="25">
        <v>4</v>
      </c>
      <c r="E53" s="20">
        <v>1</v>
      </c>
      <c r="F53" s="20">
        <v>432</v>
      </c>
      <c r="G53" s="20">
        <v>81158</v>
      </c>
      <c r="H53" s="20">
        <v>1306.6600000000001</v>
      </c>
      <c r="I53" s="20">
        <v>1061953.2899999998</v>
      </c>
      <c r="K53" s="21"/>
      <c r="L53" s="20"/>
    </row>
    <row r="54" spans="1:12" x14ac:dyDescent="0.15">
      <c r="A54" s="12" t="s">
        <v>219</v>
      </c>
      <c r="B54" s="12" t="s">
        <v>32</v>
      </c>
      <c r="C54" s="12" t="s">
        <v>445</v>
      </c>
      <c r="D54" s="25">
        <v>3</v>
      </c>
      <c r="E54" s="20">
        <v>1</v>
      </c>
      <c r="F54" s="20">
        <v>6</v>
      </c>
      <c r="G54" s="20">
        <v>81158</v>
      </c>
      <c r="H54" s="20">
        <v>0</v>
      </c>
      <c r="I54" s="20">
        <v>1061947.2899999998</v>
      </c>
      <c r="K54" s="21"/>
      <c r="L54" s="20"/>
    </row>
    <row r="55" spans="1:12" x14ac:dyDescent="0.15">
      <c r="A55" s="12" t="s">
        <v>219</v>
      </c>
      <c r="B55" s="12" t="s">
        <v>33</v>
      </c>
      <c r="C55" s="12" t="s">
        <v>446</v>
      </c>
      <c r="D55" s="25">
        <v>2</v>
      </c>
      <c r="E55" s="20">
        <v>1</v>
      </c>
      <c r="F55" s="20">
        <v>4</v>
      </c>
      <c r="G55" s="20">
        <v>81158</v>
      </c>
      <c r="H55" s="20">
        <v>653.32000000000005</v>
      </c>
      <c r="I55" s="20">
        <v>1062596.6099999999</v>
      </c>
      <c r="K55" s="21"/>
      <c r="L55" s="20"/>
    </row>
    <row r="56" spans="1:12" x14ac:dyDescent="0.15">
      <c r="A56" s="12" t="s">
        <v>219</v>
      </c>
      <c r="B56" s="12" t="s">
        <v>35</v>
      </c>
      <c r="C56" s="12" t="s">
        <v>447</v>
      </c>
      <c r="D56" s="25">
        <v>1</v>
      </c>
      <c r="E56" s="20">
        <v>1</v>
      </c>
      <c r="F56" s="20">
        <v>14</v>
      </c>
      <c r="G56" s="20">
        <v>81158</v>
      </c>
      <c r="H56" s="20">
        <v>14.46</v>
      </c>
      <c r="I56" s="20">
        <v>1062597.0699999998</v>
      </c>
      <c r="K56" s="21"/>
      <c r="L56" s="20"/>
    </row>
    <row r="57" spans="1:12" x14ac:dyDescent="0.15">
      <c r="A57" s="12" t="s">
        <v>219</v>
      </c>
      <c r="B57" s="12" t="s">
        <v>36</v>
      </c>
      <c r="C57" s="12" t="s">
        <v>448</v>
      </c>
      <c r="D57" s="25">
        <v>4</v>
      </c>
      <c r="E57" s="20">
        <v>1</v>
      </c>
      <c r="F57" s="20">
        <v>168</v>
      </c>
      <c r="G57" s="20">
        <v>81158</v>
      </c>
      <c r="H57" s="20">
        <v>290.32</v>
      </c>
      <c r="I57" s="20">
        <v>1062719.3899999999</v>
      </c>
      <c r="K57" s="21"/>
      <c r="L57" s="20"/>
    </row>
    <row r="58" spans="1:12" x14ac:dyDescent="0.15">
      <c r="A58" s="12" t="s">
        <v>220</v>
      </c>
      <c r="B58" s="12" t="s">
        <v>5</v>
      </c>
      <c r="C58" s="12" t="s">
        <v>449</v>
      </c>
      <c r="D58" s="25">
        <v>1</v>
      </c>
      <c r="E58" s="20">
        <v>1</v>
      </c>
      <c r="F58" s="20">
        <v>1800</v>
      </c>
      <c r="G58" s="20">
        <v>81158</v>
      </c>
      <c r="H58" s="20">
        <v>19600</v>
      </c>
      <c r="I58" s="20">
        <v>1080519.3899999999</v>
      </c>
      <c r="K58" s="21"/>
      <c r="L58" s="20"/>
    </row>
    <row r="59" spans="1:12" x14ac:dyDescent="0.15">
      <c r="A59" s="12" t="s">
        <v>220</v>
      </c>
      <c r="B59" s="12" t="s">
        <v>28</v>
      </c>
      <c r="C59" s="12" t="s">
        <v>450</v>
      </c>
      <c r="D59" s="25">
        <v>3</v>
      </c>
      <c r="E59" s="20">
        <v>1</v>
      </c>
      <c r="F59" s="20">
        <v>6</v>
      </c>
      <c r="G59" s="20">
        <v>81158</v>
      </c>
      <c r="H59" s="20">
        <v>58800</v>
      </c>
      <c r="I59" s="20">
        <v>1139313.3899999999</v>
      </c>
      <c r="K59" s="21"/>
      <c r="L59" s="20"/>
    </row>
    <row r="60" spans="1:12" x14ac:dyDescent="0.15">
      <c r="A60" s="12" t="s">
        <v>220</v>
      </c>
      <c r="B60" s="12" t="s">
        <v>221</v>
      </c>
      <c r="C60" s="12" t="s">
        <v>226</v>
      </c>
      <c r="D60" s="25">
        <v>2</v>
      </c>
      <c r="E60" s="20">
        <v>1</v>
      </c>
      <c r="F60" s="20">
        <v>280</v>
      </c>
      <c r="G60" s="20">
        <v>81158</v>
      </c>
      <c r="H60" s="20">
        <v>0</v>
      </c>
      <c r="I60" s="20">
        <v>1139033.3899999999</v>
      </c>
      <c r="K60" s="21"/>
      <c r="L60" s="20"/>
    </row>
    <row r="61" spans="1:12" x14ac:dyDescent="0.15">
      <c r="A61" s="12" t="s">
        <v>220</v>
      </c>
      <c r="B61" s="12" t="s">
        <v>222</v>
      </c>
      <c r="C61" s="12" t="s">
        <v>451</v>
      </c>
      <c r="D61" s="25">
        <v>4</v>
      </c>
      <c r="E61" s="20">
        <v>1</v>
      </c>
      <c r="F61" s="20">
        <v>1288</v>
      </c>
      <c r="G61" s="20">
        <v>81158</v>
      </c>
      <c r="H61" s="20">
        <v>6533.32</v>
      </c>
      <c r="I61" s="20">
        <v>1144278.71</v>
      </c>
      <c r="K61" s="21"/>
      <c r="L61" s="20"/>
    </row>
    <row r="62" spans="1:12" x14ac:dyDescent="0.15">
      <c r="A62" s="12" t="s">
        <v>220</v>
      </c>
      <c r="B62" s="12" t="s">
        <v>223</v>
      </c>
      <c r="C62" s="12" t="s">
        <v>452</v>
      </c>
      <c r="D62" s="25">
        <v>2</v>
      </c>
      <c r="E62" s="20">
        <v>1</v>
      </c>
      <c r="F62" s="23">
        <v>84</v>
      </c>
      <c r="G62" s="20">
        <v>81158</v>
      </c>
      <c r="H62" s="20">
        <v>0</v>
      </c>
      <c r="I62" s="23">
        <v>1144194.71</v>
      </c>
      <c r="K62" s="21"/>
      <c r="L62" s="20"/>
    </row>
    <row r="63" spans="1:12" x14ac:dyDescent="0.15">
      <c r="A63" s="12" t="s">
        <v>220</v>
      </c>
      <c r="B63" s="12" t="s">
        <v>224</v>
      </c>
      <c r="C63" s="12" t="s">
        <v>453</v>
      </c>
      <c r="D63" s="25">
        <v>1</v>
      </c>
      <c r="E63" s="20">
        <v>1</v>
      </c>
      <c r="F63" s="23">
        <v>74</v>
      </c>
      <c r="G63" s="20">
        <v>81158</v>
      </c>
      <c r="H63" s="20">
        <v>0</v>
      </c>
      <c r="I63" s="23">
        <v>1144120.71</v>
      </c>
      <c r="K63" s="21"/>
      <c r="L63" s="20"/>
    </row>
    <row r="64" spans="1:12" x14ac:dyDescent="0.15">
      <c r="A64" s="12" t="s">
        <v>220</v>
      </c>
      <c r="B64" s="12" t="s">
        <v>35</v>
      </c>
      <c r="C64" s="12" t="s">
        <v>454</v>
      </c>
      <c r="D64" s="20">
        <v>1</v>
      </c>
      <c r="E64" s="20">
        <v>1</v>
      </c>
      <c r="F64" s="23">
        <v>16</v>
      </c>
      <c r="G64" s="20">
        <v>81158</v>
      </c>
      <c r="H64" s="20">
        <v>17.07</v>
      </c>
      <c r="I64" s="23">
        <v>1144121.78</v>
      </c>
      <c r="K64" s="21"/>
      <c r="L64" s="20"/>
    </row>
    <row r="65" spans="1:12" x14ac:dyDescent="0.15">
      <c r="A65" s="12" t="s">
        <v>220</v>
      </c>
      <c r="B65" s="12" t="s">
        <v>36</v>
      </c>
      <c r="C65" s="12" t="s">
        <v>455</v>
      </c>
      <c r="D65" s="20">
        <v>4</v>
      </c>
      <c r="E65" s="20">
        <v>1</v>
      </c>
      <c r="F65" s="23">
        <v>168</v>
      </c>
      <c r="G65" s="20">
        <v>81158</v>
      </c>
      <c r="H65" s="20">
        <v>80.48</v>
      </c>
      <c r="I65" s="23">
        <v>1144034.26</v>
      </c>
      <c r="K65" s="21"/>
      <c r="L65" s="20"/>
    </row>
    <row r="66" spans="1:12" x14ac:dyDescent="0.15">
      <c r="A66" s="12" t="s">
        <v>225</v>
      </c>
      <c r="B66" s="12" t="s">
        <v>5</v>
      </c>
      <c r="C66" s="12" t="s">
        <v>456</v>
      </c>
      <c r="D66" s="25">
        <v>3</v>
      </c>
      <c r="E66" s="20">
        <v>1</v>
      </c>
      <c r="F66" s="23">
        <v>46656</v>
      </c>
      <c r="G66" s="20">
        <v>81158</v>
      </c>
      <c r="H66" s="20">
        <v>588000</v>
      </c>
      <c r="I66" s="23">
        <v>1685378.26</v>
      </c>
      <c r="K66" s="21"/>
      <c r="L66" s="20"/>
    </row>
    <row r="67" spans="1:12" x14ac:dyDescent="0.15">
      <c r="A67" s="12" t="s">
        <v>225</v>
      </c>
      <c r="B67" s="12" t="s">
        <v>28</v>
      </c>
      <c r="C67" s="12" t="s">
        <v>457</v>
      </c>
      <c r="D67" s="25">
        <v>4</v>
      </c>
      <c r="E67" s="20">
        <v>1</v>
      </c>
      <c r="F67" s="23">
        <v>24</v>
      </c>
      <c r="G67" s="20">
        <v>81158</v>
      </c>
      <c r="H67" s="20">
        <v>784000</v>
      </c>
      <c r="I67" s="23">
        <v>2469354.2599999998</v>
      </c>
      <c r="K67" s="21"/>
      <c r="L67" s="20"/>
    </row>
    <row r="68" spans="1:12" x14ac:dyDescent="0.15">
      <c r="A68" s="12" t="s">
        <v>225</v>
      </c>
      <c r="B68" s="12" t="s">
        <v>227</v>
      </c>
      <c r="C68" s="12" t="s">
        <v>458</v>
      </c>
      <c r="D68" s="25">
        <v>1</v>
      </c>
      <c r="E68" s="20">
        <v>1</v>
      </c>
      <c r="F68" s="23">
        <v>252</v>
      </c>
      <c r="G68" s="20">
        <v>81158</v>
      </c>
      <c r="H68" s="20">
        <v>0</v>
      </c>
      <c r="I68" s="23">
        <v>2469102.2599999998</v>
      </c>
      <c r="K68" s="21"/>
      <c r="L68" s="20"/>
    </row>
    <row r="69" spans="1:12" x14ac:dyDescent="0.15">
      <c r="A69" s="12" t="s">
        <v>225</v>
      </c>
      <c r="B69" s="12" t="s">
        <v>228</v>
      </c>
      <c r="C69" s="12" t="s">
        <v>459</v>
      </c>
      <c r="D69" s="25">
        <v>3</v>
      </c>
      <c r="E69" s="20">
        <v>1</v>
      </c>
      <c r="F69" s="23">
        <v>810</v>
      </c>
      <c r="G69" s="20">
        <v>81158</v>
      </c>
      <c r="H69" s="20">
        <v>0</v>
      </c>
      <c r="I69" s="23">
        <v>2468292.2599999998</v>
      </c>
      <c r="K69" s="21"/>
      <c r="L69" s="20"/>
    </row>
    <row r="70" spans="1:12" x14ac:dyDescent="0.15">
      <c r="A70" s="12" t="s">
        <v>225</v>
      </c>
      <c r="B70" s="12" t="s">
        <v>229</v>
      </c>
      <c r="C70" s="12" t="s">
        <v>460</v>
      </c>
      <c r="D70" s="25">
        <v>1</v>
      </c>
      <c r="E70" s="20">
        <v>1</v>
      </c>
      <c r="F70" s="23">
        <v>104</v>
      </c>
      <c r="G70" s="20">
        <v>81158</v>
      </c>
      <c r="H70" s="20">
        <v>6533.33</v>
      </c>
      <c r="I70" s="23">
        <v>2474721.59</v>
      </c>
      <c r="K70" s="21"/>
      <c r="L70" s="20"/>
    </row>
    <row r="71" spans="1:12" x14ac:dyDescent="0.15">
      <c r="A71" s="12" t="s">
        <v>225</v>
      </c>
      <c r="B71" s="12" t="s">
        <v>230</v>
      </c>
      <c r="C71" s="12" t="s">
        <v>461</v>
      </c>
      <c r="D71" s="25">
        <v>3</v>
      </c>
      <c r="E71" s="20">
        <v>1</v>
      </c>
      <c r="F71" s="23">
        <v>108</v>
      </c>
      <c r="G71" s="20">
        <v>81158</v>
      </c>
      <c r="H71" s="20">
        <v>0</v>
      </c>
      <c r="I71" s="23">
        <v>2474613.59</v>
      </c>
      <c r="K71" s="21"/>
      <c r="L71" s="21"/>
    </row>
    <row r="72" spans="1:12" x14ac:dyDescent="0.15">
      <c r="A72" s="12" t="s">
        <v>225</v>
      </c>
      <c r="B72" s="12" t="s">
        <v>231</v>
      </c>
      <c r="C72" s="12" t="s">
        <v>462</v>
      </c>
      <c r="D72" s="25">
        <v>3</v>
      </c>
      <c r="E72" s="20">
        <v>1</v>
      </c>
      <c r="F72" s="23">
        <v>42</v>
      </c>
      <c r="G72" s="20">
        <v>81158</v>
      </c>
      <c r="H72" s="20">
        <v>0</v>
      </c>
      <c r="I72" s="23">
        <v>2474571.59</v>
      </c>
      <c r="K72" s="21"/>
      <c r="L72" s="21"/>
    </row>
    <row r="73" spans="1:12" x14ac:dyDescent="0.15">
      <c r="A73" s="12" t="s">
        <v>225</v>
      </c>
      <c r="B73" s="12" t="s">
        <v>232</v>
      </c>
      <c r="C73" s="12" t="s">
        <v>463</v>
      </c>
      <c r="D73" s="25">
        <v>4</v>
      </c>
      <c r="E73" s="20">
        <v>1</v>
      </c>
      <c r="F73" s="23">
        <v>64</v>
      </c>
      <c r="G73" s="20">
        <v>81158</v>
      </c>
      <c r="H73" s="20">
        <v>0</v>
      </c>
      <c r="I73" s="23">
        <v>2474507.59</v>
      </c>
      <c r="K73" s="21"/>
      <c r="L73" s="24"/>
    </row>
    <row r="74" spans="1:12" x14ac:dyDescent="0.15">
      <c r="A74" s="12" t="s">
        <v>225</v>
      </c>
      <c r="B74" s="12" t="s">
        <v>35</v>
      </c>
      <c r="C74" s="12" t="s">
        <v>249</v>
      </c>
      <c r="D74" s="25">
        <v>4</v>
      </c>
      <c r="E74" s="20">
        <v>1</v>
      </c>
      <c r="F74" s="23">
        <v>56</v>
      </c>
      <c r="G74" s="20">
        <v>81158</v>
      </c>
      <c r="H74" s="20">
        <v>19.12</v>
      </c>
      <c r="I74" s="23">
        <v>2474470.71</v>
      </c>
      <c r="K74" s="21"/>
      <c r="L74" s="20"/>
    </row>
    <row r="75" spans="1:12" x14ac:dyDescent="0.15">
      <c r="A75" s="12" t="s">
        <v>225</v>
      </c>
      <c r="B75" s="12" t="s">
        <v>36</v>
      </c>
      <c r="C75" s="12" t="s">
        <v>249</v>
      </c>
      <c r="D75" s="25">
        <v>4</v>
      </c>
      <c r="E75" s="20">
        <v>1</v>
      </c>
      <c r="F75" s="23">
        <v>168</v>
      </c>
      <c r="G75" s="20">
        <v>81158</v>
      </c>
      <c r="H75" s="20">
        <v>53.44</v>
      </c>
      <c r="I75" s="23">
        <v>2474356.15</v>
      </c>
      <c r="K75" s="21"/>
      <c r="L75" s="20"/>
    </row>
    <row r="76" spans="1:12" x14ac:dyDescent="0.15">
      <c r="A76" s="12" t="s">
        <v>225</v>
      </c>
      <c r="B76" s="12" t="s">
        <v>233</v>
      </c>
      <c r="C76" s="12" t="s">
        <v>464</v>
      </c>
      <c r="D76" s="25">
        <v>1</v>
      </c>
      <c r="E76" s="20">
        <v>1</v>
      </c>
      <c r="F76" s="23">
        <v>40</v>
      </c>
      <c r="G76" s="20">
        <v>81158</v>
      </c>
      <c r="H76" s="20">
        <v>45.05</v>
      </c>
      <c r="I76" s="23">
        <v>2474361.1999999997</v>
      </c>
      <c r="K76" s="21"/>
      <c r="L76" s="20"/>
    </row>
    <row r="77" spans="1:12" x14ac:dyDescent="0.15">
      <c r="A77" s="12" t="s">
        <v>225</v>
      </c>
      <c r="B77" s="12" t="s">
        <v>234</v>
      </c>
      <c r="C77" s="12" t="s">
        <v>216</v>
      </c>
      <c r="D77" s="25">
        <v>4</v>
      </c>
      <c r="E77" s="20">
        <v>1</v>
      </c>
      <c r="F77" s="23">
        <v>80</v>
      </c>
      <c r="G77" s="20">
        <v>81158</v>
      </c>
      <c r="H77" s="20">
        <v>19.12</v>
      </c>
      <c r="I77" s="23">
        <v>2474300.3199999998</v>
      </c>
      <c r="K77" s="21"/>
      <c r="L77" s="20"/>
    </row>
    <row r="78" spans="1:12" x14ac:dyDescent="0.15">
      <c r="A78" s="12" t="s">
        <v>225</v>
      </c>
      <c r="B78" s="12" t="s">
        <v>235</v>
      </c>
      <c r="C78" s="12" t="s">
        <v>465</v>
      </c>
      <c r="D78" s="25">
        <v>1</v>
      </c>
      <c r="E78" s="20">
        <v>1</v>
      </c>
      <c r="F78" s="23">
        <v>12</v>
      </c>
      <c r="G78" s="20">
        <v>81158</v>
      </c>
      <c r="H78" s="20">
        <v>48.12</v>
      </c>
      <c r="I78" s="23">
        <v>2474336.44</v>
      </c>
      <c r="K78" s="21"/>
      <c r="L78" s="20"/>
    </row>
    <row r="79" spans="1:12" x14ac:dyDescent="0.15">
      <c r="A79" s="12" t="s">
        <v>225</v>
      </c>
      <c r="B79" s="12" t="s">
        <v>236</v>
      </c>
      <c r="C79" s="12" t="s">
        <v>466</v>
      </c>
      <c r="D79" s="25">
        <v>1</v>
      </c>
      <c r="E79" s="20">
        <v>1</v>
      </c>
      <c r="F79" s="23">
        <v>4</v>
      </c>
      <c r="G79" s="20">
        <v>81158</v>
      </c>
      <c r="H79" s="20">
        <v>0</v>
      </c>
      <c r="I79" s="23">
        <v>2474332.44</v>
      </c>
      <c r="K79" s="21"/>
      <c r="L79" s="20"/>
    </row>
    <row r="80" spans="1:12" x14ac:dyDescent="0.15">
      <c r="A80" s="12" t="s">
        <v>225</v>
      </c>
      <c r="B80" s="12" t="s">
        <v>237</v>
      </c>
      <c r="C80" s="12" t="s">
        <v>216</v>
      </c>
      <c r="D80" s="25">
        <v>3</v>
      </c>
      <c r="E80" s="20">
        <v>1</v>
      </c>
      <c r="F80" s="23">
        <v>60</v>
      </c>
      <c r="G80" s="20">
        <v>81158</v>
      </c>
      <c r="H80" s="20">
        <v>0</v>
      </c>
      <c r="I80" s="23">
        <v>2474272.44</v>
      </c>
      <c r="K80" s="21"/>
      <c r="L80" s="20"/>
    </row>
    <row r="81" spans="1:12" x14ac:dyDescent="0.15">
      <c r="A81" s="12" t="s">
        <v>238</v>
      </c>
      <c r="B81" s="12" t="s">
        <v>13</v>
      </c>
      <c r="C81" s="12" t="s">
        <v>250</v>
      </c>
      <c r="D81" s="25">
        <v>3</v>
      </c>
      <c r="E81" s="20">
        <v>1</v>
      </c>
      <c r="F81" s="23">
        <v>96</v>
      </c>
      <c r="G81" s="20">
        <v>81158</v>
      </c>
      <c r="H81" s="20">
        <v>23.52</v>
      </c>
      <c r="I81" s="23">
        <v>2474199.96</v>
      </c>
      <c r="K81" s="21"/>
      <c r="L81" s="21"/>
    </row>
    <row r="82" spans="1:12" x14ac:dyDescent="0.15">
      <c r="A82" s="12" t="s">
        <v>238</v>
      </c>
      <c r="B82" s="12" t="s">
        <v>26</v>
      </c>
      <c r="C82" s="12" t="s">
        <v>250</v>
      </c>
      <c r="D82" s="20">
        <v>1</v>
      </c>
      <c r="E82" s="20">
        <v>1</v>
      </c>
      <c r="F82" s="23">
        <v>32</v>
      </c>
      <c r="G82" s="20">
        <v>81158</v>
      </c>
      <c r="H82" s="20">
        <v>7.84</v>
      </c>
      <c r="I82" s="23">
        <v>2474175.7999999998</v>
      </c>
      <c r="K82" s="21"/>
      <c r="L82" s="21"/>
    </row>
    <row r="83" spans="1:12" x14ac:dyDescent="0.15">
      <c r="A83" s="12" t="s">
        <v>238</v>
      </c>
      <c r="B83" s="12" t="s">
        <v>27</v>
      </c>
      <c r="C83" s="12" t="s">
        <v>251</v>
      </c>
      <c r="D83" s="20">
        <v>1</v>
      </c>
      <c r="E83" s="20">
        <v>1</v>
      </c>
      <c r="F83" s="23">
        <v>128</v>
      </c>
      <c r="G83" s="20">
        <v>81158</v>
      </c>
      <c r="H83" s="20">
        <v>15.68</v>
      </c>
      <c r="I83" s="23">
        <v>2474063.48</v>
      </c>
      <c r="K83" s="21"/>
      <c r="L83" s="21"/>
    </row>
    <row r="84" spans="1:12" x14ac:dyDescent="0.15">
      <c r="A84" s="12" t="s">
        <v>238</v>
      </c>
      <c r="B84" s="12" t="s">
        <v>219</v>
      </c>
      <c r="C84" s="12" t="s">
        <v>251</v>
      </c>
      <c r="D84" s="20">
        <v>3</v>
      </c>
      <c r="E84" s="20">
        <v>1</v>
      </c>
      <c r="F84" s="23">
        <v>384</v>
      </c>
      <c r="G84" s="20">
        <v>81158</v>
      </c>
      <c r="H84" s="20">
        <v>47.04</v>
      </c>
      <c r="I84" s="23">
        <v>2473726.52</v>
      </c>
      <c r="K84" s="21"/>
      <c r="L84" s="21"/>
    </row>
    <row r="85" spans="1:12" x14ac:dyDescent="0.15">
      <c r="A85" s="12" t="s">
        <v>239</v>
      </c>
      <c r="B85" s="12" t="s">
        <v>239</v>
      </c>
      <c r="C85" s="12" t="s">
        <v>252</v>
      </c>
      <c r="D85" s="20">
        <v>1</v>
      </c>
      <c r="E85" s="20">
        <v>1</v>
      </c>
      <c r="F85" s="23">
        <v>34</v>
      </c>
      <c r="G85" s="20">
        <v>81158</v>
      </c>
      <c r="H85" s="20">
        <v>11.76</v>
      </c>
      <c r="I85" s="23">
        <v>2473704.2799999998</v>
      </c>
      <c r="K85" s="21"/>
      <c r="L85" s="21"/>
    </row>
    <row r="86" spans="1:12" x14ac:dyDescent="0.15">
      <c r="A86" s="12" t="s">
        <v>240</v>
      </c>
      <c r="B86" s="12" t="s">
        <v>240</v>
      </c>
      <c r="C86" s="12" t="s">
        <v>253</v>
      </c>
      <c r="D86" s="20">
        <v>1</v>
      </c>
      <c r="E86" s="20">
        <v>4</v>
      </c>
      <c r="F86" s="23">
        <v>120</v>
      </c>
      <c r="G86" s="20">
        <v>81158</v>
      </c>
      <c r="H86" s="20">
        <v>87.08</v>
      </c>
      <c r="I86" s="23">
        <v>2473671.36</v>
      </c>
      <c r="K86" s="21"/>
      <c r="L86" s="21"/>
    </row>
    <row r="87" spans="1:12" x14ac:dyDescent="0.15">
      <c r="A87" s="12" t="s">
        <v>241</v>
      </c>
      <c r="B87" s="12" t="s">
        <v>241</v>
      </c>
      <c r="C87" s="12" t="s">
        <v>216</v>
      </c>
      <c r="D87" s="20">
        <v>3</v>
      </c>
      <c r="E87" s="20">
        <v>1</v>
      </c>
      <c r="F87" s="23">
        <v>60</v>
      </c>
      <c r="G87" s="20">
        <v>81158</v>
      </c>
      <c r="H87" s="20">
        <v>0</v>
      </c>
      <c r="I87" s="23">
        <v>2473611.36</v>
      </c>
      <c r="K87" s="21"/>
      <c r="L87" s="20"/>
    </row>
    <row r="88" spans="1:12" x14ac:dyDescent="0.15">
      <c r="A88" s="12"/>
      <c r="B88" s="12"/>
      <c r="C88" s="14"/>
    </row>
    <row r="89" spans="1:12" x14ac:dyDescent="0.15">
      <c r="A89" s="12"/>
      <c r="B89" s="12"/>
      <c r="C89" s="14"/>
    </row>
    <row r="90" spans="1:12" x14ac:dyDescent="0.15">
      <c r="A90" s="12"/>
      <c r="B90" s="12"/>
      <c r="C90" s="14"/>
    </row>
    <row r="91" spans="1:12" x14ac:dyDescent="0.15">
      <c r="A91" s="12"/>
      <c r="B91" s="12"/>
      <c r="C91" s="14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SSC</vt:lpstr>
      <vt:lpstr>agent</vt:lpstr>
      <vt:lpstr>层级关系</vt:lpstr>
      <vt:lpstr>导出XML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2018-06-13T11:26:14Z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