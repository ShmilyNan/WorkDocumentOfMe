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L50" i="2" l="1"/>
  <c r="L65" i="2"/>
  <c r="L37" i="2"/>
  <c r="L36" i="2"/>
  <c r="L35" i="2"/>
  <c r="L66" i="2" l="1"/>
  <c r="L67" i="2" s="1"/>
  <c r="L51" i="2"/>
  <c r="M39" i="2"/>
  <c r="M38" i="2"/>
  <c r="M53" i="2" l="1"/>
  <c r="L52" i="2"/>
  <c r="M54" i="2" s="1"/>
  <c r="M69" i="2" l="1"/>
  <c r="M68" i="2"/>
  <c r="K38" i="2"/>
  <c r="K3" i="2"/>
  <c r="M13" i="2"/>
  <c r="M12" i="2"/>
  <c r="H56" i="1"/>
  <c r="U2" i="2" l="1"/>
  <c r="L20" i="2" l="1"/>
  <c r="M20" i="2" s="1"/>
  <c r="L17" i="2"/>
  <c r="L16" i="2"/>
  <c r="M16" i="2" s="1"/>
  <c r="L19" i="2"/>
  <c r="M19" i="2" s="1"/>
  <c r="L18" i="2"/>
  <c r="M18" i="2" s="1"/>
  <c r="K4" i="2"/>
  <c r="K5" i="2" s="1"/>
  <c r="K6" i="2" s="1"/>
  <c r="K7" i="2" s="1"/>
  <c r="K8" i="2" s="1"/>
  <c r="K9" i="2" s="1"/>
  <c r="K10" i="2" s="1"/>
  <c r="K11" i="2" s="1"/>
  <c r="U87" i="1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12" i="2" l="1"/>
  <c r="K13" i="2" s="1"/>
  <c r="K14" i="2" s="1"/>
  <c r="M22" i="2"/>
  <c r="M21" i="2"/>
  <c r="L21" i="2"/>
  <c r="Y3" i="7"/>
  <c r="W3" i="7"/>
  <c r="S4" i="7" s="1"/>
  <c r="U4" i="7" s="1"/>
  <c r="K15" i="2" l="1"/>
  <c r="M14" i="2"/>
  <c r="Y4" i="7"/>
  <c r="W4" i="7"/>
  <c r="S5" i="7" s="1"/>
  <c r="U5" i="7" s="1"/>
  <c r="K16" i="2" l="1"/>
  <c r="K17" i="2" s="1"/>
  <c r="K18" i="2" s="1"/>
  <c r="K19" i="2" s="1"/>
  <c r="K20" i="2" s="1"/>
  <c r="K21" i="2" s="1"/>
  <c r="K22" i="2" s="1"/>
  <c r="K23" i="2" s="1"/>
  <c r="M15" i="2"/>
  <c r="Y5" i="7"/>
  <c r="W5" i="7"/>
  <c r="S6" i="7" s="1"/>
  <c r="U6" i="7" s="1"/>
  <c r="K24" i="2" l="1"/>
  <c r="M23" i="2"/>
  <c r="Y6" i="7"/>
  <c r="W6" i="7"/>
  <c r="S7" i="7" s="1"/>
  <c r="U7" i="7" s="1"/>
  <c r="K25" i="2" l="1"/>
  <c r="M24" i="2"/>
  <c r="Y7" i="7"/>
  <c r="W7" i="7"/>
  <c r="S8" i="7" s="1"/>
  <c r="U8" i="7" s="1"/>
  <c r="K26" i="2" l="1"/>
  <c r="K27" i="2" s="1"/>
  <c r="K28" i="2" s="1"/>
  <c r="M25" i="2"/>
  <c r="Y8" i="7"/>
  <c r="W8" i="7"/>
  <c r="S9" i="7" s="1"/>
  <c r="U9" i="7" s="1"/>
  <c r="K29" i="2" l="1"/>
  <c r="M28" i="2"/>
  <c r="Y9" i="7"/>
  <c r="W9" i="7"/>
  <c r="S10" i="7" s="1"/>
  <c r="U10" i="7" s="1"/>
  <c r="K30" i="2" l="1"/>
  <c r="M29" i="2"/>
  <c r="W10" i="7"/>
  <c r="S11" i="7" s="1"/>
  <c r="U11" i="7" s="1"/>
  <c r="Y10" i="7"/>
  <c r="K31" i="2" l="1"/>
  <c r="M30" i="2"/>
  <c r="Y11" i="7"/>
  <c r="W11" i="7"/>
  <c r="S12" i="7" s="1"/>
  <c r="U12" i="7" s="1"/>
  <c r="K32" i="2" l="1"/>
  <c r="M31" i="2"/>
  <c r="W12" i="7"/>
  <c r="Y12" i="7"/>
  <c r="K33" i="2" l="1"/>
  <c r="M3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K34" i="2" l="1"/>
  <c r="M33" i="2"/>
  <c r="Z88" i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K35" i="2" l="1"/>
  <c r="M34" i="2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K36" i="2" l="1"/>
  <c r="M35" i="2"/>
  <c r="K37" i="2" l="1"/>
  <c r="M36" i="2"/>
  <c r="O88" i="2"/>
  <c r="O74" i="2"/>
  <c r="O66" i="2"/>
  <c r="O67" i="2"/>
  <c r="O52" i="2"/>
  <c r="O51" i="2"/>
  <c r="O64" i="2"/>
  <c r="O49" i="2"/>
  <c r="O58" i="2"/>
  <c r="O43" i="2"/>
  <c r="W31" i="7"/>
  <c r="W30" i="7"/>
  <c r="M37" i="2" l="1"/>
  <c r="O37" i="2"/>
  <c r="O36" i="2"/>
  <c r="O34" i="2"/>
  <c r="O28" i="2"/>
  <c r="O22" i="2"/>
  <c r="O18" i="2"/>
  <c r="O13" i="2"/>
  <c r="O9" i="2"/>
  <c r="L6" i="7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K39" i="2" l="1"/>
  <c r="M6" i="7"/>
  <c r="L9" i="7" s="1"/>
  <c r="M9" i="7" s="1"/>
  <c r="S31" i="7"/>
  <c r="U31" i="7" s="1"/>
  <c r="Y31" i="7" s="1"/>
  <c r="S32" i="7"/>
  <c r="U32" i="7" s="1"/>
  <c r="K40" i="2" l="1"/>
  <c r="N6" i="7"/>
  <c r="O6" i="7" s="1"/>
  <c r="L12" i="7"/>
  <c r="M12" i="7" s="1"/>
  <c r="N9" i="7"/>
  <c r="O9" i="7" s="1"/>
  <c r="Y32" i="7"/>
  <c r="W32" i="7"/>
  <c r="S33" i="7" s="1"/>
  <c r="U33" i="7" s="1"/>
  <c r="K41" i="2" l="1"/>
  <c r="K42" i="2" s="1"/>
  <c r="K43" i="2" s="1"/>
  <c r="M40" i="2"/>
  <c r="N12" i="7"/>
  <c r="O12" i="7" s="1"/>
  <c r="W33" i="7"/>
  <c r="S34" i="7" s="1"/>
  <c r="U34" i="7" s="1"/>
  <c r="Y33" i="7"/>
  <c r="K44" i="2" l="1"/>
  <c r="M43" i="2"/>
  <c r="L15" i="7"/>
  <c r="M15" i="7" s="1"/>
  <c r="W34" i="7"/>
  <c r="S35" i="7" s="1"/>
  <c r="U35" i="7" s="1"/>
  <c r="Y34" i="7"/>
  <c r="K45" i="2" l="1"/>
  <c r="M44" i="2"/>
  <c r="N15" i="7"/>
  <c r="O15" i="7" s="1"/>
  <c r="L18" i="7"/>
  <c r="M18" i="7" s="1"/>
  <c r="W35" i="7"/>
  <c r="S36" i="7" s="1"/>
  <c r="U36" i="7" s="1"/>
  <c r="Y35" i="7"/>
  <c r="K46" i="2" l="1"/>
  <c r="M45" i="2"/>
  <c r="N18" i="7"/>
  <c r="O18" i="7" s="1"/>
  <c r="L21" i="7"/>
  <c r="M21" i="7" s="1"/>
  <c r="W36" i="7"/>
  <c r="S37" i="7" s="1"/>
  <c r="U37" i="7" s="1"/>
  <c r="Y36" i="7"/>
  <c r="K47" i="2" l="1"/>
  <c r="M46" i="2"/>
  <c r="L24" i="7"/>
  <c r="M24" i="7" s="1"/>
  <c r="N21" i="7"/>
  <c r="O21" i="7" s="1"/>
  <c r="Y37" i="7"/>
  <c r="W37" i="7"/>
  <c r="S38" i="7" s="1"/>
  <c r="U38" i="7" s="1"/>
  <c r="K48" i="2" l="1"/>
  <c r="M47" i="2"/>
  <c r="N24" i="7"/>
  <c r="O24" i="7" s="1"/>
  <c r="L27" i="7"/>
  <c r="M27" i="7" s="1"/>
  <c r="Y38" i="7"/>
  <c r="W38" i="7"/>
  <c r="K49" i="2" l="1"/>
  <c r="M48" i="2"/>
  <c r="N27" i="7"/>
  <c r="O27" i="7" s="1"/>
  <c r="L30" i="7"/>
  <c r="M30" i="7" s="1"/>
  <c r="K50" i="2" l="1"/>
  <c r="M49" i="2"/>
  <c r="N30" i="7"/>
  <c r="O30" i="7" s="1"/>
  <c r="L33" i="7"/>
  <c r="M33" i="7" s="1"/>
  <c r="K51" i="2" l="1"/>
  <c r="M50" i="2"/>
  <c r="N33" i="7"/>
  <c r="O33" i="7" s="1"/>
  <c r="L36" i="7"/>
  <c r="M36" i="7" s="1"/>
  <c r="K52" i="2" l="1"/>
  <c r="M51" i="2"/>
  <c r="L39" i="7"/>
  <c r="M39" i="7" s="1"/>
  <c r="N36" i="7"/>
  <c r="O36" i="7" s="1"/>
  <c r="K53" i="2" l="1"/>
  <c r="M52" i="2"/>
  <c r="N39" i="7"/>
  <c r="O39" i="7" s="1"/>
  <c r="L42" i="7"/>
  <c r="M42" i="7" s="1"/>
  <c r="K54" i="2" l="1"/>
  <c r="N42" i="7"/>
  <c r="O42" i="7" s="1"/>
  <c r="L45" i="7"/>
  <c r="M45" i="7" s="1"/>
  <c r="K55" i="2" l="1"/>
  <c r="N45" i="7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K56" i="2" l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M55" i="2"/>
  <c r="N48" i="7"/>
  <c r="O48" i="7" s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S128" i="2" s="1"/>
  <c r="O138" i="2" s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K69" i="2" l="1"/>
  <c r="U68" i="2"/>
  <c r="V68" i="2" s="1"/>
  <c r="W68" i="2" s="1"/>
  <c r="AB86" i="1"/>
  <c r="S123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K70" i="2" l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Q89" i="2"/>
  <c r="Q83" i="2"/>
  <c r="Q70" i="2"/>
  <c r="Q82" i="2"/>
  <c r="Q81" i="2"/>
  <c r="Q78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K71" i="2" l="1"/>
  <c r="K72" i="2" s="1"/>
  <c r="K73" i="2" s="1"/>
  <c r="K74" i="2" s="1"/>
  <c r="K75" i="2" s="1"/>
  <c r="K76" i="2" s="1"/>
  <c r="K77" i="2" s="1"/>
  <c r="K78" i="2" s="1"/>
  <c r="M70" i="2"/>
  <c r="Q96" i="2"/>
  <c r="E71" i="1"/>
  <c r="AB71" i="1" s="1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K79" i="2" l="1"/>
  <c r="K80" i="2" s="1"/>
  <c r="K81" i="2" s="1"/>
  <c r="K82" i="2" s="1"/>
  <c r="L76" i="2"/>
  <c r="L77" i="2"/>
  <c r="L78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L79" i="2" l="1"/>
  <c r="M82" i="2" s="1"/>
  <c r="K83" i="2"/>
  <c r="K84" i="2" s="1"/>
  <c r="K85" i="2" s="1"/>
  <c r="K86" i="2" s="1"/>
  <c r="K87" i="2" s="1"/>
  <c r="K88" i="2" s="1"/>
  <c r="L82" i="2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K89" i="2" l="1"/>
  <c r="U101" i="2"/>
  <c r="U99" i="2" s="1"/>
  <c r="V99" i="2" s="1"/>
  <c r="W99" i="2" s="1"/>
  <c r="X99" i="2" s="1"/>
  <c r="W100" i="2" s="1"/>
  <c r="L88" i="2"/>
  <c r="I45" i="7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K90" i="2" l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L89" i="2"/>
  <c r="M106" i="2" s="1"/>
  <c r="I80" i="1" s="1"/>
  <c r="M105" i="2"/>
  <c r="I79" i="1" s="1"/>
  <c r="X103" i="2"/>
  <c r="Y103" i="2"/>
  <c r="V100" i="2"/>
  <c r="Z100" i="2"/>
  <c r="W103" i="2"/>
  <c r="X100" i="2"/>
  <c r="V103" i="2"/>
  <c r="Z103" i="2"/>
  <c r="Y100" i="2"/>
  <c r="G80" i="7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K101" i="2" l="1"/>
  <c r="K102" i="2" s="1"/>
  <c r="K103" i="2" s="1"/>
  <c r="U100" i="2"/>
  <c r="M98" i="2"/>
  <c r="I73" i="1" s="1"/>
  <c r="L90" i="2"/>
  <c r="L91" i="2"/>
  <c r="G121" i="7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U103" i="2" l="1"/>
  <c r="K104" i="2"/>
  <c r="K105" i="2" s="1"/>
  <c r="K106" i="2" s="1"/>
  <c r="K107" i="2" s="1"/>
  <c r="G160" i="7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K108" i="2" l="1"/>
  <c r="K109" i="2" s="1"/>
  <c r="M107" i="2"/>
  <c r="G185" i="7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K110" i="2" l="1"/>
  <c r="K111" i="2" s="1"/>
  <c r="M109" i="2"/>
  <c r="I193" i="7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K112" i="2" l="1"/>
  <c r="K113" i="2" s="1"/>
  <c r="K114" i="2" s="1"/>
  <c r="M111" i="2"/>
  <c r="G200" i="7"/>
  <c r="I200" i="7"/>
  <c r="G201" i="7"/>
  <c r="I201" i="7"/>
  <c r="K115" i="2" l="1"/>
  <c r="K116" i="2" s="1"/>
  <c r="K117" i="2" s="1"/>
  <c r="M114" i="2"/>
  <c r="Q75" i="2"/>
  <c r="Q55" i="2"/>
  <c r="Q69" i="2"/>
  <c r="Q68" i="2"/>
  <c r="Q63" i="2"/>
  <c r="Q62" i="2"/>
  <c r="I38" i="1"/>
  <c r="Q40" i="2"/>
  <c r="Q54" i="2"/>
  <c r="Q53" i="2"/>
  <c r="Q48" i="2"/>
  <c r="Q47" i="2"/>
  <c r="Q32" i="2"/>
  <c r="Q33" i="2"/>
  <c r="Q39" i="2"/>
  <c r="Q38" i="2"/>
  <c r="Q74" i="2"/>
  <c r="Q58" i="2"/>
  <c r="Q43" i="2"/>
  <c r="Q49" i="2"/>
  <c r="Q34" i="2"/>
  <c r="Q66" i="2"/>
  <c r="Q51" i="2"/>
  <c r="Q37" i="2"/>
  <c r="Q64" i="2"/>
  <c r="Q67" i="2"/>
  <c r="Q52" i="2"/>
  <c r="Q36" i="2"/>
  <c r="K118" i="2" l="1"/>
  <c r="K119" i="2" s="1"/>
  <c r="K120" i="2" s="1"/>
  <c r="K121" i="2" s="1"/>
  <c r="K122" i="2" s="1"/>
  <c r="K123" i="2" s="1"/>
  <c r="L119" i="2"/>
  <c r="L122" i="2"/>
  <c r="L118" i="2"/>
  <c r="L121" i="2"/>
  <c r="L120" i="2"/>
  <c r="L117" i="2"/>
  <c r="D5" i="2"/>
  <c r="D3" i="2"/>
  <c r="Q16" i="2"/>
  <c r="Q21" i="2"/>
  <c r="Q25" i="2"/>
  <c r="O15" i="2"/>
  <c r="L12" i="2"/>
  <c r="Q12" i="2"/>
  <c r="Q7" i="2"/>
  <c r="S133" i="2"/>
  <c r="S117" i="2"/>
  <c r="S114" i="2"/>
  <c r="S111" i="2"/>
  <c r="S109" i="2"/>
  <c r="S101" i="2"/>
  <c r="S102" i="2"/>
  <c r="S104" i="2"/>
  <c r="S105" i="2"/>
  <c r="S106" i="2"/>
  <c r="S107" i="2"/>
  <c r="S100" i="2"/>
  <c r="M100" i="2" s="1"/>
  <c r="S98" i="2"/>
  <c r="S96" i="2"/>
  <c r="S94" i="2"/>
  <c r="S92" i="2"/>
  <c r="S89" i="2"/>
  <c r="S90" i="2"/>
  <c r="S88" i="2"/>
  <c r="S82" i="2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I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I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I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Q3" i="2"/>
  <c r="Q4" i="2"/>
  <c r="Q5" i="2"/>
  <c r="Q6" i="2"/>
  <c r="Q2" i="2"/>
  <c r="Q18" i="2"/>
  <c r="Q28" i="2"/>
  <c r="Q22" i="2"/>
  <c r="Q13" i="2"/>
  <c r="Q9" i="2"/>
  <c r="M102" i="2"/>
  <c r="K124" i="2" l="1"/>
  <c r="L123" i="2"/>
  <c r="M117" i="2"/>
  <c r="O137" i="2"/>
  <c r="O139" i="2" s="1"/>
  <c r="M75" i="2"/>
  <c r="I60" i="1" s="1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M101" i="2"/>
  <c r="I75" i="1" s="1"/>
  <c r="I74" i="1"/>
  <c r="E59" i="1"/>
  <c r="AB59" i="1" s="1"/>
  <c r="P98" i="2"/>
  <c r="E46" i="1"/>
  <c r="AB46" i="1" s="1"/>
  <c r="E33" i="1"/>
  <c r="AB33" i="1" s="1"/>
  <c r="E20" i="1"/>
  <c r="AB20" i="1" s="1"/>
  <c r="E12" i="1"/>
  <c r="AB12" i="1" s="1"/>
  <c r="E4" i="1"/>
  <c r="AB4" i="1" s="1"/>
  <c r="P90" i="2"/>
  <c r="M89" i="2"/>
  <c r="I68" i="1" s="1"/>
  <c r="E3" i="1"/>
  <c r="AB3" i="1" s="1"/>
  <c r="P75" i="2"/>
  <c r="G60" i="1" s="1"/>
  <c r="P74" i="2"/>
  <c r="P15" i="2"/>
  <c r="G10" i="1" s="1"/>
  <c r="M62" i="2"/>
  <c r="I50" i="1" s="1"/>
  <c r="I42" i="1"/>
  <c r="P24" i="2"/>
  <c r="G18" i="1" s="1"/>
  <c r="M66" i="2"/>
  <c r="I54" i="1" s="1"/>
  <c r="P48" i="2"/>
  <c r="G38" i="1" s="1"/>
  <c r="I29" i="1"/>
  <c r="E2" i="1"/>
  <c r="AB2" i="1" s="1"/>
  <c r="P103" i="2"/>
  <c r="P102" i="2"/>
  <c r="I76" i="1"/>
  <c r="P101" i="2"/>
  <c r="G75" i="1" s="1"/>
  <c r="P12" i="2"/>
  <c r="G7" i="1" s="1"/>
  <c r="P7" i="2"/>
  <c r="M59" i="2"/>
  <c r="P133" i="2"/>
  <c r="G88" i="1" s="1"/>
  <c r="P123" i="2"/>
  <c r="G86" i="1" s="1"/>
  <c r="P117" i="2"/>
  <c r="G85" i="1" s="1"/>
  <c r="P109" i="2"/>
  <c r="G82" i="1" s="1"/>
  <c r="P107" i="2"/>
  <c r="M61" i="2"/>
  <c r="M81" i="2"/>
  <c r="P2" i="2"/>
  <c r="M60" i="2"/>
  <c r="P104" i="2"/>
  <c r="M104" i="2"/>
  <c r="P96" i="2"/>
  <c r="M96" i="2"/>
  <c r="I72" i="1" s="1"/>
  <c r="P94" i="2"/>
  <c r="M94" i="2"/>
  <c r="I71" i="1" s="1"/>
  <c r="M92" i="2"/>
  <c r="P92" i="2"/>
  <c r="M90" i="2"/>
  <c r="I69" i="1" s="1"/>
  <c r="P89" i="2"/>
  <c r="G68" i="1" s="1"/>
  <c r="M88" i="2"/>
  <c r="P88" i="2"/>
  <c r="M83" i="2"/>
  <c r="I66" i="1" s="1"/>
  <c r="P83" i="2"/>
  <c r="G66" i="1" s="1"/>
  <c r="P82" i="2"/>
  <c r="G65" i="1" s="1"/>
  <c r="I65" i="1"/>
  <c r="P81" i="2"/>
  <c r="P78" i="2"/>
  <c r="M78" i="2"/>
  <c r="I62" i="1" s="1"/>
  <c r="M79" i="2"/>
  <c r="I63" i="1" s="1"/>
  <c r="P79" i="2"/>
  <c r="M76" i="2"/>
  <c r="I61" i="1" s="1"/>
  <c r="P76" i="2"/>
  <c r="M74" i="2"/>
  <c r="I59" i="1" s="1"/>
  <c r="P69" i="2"/>
  <c r="P67" i="2"/>
  <c r="M67" i="2"/>
  <c r="P66" i="2"/>
  <c r="P65" i="2"/>
  <c r="G53" i="1" s="1"/>
  <c r="M65" i="2"/>
  <c r="P64" i="2"/>
  <c r="M64" i="2"/>
  <c r="P63" i="2"/>
  <c r="G51" i="1" s="1"/>
  <c r="M63" i="2"/>
  <c r="P58" i="2"/>
  <c r="M58" i="2"/>
  <c r="P62" i="2"/>
  <c r="G50" i="1" s="1"/>
  <c r="P68" i="2"/>
  <c r="P55" i="2"/>
  <c r="P52" i="2"/>
  <c r="P51" i="2"/>
  <c r="P50" i="2"/>
  <c r="G40" i="1" s="1"/>
  <c r="P49" i="2"/>
  <c r="P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P36" i="2"/>
  <c r="P34" i="2"/>
  <c r="P28" i="2"/>
  <c r="P25" i="2"/>
  <c r="G19" i="1" s="1"/>
  <c r="P22" i="2"/>
  <c r="P16" i="2"/>
  <c r="G11" i="1" s="1"/>
  <c r="P13" i="2"/>
  <c r="P18" i="2"/>
  <c r="P9" i="2"/>
  <c r="P21" i="2"/>
  <c r="G15" i="1" s="1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K125" i="2" l="1"/>
  <c r="L124" i="2"/>
  <c r="K38" i="1"/>
  <c r="L38" i="1"/>
  <c r="M38" i="1"/>
  <c r="N38" i="1"/>
  <c r="O38" i="1"/>
  <c r="P38" i="1"/>
  <c r="Q38" i="1"/>
  <c r="R38" i="1"/>
  <c r="S38" i="1"/>
  <c r="T38" i="1"/>
  <c r="K27" i="1"/>
  <c r="L27" i="1"/>
  <c r="M27" i="1"/>
  <c r="N27" i="1"/>
  <c r="O27" i="1"/>
  <c r="P27" i="1"/>
  <c r="Q27" i="1"/>
  <c r="R27" i="1"/>
  <c r="S27" i="1"/>
  <c r="T27" i="1"/>
  <c r="K79" i="1"/>
  <c r="L79" i="1"/>
  <c r="M79" i="1"/>
  <c r="N79" i="1"/>
  <c r="O79" i="1"/>
  <c r="P79" i="1"/>
  <c r="Q79" i="1"/>
  <c r="R79" i="1"/>
  <c r="S79" i="1"/>
  <c r="T79" i="1"/>
  <c r="K73" i="1"/>
  <c r="L73" i="1"/>
  <c r="M73" i="1"/>
  <c r="N73" i="1"/>
  <c r="O73" i="1"/>
  <c r="P73" i="1"/>
  <c r="Q73" i="1"/>
  <c r="R73" i="1"/>
  <c r="S73" i="1"/>
  <c r="T73" i="1"/>
  <c r="K80" i="1"/>
  <c r="L80" i="1"/>
  <c r="M80" i="1"/>
  <c r="N80" i="1"/>
  <c r="O80" i="1"/>
  <c r="P80" i="1"/>
  <c r="Q80" i="1"/>
  <c r="R80" i="1"/>
  <c r="S80" i="1"/>
  <c r="T80" i="1"/>
  <c r="G61" i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N75" i="2"/>
  <c r="X60" i="1" s="1"/>
  <c r="N33" i="2"/>
  <c r="X25" i="1" s="1"/>
  <c r="N52" i="2"/>
  <c r="X42" i="1" s="1"/>
  <c r="N117" i="2"/>
  <c r="X85" i="1" s="1"/>
  <c r="T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K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90" i="2"/>
  <c r="X69" i="1" s="1"/>
  <c r="N96" i="2"/>
  <c r="X72" i="1" s="1"/>
  <c r="N102" i="2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K126" i="2" l="1"/>
  <c r="L125" i="2"/>
  <c r="K10" i="1"/>
  <c r="L10" i="1"/>
  <c r="M10" i="1"/>
  <c r="N10" i="1"/>
  <c r="O10" i="1"/>
  <c r="P10" i="1"/>
  <c r="Q10" i="1"/>
  <c r="R10" i="1"/>
  <c r="S10" i="1"/>
  <c r="T10" i="1"/>
  <c r="K39" i="1"/>
  <c r="L39" i="1"/>
  <c r="M39" i="1"/>
  <c r="N39" i="1"/>
  <c r="O39" i="1"/>
  <c r="P39" i="1"/>
  <c r="Q39" i="1"/>
  <c r="R39" i="1"/>
  <c r="S39" i="1"/>
  <c r="T39" i="1"/>
  <c r="K61" i="1"/>
  <c r="L61" i="1"/>
  <c r="M61" i="1"/>
  <c r="N61" i="1"/>
  <c r="O61" i="1"/>
  <c r="P61" i="1"/>
  <c r="Q61" i="1"/>
  <c r="R61" i="1"/>
  <c r="S61" i="1"/>
  <c r="T61" i="1"/>
  <c r="K78" i="1"/>
  <c r="L78" i="1"/>
  <c r="M78" i="1"/>
  <c r="N78" i="1"/>
  <c r="O78" i="1"/>
  <c r="P78" i="1"/>
  <c r="Q78" i="1"/>
  <c r="R78" i="1"/>
  <c r="S78" i="1"/>
  <c r="T78" i="1"/>
  <c r="K84" i="1"/>
  <c r="L84" i="1"/>
  <c r="M84" i="1"/>
  <c r="N84" i="1"/>
  <c r="O84" i="1"/>
  <c r="P84" i="1"/>
  <c r="Q84" i="1"/>
  <c r="R84" i="1"/>
  <c r="S84" i="1"/>
  <c r="T84" i="1"/>
  <c r="K11" i="1"/>
  <c r="L11" i="1"/>
  <c r="M11" i="1"/>
  <c r="N11" i="1"/>
  <c r="O11" i="1"/>
  <c r="P11" i="1"/>
  <c r="Q11" i="1"/>
  <c r="R11" i="1"/>
  <c r="S11" i="1"/>
  <c r="T11" i="1"/>
  <c r="K14" i="1"/>
  <c r="L14" i="1"/>
  <c r="M14" i="1"/>
  <c r="N14" i="1"/>
  <c r="O14" i="1"/>
  <c r="P14" i="1"/>
  <c r="Q14" i="1"/>
  <c r="R14" i="1"/>
  <c r="S14" i="1"/>
  <c r="T14" i="1"/>
  <c r="K28" i="1"/>
  <c r="L28" i="1"/>
  <c r="M28" i="1"/>
  <c r="N28" i="1"/>
  <c r="O28" i="1"/>
  <c r="P28" i="1"/>
  <c r="Q28" i="1"/>
  <c r="R28" i="1"/>
  <c r="S28" i="1"/>
  <c r="T28" i="1"/>
  <c r="K48" i="1"/>
  <c r="L48" i="1"/>
  <c r="M48" i="1"/>
  <c r="N48" i="1"/>
  <c r="O48" i="1"/>
  <c r="P48" i="1"/>
  <c r="Q48" i="1"/>
  <c r="R48" i="1"/>
  <c r="S48" i="1"/>
  <c r="T48" i="1"/>
  <c r="K40" i="1"/>
  <c r="L40" i="1"/>
  <c r="M40" i="1"/>
  <c r="N40" i="1"/>
  <c r="O40" i="1"/>
  <c r="P40" i="1"/>
  <c r="Q40" i="1"/>
  <c r="R40" i="1"/>
  <c r="S40" i="1"/>
  <c r="T40" i="1"/>
  <c r="K75" i="1"/>
  <c r="L75" i="1"/>
  <c r="M75" i="1"/>
  <c r="N75" i="1"/>
  <c r="O75" i="1"/>
  <c r="P75" i="1"/>
  <c r="Q75" i="1"/>
  <c r="R75" i="1"/>
  <c r="S75" i="1"/>
  <c r="T75" i="1"/>
  <c r="K71" i="1"/>
  <c r="L71" i="1"/>
  <c r="M71" i="1"/>
  <c r="N71" i="1"/>
  <c r="O71" i="1"/>
  <c r="P71" i="1"/>
  <c r="Q71" i="1"/>
  <c r="R71" i="1"/>
  <c r="S71" i="1"/>
  <c r="T71" i="1"/>
  <c r="K8" i="1"/>
  <c r="L8" i="1"/>
  <c r="M8" i="1"/>
  <c r="N8" i="1"/>
  <c r="O8" i="1"/>
  <c r="P8" i="1"/>
  <c r="Q8" i="1"/>
  <c r="R8" i="1"/>
  <c r="S8" i="1"/>
  <c r="T8" i="1"/>
  <c r="K12" i="1"/>
  <c r="L12" i="1"/>
  <c r="M12" i="1"/>
  <c r="N12" i="1"/>
  <c r="O12" i="1"/>
  <c r="P12" i="1"/>
  <c r="Q12" i="1"/>
  <c r="R12" i="1"/>
  <c r="S12" i="1"/>
  <c r="T12" i="1"/>
  <c r="K16" i="1"/>
  <c r="L16" i="1"/>
  <c r="M16" i="1"/>
  <c r="N16" i="1"/>
  <c r="O16" i="1"/>
  <c r="P16" i="1"/>
  <c r="Q16" i="1"/>
  <c r="R16" i="1"/>
  <c r="S16" i="1"/>
  <c r="T16" i="1"/>
  <c r="K20" i="1"/>
  <c r="L20" i="1"/>
  <c r="M20" i="1"/>
  <c r="N20" i="1"/>
  <c r="O20" i="1"/>
  <c r="P20" i="1"/>
  <c r="Q20" i="1"/>
  <c r="R20" i="1"/>
  <c r="S20" i="1"/>
  <c r="T20" i="1"/>
  <c r="K24" i="1"/>
  <c r="L24" i="1"/>
  <c r="M24" i="1"/>
  <c r="N24" i="1"/>
  <c r="O24" i="1"/>
  <c r="P24" i="1"/>
  <c r="Q24" i="1"/>
  <c r="R24" i="1"/>
  <c r="S24" i="1"/>
  <c r="T24" i="1"/>
  <c r="K46" i="1"/>
  <c r="L46" i="1"/>
  <c r="M46" i="1"/>
  <c r="N46" i="1"/>
  <c r="O46" i="1"/>
  <c r="P46" i="1"/>
  <c r="Q46" i="1"/>
  <c r="R46" i="1"/>
  <c r="S46" i="1"/>
  <c r="T46" i="1"/>
  <c r="K51" i="1"/>
  <c r="L51" i="1"/>
  <c r="M51" i="1"/>
  <c r="N51" i="1"/>
  <c r="O51" i="1"/>
  <c r="P51" i="1"/>
  <c r="Q51" i="1"/>
  <c r="R51" i="1"/>
  <c r="S51" i="1"/>
  <c r="T51" i="1"/>
  <c r="K42" i="1"/>
  <c r="L42" i="1"/>
  <c r="M42" i="1"/>
  <c r="N42" i="1"/>
  <c r="O42" i="1"/>
  <c r="P42" i="1"/>
  <c r="Q42" i="1"/>
  <c r="R42" i="1"/>
  <c r="S42" i="1"/>
  <c r="T42" i="1"/>
  <c r="K53" i="1"/>
  <c r="L53" i="1"/>
  <c r="M53" i="1"/>
  <c r="N53" i="1"/>
  <c r="O53" i="1"/>
  <c r="P53" i="1"/>
  <c r="Q53" i="1"/>
  <c r="R53" i="1"/>
  <c r="S53" i="1"/>
  <c r="T53" i="1"/>
  <c r="K59" i="1"/>
  <c r="L59" i="1"/>
  <c r="M59" i="1"/>
  <c r="N59" i="1"/>
  <c r="O59" i="1"/>
  <c r="P59" i="1"/>
  <c r="Q59" i="1"/>
  <c r="R59" i="1"/>
  <c r="S59" i="1"/>
  <c r="T59" i="1"/>
  <c r="K34" i="1"/>
  <c r="L34" i="1"/>
  <c r="M34" i="1"/>
  <c r="N34" i="1"/>
  <c r="O34" i="1"/>
  <c r="P34" i="1"/>
  <c r="Q34" i="1"/>
  <c r="R34" i="1"/>
  <c r="S34" i="1"/>
  <c r="T34" i="1"/>
  <c r="K65" i="1"/>
  <c r="L65" i="1"/>
  <c r="M65" i="1"/>
  <c r="N65" i="1"/>
  <c r="O65" i="1"/>
  <c r="P65" i="1"/>
  <c r="Q65" i="1"/>
  <c r="R65" i="1"/>
  <c r="S65" i="1"/>
  <c r="T65" i="1"/>
  <c r="K68" i="1"/>
  <c r="L68" i="1"/>
  <c r="M68" i="1"/>
  <c r="N68" i="1"/>
  <c r="O68" i="1"/>
  <c r="P68" i="1"/>
  <c r="Q68" i="1"/>
  <c r="R68" i="1"/>
  <c r="S68" i="1"/>
  <c r="T68" i="1"/>
  <c r="K7" i="1"/>
  <c r="L7" i="1"/>
  <c r="M7" i="1"/>
  <c r="N7" i="1"/>
  <c r="O7" i="1"/>
  <c r="P7" i="1"/>
  <c r="Q7" i="1"/>
  <c r="R7" i="1"/>
  <c r="S7" i="1"/>
  <c r="T7" i="1"/>
  <c r="K15" i="1"/>
  <c r="L15" i="1"/>
  <c r="M15" i="1"/>
  <c r="N15" i="1"/>
  <c r="O15" i="1"/>
  <c r="P15" i="1"/>
  <c r="Q15" i="1"/>
  <c r="R15" i="1"/>
  <c r="S15" i="1"/>
  <c r="T15" i="1"/>
  <c r="K19" i="1"/>
  <c r="L19" i="1"/>
  <c r="M19" i="1"/>
  <c r="N19" i="1"/>
  <c r="O19" i="1"/>
  <c r="P19" i="1"/>
  <c r="Q19" i="1"/>
  <c r="R19" i="1"/>
  <c r="S19" i="1"/>
  <c r="T19" i="1"/>
  <c r="K54" i="1"/>
  <c r="L54" i="1"/>
  <c r="M54" i="1"/>
  <c r="N54" i="1"/>
  <c r="O54" i="1"/>
  <c r="P54" i="1"/>
  <c r="Q54" i="1"/>
  <c r="R54" i="1"/>
  <c r="S54" i="1"/>
  <c r="T54" i="1"/>
  <c r="K64" i="1"/>
  <c r="L64" i="1"/>
  <c r="M64" i="1"/>
  <c r="N64" i="1"/>
  <c r="O64" i="1"/>
  <c r="P64" i="1"/>
  <c r="Q64" i="1"/>
  <c r="R64" i="1"/>
  <c r="S64" i="1"/>
  <c r="T64" i="1"/>
  <c r="K63" i="1"/>
  <c r="L63" i="1"/>
  <c r="M63" i="1"/>
  <c r="N63" i="1"/>
  <c r="O63" i="1"/>
  <c r="P63" i="1"/>
  <c r="Q63" i="1"/>
  <c r="R63" i="1"/>
  <c r="S63" i="1"/>
  <c r="T63" i="1"/>
  <c r="K32" i="1"/>
  <c r="L32" i="1"/>
  <c r="M32" i="1"/>
  <c r="N32" i="1"/>
  <c r="O32" i="1"/>
  <c r="P32" i="1"/>
  <c r="Q32" i="1"/>
  <c r="R32" i="1"/>
  <c r="S32" i="1"/>
  <c r="T32" i="1"/>
  <c r="K36" i="1"/>
  <c r="L36" i="1"/>
  <c r="M36" i="1"/>
  <c r="N36" i="1"/>
  <c r="O36" i="1"/>
  <c r="P36" i="1"/>
  <c r="Q36" i="1"/>
  <c r="R36" i="1"/>
  <c r="S36" i="1"/>
  <c r="T36" i="1"/>
  <c r="K41" i="1"/>
  <c r="L41" i="1"/>
  <c r="M41" i="1"/>
  <c r="N41" i="1"/>
  <c r="O41" i="1"/>
  <c r="P41" i="1"/>
  <c r="Q41" i="1"/>
  <c r="R41" i="1"/>
  <c r="S41" i="1"/>
  <c r="T41" i="1"/>
  <c r="K57" i="1"/>
  <c r="L57" i="1"/>
  <c r="M57" i="1"/>
  <c r="N57" i="1"/>
  <c r="O57" i="1"/>
  <c r="P57" i="1"/>
  <c r="Q57" i="1"/>
  <c r="R57" i="1"/>
  <c r="S57" i="1"/>
  <c r="T57" i="1"/>
  <c r="K67" i="1"/>
  <c r="L67" i="1"/>
  <c r="M67" i="1"/>
  <c r="N67" i="1"/>
  <c r="O67" i="1"/>
  <c r="P67" i="1"/>
  <c r="Q67" i="1"/>
  <c r="R67" i="1"/>
  <c r="S67" i="1"/>
  <c r="T67" i="1"/>
  <c r="K82" i="1"/>
  <c r="L82" i="1"/>
  <c r="M82" i="1"/>
  <c r="N82" i="1"/>
  <c r="O82" i="1"/>
  <c r="P82" i="1"/>
  <c r="Q82" i="1"/>
  <c r="R82" i="1"/>
  <c r="S82" i="1"/>
  <c r="T82" i="1"/>
  <c r="K25" i="1"/>
  <c r="L25" i="1"/>
  <c r="M25" i="1"/>
  <c r="N25" i="1"/>
  <c r="O25" i="1"/>
  <c r="P25" i="1"/>
  <c r="Q25" i="1"/>
  <c r="R25" i="1"/>
  <c r="S25" i="1"/>
  <c r="T25" i="1"/>
  <c r="K62" i="1"/>
  <c r="L62" i="1"/>
  <c r="M62" i="1"/>
  <c r="N62" i="1"/>
  <c r="O62" i="1"/>
  <c r="P62" i="1"/>
  <c r="Q62" i="1"/>
  <c r="R62" i="1"/>
  <c r="S62" i="1"/>
  <c r="T62" i="1"/>
  <c r="K22" i="1"/>
  <c r="L22" i="1"/>
  <c r="M22" i="1"/>
  <c r="N22" i="1"/>
  <c r="O22" i="1"/>
  <c r="P22" i="1"/>
  <c r="Q22" i="1"/>
  <c r="R22" i="1"/>
  <c r="S22" i="1"/>
  <c r="T22" i="1"/>
  <c r="L49" i="1"/>
  <c r="M49" i="1"/>
  <c r="N49" i="1"/>
  <c r="O49" i="1"/>
  <c r="P49" i="1"/>
  <c r="Q49" i="1"/>
  <c r="R49" i="1"/>
  <c r="S49" i="1"/>
  <c r="T49" i="1"/>
  <c r="K31" i="1"/>
  <c r="L31" i="1"/>
  <c r="M31" i="1"/>
  <c r="N31" i="1"/>
  <c r="O31" i="1"/>
  <c r="P31" i="1"/>
  <c r="Q31" i="1"/>
  <c r="R31" i="1"/>
  <c r="S31" i="1"/>
  <c r="T31" i="1"/>
  <c r="K26" i="1"/>
  <c r="L26" i="1"/>
  <c r="M26" i="1"/>
  <c r="N26" i="1"/>
  <c r="O26" i="1"/>
  <c r="P26" i="1"/>
  <c r="Q26" i="1"/>
  <c r="R26" i="1"/>
  <c r="S26" i="1"/>
  <c r="T26" i="1"/>
  <c r="K47" i="1"/>
  <c r="L47" i="1"/>
  <c r="M47" i="1"/>
  <c r="N47" i="1"/>
  <c r="O47" i="1"/>
  <c r="P47" i="1"/>
  <c r="Q47" i="1"/>
  <c r="R47" i="1"/>
  <c r="S47" i="1"/>
  <c r="T47" i="1"/>
  <c r="K52" i="1"/>
  <c r="L52" i="1"/>
  <c r="M52" i="1"/>
  <c r="N52" i="1"/>
  <c r="O52" i="1"/>
  <c r="P52" i="1"/>
  <c r="Q52" i="1"/>
  <c r="R52" i="1"/>
  <c r="S52" i="1"/>
  <c r="T52" i="1"/>
  <c r="K60" i="1"/>
  <c r="L60" i="1"/>
  <c r="M60" i="1"/>
  <c r="N60" i="1"/>
  <c r="O60" i="1"/>
  <c r="P60" i="1"/>
  <c r="Q60" i="1"/>
  <c r="R60" i="1"/>
  <c r="S60" i="1"/>
  <c r="T60" i="1"/>
  <c r="K69" i="1"/>
  <c r="L69" i="1"/>
  <c r="M69" i="1"/>
  <c r="N69" i="1"/>
  <c r="O69" i="1"/>
  <c r="P69" i="1"/>
  <c r="Q69" i="1"/>
  <c r="R69" i="1"/>
  <c r="S69" i="1"/>
  <c r="T69" i="1"/>
  <c r="K18" i="1"/>
  <c r="L18" i="1"/>
  <c r="M18" i="1"/>
  <c r="N18" i="1"/>
  <c r="O18" i="1"/>
  <c r="P18" i="1"/>
  <c r="Q18" i="1"/>
  <c r="R18" i="1"/>
  <c r="S18" i="1"/>
  <c r="T18" i="1"/>
  <c r="K44" i="1"/>
  <c r="L44" i="1"/>
  <c r="M44" i="1"/>
  <c r="N44" i="1"/>
  <c r="O44" i="1"/>
  <c r="P44" i="1"/>
  <c r="Q44" i="1"/>
  <c r="R44" i="1"/>
  <c r="S44" i="1"/>
  <c r="T44" i="1"/>
  <c r="K23" i="1"/>
  <c r="L23" i="1"/>
  <c r="M23" i="1"/>
  <c r="N23" i="1"/>
  <c r="O23" i="1"/>
  <c r="P23" i="1"/>
  <c r="Q23" i="1"/>
  <c r="R23" i="1"/>
  <c r="S23" i="1"/>
  <c r="T23" i="1"/>
  <c r="K45" i="1"/>
  <c r="L45" i="1"/>
  <c r="M45" i="1"/>
  <c r="N45" i="1"/>
  <c r="O45" i="1"/>
  <c r="P45" i="1"/>
  <c r="Q45" i="1"/>
  <c r="R45" i="1"/>
  <c r="S45" i="1"/>
  <c r="T45" i="1"/>
  <c r="K55" i="1"/>
  <c r="L55" i="1"/>
  <c r="M55" i="1"/>
  <c r="N55" i="1"/>
  <c r="O55" i="1"/>
  <c r="P55" i="1"/>
  <c r="Q55" i="1"/>
  <c r="R55" i="1"/>
  <c r="S55" i="1"/>
  <c r="T55" i="1"/>
  <c r="K66" i="1"/>
  <c r="L66" i="1"/>
  <c r="M66" i="1"/>
  <c r="N66" i="1"/>
  <c r="O66" i="1"/>
  <c r="P66" i="1"/>
  <c r="Q66" i="1"/>
  <c r="R66" i="1"/>
  <c r="S66" i="1"/>
  <c r="T66" i="1"/>
  <c r="K35" i="1"/>
  <c r="L35" i="1"/>
  <c r="M35" i="1"/>
  <c r="N35" i="1"/>
  <c r="O35" i="1"/>
  <c r="P35" i="1"/>
  <c r="Q35" i="1"/>
  <c r="R35" i="1"/>
  <c r="S35" i="1"/>
  <c r="T35" i="1"/>
  <c r="K81" i="1"/>
  <c r="L81" i="1"/>
  <c r="M81" i="1"/>
  <c r="N81" i="1"/>
  <c r="O81" i="1"/>
  <c r="P81" i="1"/>
  <c r="Q81" i="1"/>
  <c r="R81" i="1"/>
  <c r="S81" i="1"/>
  <c r="T81" i="1"/>
  <c r="K74" i="1"/>
  <c r="L74" i="1"/>
  <c r="M74" i="1"/>
  <c r="N74" i="1"/>
  <c r="O74" i="1"/>
  <c r="P74" i="1"/>
  <c r="Q74" i="1"/>
  <c r="R74" i="1"/>
  <c r="S74" i="1"/>
  <c r="T74" i="1"/>
  <c r="K50" i="1"/>
  <c r="L50" i="1"/>
  <c r="M50" i="1"/>
  <c r="N50" i="1"/>
  <c r="O50" i="1"/>
  <c r="P50" i="1"/>
  <c r="Q50" i="1"/>
  <c r="R50" i="1"/>
  <c r="S50" i="1"/>
  <c r="T50" i="1"/>
  <c r="K9" i="1"/>
  <c r="L9" i="1"/>
  <c r="M9" i="1"/>
  <c r="N9" i="1"/>
  <c r="O9" i="1"/>
  <c r="P9" i="1"/>
  <c r="Q9" i="1"/>
  <c r="R9" i="1"/>
  <c r="S9" i="1"/>
  <c r="T9" i="1"/>
  <c r="K13" i="1"/>
  <c r="L13" i="1"/>
  <c r="M13" i="1"/>
  <c r="N13" i="1"/>
  <c r="O13" i="1"/>
  <c r="P13" i="1"/>
  <c r="Q13" i="1"/>
  <c r="R13" i="1"/>
  <c r="S13" i="1"/>
  <c r="T13" i="1"/>
  <c r="K17" i="1"/>
  <c r="L17" i="1"/>
  <c r="M17" i="1"/>
  <c r="N17" i="1"/>
  <c r="O17" i="1"/>
  <c r="P17" i="1"/>
  <c r="Q17" i="1"/>
  <c r="R17" i="1"/>
  <c r="S17" i="1"/>
  <c r="T17" i="1"/>
  <c r="K21" i="1"/>
  <c r="L21" i="1"/>
  <c r="M21" i="1"/>
  <c r="N21" i="1"/>
  <c r="O21" i="1"/>
  <c r="P21" i="1"/>
  <c r="Q21" i="1"/>
  <c r="R21" i="1"/>
  <c r="S21" i="1"/>
  <c r="T21" i="1"/>
  <c r="K72" i="1"/>
  <c r="L72" i="1"/>
  <c r="M72" i="1"/>
  <c r="N72" i="1"/>
  <c r="O72" i="1"/>
  <c r="P72" i="1"/>
  <c r="Q72" i="1"/>
  <c r="R72" i="1"/>
  <c r="S72" i="1"/>
  <c r="T72" i="1"/>
  <c r="K29" i="1"/>
  <c r="L29" i="1"/>
  <c r="M29" i="1"/>
  <c r="N29" i="1"/>
  <c r="O29" i="1"/>
  <c r="P29" i="1"/>
  <c r="Q29" i="1"/>
  <c r="R29" i="1"/>
  <c r="S29" i="1"/>
  <c r="T29" i="1"/>
  <c r="K33" i="1"/>
  <c r="L33" i="1"/>
  <c r="M33" i="1"/>
  <c r="N33" i="1"/>
  <c r="O33" i="1"/>
  <c r="P33" i="1"/>
  <c r="Q33" i="1"/>
  <c r="R33" i="1"/>
  <c r="S33" i="1"/>
  <c r="T33" i="1"/>
  <c r="K37" i="1"/>
  <c r="L37" i="1"/>
  <c r="M37" i="1"/>
  <c r="N37" i="1"/>
  <c r="O37" i="1"/>
  <c r="P37" i="1"/>
  <c r="Q37" i="1"/>
  <c r="R37" i="1"/>
  <c r="S37" i="1"/>
  <c r="T37" i="1"/>
  <c r="K58" i="1"/>
  <c r="L58" i="1"/>
  <c r="M58" i="1"/>
  <c r="N58" i="1"/>
  <c r="O58" i="1"/>
  <c r="P58" i="1"/>
  <c r="Q58" i="1"/>
  <c r="R58" i="1"/>
  <c r="S58" i="1"/>
  <c r="T58" i="1"/>
  <c r="K70" i="1"/>
  <c r="L70" i="1"/>
  <c r="M70" i="1"/>
  <c r="N70" i="1"/>
  <c r="O70" i="1"/>
  <c r="P70" i="1"/>
  <c r="Q70" i="1"/>
  <c r="R70" i="1"/>
  <c r="S70" i="1"/>
  <c r="T70" i="1"/>
  <c r="K83" i="1"/>
  <c r="L83" i="1"/>
  <c r="M83" i="1"/>
  <c r="N83" i="1"/>
  <c r="O83" i="1"/>
  <c r="P83" i="1"/>
  <c r="Q83" i="1"/>
  <c r="R83" i="1"/>
  <c r="S83" i="1"/>
  <c r="T83" i="1"/>
  <c r="X76" i="1"/>
  <c r="T56" i="1"/>
  <c r="R56" i="1"/>
  <c r="N56" i="1"/>
  <c r="O56" i="1"/>
  <c r="P56" i="1"/>
  <c r="S56" i="1"/>
  <c r="K56" i="1"/>
  <c r="Q56" i="1"/>
  <c r="M56" i="1"/>
  <c r="L56" i="1"/>
  <c r="O43" i="1"/>
  <c r="N43" i="1"/>
  <c r="P43" i="1"/>
  <c r="R43" i="1"/>
  <c r="T43" i="1"/>
  <c r="M43" i="1"/>
  <c r="L43" i="1"/>
  <c r="Q43" i="1"/>
  <c r="K43" i="1"/>
  <c r="S43" i="1"/>
  <c r="T30" i="1"/>
  <c r="O30" i="1"/>
  <c r="M30" i="1"/>
  <c r="R30" i="1"/>
  <c r="S30" i="1"/>
  <c r="P30" i="1"/>
  <c r="K30" i="1"/>
  <c r="N30" i="1"/>
  <c r="Q30" i="1"/>
  <c r="L30" i="1"/>
  <c r="N85" i="1"/>
  <c r="M85" i="1"/>
  <c r="L85" i="1"/>
  <c r="S85" i="1"/>
  <c r="K85" i="1"/>
  <c r="R85" i="1"/>
  <c r="Q85" i="1"/>
  <c r="P85" i="1"/>
  <c r="O85" i="1"/>
  <c r="U73" i="1"/>
  <c r="U27" i="1"/>
  <c r="U79" i="1"/>
  <c r="U80" i="1"/>
  <c r="U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127" i="2" l="1"/>
  <c r="L126" i="2"/>
  <c r="U19" i="1"/>
  <c r="U12" i="1"/>
  <c r="U11" i="1"/>
  <c r="K76" i="1"/>
  <c r="L76" i="1"/>
  <c r="M76" i="1"/>
  <c r="N76" i="1"/>
  <c r="O76" i="1"/>
  <c r="P76" i="1"/>
  <c r="Q76" i="1"/>
  <c r="R76" i="1"/>
  <c r="S76" i="1"/>
  <c r="T76" i="1"/>
  <c r="U65" i="1"/>
  <c r="U18" i="1"/>
  <c r="U43" i="1"/>
  <c r="U72" i="1"/>
  <c r="U78" i="1"/>
  <c r="U41" i="1"/>
  <c r="U36" i="1"/>
  <c r="U24" i="1"/>
  <c r="U68" i="1"/>
  <c r="U54" i="1"/>
  <c r="U57" i="1"/>
  <c r="U53" i="1"/>
  <c r="U22" i="1"/>
  <c r="U60" i="1"/>
  <c r="U17" i="1"/>
  <c r="U67" i="1"/>
  <c r="U46" i="1"/>
  <c r="U55" i="1"/>
  <c r="U45" i="1"/>
  <c r="U37" i="1"/>
  <c r="U15" i="1"/>
  <c r="U84" i="1"/>
  <c r="U69" i="1"/>
  <c r="U29" i="1"/>
  <c r="U52" i="1"/>
  <c r="U9" i="1"/>
  <c r="U59" i="1"/>
  <c r="U25" i="1"/>
  <c r="U42" i="1"/>
  <c r="U56" i="1"/>
  <c r="U40" i="1"/>
  <c r="U66" i="1"/>
  <c r="U34" i="1"/>
  <c r="U20" i="1"/>
  <c r="U23" i="1"/>
  <c r="U31" i="1"/>
  <c r="U48" i="1"/>
  <c r="U10" i="1"/>
  <c r="U62" i="1"/>
  <c r="U61" i="1"/>
  <c r="U64" i="1"/>
  <c r="U30" i="1"/>
  <c r="U83" i="1"/>
  <c r="U85" i="1"/>
  <c r="U28" i="1"/>
  <c r="U33" i="1"/>
  <c r="U26" i="1"/>
  <c r="U50" i="1"/>
  <c r="U32" i="1"/>
  <c r="U16" i="1"/>
  <c r="U35" i="1"/>
  <c r="U44" i="1"/>
  <c r="U82" i="1"/>
  <c r="U58" i="1"/>
  <c r="U47" i="1"/>
  <c r="U21" i="1"/>
  <c r="U63" i="1"/>
  <c r="U74" i="1"/>
  <c r="U75" i="1"/>
  <c r="U51" i="1"/>
  <c r="U71" i="1"/>
  <c r="U49" i="1"/>
  <c r="U39" i="1"/>
  <c r="U70" i="1"/>
  <c r="U8" i="1"/>
  <c r="U81" i="1"/>
  <c r="U13" i="1"/>
  <c r="U7" i="1"/>
  <c r="U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M7" i="2" s="1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K128" i="2" l="1"/>
  <c r="K129" i="2" s="1"/>
  <c r="K130" i="2" s="1"/>
  <c r="K131" i="2" s="1"/>
  <c r="K132" i="2" s="1"/>
  <c r="K133" i="2" s="1"/>
  <c r="M133" i="2" s="1"/>
  <c r="L127" i="2"/>
  <c r="U76" i="1"/>
  <c r="N7" i="2"/>
  <c r="X3" i="1" s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I88" i="1" l="1"/>
  <c r="N133" i="2"/>
  <c r="X88" i="1" s="1"/>
  <c r="L130" i="2"/>
  <c r="L131" i="2"/>
  <c r="L129" i="2"/>
  <c r="L132" i="2"/>
  <c r="L128" i="2"/>
  <c r="K4" i="1"/>
  <c r="L4" i="1"/>
  <c r="M4" i="1"/>
  <c r="N4" i="1"/>
  <c r="O4" i="1"/>
  <c r="P4" i="1"/>
  <c r="Q4" i="1"/>
  <c r="R4" i="1"/>
  <c r="S4" i="1"/>
  <c r="T4" i="1"/>
  <c r="K5" i="1"/>
  <c r="L5" i="1"/>
  <c r="M5" i="1"/>
  <c r="N5" i="1"/>
  <c r="O5" i="1"/>
  <c r="P5" i="1"/>
  <c r="Q5" i="1"/>
  <c r="R5" i="1"/>
  <c r="S5" i="1"/>
  <c r="T5" i="1"/>
  <c r="K6" i="1"/>
  <c r="L6" i="1"/>
  <c r="M6" i="1"/>
  <c r="N6" i="1"/>
  <c r="O6" i="1"/>
  <c r="P6" i="1"/>
  <c r="Q6" i="1"/>
  <c r="R6" i="1"/>
  <c r="S6" i="1"/>
  <c r="T6" i="1"/>
  <c r="K3" i="1"/>
  <c r="L3" i="1"/>
  <c r="M3" i="1"/>
  <c r="N3" i="1"/>
  <c r="O3" i="1"/>
  <c r="P3" i="1"/>
  <c r="Q3" i="1"/>
  <c r="R3" i="1"/>
  <c r="S3" i="1"/>
  <c r="T3" i="1"/>
  <c r="I3" i="1"/>
  <c r="S2" i="2"/>
  <c r="D33" i="1"/>
  <c r="L3" i="2"/>
  <c r="M123" i="2" l="1"/>
  <c r="M128" i="2"/>
  <c r="M134" i="2"/>
  <c r="N128" i="2"/>
  <c r="X87" i="1" s="1"/>
  <c r="N123" i="2"/>
  <c r="X86" i="1" s="1"/>
  <c r="U5" i="1"/>
  <c r="U4" i="1"/>
  <c r="U3" i="1"/>
  <c r="U6" i="1"/>
  <c r="L2" i="2"/>
  <c r="L6" i="2"/>
  <c r="L5" i="2"/>
  <c r="L4" i="2"/>
  <c r="K86" i="1" l="1"/>
  <c r="I86" i="1"/>
  <c r="R86" i="1"/>
  <c r="S86" i="1"/>
  <c r="P86" i="1"/>
  <c r="L86" i="1"/>
  <c r="T86" i="1"/>
  <c r="M86" i="1"/>
  <c r="O86" i="1"/>
  <c r="N86" i="1"/>
  <c r="Q86" i="1"/>
  <c r="M2" i="2"/>
  <c r="N2" i="2"/>
  <c r="X2" i="1" s="1"/>
  <c r="K2" i="1" l="1"/>
  <c r="L2" i="1"/>
  <c r="M2" i="1"/>
  <c r="N2" i="1"/>
  <c r="O2" i="1"/>
  <c r="P2" i="1"/>
  <c r="Q2" i="1"/>
  <c r="R2" i="1"/>
  <c r="S2" i="1"/>
  <c r="T2" i="1"/>
  <c r="I2" i="1"/>
  <c r="J2" i="1" l="1"/>
  <c r="J3" i="1" s="1"/>
  <c r="J4" i="1" s="1"/>
  <c r="J5" i="1" s="1"/>
  <c r="J6" i="1" s="1"/>
  <c r="U2" i="1"/>
  <c r="J7" i="1" l="1"/>
  <c r="J8" i="1" l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 l="1"/>
  <c r="S103" i="2" l="1"/>
  <c r="AB77" i="1"/>
  <c r="M103" i="2" l="1"/>
  <c r="N103" i="2" s="1"/>
  <c r="X77" i="1" s="1"/>
  <c r="K88" i="1"/>
  <c r="I77" i="1" l="1"/>
  <c r="Q77" i="1"/>
  <c r="K77" i="1"/>
  <c r="S77" i="1"/>
  <c r="R77" i="1"/>
  <c r="L77" i="1"/>
  <c r="T77" i="1"/>
  <c r="M77" i="1"/>
  <c r="N77" i="1"/>
  <c r="O77" i="1"/>
  <c r="P77" i="1"/>
  <c r="L88" i="1"/>
  <c r="J77" i="1" l="1"/>
  <c r="J78" i="1" s="1"/>
  <c r="J79" i="1" s="1"/>
  <c r="J80" i="1" s="1"/>
  <c r="J81" i="1" s="1"/>
  <c r="J82" i="1" s="1"/>
  <c r="J83" i="1" s="1"/>
  <c r="J84" i="1" s="1"/>
  <c r="J85" i="1" s="1"/>
  <c r="J86" i="1" s="1"/>
  <c r="J88" i="1" s="1"/>
  <c r="I90" i="1"/>
  <c r="U77" i="1"/>
  <c r="L89" i="1"/>
  <c r="M88" i="1"/>
  <c r="M89" i="1" l="1"/>
  <c r="N88" i="1" l="1"/>
  <c r="N89" i="1" l="1"/>
  <c r="O88" i="1"/>
  <c r="P88" i="1" l="1"/>
  <c r="O89" i="1"/>
  <c r="P89" i="1" l="1"/>
  <c r="Q88" i="1"/>
  <c r="Q89" i="1" l="1"/>
  <c r="R88" i="1"/>
  <c r="R89" i="1" l="1"/>
  <c r="S88" i="1"/>
  <c r="T88" i="1"/>
  <c r="U88" i="1" l="1"/>
  <c r="U86" i="1"/>
  <c r="T89" i="1"/>
  <c r="S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L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是否有重号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重号是否是二重号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是否有重号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重号是否是二重号</t>
        </r>
      </text>
    </comment>
    <comment ref="L6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是否有重号</t>
        </r>
      </text>
    </comment>
    <comment ref="L6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重号是否是二重号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<sst xmlns="http://schemas.openxmlformats.org/spreadsheetml/2006/main" count="1530" uniqueCount="556">
  <si>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</si>
  <si>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</si>
  <si>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</si>
  <si>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</si>
  <si>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</si>
  <si>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</si>
  <si>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</si>
  <si>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</si>
  <si>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</si>
  <si>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</si>
  <si>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</si>
  <si>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</si>
  <si>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</si>
  <si>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</si>
  <si>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</si>
  <si>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</si>
  <si>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</si>
  <si>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</si>
  <si>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</si>
  <si>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</si>
  <si>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</si>
  <si>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</si>
  <si>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</si>
  <si>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</si>
  <si>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</si>
  <si>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</si>
  <si>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</si>
  <si>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</si>
  <si>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</si>
  <si>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</si>
  <si>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</si>
  <si>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</si>
  <si>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</si>
  <si>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</si>
  <si>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</si>
  <si>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</si>
  <si>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</si>
  <si>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</si>
  <si>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</si>
  <si>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</si>
  <si>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</si>
  <si>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</si>
  <si>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</si>
  <si>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</si>
  <si>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</si>
  <si>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</si>
  <si>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</si>
  <si>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</si>
  <si>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</si>
  <si>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</si>
  <si>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</si>
  <si>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</si>
  <si>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</si>
  <si>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</si>
  <si>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</si>
  <si>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</si>
  <si>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</si>
  <si>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</si>
  <si>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</si>
  <si>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</si>
  <si>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</si>
  <si>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</si>
  <si>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</si>
  <si>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</si>
  <si>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</si>
  <si>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</si>
  <si>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</si>
  <si>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</si>
  <si>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</si>
  <si>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</si>
  <si>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</si>
  <si>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</si>
  <si>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</si>
  <si>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</si>
  <si>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</si>
  <si>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</si>
  <si>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</si>
  <si>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</si>
  <si>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</si>
  <si>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</si>
  <si>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</si>
  <si>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</si>
  <si>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</si>
  <si>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</si>
  <si>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</si>
  <si>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</si>
  <si>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</si>
  <si>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</si>
  <si>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</si>
  <si>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</si>
  <si>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</si>
  <si>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</si>
  <si>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</si>
  <si>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</si>
  <si>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</si>
  <si>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</si>
  <si>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</si>
  <si>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</si>
  <si>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</si>
  <si>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</si>
  <si>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</si>
  <si>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</si>
  <si>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</si>
  <si>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</si>
  <si>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</si>
  <si>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</si>
  <si>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</si>
  <si>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</si>
  <si>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</si>
  <si>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</si>
  <si>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</si>
  <si>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</si>
  <si>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</si>
  <si>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</si>
  <si>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</si>
  <si>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</si>
  <si>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</si>
  <si>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</si>
  <si>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</si>
  <si>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</si>
  <si>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</si>
  <si>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</si>
  <si>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</si>
  <si>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</si>
  <si>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</si>
  <si>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</si>
  <si>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</si>
  <si>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</si>
  <si>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</si>
  <si>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</si>
  <si>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</si>
  <si>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</si>
  <si>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</si>
  <si>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</si>
  <si>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</si>
  <si>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</si>
  <si>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</si>
  <si>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</si>
  <si>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</si>
  <si>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</si>
  <si>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</si>
  <si>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</si>
  <si>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</si>
  <si>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</si>
  <si>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</si>
  <si>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</si>
  <si>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</si>
  <si>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</si>
  <si>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</si>
  <si>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</si>
  <si>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</si>
  <si>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</si>
  <si>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</si>
  <si>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</si>
  <si>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</si>
  <si>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</si>
  <si>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</si>
  <si>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</si>
  <si>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</si>
  <si>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</si>
  <si>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</si>
  <si>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</si>
  <si>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</si>
  <si>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</si>
  <si>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</si>
  <si>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</si>
  <si>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</si>
  <si>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</si>
  <si>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</si>
  <si>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</si>
  <si>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</si>
  <si>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</si>
  <si>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</si>
  <si>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</si>
  <si>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</si>
  <si>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</si>
  <si>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</si>
  <si>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</si>
  <si>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</si>
  <si>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</si>
  <si>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</si>
  <si>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</si>
  <si>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</si>
  <si>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</si>
  <si>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</si>
  <si>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</si>
  <si>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</si>
  <si>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</si>
  <si>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</si>
  <si>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</si>
  <si>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</si>
  <si>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</si>
  <si>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</si>
  <si>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</si>
  <si>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</si>
  <si>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</si>
  <si>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</si>
  <si>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</si>
  <si>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</si>
  <si>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</si>
  <si>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</si>
  <si>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</si>
  <si>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</si>
  <si>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</si>
  <si>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</si>
  <si>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</si>
  <si>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</si>
  <si>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</si>
  <si>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</si>
  <si>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</si>
  <si>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</si>
  <si>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</si>
  <si>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</si>
  <si>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</si>
  <si>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</si>
  <si>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</si>
  <si>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</si>
  <si>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</si>
  <si>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</si>
  <si>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</si>
  <si>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</si>
  <si>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</si>
  <si>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</si>
  <si>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</si>
  <si>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</si>
  <si>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</si>
  <si>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</si>
  <si>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</si>
  <si>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</si>
  <si>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</si>
  <si>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</si>
  <si>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</si>
  <si>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</si>
  <si>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</si>
  <si>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</si>
  <si>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</si>
  <si>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</si>
  <si>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</si>
  <si>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</si>
  <si>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</si>
  <si>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</si>
  <si>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</si>
  <si>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</si>
  <si>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</si>
  <si>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</si>
  <si>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</si>
  <si>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</si>
  <si>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</si>
  <si>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</si>
  <si>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</si>
  <si>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</si>
  <si>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</si>
  <si>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</si>
  <si>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</si>
  <si>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</si>
  <si>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</si>
  <si>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</si>
  <si>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</si>
  <si>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</si>
  <si>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</si>
  <si>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</si>
  <si>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</si>
  <si>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</si>
  <si>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</si>
  <si>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</si>
  <si>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</si>
  <si>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</si>
  <si>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</si>
  <si>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</si>
  <si>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</si>
  <si>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</si>
  <si>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</si>
  <si>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</si>
  <si>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</si>
  <si>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</si>
  <si>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</si>
  <si>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</si>
  <si>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</si>
  <si>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</si>
  <si>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</si>
  <si>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</si>
  <si>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</si>
  <si>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</si>
  <si>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</si>
  <si>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</si>
  <si>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</si>
  <si>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</si>
  <si>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</si>
  <si>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</si>
  <si>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</si>
  <si>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</si>
  <si>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</si>
  <si>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</si>
  <si>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</si>
  <si>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</si>
  <si>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</si>
  <si>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</si>
  <si>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</si>
  <si>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</si>
  <si>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</si>
  <si>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</si>
  <si>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</si>
  <si>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</si>
  <si>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</si>
  <si>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</si>
  <si>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</si>
  <si>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</si>
  <si>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</si>
  <si>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</si>
  <si>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</si>
  <si>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</si>
  <si>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</si>
  <si>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</si>
  <si>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</si>
  <si>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</si>
  <si>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</si>
  <si>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</si>
  <si>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</si>
  <si>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</si>
  <si>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</si>
  <si>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</si>
  <si>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</si>
  <si>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</si>
  <si>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</si>
  <si>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</si>
  <si>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</si>
  <si>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</si>
  <si>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</si>
  <si>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</si>
  <si>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</si>
  <si>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</si>
  <si>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</si>
  <si>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</si>
  <si>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</si>
  <si>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</si>
  <si>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</si>
  <si>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</si>
  <si>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</si>
  <si>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</si>
  <si>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</si>
  <si>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</si>
  <si>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</si>
  <si>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</si>
  <si>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</si>
  <si>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</si>
  <si>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</si>
  <si>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</si>
  <si>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</si>
  <si>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</si>
  <si>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</si>
  <si>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</si>
  <si>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</si>
  <si>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</si>
  <si>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</si>
  <si>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</si>
  <si>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</si>
  <si>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</si>
  <si>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</si>
  <si>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</si>
  <si>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</si>
  <si>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</si>
  <si>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</si>
  <si>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</si>
  <si>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</si>
  <si>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</si>
  <si>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</si>
  <si>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</si>
  <si>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</si>
  <si>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</si>
  <si>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</si>
  <si>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</si>
  <si>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</si>
  <si>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</si>
  <si>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</si>
  <si>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</si>
  <si>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</si>
  <si>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</si>
  <si>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</si>
  <si>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</si>
  <si>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</si>
  <si>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</si>
  <si>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</si>
  <si>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</si>
  <si>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</si>
  <si>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</si>
  <si>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</si>
  <si>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</si>
  <si>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</si>
  <si>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</si>
  <si>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</si>
  <si>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</si>
  <si>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</si>
  <si>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</si>
  <si>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</si>
  <si>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</si>
  <si>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</si>
  <si>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</si>
  <si>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</si>
  <si>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</si>
  <si>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</si>
  <si>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</si>
  <si>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</si>
  <si>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</si>
  <si>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</si>
  <si>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</si>
  <si>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</si>
  <si>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</si>
  <si>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</si>
  <si>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</si>
  <si>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</si>
  <si>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</si>
  <si>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</si>
  <si>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</si>
  <si>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</si>
  <si>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</si>
  <si>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</si>
  <si>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</si>
  <si>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</si>
  <si>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</si>
  <si>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</si>
  <si>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</si>
  <si>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</si>
  <si>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</si>
  <si>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</si>
  <si>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</si>
  <si>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</si>
  <si>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</si>
  <si>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</si>
  <si>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</si>
  <si>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</si>
  <si>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</si>
  <si>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</si>
  <si>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</si>
  <si>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</si>
  <si>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</si>
  <si>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</si>
  <si>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</si>
  <si>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</si>
  <si>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</si>
  <si>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</si>
  <si>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</si>
  <si>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</si>
  <si>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</si>
  <si>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</si>
  <si>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</si>
  <si>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</si>
  <si>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</si>
  <si>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</si>
  <si>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</si>
  <si>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</si>
  <si>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</si>
  <si>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</si>
  <si>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</si>
  <si>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</si>
  <si>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</si>
  <si>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</si>
  <si>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</si>
  <si>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</si>
  <si>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</si>
  <si>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</si>
  <si>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</si>
  <si>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</si>
  <si>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</si>
  <si>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</si>
  <si>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</si>
  <si>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</si>
  <si>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</si>
  <si>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</si>
  <si>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</si>
  <si>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</si>
  <si>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</si>
  <si>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</si>
  <si>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</si>
  <si>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</si>
  <si>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</si>
  <si>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</si>
  <si>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</si>
  <si>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</si>
  <si>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</si>
  <si>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</si>
  <si>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</si>
  <si>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</si>
  <si>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</si>
  <si>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</si>
  <si>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</si>
  <si>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</si>
  <si>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</si>
  <si>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</si>
  <si>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</si>
  <si>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</si>
  <si>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</si>
  <si>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</si>
  <si>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</si>
  <si>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</si>
  <si>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</si>
  <si>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</si>
  <si>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</si>
  <si>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</si>
  <si>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</si>
  <si>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</si>
  <si>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</si>
  <si>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</si>
  <si>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</si>
  <si>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</si>
  <si>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</si>
  <si>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</si>
  <si>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</si>
  <si>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</si>
  <si>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</si>
  <si>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</si>
  <si>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</si>
  <si>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</si>
  <si>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</si>
  <si>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</si>
  <si>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</si>
  <si>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</si>
  <si>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</si>
  <si>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</si>
  <si>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</si>
  <si>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</si>
  <si>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</si>
  <si>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</si>
  <si>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</si>
  <si>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</si>
  <si>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</si>
  <si>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</si>
  <si>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</si>
  <si>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</si>
  <si>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</si>
  <si>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</si>
  <si>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</si>
  <si>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</si>
  <si>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</si>
  <si>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</si>
  <si>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</si>
  <si>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</si>
  <si>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</si>
  <si>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</si>
  <si>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</si>
  <si>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</si>
  <si>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</si>
  <si>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</si>
  <si>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</si>
  <si>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</si>
  <si>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</si>
  <si>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</si>
  <si>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</si>
  <si>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</si>
  <si>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</si>
  <si>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</si>
  <si>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</si>
  <si>
    <t>,0,1,4,5,</t>
    <phoneticPr fontId="1" type="noConversion"/>
  </si>
  <si>
    <t>89610</t>
    <phoneticPr fontId="1" type="noConversion"/>
  </si>
  <si>
    <t>0,2,7,5,9,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</si>
  <si>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</si>
  <si>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1,2,3,4,5,6,7,8,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</si>
</sst>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I87" tableType="xml" totalsRowShown="0" headerRowDxfId="10" dataDxfId="9" connectionId="11">
  <autoFilter ref="A1:I87"/>
  <tableColumns count="9"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zoomScaleNormal="100" workbookViewId="0">
      <pane xSplit="3" ySplit="1" topLeftCell="D60" activePane="bottomRight" state="frozen"/>
      <selection pane="topRight" activeCell="C1" sqref="C1"/>
      <selection pane="bottomLeft" activeCell="A2" sqref="A2"/>
      <selection pane="bottomRight" activeCell="I80" sqref="I80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6.25" style="21" customWidth="1"/>
    <col min="11" max="11" width="13.75" style="25" customWidth="1"/>
    <col min="12" max="19" width="13.75" style="25" hidden="1" customWidth="1"/>
    <col min="20" max="20" width="10.5" style="25" hidden="1" customWidth="1"/>
    <col min="21" max="21" width="13.75" style="50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526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200</v>
      </c>
      <c r="I1" s="21" t="s">
        <v>175</v>
      </c>
      <c r="J1" s="21" t="s">
        <v>183</v>
      </c>
      <c r="K1" s="26" t="s">
        <v>449</v>
      </c>
      <c r="L1" s="26" t="s">
        <v>450</v>
      </c>
      <c r="M1" s="26" t="s">
        <v>451</v>
      </c>
      <c r="N1" s="26" t="s">
        <v>452</v>
      </c>
      <c r="O1" s="26" t="s">
        <v>453</v>
      </c>
      <c r="P1" s="26" t="s">
        <v>454</v>
      </c>
      <c r="Q1" s="26" t="s">
        <v>455</v>
      </c>
      <c r="R1" s="26" t="s">
        <v>456</v>
      </c>
      <c r="S1" s="26" t="s">
        <v>457</v>
      </c>
      <c r="T1" s="26" t="s">
        <v>458</v>
      </c>
      <c r="U1" s="51" t="s">
        <v>549</v>
      </c>
      <c r="V1" s="21" t="s">
        <v>179</v>
      </c>
      <c r="W1" s="26" t="s">
        <v>448</v>
      </c>
      <c r="X1" s="26" t="s">
        <v>461</v>
      </c>
      <c r="Y1" s="37" t="s">
        <v>471</v>
      </c>
      <c r="Z1" s="26" t="s">
        <v>459</v>
      </c>
    </row>
    <row r="2" spans="1:28" x14ac:dyDescent="0.15">
      <c r="A2" s="50">
        <f>agent!J$2</f>
        <v>397</v>
      </c>
      <c r="B2" s="46" t="s">
        <v>484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>
        <f>SSCSource!K$2</f>
        <v>11112</v>
      </c>
      <c r="I2" s="45">
        <f>SSCSource!M$2</f>
        <v>118.19999999999999</v>
      </c>
      <c r="J2" s="45">
        <f>V2-G2+I2</f>
        <v>1000066.2</v>
      </c>
      <c r="K2" s="25">
        <f>IF(ISNUMBER(agent!$O$6*$W2*$X2*E2),TRUNC(agent!$O$6*$W2*$X2*E2,5),"没有上级")</f>
        <v>0.72</v>
      </c>
      <c r="L2" s="36">
        <f>IF(ISNUMBER(agent!$O$9*$W2*E2*$X2),TRUNC(agent!$O$9*$W2*E2*$X2,5),"没有上级")</f>
        <v>0.48</v>
      </c>
      <c r="M2" s="36">
        <f>IF(ISNUMBER(agent!$O$12*$W2*E2*$X2),TRUNC(agent!$O$12*$W2*E2*$X2,5),"没有上级")</f>
        <v>0.48</v>
      </c>
      <c r="N2" s="36" t="str">
        <f>IF(ISNUMBER(agent!$O$15*$W2*E2*$X2),TRUNC(agent!$O$15*$W2*E2*$X2,5),"没有上级")</f>
        <v>没有上级</v>
      </c>
      <c r="O2" s="36" t="str">
        <f>IF(ISNUMBER(agent!$O$18*$W2*E2*$X2),TRUNC(agent!$O$18*$W2*E2*$X2,5),"没有上级")</f>
        <v>没有上级</v>
      </c>
      <c r="P2" s="36" t="str">
        <f>IF(ISNUMBER(agent!$O$21*$W2*E2*$X2),TRUNC(agent!$O$21*$W2*E2*$X2,5),"没有上级")</f>
        <v>没有上级</v>
      </c>
      <c r="Q2" s="36" t="str">
        <f>IF(ISNUMBER(agent!$O$24*$W2*E2*$X2),TRUNC(agent!$O$24*$W2*E2*$X2,5),"没有上级")</f>
        <v>没有上级</v>
      </c>
      <c r="R2" s="36" t="str">
        <f>IF(ISNUMBER(agent!$O$27*$W2*E2*$X2),TRUNC(agent!$O$27*$W2*E2*$X2,5),"没有上级")</f>
        <v>没有上级</v>
      </c>
      <c r="S2" s="36" t="str">
        <f>IF(ISNUMBER(agent!$O$30*$W2*E2*$X2),TRUNC(agent!$O$30*$W2*E2*$X2,3),"没有上级")</f>
        <v>没有上级</v>
      </c>
      <c r="T2" s="36" t="str">
        <f>IF(ISNUMBER(agent!$O$33*$W2*$X2*E2),TRUNC(agent!$O$33*$W2*$X2*E2,3),"没有上级")</f>
        <v>没有上级</v>
      </c>
      <c r="U2" s="50">
        <f>SUM(K2:T2)</f>
        <v>1.68</v>
      </c>
      <c r="V2" s="21">
        <v>1000000</v>
      </c>
      <c r="W2" s="25">
        <v>0.02</v>
      </c>
      <c r="X2" s="25">
        <f>SSCSource!N$2</f>
        <v>3</v>
      </c>
      <c r="Y2" s="21">
        <f>TRUNC((Z2-(9.9-agent!$L$3)*W2*10),3)</f>
        <v>19.7</v>
      </c>
      <c r="Z2" s="21">
        <f>TRUNC(18+99*W2,3)</f>
        <v>19.98</v>
      </c>
      <c r="AB2" s="21">
        <f t="shared" ref="AB2:AB33" si="0">Y2+AA2/E2</f>
        <v>19.7</v>
      </c>
    </row>
    <row r="3" spans="1:28" x14ac:dyDescent="0.15">
      <c r="A3" s="50">
        <f>agent!J$2</f>
        <v>397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>
        <f>SSCSource!K$2</f>
        <v>11112</v>
      </c>
      <c r="I3" s="45">
        <f>SSCSource!M$7</f>
        <v>591</v>
      </c>
      <c r="J3" s="45">
        <f t="shared" ref="J3:J34" si="1">$J2-$G3+$I3</f>
        <v>1000537.2</v>
      </c>
      <c r="K3" s="50">
        <f>IF(ISNUMBER(agent!$O$6*$W3*$X3*E3),TRUNC(agent!$O$6*$W3*$X3*E3,3),"没有上级")</f>
        <v>3.6</v>
      </c>
      <c r="L3" s="50">
        <f>IF(ISNUMBER(agent!$O$9*$W3*E3*$X3),TRUNC(agent!$O$9*$W3*E3*$X3,3),"没有上级")</f>
        <v>2.4</v>
      </c>
      <c r="M3" s="50">
        <f>IF(ISNUMBER(agent!$O$12*$W3*E3*$X3),TRUNC(agent!$O$12*$W3*E3*$X3,3),"没有上级")</f>
        <v>2.4</v>
      </c>
      <c r="N3" s="50" t="str">
        <f>IF(ISNUMBER(agent!$O$15*$W3*E3*$X3),TRUNC(agent!$O$15*$W3*E3*$X3,3),"没有上级")</f>
        <v>没有上级</v>
      </c>
      <c r="O3" s="50" t="str">
        <f>IF(ISNUMBER(agent!$O$18*$W3*E3*$X3),TRUNC(agent!$O$18*$W3*E3*$X3,3),"没有上级")</f>
        <v>没有上级</v>
      </c>
      <c r="P3" s="50" t="str">
        <f>IF(ISNUMBER(agent!$O$21*$W3*E3*$X3),TRUNC(agent!$O$21*$W3*E3*$X3,3),"没有上级")</f>
        <v>没有上级</v>
      </c>
      <c r="Q3" s="50" t="str">
        <f>IF(ISNUMBER(agent!$O$24*$W3*E3*$X3),TRUNC(agent!$O$24*$W3*E3*$X3,3),"没有上级")</f>
        <v>没有上级</v>
      </c>
      <c r="R3" s="50" t="str">
        <f>IF(ISNUMBER(agent!$O$27*$W3*E3*$X3),TRUNC(agent!$O$27*$W3*E3*$X3,3),"没有上级")</f>
        <v>没有上级</v>
      </c>
      <c r="S3" s="50" t="str">
        <f>IF(ISNUMBER(agent!$O$30*$W3*E3*$X3),TRUNC(agent!$O$30*$W3*E3*$X3,3),"没有上级")</f>
        <v>没有上级</v>
      </c>
      <c r="T3" s="50" t="str">
        <f>IF(ISNUMBER(agent!$O$33*$W3*$X3*E3),TRUNC(agent!$O$33*$W3*$X3*E3,3),"没有上级")</f>
        <v>没有上级</v>
      </c>
      <c r="U3" s="50">
        <f t="shared" ref="U3:U66" si="2">SUM(K3:T3)</f>
        <v>8.4</v>
      </c>
      <c r="V3" s="50"/>
      <c r="W3" s="25">
        <v>0.2</v>
      </c>
      <c r="X3" s="25">
        <f>SSCSource!N$7</f>
        <v>1</v>
      </c>
      <c r="Y3" s="36">
        <f>TRUNC((Z3-(9.9-agent!$L$3)*W3*10),3)</f>
        <v>197</v>
      </c>
      <c r="Z3" s="49">
        <f>TRUNC(180+99*W3,3)</f>
        <v>199.8</v>
      </c>
      <c r="AA3" s="48"/>
      <c r="AB3" s="48">
        <f t="shared" si="0"/>
        <v>197</v>
      </c>
    </row>
    <row r="4" spans="1:28" x14ac:dyDescent="0.15">
      <c r="A4" s="50">
        <f>agent!J$2</f>
        <v>397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>
        <f>SSCSource!K$2</f>
        <v>11112</v>
      </c>
      <c r="I4" s="45">
        <f>SSCSource!M9</f>
        <v>0</v>
      </c>
      <c r="J4" s="45">
        <f t="shared" si="1"/>
        <v>1000505.2</v>
      </c>
      <c r="K4" s="50">
        <f>IF(ISNUMBER(agent!$O$6*$W4*$X4*E4),TRUNC(agent!$O$6*$W4*$X4*E4,3),"没有上级")</f>
        <v>0</v>
      </c>
      <c r="L4" s="50">
        <f>IF(ISNUMBER(agent!$O$9*$W4*E4*$X4),TRUNC(agent!$O$9*$W4*E4*$X4,3),"没有上级")</f>
        <v>0</v>
      </c>
      <c r="M4" s="50">
        <f>IF(ISNUMBER(agent!$O$12*$W4*E4*$X4),TRUNC(agent!$O$12*$W4*E4*$X4,3),"没有上级")</f>
        <v>0</v>
      </c>
      <c r="N4" s="50" t="str">
        <f>IF(ISNUMBER(agent!$O$15*$W4*E4*$X4),TRUNC(agent!$O$15*$W4*E4*$X4,3),"没有上级")</f>
        <v>没有上级</v>
      </c>
      <c r="O4" s="50" t="str">
        <f>IF(ISNUMBER(agent!$O$18*$W4*E4*$X4),TRUNC(agent!$O$18*$W4*E4*$X4,3),"没有上级")</f>
        <v>没有上级</v>
      </c>
      <c r="P4" s="50" t="str">
        <f>IF(ISNUMBER(agent!$O$21*$W4*E4*$X4),TRUNC(agent!$O$21*$W4*E4*$X4,3),"没有上级")</f>
        <v>没有上级</v>
      </c>
      <c r="Q4" s="50" t="str">
        <f>IF(ISNUMBER(agent!$O$24*$W4*E4*$X4),TRUNC(agent!$O$24*$W4*E4*$X4,3),"没有上级")</f>
        <v>没有上级</v>
      </c>
      <c r="R4" s="50" t="str">
        <f>IF(ISNUMBER(agent!$O$27*$W4*E4*$X4),TRUNC(agent!$O$27*$W4*E4*$X4,3),"没有上级")</f>
        <v>没有上级</v>
      </c>
      <c r="S4" s="50" t="str">
        <f>IF(ISNUMBER(agent!$O$30*$W4*E4*$X4),TRUNC(agent!$O$30*$W4*E4*$X4,3),"没有上级")</f>
        <v>没有上级</v>
      </c>
      <c r="T4" s="50" t="str">
        <f>IF(ISNUMBER(agent!$O$33*$W4*$X4*E4),TRUNC(agent!$O$33*$W4*$X4*E4,3),"没有上级")</f>
        <v>没有上级</v>
      </c>
      <c r="U4" s="50">
        <f t="shared" si="2"/>
        <v>0</v>
      </c>
      <c r="V4" s="50"/>
      <c r="W4" s="25">
        <v>0.2</v>
      </c>
      <c r="X4" s="25">
        <f>SSCSource!N9</f>
        <v>0</v>
      </c>
      <c r="Y4" s="36">
        <f>TRUNC((Z4-(9.9-agent!$L$3)*W4*10),3)</f>
        <v>197</v>
      </c>
      <c r="Z4" s="49">
        <f t="shared" ref="Z4:Z6" si="3">TRUNC(180+99*W4,3)</f>
        <v>199.8</v>
      </c>
      <c r="AA4" s="48"/>
      <c r="AB4" s="48">
        <f t="shared" si="0"/>
        <v>197</v>
      </c>
    </row>
    <row r="5" spans="1:28" x14ac:dyDescent="0.15">
      <c r="A5" s="50">
        <f>agent!J$2</f>
        <v>397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>
        <f>SSCSource!K$2</f>
        <v>11112</v>
      </c>
      <c r="I5" s="45">
        <f>SSCSource!M10</f>
        <v>0</v>
      </c>
      <c r="J5" s="45">
        <f t="shared" si="1"/>
        <v>1000357.2</v>
      </c>
      <c r="K5" s="50">
        <f>IF(ISNUMBER(agent!$O$6*$W5*$X5*E5),TRUNC(agent!$O$6*$W5*$X5*E5,3),"没有上级")</f>
        <v>0</v>
      </c>
      <c r="L5" s="50">
        <f>IF(ISNUMBER(agent!$O$9*$W5*E5*$X5),TRUNC(agent!$O$9*$W5*E5*$X5,3),"没有上级")</f>
        <v>0</v>
      </c>
      <c r="M5" s="50">
        <f>IF(ISNUMBER(agent!$O$12*$W5*E5*$X5),TRUNC(agent!$O$12*$W5*E5*$X5,3),"没有上级")</f>
        <v>0</v>
      </c>
      <c r="N5" s="50" t="str">
        <f>IF(ISNUMBER(agent!$O$15*$W5*E5*$X5),TRUNC(agent!$O$15*$W5*E5*$X5,3),"没有上级")</f>
        <v>没有上级</v>
      </c>
      <c r="O5" s="50" t="str">
        <f>IF(ISNUMBER(agent!$O$18*$W5*E5*$X5),TRUNC(agent!$O$18*$W5*E5*$X5,3),"没有上级")</f>
        <v>没有上级</v>
      </c>
      <c r="P5" s="50" t="str">
        <f>IF(ISNUMBER(agent!$O$21*$W5*E5*$X5),TRUNC(agent!$O$21*$W5*E5*$X5,5),"没有上级")</f>
        <v>没有上级</v>
      </c>
      <c r="Q5" s="50" t="str">
        <f>IF(ISNUMBER(agent!$O$24*$W5*E5*$X5),TRUNC(agent!$O$24*$W5*E5*$X5,3),"没有上级")</f>
        <v>没有上级</v>
      </c>
      <c r="R5" s="50" t="str">
        <f>IF(ISNUMBER(agent!$O$27*$W5*E5*$X5),TRUNC(agent!$O$27*$W5*E5*$X5,3),"没有上级")</f>
        <v>没有上级</v>
      </c>
      <c r="S5" s="50" t="str">
        <f>IF(ISNUMBER(agent!$O$30*$W5*E5*$X5),TRUNC(agent!$O$30*$W5*E5*$X5,3),"没有上级")</f>
        <v>没有上级</v>
      </c>
      <c r="T5" s="50" t="str">
        <f>IF(ISNUMBER(agent!$O$33*$W5*$X5*E5),TRUNC(agent!$O$33*$W5*$X5*E5,3),"没有上级")</f>
        <v>没有上级</v>
      </c>
      <c r="U5" s="50">
        <f>SUM(K5:T5)</f>
        <v>0</v>
      </c>
      <c r="V5" s="50"/>
      <c r="W5" s="25">
        <v>0.2</v>
      </c>
      <c r="X5" s="25">
        <f>SSCSource!N10</f>
        <v>0</v>
      </c>
      <c r="Y5" s="36">
        <f>TRUNC((Z5-(9.9-agent!$L$3)*W5*10),3)</f>
        <v>197</v>
      </c>
      <c r="Z5" s="49">
        <f t="shared" si="3"/>
        <v>199.8</v>
      </c>
      <c r="AA5" s="48"/>
      <c r="AB5" s="48">
        <f t="shared" si="0"/>
        <v>197</v>
      </c>
    </row>
    <row r="6" spans="1:28" x14ac:dyDescent="0.15">
      <c r="A6" s="50">
        <f>agent!J$2</f>
        <v>397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>
        <f>SSCSource!K$2</f>
        <v>11112</v>
      </c>
      <c r="I6" s="45">
        <f>SSCSource!M11</f>
        <v>197</v>
      </c>
      <c r="J6" s="45">
        <f t="shared" si="1"/>
        <v>1000442.2</v>
      </c>
      <c r="K6" s="50">
        <f>IF(ISNUMBER(agent!$O$6*$W6*$X6*E6),TRUNC(agent!$O$6*$W6*$X6*E6,3),"没有上级")</f>
        <v>1.2</v>
      </c>
      <c r="L6" s="50">
        <f>IF(ISNUMBER(agent!$O$9*$W6*E6*$X6),TRUNC(agent!$O$9*$W6*E6*$X6,3),"没有上级")</f>
        <v>0.8</v>
      </c>
      <c r="M6" s="50">
        <f>IF(ISNUMBER(agent!$O$12*$W6*E6*$X6),TRUNC(agent!$O$12*$W6*E6*$X6,3),"没有上级")</f>
        <v>0.8</v>
      </c>
      <c r="N6" s="50" t="str">
        <f>IF(ISNUMBER(agent!$O$15*$W6*E6*$X6),TRUNC(agent!$O$15*$W6*E6*$X6,3),"没有上级")</f>
        <v>没有上级</v>
      </c>
      <c r="O6" s="50" t="str">
        <f>IF(ISNUMBER(agent!$O$18*$W6*E6*$X6),TRUNC(agent!$O$18*$W6*E6*$X6,3),"没有上级")</f>
        <v>没有上级</v>
      </c>
      <c r="P6" s="50" t="str">
        <f>IF(ISNUMBER(agent!$O$21*$W6*E6*$X6),TRUNC(agent!$O$21*$W6*E6*$X6,3),"没有上级")</f>
        <v>没有上级</v>
      </c>
      <c r="Q6" s="50" t="str">
        <f>IF(ISNUMBER(agent!$O$24*$W6*E6*$X6),TRUNC(agent!$O$24*$W6*E6*$X6,3),"没有上级")</f>
        <v>没有上级</v>
      </c>
      <c r="R6" s="50" t="str">
        <f>IF(ISNUMBER(agent!$O$27*$W6*E6*$X6),TRUNC(agent!$O$27*$W6*E6*$X6,3),"没有上级")</f>
        <v>没有上级</v>
      </c>
      <c r="S6" s="50" t="str">
        <f>IF(ISNUMBER(agent!$O$30*$W6*E6*$X6),TRUNC(agent!$O$30*$W6*E6*$X6,3),"没有上级")</f>
        <v>没有上级</v>
      </c>
      <c r="T6" s="50" t="str">
        <f>IF(ISNUMBER(agent!$O$33*$W6*$X6*E6),TRUNC(agent!$O$33*$W6*$X6*E6,3),"没有上级")</f>
        <v>没有上级</v>
      </c>
      <c r="U6" s="50">
        <f t="shared" si="2"/>
        <v>2.8</v>
      </c>
      <c r="V6" s="50"/>
      <c r="W6" s="25">
        <v>0.2</v>
      </c>
      <c r="X6" s="25">
        <f>SSCSource!N11</f>
        <v>1</v>
      </c>
      <c r="Y6" s="36">
        <f>TRUNC((Z6-(9.9-agent!$L$3)*W6*10),3)</f>
        <v>197</v>
      </c>
      <c r="Z6" s="49">
        <f t="shared" si="3"/>
        <v>199.8</v>
      </c>
      <c r="AA6" s="48"/>
      <c r="AB6" s="48">
        <f t="shared" si="0"/>
        <v>197</v>
      </c>
    </row>
    <row r="7" spans="1:28" x14ac:dyDescent="0.15">
      <c r="A7" s="50">
        <f>agent!J$2</f>
        <v>397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>
        <f>SSCSource!K$2</f>
        <v>11112</v>
      </c>
      <c r="I7" s="45">
        <f>SSCSource!M12</f>
        <v>0</v>
      </c>
      <c r="J7" s="45">
        <f t="shared" si="1"/>
        <v>1000292.2</v>
      </c>
      <c r="K7" s="50">
        <f>IF(ISNUMBER(agent!$O$6*$W7*$X7*E7),TRUNC(agent!$O$6*$W7*$X7*E7,3),"没有上级")</f>
        <v>0</v>
      </c>
      <c r="L7" s="50">
        <f>IF(ISNUMBER(agent!$O$9*$W7*E7*$X7),TRUNC(agent!$O$9*$W7*E7*$X7,3),"没有上级")</f>
        <v>0</v>
      </c>
      <c r="M7" s="50">
        <f>IF(ISNUMBER(agent!$O$12*$W7*E7*$X7),TRUNC(agent!$O$12*$W7*E7*$X7,3),"没有上级")</f>
        <v>0</v>
      </c>
      <c r="N7" s="50" t="str">
        <f>IF(ISNUMBER(agent!$O$15*$W7*E7*$X7),TRUNC(agent!$O$15*$W7*E7*$X7,3),"没有上级")</f>
        <v>没有上级</v>
      </c>
      <c r="O7" s="50" t="str">
        <f>IF(ISNUMBER(agent!$O$18*$W7*E7*$X7),TRUNC(agent!$O$18*$W7*E7*$X7,3),"没有上级")</f>
        <v>没有上级</v>
      </c>
      <c r="P7" s="50" t="str">
        <f>IF(ISNUMBER(agent!$O$21*$W7*E7*$X7),TRUNC(agent!$O$21*$W7*E7*$X7,3),"没有上级")</f>
        <v>没有上级</v>
      </c>
      <c r="Q7" s="50" t="str">
        <f>IF(ISNUMBER(agent!$O$24*$W7*E7*$X7),TRUNC(agent!$O$24*$W7*E7*$X7,3),"没有上级")</f>
        <v>没有上级</v>
      </c>
      <c r="R7" s="50" t="str">
        <f>IF(ISNUMBER(agent!$O$27*$W7*E7*$X7),TRUNC(agent!$O$27*$W7*E7*$X7,3),"没有上级")</f>
        <v>没有上级</v>
      </c>
      <c r="S7" s="50" t="str">
        <f>IF(ISNUMBER(agent!$O$30*$W7*E7*$X7),TRUNC(agent!$O$30*$W7*E7*$X7,3),"没有上级")</f>
        <v>没有上级</v>
      </c>
      <c r="T7" s="50" t="str">
        <f>IF(ISNUMBER(agent!$O$33*$W7*$X7*E7),TRUNC(agent!$O$33*$W7*$X7*E7,3),"没有上级")</f>
        <v>没有上级</v>
      </c>
      <c r="U7" s="50">
        <f t="shared" si="2"/>
        <v>0</v>
      </c>
      <c r="V7" s="50"/>
      <c r="W7" s="25">
        <v>0.1</v>
      </c>
      <c r="X7" s="25">
        <f>SSCSource!N12</f>
        <v>0</v>
      </c>
      <c r="Y7" s="36">
        <f>TRUNC((Z7-(9.9-agent!$L$3)*W7*10),3)</f>
        <v>98.5</v>
      </c>
      <c r="Z7" s="49">
        <f>TRUNC(90+99*W7,3)</f>
        <v>99.9</v>
      </c>
      <c r="AA7" s="48"/>
      <c r="AB7" s="48">
        <f t="shared" si="0"/>
        <v>98.5</v>
      </c>
    </row>
    <row r="8" spans="1:28" x14ac:dyDescent="0.15">
      <c r="A8" s="50">
        <f>agent!J$2</f>
        <v>397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>
        <f>SSCSource!K$2</f>
        <v>11112</v>
      </c>
      <c r="I8" s="45">
        <f>SSCSource!M13</f>
        <v>0</v>
      </c>
      <c r="J8" s="45">
        <f t="shared" si="1"/>
        <v>1000276.2</v>
      </c>
      <c r="K8" s="50">
        <f>IF(ISNUMBER(agent!$O$6*$W8*$X8*E8),TRUNC(agent!$O$6*$W8*$X8*E8,3),"没有上级")</f>
        <v>0</v>
      </c>
      <c r="L8" s="50">
        <f>IF(ISNUMBER(agent!$O$9*$W8*E8*$X8),TRUNC(agent!$O$9*$W8*E8*$X8,3),"没有上级")</f>
        <v>0</v>
      </c>
      <c r="M8" s="50">
        <f>IF(ISNUMBER(agent!$O$12*$W8*E8*$X8),TRUNC(agent!$O$12*$W8*E8*$X8,3),"没有上级")</f>
        <v>0</v>
      </c>
      <c r="N8" s="50" t="str">
        <f>IF(ISNUMBER(agent!$O$15*$W8*E8*$X8),TRUNC(agent!$O$15*$W8*E8*$X8,3),"没有上级")</f>
        <v>没有上级</v>
      </c>
      <c r="O8" s="50" t="str">
        <f>IF(ISNUMBER(agent!$O$18*$W8*E8*$X8),TRUNC(agent!$O$18*$W8*E8*$X8,3),"没有上级")</f>
        <v>没有上级</v>
      </c>
      <c r="P8" s="50" t="str">
        <f>IF(ISNUMBER(agent!$O$21*$W8*E8*$X8),TRUNC(agent!$O$21*$W8*E8*$X8,3),"没有上级")</f>
        <v>没有上级</v>
      </c>
      <c r="Q8" s="50" t="str">
        <f>IF(ISNUMBER(agent!$O$24*$W8*E8*$X8),TRUNC(agent!$O$24*$W8*E8*$X8,3),"没有上级")</f>
        <v>没有上级</v>
      </c>
      <c r="R8" s="50" t="str">
        <f>IF(ISNUMBER(agent!$O$27*$W8*E8*$X8),TRUNC(agent!$O$27*$W8*E8*$X8,3),"没有上级")</f>
        <v>没有上级</v>
      </c>
      <c r="S8" s="50" t="str">
        <f>IF(ISNUMBER(agent!$O$30*$W8*E8*$X8),TRUNC(agent!$O$30*$W8*E8*$X8,3),"没有上级")</f>
        <v>没有上级</v>
      </c>
      <c r="T8" s="50" t="str">
        <f>IF(ISNUMBER(agent!$O$33*$W8*$X8*E8),TRUNC(agent!$O$33*$W8*$X8*E8,3),"没有上级")</f>
        <v>没有上级</v>
      </c>
      <c r="U8" s="50">
        <f t="shared" si="2"/>
        <v>0</v>
      </c>
      <c r="V8" s="50"/>
      <c r="W8" s="25">
        <v>0.1</v>
      </c>
      <c r="X8" s="25">
        <f>SSCSource!N13</f>
        <v>0</v>
      </c>
      <c r="Y8" s="36">
        <f>TRUNC((Z8-(9.9-agent!$L$3)*W8*10),3)</f>
        <v>98.5</v>
      </c>
      <c r="Z8" s="49">
        <f t="shared" ref="Z8:Z10" si="4">TRUNC(90+99*W8,3)</f>
        <v>99.9</v>
      </c>
      <c r="AA8" s="48"/>
      <c r="AB8" s="48">
        <f t="shared" si="0"/>
        <v>98.5</v>
      </c>
    </row>
    <row r="9" spans="1:28" x14ac:dyDescent="0.15">
      <c r="A9" s="50">
        <f>agent!J$2</f>
        <v>397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>
        <f>SSCSource!K$2</f>
        <v>11112</v>
      </c>
      <c r="I9" s="45">
        <f>SSCSource!M14</f>
        <v>0</v>
      </c>
      <c r="J9" s="45">
        <f t="shared" si="1"/>
        <v>1000174.2</v>
      </c>
      <c r="K9" s="50">
        <f>IF(ISNUMBER(agent!$O$6*$W9*$X9*E9),TRUNC(agent!$O$6*$W9*$X9*E9,3),"没有上级")</f>
        <v>0</v>
      </c>
      <c r="L9" s="50">
        <f>IF(ISNUMBER(agent!$O$9*$W9*E9*$X9),TRUNC(agent!$O$9*$W9*E9*$X9,3),"没有上级")</f>
        <v>0</v>
      </c>
      <c r="M9" s="50">
        <f>IF(ISNUMBER(agent!$O$12*$W9*E9*$X9),TRUNC(agent!$O$12*$W9*E9*$X9,3),"没有上级")</f>
        <v>0</v>
      </c>
      <c r="N9" s="50" t="str">
        <f>IF(ISNUMBER(agent!$O$15*$W9*E9*$X9),TRUNC(agent!$O$15*$W9*E9*$X9,3),"没有上级")</f>
        <v>没有上级</v>
      </c>
      <c r="O9" s="50" t="str">
        <f>IF(ISNUMBER(agent!$O$18*$W9*E9*$X9),TRUNC(agent!$O$18*$W9*E9*$X9,3),"没有上级")</f>
        <v>没有上级</v>
      </c>
      <c r="P9" s="50" t="str">
        <f>IF(ISNUMBER(agent!$O$21*$W9*E9*$X9),TRUNC(agent!$O$21*$W9*E9*$X9,3),"没有上级")</f>
        <v>没有上级</v>
      </c>
      <c r="Q9" s="50" t="str">
        <f>IF(ISNUMBER(agent!$O$24*$W9*E9*$X9),TRUNC(agent!$O$24*$W9*E9*$X9,3),"没有上级")</f>
        <v>没有上级</v>
      </c>
      <c r="R9" s="50" t="str">
        <f>IF(ISNUMBER(agent!$O$27*$W9*E9*$X9),TRUNC(agent!$O$27*$W9*E9*$X9,3),"没有上级")</f>
        <v>没有上级</v>
      </c>
      <c r="S9" s="50" t="str">
        <f>IF(ISNUMBER(agent!$O$30*$W9*E9*$X9),TRUNC(agent!$O$30*$W9*E9*$X9,3),"没有上级")</f>
        <v>没有上级</v>
      </c>
      <c r="T9" s="50" t="str">
        <f>IF(ISNUMBER(agent!$O$33*$W9*$X9*E9),TRUNC(agent!$O$33*$W9*$X9*E9,3),"没有上级")</f>
        <v>没有上级</v>
      </c>
      <c r="U9" s="50">
        <f t="shared" si="2"/>
        <v>0</v>
      </c>
      <c r="V9" s="50"/>
      <c r="W9" s="25">
        <v>0.1</v>
      </c>
      <c r="X9" s="25">
        <f>SSCSource!N14</f>
        <v>0</v>
      </c>
      <c r="Y9" s="36">
        <f>TRUNC((Z9-(9.9-agent!$L$3)*W9*10),3)</f>
        <v>98.5</v>
      </c>
      <c r="Z9" s="49">
        <f t="shared" si="4"/>
        <v>99.9</v>
      </c>
      <c r="AA9" s="48"/>
      <c r="AB9" s="48">
        <f t="shared" si="0"/>
        <v>98.5</v>
      </c>
    </row>
    <row r="10" spans="1:28" x14ac:dyDescent="0.15">
      <c r="A10" s="50">
        <f>agent!J$2</f>
        <v>397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>
        <f>SSCSource!K$2</f>
        <v>11112</v>
      </c>
      <c r="I10" s="45">
        <f>SSCSource!M15</f>
        <v>0</v>
      </c>
      <c r="J10" s="45">
        <f t="shared" si="1"/>
        <v>1000102.2</v>
      </c>
      <c r="K10" s="50">
        <f>IF(ISNUMBER(agent!$O$6*$W10*$X10*E10),TRUNC(agent!$O$6*$W10*$X10*E10,3),"没有上级")</f>
        <v>0</v>
      </c>
      <c r="L10" s="50">
        <f>IF(ISNUMBER(agent!$O$9*$W10*E10*$X10),TRUNC(agent!$O$9*$W10*E10*$X10,3),"没有上级")</f>
        <v>0</v>
      </c>
      <c r="M10" s="50">
        <f>IF(ISNUMBER(agent!$O$12*$W10*E10*$X10),TRUNC(agent!$O$12*$W10*E10*$X10,3),"没有上级")</f>
        <v>0</v>
      </c>
      <c r="N10" s="50" t="str">
        <f>IF(ISNUMBER(agent!$O$15*$W10*E10*$X10),TRUNC(agent!$O$15*$W10*E10*$X10,3),"没有上级")</f>
        <v>没有上级</v>
      </c>
      <c r="O10" s="50" t="str">
        <f>IF(ISNUMBER(agent!$O$18*$W10*E10*$X10),TRUNC(agent!$O$18*$W10*E10*$X10,3),"没有上级")</f>
        <v>没有上级</v>
      </c>
      <c r="P10" s="50" t="str">
        <f>IF(ISNUMBER(agent!$O$21*$W10*E10*$X10),TRUNC(agent!$O$21*$W10*E10*$X10,3),"没有上级")</f>
        <v>没有上级</v>
      </c>
      <c r="Q10" s="50" t="str">
        <f>IF(ISNUMBER(agent!$O$24*$W10*E10*$X10),TRUNC(agent!$O$24*$W10*E10*$X10,3),"没有上级")</f>
        <v>没有上级</v>
      </c>
      <c r="R10" s="50" t="str">
        <f>IF(ISNUMBER(agent!$O$27*$W10*E10*$X10),TRUNC(agent!$O$27*$W10*E10*$X10,3),"没有上级")</f>
        <v>没有上级</v>
      </c>
      <c r="S10" s="50" t="str">
        <f>IF(ISNUMBER(agent!$O$30*$W10*E10*$X10),TRUNC(agent!$O$30*$W10*E10*$X10,3),"没有上级")</f>
        <v>没有上级</v>
      </c>
      <c r="T10" s="50" t="str">
        <f>IF(ISNUMBER(agent!$O$33*$W10*$X10*E10),TRUNC(agent!$O$33*$W10*$X10*E10,3),"没有上级")</f>
        <v>没有上级</v>
      </c>
      <c r="U10" s="50">
        <f t="shared" si="2"/>
        <v>0</v>
      </c>
      <c r="V10" s="50"/>
      <c r="W10" s="25">
        <v>0.1</v>
      </c>
      <c r="X10" s="25">
        <f>SSCSource!N15</f>
        <v>0</v>
      </c>
      <c r="Y10" s="36">
        <f>TRUNC((Z10-(9.9-agent!$L$3)*W10*10),3)</f>
        <v>98.5</v>
      </c>
      <c r="Z10" s="49">
        <f t="shared" si="4"/>
        <v>99.9</v>
      </c>
      <c r="AA10" s="48"/>
      <c r="AB10" s="48">
        <f t="shared" si="0"/>
        <v>98.5</v>
      </c>
    </row>
    <row r="11" spans="1:28" x14ac:dyDescent="0.15">
      <c r="A11" s="50">
        <f>agent!J$2</f>
        <v>397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>
        <f>SSCSource!K$2</f>
        <v>11112</v>
      </c>
      <c r="I11" s="45">
        <f>SSCSource!M16</f>
        <v>985</v>
      </c>
      <c r="J11" s="45">
        <f t="shared" si="1"/>
        <v>1000927.2</v>
      </c>
      <c r="K11" s="50">
        <f>IF(ISNUMBER(agent!$O$6*$W11*$X11*E11),TRUNC(agent!$O$6*$W11*$X11*E11,3),"没有上级")</f>
        <v>6</v>
      </c>
      <c r="L11" s="50">
        <f>IF(ISNUMBER(agent!$O$9*$W11*E11*$X11),TRUNC(agent!$O$9*$W11*E11*$X11,3),"没有上级")</f>
        <v>4</v>
      </c>
      <c r="M11" s="50">
        <f>IF(ISNUMBER(agent!$O$12*$W11*E11*$X11),TRUNC(agent!$O$12*$W11*E11*$X11,3),"没有上级")</f>
        <v>4</v>
      </c>
      <c r="N11" s="50" t="str">
        <f>IF(ISNUMBER(agent!$O$15*$W11*E11*$X11),TRUNC(agent!$O$15*$W11*E11*$X11,3),"没有上级")</f>
        <v>没有上级</v>
      </c>
      <c r="O11" s="50" t="str">
        <f>IF(ISNUMBER(agent!$O$18*$W11*E11*$X11),TRUNC(agent!$O$18*$W11*E11*$X11,3),"没有上级")</f>
        <v>没有上级</v>
      </c>
      <c r="P11" s="50" t="str">
        <f>IF(ISNUMBER(agent!$O$21*$W11*E11*$X11),TRUNC(agent!$O$21*$W11*E11*$X11,3),"没有上级")</f>
        <v>没有上级</v>
      </c>
      <c r="Q11" s="50" t="str">
        <f>IF(ISNUMBER(agent!$O$24*$W11*E11*$X11),TRUNC(agent!$O$24*$W11*E11*$X11,3),"没有上级")</f>
        <v>没有上级</v>
      </c>
      <c r="R11" s="50" t="str">
        <f>IF(ISNUMBER(agent!$O$27*$W11*E11*$X11),TRUNC(agent!$O$27*$W11*E11*$X11,3),"没有上级")</f>
        <v>没有上级</v>
      </c>
      <c r="S11" s="50" t="str">
        <f>IF(ISNUMBER(agent!$O$30*$W11*E11*$X11),TRUNC(agent!$O$30*$W11*E11*$X11,3),"没有上级")</f>
        <v>没有上级</v>
      </c>
      <c r="T11" s="50" t="str">
        <f>IF(ISNUMBER(agent!$O$33*$W11*$X11*E11),TRUNC(agent!$O$33*$W11*$X11*E11,3),"没有上级")</f>
        <v>没有上级</v>
      </c>
      <c r="U11" s="50">
        <f t="shared" si="2"/>
        <v>14</v>
      </c>
      <c r="V11" s="50"/>
      <c r="W11" s="25">
        <v>0.2</v>
      </c>
      <c r="X11" s="25">
        <f>SSCSource!N16</f>
        <v>1</v>
      </c>
      <c r="Y11" s="36">
        <f>TRUNC((Z11-(9.9-agent!$L$3)*W11*10),3)</f>
        <v>197</v>
      </c>
      <c r="Z11" s="49">
        <f>TRUNC(180+99*W11,3)</f>
        <v>199.8</v>
      </c>
      <c r="AA11" s="48"/>
      <c r="AB11" s="48">
        <f t="shared" si="0"/>
        <v>197</v>
      </c>
    </row>
    <row r="12" spans="1:28" x14ac:dyDescent="0.15">
      <c r="A12" s="50">
        <f>agent!J$2</f>
        <v>397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>
        <f>SSCSource!K$2</f>
        <v>11112</v>
      </c>
      <c r="I12" s="45">
        <f>SSCSource!M18</f>
        <v>394</v>
      </c>
      <c r="J12" s="45">
        <f t="shared" si="1"/>
        <v>1001305.2</v>
      </c>
      <c r="K12" s="50">
        <f>IF(ISNUMBER(agent!$O$6*$W12*$X12*E12),TRUNC(agent!$O$6*$W12*$X12*E12,3),"没有上级")</f>
        <v>2.4</v>
      </c>
      <c r="L12" s="50">
        <f>IF(ISNUMBER(agent!$O$9*$W12*E12*$X12),TRUNC(agent!$O$9*$W12*E12*$X12,3),"没有上级")</f>
        <v>1.6</v>
      </c>
      <c r="M12" s="50">
        <f>IF(ISNUMBER(agent!$O$12*$W12*E12*$X12),TRUNC(agent!$O$12*$W12*E12*$X12,3),"没有上级")</f>
        <v>1.6</v>
      </c>
      <c r="N12" s="50" t="str">
        <f>IF(ISNUMBER(agent!$O$15*$W12*E12*$X12),TRUNC(agent!$O$15*$W12*E12*$X12,3),"没有上级")</f>
        <v>没有上级</v>
      </c>
      <c r="O12" s="50" t="str">
        <f>IF(ISNUMBER(agent!$O$18*$W12*E12*$X12),TRUNC(agent!$O$18*$W12*E12*$X12,3),"没有上级")</f>
        <v>没有上级</v>
      </c>
      <c r="P12" s="50" t="str">
        <f>IF(ISNUMBER(agent!$O$21*$W12*E12*$X12),TRUNC(agent!$O$21*$W12*E12*$X12,3),"没有上级")</f>
        <v>没有上级</v>
      </c>
      <c r="Q12" s="50" t="str">
        <f>IF(ISNUMBER(agent!$O$24*$W12*E12*$X12),TRUNC(agent!$O$24*$W12*E12*$X12,3),"没有上级")</f>
        <v>没有上级</v>
      </c>
      <c r="R12" s="50" t="str">
        <f>IF(ISNUMBER(agent!$O$27*$W12*E12*$X12),TRUNC(agent!$O$27*$W12*E12*$X12,3),"没有上级")</f>
        <v>没有上级</v>
      </c>
      <c r="S12" s="50" t="str">
        <f>IF(ISNUMBER(agent!$O$30*$W12*E12*$X12),TRUNC(agent!$O$30*$W12*E12*$X12,3),"没有上级")</f>
        <v>没有上级</v>
      </c>
      <c r="T12" s="50" t="str">
        <f>IF(ISNUMBER(agent!$O$33*$W12*$X12*E12),TRUNC(agent!$O$33*$W12*$X12*E12,3),"没有上级")</f>
        <v>没有上级</v>
      </c>
      <c r="U12" s="50">
        <f t="shared" si="2"/>
        <v>5.6</v>
      </c>
      <c r="V12" s="50"/>
      <c r="W12" s="25">
        <v>0.2</v>
      </c>
      <c r="X12" s="25">
        <f>SSCSource!N18</f>
        <v>1</v>
      </c>
      <c r="Y12" s="36">
        <f>TRUNC((Z12-(9.9-agent!$L$3)*W12*10),3)</f>
        <v>197</v>
      </c>
      <c r="Z12" s="49">
        <f t="shared" ref="Z12:Z14" si="5">TRUNC(180+99*W12,3)</f>
        <v>199.8</v>
      </c>
      <c r="AA12" s="48"/>
      <c r="AB12" s="48">
        <f t="shared" si="0"/>
        <v>197</v>
      </c>
    </row>
    <row r="13" spans="1:28" x14ac:dyDescent="0.15">
      <c r="A13" s="50">
        <f>agent!J$2</f>
        <v>397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>
        <f>SSCSource!K$2</f>
        <v>11112</v>
      </c>
      <c r="I13" s="45">
        <f>SSCSource!M19</f>
        <v>0</v>
      </c>
      <c r="J13" s="45">
        <f t="shared" si="1"/>
        <v>1001211.2</v>
      </c>
      <c r="K13" s="50">
        <f>IF(ISNUMBER(agent!$O$6*$W13*$X13*E13),TRUNC(agent!$O$6*$W13*$X13*E13,3),"没有上级")</f>
        <v>0</v>
      </c>
      <c r="L13" s="50">
        <f>IF(ISNUMBER(agent!$O$9*$W13*E13*$X13),TRUNC(agent!$O$9*$W13*E13*$X13,3),"没有上级")</f>
        <v>0</v>
      </c>
      <c r="M13" s="50">
        <f>IF(ISNUMBER(agent!$O$12*$W13*E13*$X13),TRUNC(agent!$O$12*$W13*E13*$X13,3),"没有上级")</f>
        <v>0</v>
      </c>
      <c r="N13" s="50" t="str">
        <f>IF(ISNUMBER(agent!$O$15*$W13*E13*$X13),TRUNC(agent!$O$15*$W13*E13*$X13,3),"没有上级")</f>
        <v>没有上级</v>
      </c>
      <c r="O13" s="50" t="str">
        <f>IF(ISNUMBER(agent!$O$18*$W13*E13*$X13),TRUNC(agent!$O$18*$W13*E13*$X13,3),"没有上级")</f>
        <v>没有上级</v>
      </c>
      <c r="P13" s="50" t="str">
        <f>IF(ISNUMBER(agent!$O$21*$W13*E13*$X13),TRUNC(agent!$O$21*$W13*E13*$X13,3),"没有上级")</f>
        <v>没有上级</v>
      </c>
      <c r="Q13" s="50" t="str">
        <f>IF(ISNUMBER(agent!$O$24*$W13*E13*$X13),TRUNC(agent!$O$24*$W13*E13*$X13,3),"没有上级")</f>
        <v>没有上级</v>
      </c>
      <c r="R13" s="50" t="str">
        <f>IF(ISNUMBER(agent!$O$27*$W13*E13*$X13),TRUNC(agent!$O$27*$W13*E13*$X13,3),"没有上级")</f>
        <v>没有上级</v>
      </c>
      <c r="S13" s="50" t="str">
        <f>IF(ISNUMBER(agent!$O$30*$W13*E13*$X13),TRUNC(agent!$O$30*$W13*E13*$X13,3),"没有上级")</f>
        <v>没有上级</v>
      </c>
      <c r="T13" s="50" t="str">
        <f>IF(ISNUMBER(agent!$O$33*$W13*$X13*E13),TRUNC(agent!$O$33*$W13*$X13*E13,3),"没有上级")</f>
        <v>没有上级</v>
      </c>
      <c r="U13" s="50">
        <f t="shared" si="2"/>
        <v>0</v>
      </c>
      <c r="V13" s="50"/>
      <c r="W13" s="25">
        <v>0.2</v>
      </c>
      <c r="X13" s="25">
        <f>SSCSource!N19</f>
        <v>0</v>
      </c>
      <c r="Y13" s="36">
        <f>TRUNC((Z13-(9.9-agent!$L$3)*W13*10),3)</f>
        <v>197</v>
      </c>
      <c r="Z13" s="49">
        <f t="shared" si="5"/>
        <v>199.8</v>
      </c>
      <c r="AA13" s="48"/>
      <c r="AB13" s="48">
        <f t="shared" si="0"/>
        <v>197</v>
      </c>
    </row>
    <row r="14" spans="1:28" x14ac:dyDescent="0.15">
      <c r="A14" s="50">
        <f>agent!J$2</f>
        <v>397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>
        <f>SSCSource!K$2</f>
        <v>11112</v>
      </c>
      <c r="I14" s="45">
        <f>SSCSource!M20</f>
        <v>0</v>
      </c>
      <c r="J14" s="45">
        <f t="shared" si="1"/>
        <v>1000815.2</v>
      </c>
      <c r="K14" s="50">
        <f>IF(ISNUMBER(agent!$O$6*$W14*$X14*E14),TRUNC(agent!$O$6*$W14*$X14*E14,3),"没有上级")</f>
        <v>0</v>
      </c>
      <c r="L14" s="50">
        <f>IF(ISNUMBER(agent!$O$9*$W14*E14*$X14),TRUNC(agent!$O$9*$W14*E14*$X14,3),"没有上级")</f>
        <v>0</v>
      </c>
      <c r="M14" s="50">
        <f>IF(ISNUMBER(agent!$O$12*$W14*E14*$X14),TRUNC(agent!$O$12*$W14*E14*$X14,3),"没有上级")</f>
        <v>0</v>
      </c>
      <c r="N14" s="50" t="str">
        <f>IF(ISNUMBER(agent!$O$15*$W14*E14*$X14),TRUNC(agent!$O$15*$W14*E14*$X14,3),"没有上级")</f>
        <v>没有上级</v>
      </c>
      <c r="O14" s="50" t="str">
        <f>IF(ISNUMBER(agent!$O$18*$W14*E14*$X14),TRUNC(agent!$O$18*$W14*E14*$X14,3),"没有上级")</f>
        <v>没有上级</v>
      </c>
      <c r="P14" s="50" t="str">
        <f>IF(ISNUMBER(agent!$O$21*$W14*E14*$X14),TRUNC(agent!$O$21*$W14*E14*$X14,3),"没有上级")</f>
        <v>没有上级</v>
      </c>
      <c r="Q14" s="50" t="str">
        <f>IF(ISNUMBER(agent!$O$24*$W14*E14*$X14),TRUNC(agent!$O$24*$W14*E14*$X14,3),"没有上级")</f>
        <v>没有上级</v>
      </c>
      <c r="R14" s="50" t="str">
        <f>IF(ISNUMBER(agent!$O$27*$W14*E14*$X14),TRUNC(agent!$O$27*$W14*E14*$X14,3),"没有上级")</f>
        <v>没有上级</v>
      </c>
      <c r="S14" s="50" t="str">
        <f>IF(ISNUMBER(agent!$O$30*$W14*E14*$X14),TRUNC(agent!$O$30*$W14*E14*$X14,3),"没有上级")</f>
        <v>没有上级</v>
      </c>
      <c r="T14" s="50" t="str">
        <f>IF(ISNUMBER(agent!$O$33*$W14*$X14*E14),TRUNC(agent!$O$33*$W14*$X14*E14,3),"没有上级")</f>
        <v>没有上级</v>
      </c>
      <c r="U14" s="50">
        <f t="shared" si="2"/>
        <v>0</v>
      </c>
      <c r="V14" s="50"/>
      <c r="W14" s="25">
        <v>0.2</v>
      </c>
      <c r="X14" s="25">
        <f>SSCSource!N20</f>
        <v>0</v>
      </c>
      <c r="Y14" s="36">
        <f>TRUNC((Z14-(9.9-agent!$L$3)*W14*10),3)</f>
        <v>197</v>
      </c>
      <c r="Z14" s="49">
        <f t="shared" si="5"/>
        <v>199.8</v>
      </c>
      <c r="AA14" s="48"/>
      <c r="AB14" s="48">
        <f t="shared" si="0"/>
        <v>197</v>
      </c>
    </row>
    <row r="15" spans="1:28" x14ac:dyDescent="0.15">
      <c r="A15" s="50">
        <f>agent!J$2</f>
        <v>397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>
        <f>SSCSource!K$2</f>
        <v>11112</v>
      </c>
      <c r="I15" s="45">
        <f>SSCSource!M21</f>
        <v>197</v>
      </c>
      <c r="J15" s="45">
        <f t="shared" si="1"/>
        <v>1000952.2</v>
      </c>
      <c r="K15" s="50">
        <f>IF(ISNUMBER(agent!$O$6*$W15*$X15*E15),TRUNC(agent!$O$6*$W15*$X15*E15,3),"没有上级")</f>
        <v>1.2</v>
      </c>
      <c r="L15" s="50">
        <f>IF(ISNUMBER(agent!$O$9*$W15*E15*$X15),TRUNC(agent!$O$9*$W15*E15*$X15,3),"没有上级")</f>
        <v>0.8</v>
      </c>
      <c r="M15" s="50">
        <f>IF(ISNUMBER(agent!$O$12*$W15*E15*$X15),TRUNC(agent!$O$12*$W15*E15*$X15,3),"没有上级")</f>
        <v>0.8</v>
      </c>
      <c r="N15" s="50" t="str">
        <f>IF(ISNUMBER(agent!$O$15*$W15*E15*$X15),TRUNC(agent!$O$15*$W15*E15*$X15,3),"没有上级")</f>
        <v>没有上级</v>
      </c>
      <c r="O15" s="50" t="str">
        <f>IF(ISNUMBER(agent!$O$18*$W15*E15*$X15),TRUNC(agent!$O$18*$W15*E15*$X15,3),"没有上级")</f>
        <v>没有上级</v>
      </c>
      <c r="P15" s="50" t="str">
        <f>IF(ISNUMBER(agent!$O$21*$W15*E15*$X15),TRUNC(agent!$O$21*$W15*E15*$X15,3),"没有上级")</f>
        <v>没有上级</v>
      </c>
      <c r="Q15" s="50" t="str">
        <f>IF(ISNUMBER(agent!$O$24*$W15*E15*$X15),TRUNC(agent!$O$24*$W15*E15*$X15,3),"没有上级")</f>
        <v>没有上级</v>
      </c>
      <c r="R15" s="50" t="str">
        <f>IF(ISNUMBER(agent!$O$27*$W15*E15*$X15),TRUNC(agent!$O$27*$W15*E15*$X15,3),"没有上级")</f>
        <v>没有上级</v>
      </c>
      <c r="S15" s="50" t="str">
        <f>IF(ISNUMBER(agent!$O$30*$W15*E15*$X15),TRUNC(agent!$O$30*$W15*E15*$X15,3),"没有上级")</f>
        <v>没有上级</v>
      </c>
      <c r="T15" s="50" t="str">
        <f>IF(ISNUMBER(agent!$O$33*$W15*$X15*E15),TRUNC(agent!$O$33*$W15*$X15*E15,3),"没有上级")</f>
        <v>没有上级</v>
      </c>
      <c r="U15" s="50">
        <f t="shared" si="2"/>
        <v>2.8</v>
      </c>
      <c r="V15" s="50"/>
      <c r="W15" s="25">
        <v>0.1</v>
      </c>
      <c r="X15" s="25">
        <f>SSCSource!N21</f>
        <v>1</v>
      </c>
      <c r="Y15" s="36">
        <f>TRUNC((Z15-(9.9-agent!$L$3)*W15*10),3)</f>
        <v>98.5</v>
      </c>
      <c r="Z15" s="49">
        <f>TRUNC(90+99*W15,3)</f>
        <v>99.9</v>
      </c>
      <c r="AA15" s="48"/>
      <c r="AB15" s="48">
        <f t="shared" si="0"/>
        <v>98.5</v>
      </c>
    </row>
    <row r="16" spans="1:28" x14ac:dyDescent="0.15">
      <c r="A16" s="50">
        <f>agent!J$2</f>
        <v>397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>
        <f>SSCSource!K$2</f>
        <v>11112</v>
      </c>
      <c r="I16" s="45">
        <f>SSCSource!M22</f>
        <v>0</v>
      </c>
      <c r="J16" s="45">
        <f t="shared" si="1"/>
        <v>1000912.2</v>
      </c>
      <c r="K16" s="50">
        <f>IF(ISNUMBER(agent!$O$6*$W16*$X16*E16),TRUNC(agent!$O$6*$W16*$X16*E16,3),"没有上级")</f>
        <v>0</v>
      </c>
      <c r="L16" s="50">
        <f>IF(ISNUMBER(agent!$O$9*$W16*E16*$X16),TRUNC(agent!$O$9*$W16*E16*$X16,3),"没有上级")</f>
        <v>0</v>
      </c>
      <c r="M16" s="50">
        <f>IF(ISNUMBER(agent!$O$12*$W16*E16*$X16),TRUNC(agent!$O$12*$W16*E16*$X16,3),"没有上级")</f>
        <v>0</v>
      </c>
      <c r="N16" s="50" t="str">
        <f>IF(ISNUMBER(agent!$O$15*$W16*E16*$X16),TRUNC(agent!$O$15*$W16*E16*$X16,3),"没有上级")</f>
        <v>没有上级</v>
      </c>
      <c r="O16" s="50" t="str">
        <f>IF(ISNUMBER(agent!$O$18*$W16*E16*$X16),TRUNC(agent!$O$18*$W16*E16*$X16,3),"没有上级")</f>
        <v>没有上级</v>
      </c>
      <c r="P16" s="50" t="str">
        <f>IF(ISNUMBER(agent!$O$21*$W16*E16*$X16),TRUNC(agent!$O$21*$W16*E16*$X16,3),"没有上级")</f>
        <v>没有上级</v>
      </c>
      <c r="Q16" s="50" t="str">
        <f>IF(ISNUMBER(agent!$O$24*$W16*E16*$X16),TRUNC(agent!$O$24*$W16*E16*$X16,3),"没有上级")</f>
        <v>没有上级</v>
      </c>
      <c r="R16" s="50" t="str">
        <f>IF(ISNUMBER(agent!$O$27*$W16*E16*$X16),TRUNC(agent!$O$27*$W16*E16*$X16,3),"没有上级")</f>
        <v>没有上级</v>
      </c>
      <c r="S16" s="50" t="str">
        <f>IF(ISNUMBER(agent!$O$30*$W16*E16*$X16),TRUNC(agent!$O$30*$W16*E16*$X16,3),"没有上级")</f>
        <v>没有上级</v>
      </c>
      <c r="T16" s="50" t="str">
        <f>IF(ISNUMBER(agent!$O$33*$W16*$X16*E16),TRUNC(agent!$O$33*$W16*$X16*E16,3),"没有上级")</f>
        <v>没有上级</v>
      </c>
      <c r="U16" s="50">
        <f t="shared" si="2"/>
        <v>0</v>
      </c>
      <c r="V16" s="50"/>
      <c r="W16" s="25">
        <v>0.1</v>
      </c>
      <c r="X16" s="25">
        <f>SSCSource!N22</f>
        <v>0</v>
      </c>
      <c r="Y16" s="36">
        <f>TRUNC((Z16-(9.9-agent!$L$3)*W16*10),3)</f>
        <v>98.5</v>
      </c>
      <c r="Z16" s="49">
        <f t="shared" ref="Z16:Z18" si="6">TRUNC(90+99*W16,3)</f>
        <v>99.9</v>
      </c>
      <c r="AA16" s="48"/>
      <c r="AB16" s="48">
        <f t="shared" si="0"/>
        <v>98.5</v>
      </c>
    </row>
    <row r="17" spans="1:28" x14ac:dyDescent="0.15">
      <c r="A17" s="50">
        <f>agent!J$2</f>
        <v>397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>
        <f>SSCSource!K$2</f>
        <v>11112</v>
      </c>
      <c r="I17" s="45">
        <f>SSCSource!M23</f>
        <v>492.5</v>
      </c>
      <c r="J17" s="45">
        <f t="shared" si="1"/>
        <v>1001224.7</v>
      </c>
      <c r="K17" s="50">
        <f>IF(ISNUMBER(agent!$O$6*$W17*$X17*E17),TRUNC(agent!$O$6*$W17*$X17*E17,3),"没有上级")</f>
        <v>3</v>
      </c>
      <c r="L17" s="50">
        <f>IF(ISNUMBER(agent!$O$9*$W17*E17*$X17),TRUNC(agent!$O$9*$W17*E17*$X17,3),"没有上级")</f>
        <v>2</v>
      </c>
      <c r="M17" s="50">
        <f>IF(ISNUMBER(agent!$O$12*$W17*E17*$X17),TRUNC(agent!$O$12*$W17*E17*$X17,3),"没有上级")</f>
        <v>2</v>
      </c>
      <c r="N17" s="50" t="str">
        <f>IF(ISNUMBER(agent!$O$15*$W17*E17*$X17),TRUNC(agent!$O$15*$W17*E17*$X17,3),"没有上级")</f>
        <v>没有上级</v>
      </c>
      <c r="O17" s="50" t="str">
        <f>IF(ISNUMBER(agent!$O$18*$W17*E17*$X17),TRUNC(agent!$O$18*$W17*E17*$X17,3),"没有上级")</f>
        <v>没有上级</v>
      </c>
      <c r="P17" s="50" t="str">
        <f>IF(ISNUMBER(agent!$O$21*$W17*E17*$X17),TRUNC(agent!$O$21*$W17*E17*$X17,3),"没有上级")</f>
        <v>没有上级</v>
      </c>
      <c r="Q17" s="50" t="str">
        <f>IF(ISNUMBER(agent!$O$24*$W17*E17*$X17),TRUNC(agent!$O$24*$W17*E17*$X17,3),"没有上级")</f>
        <v>没有上级</v>
      </c>
      <c r="R17" s="50" t="str">
        <f>IF(ISNUMBER(agent!$O$27*$W17*E17*$X17),TRUNC(agent!$O$27*$W17*E17*$X17,3),"没有上级")</f>
        <v>没有上级</v>
      </c>
      <c r="S17" s="50" t="str">
        <f>IF(ISNUMBER(agent!$O$30*$W17*E17*$X17),TRUNC(agent!$O$30*$W17*E17*$X17,3),"没有上级")</f>
        <v>没有上级</v>
      </c>
      <c r="T17" s="50" t="str">
        <f>IF(ISNUMBER(agent!$O$33*$W17*$X17*E17),TRUNC(agent!$O$33*$W17*$X17*E17,3),"没有上级")</f>
        <v>没有上级</v>
      </c>
      <c r="U17" s="50">
        <f t="shared" si="2"/>
        <v>7</v>
      </c>
      <c r="V17" s="50"/>
      <c r="W17" s="25">
        <v>0.1</v>
      </c>
      <c r="X17" s="25">
        <f>SSCSource!N23</f>
        <v>1</v>
      </c>
      <c r="Y17" s="36">
        <f>TRUNC((Z17-(9.9-agent!$L$3)*W17*10),3)</f>
        <v>98.5</v>
      </c>
      <c r="Z17" s="49">
        <f t="shared" si="6"/>
        <v>99.9</v>
      </c>
      <c r="AA17" s="48"/>
      <c r="AB17" s="48">
        <f t="shared" si="0"/>
        <v>98.5</v>
      </c>
    </row>
    <row r="18" spans="1:28" x14ac:dyDescent="0.15">
      <c r="A18" s="50">
        <f>agent!J$2</f>
        <v>397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>
        <f>SSCSource!K$2</f>
        <v>11112</v>
      </c>
      <c r="I18" s="45">
        <f>SSCSource!M24</f>
        <v>0</v>
      </c>
      <c r="J18" s="45">
        <f t="shared" si="1"/>
        <v>1001170.7</v>
      </c>
      <c r="K18" s="50">
        <f>IF(ISNUMBER(agent!$O$6*$W18*$X18*E18),TRUNC(agent!$O$6*$W18*$X18*E18,3),"没有上级")</f>
        <v>0</v>
      </c>
      <c r="L18" s="50">
        <f>IF(ISNUMBER(agent!$O$9*$W18*E18*$X18),TRUNC(agent!$O$9*$W18*E18*$X18,3),"没有上级")</f>
        <v>0</v>
      </c>
      <c r="M18" s="50">
        <f>IF(ISNUMBER(agent!$O$12*$W18*E18*$X18),TRUNC(agent!$O$12*$W18*E18*$X18,3),"没有上级")</f>
        <v>0</v>
      </c>
      <c r="N18" s="50" t="str">
        <f>IF(ISNUMBER(agent!$O$15*$W18*E18*$X18),TRUNC(agent!$O$15*$W18*E18*$X18,3),"没有上级")</f>
        <v>没有上级</v>
      </c>
      <c r="O18" s="50" t="str">
        <f>IF(ISNUMBER(agent!$O$18*$W18*E18*$X18),TRUNC(agent!$O$18*$W18*E18*$X18,3),"没有上级")</f>
        <v>没有上级</v>
      </c>
      <c r="P18" s="50" t="str">
        <f>IF(ISNUMBER(agent!$O$21*$W18*E18*$X18),TRUNC(agent!$O$21*$W18*E18*$X18,3),"没有上级")</f>
        <v>没有上级</v>
      </c>
      <c r="Q18" s="50" t="str">
        <f>IF(ISNUMBER(agent!$O$24*$W18*E18*$X18),TRUNC(agent!$O$24*$W18*E18*$X18,3),"没有上级")</f>
        <v>没有上级</v>
      </c>
      <c r="R18" s="50" t="str">
        <f>IF(ISNUMBER(agent!$O$27*$W18*E18*$X18),TRUNC(agent!$O$27*$W18*E18*$X18,3),"没有上级")</f>
        <v>没有上级</v>
      </c>
      <c r="S18" s="50" t="str">
        <f>IF(ISNUMBER(agent!$O$30*$W18*E18*$X18),TRUNC(agent!$O$30*$W18*E18*$X18,3),"没有上级")</f>
        <v>没有上级</v>
      </c>
      <c r="T18" s="50" t="str">
        <f>IF(ISNUMBER(agent!$O$33*$W18*$X18*E18),TRUNC(agent!$O$33*$W18*$X18*E18,3),"没有上级")</f>
        <v>没有上级</v>
      </c>
      <c r="U18" s="50">
        <f t="shared" si="2"/>
        <v>0</v>
      </c>
      <c r="V18" s="50"/>
      <c r="W18" s="25">
        <v>0.1</v>
      </c>
      <c r="X18" s="25">
        <f>SSCSource!N24</f>
        <v>0</v>
      </c>
      <c r="Y18" s="36">
        <f>TRUNC((Z18-(9.9-agent!$L$3)*W18*10),3)</f>
        <v>98.5</v>
      </c>
      <c r="Z18" s="49">
        <f t="shared" si="6"/>
        <v>99.9</v>
      </c>
      <c r="AA18" s="48"/>
      <c r="AB18" s="48">
        <f t="shared" si="0"/>
        <v>98.5</v>
      </c>
    </row>
    <row r="19" spans="1:28" x14ac:dyDescent="0.15">
      <c r="A19" s="50">
        <f>agent!J$2</f>
        <v>397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>
        <f>SSCSource!K$2</f>
        <v>11112</v>
      </c>
      <c r="I19" s="45">
        <f>SSCSource!M25</f>
        <v>0</v>
      </c>
      <c r="J19" s="45">
        <f t="shared" si="1"/>
        <v>1000090.7</v>
      </c>
      <c r="K19" s="50">
        <f>IF(ISNUMBER(agent!$O$6*$W19*$X19*E19),TRUNC(agent!$O$6*$W19*$X19*E19,3),"没有上级")</f>
        <v>0</v>
      </c>
      <c r="L19" s="50">
        <f>IF(ISNUMBER(agent!$O$9*$W19*E19*$X19),TRUNC(agent!$O$9*$W19*E19*$X19,3),"没有上级")</f>
        <v>0</v>
      </c>
      <c r="M19" s="50">
        <f>IF(ISNUMBER(agent!$O$12*$W19*E19*$X19),TRUNC(agent!$O$12*$W19*E19*$X19,3),"没有上级")</f>
        <v>0</v>
      </c>
      <c r="N19" s="50" t="str">
        <f>IF(ISNUMBER(agent!$O$15*$W19*E19*$X19),TRUNC(agent!$O$15*$W19*E19*$X19,3),"没有上级")</f>
        <v>没有上级</v>
      </c>
      <c r="O19" s="50" t="str">
        <f>IF(ISNUMBER(agent!$O$18*$W19*E19*$X19),TRUNC(agent!$O$18*$W19*E19*$X19,3),"没有上级")</f>
        <v>没有上级</v>
      </c>
      <c r="P19" s="50" t="str">
        <f>IF(ISNUMBER(agent!$O$21*$W19*E19*$X19),TRUNC(agent!$O$21*$W19*E19*$X19,3),"没有上级")</f>
        <v>没有上级</v>
      </c>
      <c r="Q19" s="50" t="str">
        <f>IF(ISNUMBER(agent!$O$24*$W19*E19*$X19),TRUNC(agent!$O$24*$W19*E19*$X19,3),"没有上级")</f>
        <v>没有上级</v>
      </c>
      <c r="R19" s="50" t="str">
        <f>IF(ISNUMBER(agent!$O$27*$W19*E19*$X19),TRUNC(agent!$O$27*$W19*E19*$X19,3),"没有上级")</f>
        <v>没有上级</v>
      </c>
      <c r="S19" s="50" t="str">
        <f>IF(ISNUMBER(agent!$O$30*$W19*E19*$X19),TRUNC(agent!$O$30*$W19*E19*$X19,3),"没有上级")</f>
        <v>没有上级</v>
      </c>
      <c r="T19" s="50" t="str">
        <f>IF(ISNUMBER(agent!$O$33*$W19*$X19*E19),TRUNC(agent!$O$33*$W19*$X19*E19,3),"没有上级")</f>
        <v>没有上级</v>
      </c>
      <c r="U19" s="50">
        <f>SUM(K19:T19)</f>
        <v>0</v>
      </c>
      <c r="V19" s="50"/>
      <c r="W19" s="25">
        <v>2</v>
      </c>
      <c r="X19" s="25">
        <f>SSCSource!N25</f>
        <v>0</v>
      </c>
      <c r="Y19" s="36">
        <f>TRUNC((Z19-(9.9-agent!$L$3)*W19*10),3)</f>
        <v>1970</v>
      </c>
      <c r="Z19" s="49">
        <f>TRUNC(1800+99*W19,3)</f>
        <v>1998</v>
      </c>
      <c r="AA19" s="48"/>
      <c r="AB19" s="48">
        <f t="shared" si="0"/>
        <v>1970</v>
      </c>
    </row>
    <row r="20" spans="1:28" x14ac:dyDescent="0.15">
      <c r="A20" s="50">
        <f>agent!J$2</f>
        <v>397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>
        <f>SSCSource!K$2</f>
        <v>11112</v>
      </c>
      <c r="I20" s="45">
        <f>SSCSource!M28</f>
        <v>0</v>
      </c>
      <c r="J20" s="45">
        <f t="shared" si="1"/>
        <v>1000080.7</v>
      </c>
      <c r="K20" s="50">
        <f>IF(ISNUMBER(agent!$O$6*$W20*$X20*E20),TRUNC(agent!$O$6*$W20*$X20*E20,3),"没有上级")</f>
        <v>0</v>
      </c>
      <c r="L20" s="50">
        <f>IF(ISNUMBER(agent!$O$9*$W20*E20*$X20),TRUNC(agent!$O$9*$W20*E20*$X20,3),"没有上级")</f>
        <v>0</v>
      </c>
      <c r="M20" s="50">
        <f>IF(ISNUMBER(agent!$O$12*$W20*E20*$X20),TRUNC(agent!$O$12*$W20*E20*$X20,3),"没有上级")</f>
        <v>0</v>
      </c>
      <c r="N20" s="50" t="str">
        <f>IF(ISNUMBER(agent!$O$15*$W20*E20*$X20),TRUNC(agent!$O$15*$W20*E20*$X20,3),"没有上级")</f>
        <v>没有上级</v>
      </c>
      <c r="O20" s="50" t="str">
        <f>IF(ISNUMBER(agent!$O$18*$W20*E20*$X20),TRUNC(agent!$O$18*$W20*E20*$X20,3),"没有上级")</f>
        <v>没有上级</v>
      </c>
      <c r="P20" s="50" t="str">
        <f>IF(ISNUMBER(agent!$O$21*$W20*E20*$X20),TRUNC(agent!$O$21*$W20*E20*$X20,3),"没有上级")</f>
        <v>没有上级</v>
      </c>
      <c r="Q20" s="50" t="str">
        <f>IF(ISNUMBER(agent!$O$24*$W20*E20*$X20),TRUNC(agent!$O$24*$W20*E20*$X20,3),"没有上级")</f>
        <v>没有上级</v>
      </c>
      <c r="R20" s="50" t="str">
        <f>IF(ISNUMBER(agent!$O$27*$W20*E20*$X20),TRUNC(agent!$O$27*$W20*E20*$X20,3),"没有上级")</f>
        <v>没有上级</v>
      </c>
      <c r="S20" s="50" t="str">
        <f>IF(ISNUMBER(agent!$O$30*$W20*E20*$X20),TRUNC(agent!$O$30*$W20*E20*$X20,3),"没有上级")</f>
        <v>没有上级</v>
      </c>
      <c r="T20" s="50" t="str">
        <f>IF(ISNUMBER(agent!$O$33*$W20*$X20*E20),TRUNC(agent!$O$33*$W20*$X20*E20,3),"没有上级")</f>
        <v>没有上级</v>
      </c>
      <c r="U20" s="50">
        <f t="shared" si="2"/>
        <v>0</v>
      </c>
      <c r="V20" s="50"/>
      <c r="W20" s="25">
        <v>2</v>
      </c>
      <c r="X20" s="25">
        <f>SSCSource!N28</f>
        <v>0</v>
      </c>
      <c r="Y20" s="36">
        <f>TRUNC((Z20-(9.9-agent!$L$3)*W20*10),3)</f>
        <v>1970</v>
      </c>
      <c r="Z20" s="49">
        <f t="shared" ref="Z20:Z22" si="7">TRUNC(1800+99*W20,3)</f>
        <v>1998</v>
      </c>
      <c r="AA20" s="48"/>
      <c r="AB20" s="48">
        <f t="shared" si="0"/>
        <v>1970</v>
      </c>
    </row>
    <row r="21" spans="1:28" x14ac:dyDescent="0.15">
      <c r="A21" s="50">
        <f>agent!J$2</f>
        <v>397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>
        <f>SSCSource!K$2</f>
        <v>11112</v>
      </c>
      <c r="I21" s="45">
        <f>SSCSource!M29</f>
        <v>1970</v>
      </c>
      <c r="J21" s="45">
        <f t="shared" si="1"/>
        <v>1001288.7</v>
      </c>
      <c r="K21" s="50">
        <f>IF(ISNUMBER(agent!$O$6*$W21*$X21*E21),TRUNC(agent!$O$6*$W21*$X21*E21,3),"没有上级")</f>
        <v>12</v>
      </c>
      <c r="L21" s="50">
        <f>IF(ISNUMBER(agent!$O$9*$W21*E21*$X21),TRUNC(agent!$O$9*$W21*E21*$X21,3),"没有上级")</f>
        <v>8</v>
      </c>
      <c r="M21" s="50">
        <f>IF(ISNUMBER(agent!$O$12*$W21*E21*$X21),TRUNC(agent!$O$12*$W21*E21*$X21,3),"没有上级")</f>
        <v>8</v>
      </c>
      <c r="N21" s="50" t="str">
        <f>IF(ISNUMBER(agent!$O$15*$W21*E21*$X21),TRUNC(agent!$O$15*$W21*E21*$X21,3),"没有上级")</f>
        <v>没有上级</v>
      </c>
      <c r="O21" s="50" t="str">
        <f>IF(ISNUMBER(agent!$O$18*$W21*E21*$X21),TRUNC(agent!$O$18*$W21*E21*$X21,3),"没有上级")</f>
        <v>没有上级</v>
      </c>
      <c r="P21" s="50" t="str">
        <f>IF(ISNUMBER(agent!$O$21*$W21*E21*$X21),TRUNC(agent!$O$21*$W21*E21*$X21,3),"没有上级")</f>
        <v>没有上级</v>
      </c>
      <c r="Q21" s="50" t="str">
        <f>IF(ISNUMBER(agent!$O$24*$W21*E21*$X21),TRUNC(agent!$O$24*$W21*E21*$X21,3),"没有上级")</f>
        <v>没有上级</v>
      </c>
      <c r="R21" s="50" t="str">
        <f>IF(ISNUMBER(agent!$O$27*$W21*E21*$X21),TRUNC(agent!$O$27*$W21*E21*$X21,3),"没有上级")</f>
        <v>没有上级</v>
      </c>
      <c r="S21" s="50" t="str">
        <f>IF(ISNUMBER(agent!$O$30*$W21*E21*$X21),TRUNC(agent!$O$30*$W21*E21*$X21,3),"没有上级")</f>
        <v>没有上级</v>
      </c>
      <c r="T21" s="50" t="str">
        <f>IF(ISNUMBER(agent!$O$33*$W21*$X21*E21),TRUNC(agent!$O$33*$W21*$X21*E21,3),"没有上级")</f>
        <v>没有上级</v>
      </c>
      <c r="U21" s="50">
        <f t="shared" si="2"/>
        <v>28</v>
      </c>
      <c r="V21" s="50"/>
      <c r="W21" s="25">
        <v>2</v>
      </c>
      <c r="X21" s="25">
        <f>SSCSource!N29</f>
        <v>1</v>
      </c>
      <c r="Y21" s="36">
        <f>TRUNC((Z21-(9.9-agent!$L$3)*W21*10),3)</f>
        <v>1970</v>
      </c>
      <c r="Z21" s="49">
        <f t="shared" si="7"/>
        <v>1998</v>
      </c>
      <c r="AA21" s="48"/>
      <c r="AB21" s="48">
        <f t="shared" si="0"/>
        <v>1970</v>
      </c>
    </row>
    <row r="22" spans="1:28" x14ac:dyDescent="0.15">
      <c r="A22" s="50">
        <f>agent!J$2</f>
        <v>397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>
        <f>SSCSource!K$2</f>
        <v>11112</v>
      </c>
      <c r="I22" s="45">
        <f>SSCSource!M30</f>
        <v>1970</v>
      </c>
      <c r="J22" s="45">
        <f t="shared" si="1"/>
        <v>1001750.7</v>
      </c>
      <c r="K22" s="50">
        <f>IF(ISNUMBER(agent!$O$6*$W22*$X22*E22),TRUNC(agent!$O$6*$W22*$X22*E22,3),"没有上级")</f>
        <v>12</v>
      </c>
      <c r="L22" s="50">
        <f>IF(ISNUMBER(agent!$O$9*$W22*E22*$X22),TRUNC(agent!$O$9*$W22*E22*$X22,3),"没有上级")</f>
        <v>8</v>
      </c>
      <c r="M22" s="50">
        <f>IF(ISNUMBER(agent!$O$12*$W22*E22*$X22),TRUNC(agent!$O$12*$W22*E22*$X22,3),"没有上级")</f>
        <v>8</v>
      </c>
      <c r="N22" s="50" t="str">
        <f>IF(ISNUMBER(agent!$O$15*$W22*E22*$X22),TRUNC(agent!$O$15*$W22*E22*$X22,3),"没有上级")</f>
        <v>没有上级</v>
      </c>
      <c r="O22" s="50" t="str">
        <f>IF(ISNUMBER(agent!$O$18*$W22*E22*$X22),TRUNC(agent!$O$18*$W22*E22*$X22,3),"没有上级")</f>
        <v>没有上级</v>
      </c>
      <c r="P22" s="50" t="str">
        <f>IF(ISNUMBER(agent!$O$21*$W22*E22*$X22),TRUNC(agent!$O$21*$W22*E22*$X22,3),"没有上级")</f>
        <v>没有上级</v>
      </c>
      <c r="Q22" s="50" t="str">
        <f>IF(ISNUMBER(agent!$O$24*$W22*E22*$X22),TRUNC(agent!$O$24*$W22*E22*$X22,3),"没有上级")</f>
        <v>没有上级</v>
      </c>
      <c r="R22" s="50" t="str">
        <f>IF(ISNUMBER(agent!$O$27*$W22*E22*$X22),TRUNC(agent!$O$27*$W22*E22*$X22,3),"没有上级")</f>
        <v>没有上级</v>
      </c>
      <c r="S22" s="50" t="str">
        <f>IF(ISNUMBER(agent!$O$30*$W22*E22*$X22),TRUNC(agent!$O$30*$W22*E22*$X22,3),"没有上级")</f>
        <v>没有上级</v>
      </c>
      <c r="T22" s="50" t="str">
        <f>IF(ISNUMBER(agent!$O$33*$W22*$X22*E22),TRUNC(agent!$O$33*$W22*$X22*E22,3),"没有上级")</f>
        <v>没有上级</v>
      </c>
      <c r="U22" s="50">
        <f t="shared" si="2"/>
        <v>28</v>
      </c>
      <c r="V22" s="50"/>
      <c r="W22" s="25">
        <v>2</v>
      </c>
      <c r="X22" s="25">
        <f>SSCSource!N30</f>
        <v>1</v>
      </c>
      <c r="Y22" s="36">
        <f>TRUNC((Z22-(9.9-agent!$L$3)*W22*10),3)</f>
        <v>1970</v>
      </c>
      <c r="Z22" s="49">
        <f t="shared" si="7"/>
        <v>1998</v>
      </c>
      <c r="AA22" s="48"/>
      <c r="AB22" s="48">
        <f t="shared" si="0"/>
        <v>1970</v>
      </c>
    </row>
    <row r="23" spans="1:28" x14ac:dyDescent="0.15">
      <c r="A23" s="50">
        <f>agent!J$2</f>
        <v>397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>
        <f>SSCSource!K$2</f>
        <v>11112</v>
      </c>
      <c r="I23" s="45">
        <f>SSCSource!M31</f>
        <v>1641.5250000000001</v>
      </c>
      <c r="J23" s="45">
        <f t="shared" si="1"/>
        <v>1002802.225</v>
      </c>
      <c r="K23" s="50">
        <f>IF(ISNUMBER(agent!$O$6*$W23*$X23*E23),TRUNC(agent!$O$6*$W23*$X23*E23,3),"没有上级")</f>
        <v>9.99</v>
      </c>
      <c r="L23" s="50">
        <f>IF(ISNUMBER(agent!$O$9*$W23*E23*$X23),TRUNC(agent!$O$9*$W23*E23*$X23,3),"没有上级")</f>
        <v>6.66</v>
      </c>
      <c r="M23" s="50">
        <f>IF(ISNUMBER(agent!$O$12*$W23*E23*$X23),TRUNC(agent!$O$12*$W23*E23*$X23,3),"没有上级")</f>
        <v>6.66</v>
      </c>
      <c r="N23" s="50" t="str">
        <f>IF(ISNUMBER(agent!$O$15*$W23*E23*$X23),TRUNC(agent!$O$15*$W23*E23*$X23,3),"没有上级")</f>
        <v>没有上级</v>
      </c>
      <c r="O23" s="50" t="str">
        <f>IF(ISNUMBER(agent!$O$18*$W23*E23*$X23),TRUNC(agent!$O$18*$W23*E23*$X23,3),"没有上级")</f>
        <v>没有上级</v>
      </c>
      <c r="P23" s="50" t="str">
        <f>IF(ISNUMBER(agent!$O$21*$W23*E23*$X23),TRUNC(agent!$O$21*$W23*E23*$X23,3),"没有上级")</f>
        <v>没有上级</v>
      </c>
      <c r="Q23" s="50" t="str">
        <f>IF(ISNUMBER(agent!$O$24*$W23*E23*$X23),TRUNC(agent!$O$24*$W23*E23*$X23,3),"没有上级")</f>
        <v>没有上级</v>
      </c>
      <c r="R23" s="50" t="str">
        <f>IF(ISNUMBER(agent!$O$27*$W23*E23*$X23),TRUNC(agent!$O$27*$W23*E23*$X23,3),"没有上级")</f>
        <v>没有上级</v>
      </c>
      <c r="S23" s="50" t="str">
        <f>IF(ISNUMBER(agent!$O$30*$W23*E23*$X23),TRUNC(agent!$O$30*$W23*E23*$X23,3),"没有上级")</f>
        <v>没有上级</v>
      </c>
      <c r="T23" s="50" t="str">
        <f>IF(ISNUMBER(agent!$O$33*$W23*$X23*E23),TRUNC(agent!$O$33*$W23*$X23*E23,3),"没有上级")</f>
        <v>没有上级</v>
      </c>
      <c r="U23" s="50">
        <f t="shared" si="2"/>
        <v>23.31</v>
      </c>
      <c r="V23" s="50"/>
      <c r="W23" s="25">
        <f>TRUNC(0.33325,3)</f>
        <v>0.33300000000000002</v>
      </c>
      <c r="X23" s="25">
        <f>SSCSource!N31</f>
        <v>1</v>
      </c>
      <c r="Y23" s="36">
        <f>TRUNC((Z23-(9.9-agent!$L$3)*W23*10),3)</f>
        <v>328.30500000000001</v>
      </c>
      <c r="Z23" s="49">
        <f>TRUNC(300+99*W23,3)</f>
        <v>332.96699999999998</v>
      </c>
      <c r="AA23" s="48"/>
      <c r="AB23" s="48">
        <f t="shared" si="0"/>
        <v>328.30500000000001</v>
      </c>
    </row>
    <row r="24" spans="1:28" x14ac:dyDescent="0.15">
      <c r="A24" s="50">
        <f>agent!J$2</f>
        <v>397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>
        <f>SSCSource!K$2</f>
        <v>11112</v>
      </c>
      <c r="I24" s="45">
        <f>SSCSource!M32</f>
        <v>0</v>
      </c>
      <c r="J24" s="45">
        <f t="shared" si="1"/>
        <v>1002354.225</v>
      </c>
      <c r="K24" s="50">
        <f>IF(ISNUMBER(agent!$O$6*$W24*$X24*E24),TRUNC(agent!$O$6*$W24*$X24*E24,3),"没有上级")</f>
        <v>0</v>
      </c>
      <c r="L24" s="50">
        <f>IF(ISNUMBER(agent!$O$9*$W24*E24*$X24),TRUNC(agent!$O$9*$W24*E24*$X24,3),"没有上级")</f>
        <v>0</v>
      </c>
      <c r="M24" s="50">
        <f>IF(ISNUMBER(agent!$O$12*$W24*E24*$X24),TRUNC(agent!$O$12*$W24*E24*$X24,3),"没有上级")</f>
        <v>0</v>
      </c>
      <c r="N24" s="50" t="str">
        <f>IF(ISNUMBER(agent!$O$15*$W24*E24*$X24),TRUNC(agent!$O$15*$W24*E24*$X24,3),"没有上级")</f>
        <v>没有上级</v>
      </c>
      <c r="O24" s="50" t="str">
        <f>IF(ISNUMBER(agent!$O$18*$W24*E24*$X24),TRUNC(agent!$O$18*$W24*E24*$X24,3),"没有上级")</f>
        <v>没有上级</v>
      </c>
      <c r="P24" s="50" t="str">
        <f>IF(ISNUMBER(agent!$O$21*$W24*E24*$X24),TRUNC(agent!$O$21*$W24*E24*$X24,3),"没有上级")</f>
        <v>没有上级</v>
      </c>
      <c r="Q24" s="50" t="str">
        <f>IF(ISNUMBER(agent!$O$24*$W24*E24*$X24),TRUNC(agent!$O$24*$W24*E24*$X24,3),"没有上级")</f>
        <v>没有上级</v>
      </c>
      <c r="R24" s="50" t="str">
        <f>IF(ISNUMBER(agent!$O$27*$W24*E24*$X24),TRUNC(agent!$O$27*$W24*E24*$X24,3),"没有上级")</f>
        <v>没有上级</v>
      </c>
      <c r="S24" s="50" t="str">
        <f>IF(ISNUMBER(agent!$O$30*$W24*E24*$X24),TRUNC(agent!$O$30*$W24*E24*$X24,3),"没有上级")</f>
        <v>没有上级</v>
      </c>
      <c r="T24" s="50" t="str">
        <f>IF(ISNUMBER(agent!$O$33*$W24*$X24*E24),TRUNC(agent!$O$33*$W24*$X24*E24,3),"没有上级")</f>
        <v>没有上级</v>
      </c>
      <c r="U24" s="50">
        <f t="shared" si="2"/>
        <v>0</v>
      </c>
      <c r="V24" s="50"/>
      <c r="W24" s="25">
        <f>TRUNC(0.666625,3)</f>
        <v>0.66600000000000004</v>
      </c>
      <c r="X24" s="25">
        <f>SSCSource!N32</f>
        <v>0</v>
      </c>
      <c r="Y24" s="36">
        <f>TRUNC((Z24-(9.9-agent!$L$3)*W24*10),3)</f>
        <v>656.61</v>
      </c>
      <c r="Z24" s="49">
        <f>TRUNC(600+99*W24,3)</f>
        <v>665.93399999999997</v>
      </c>
      <c r="AA24" s="48"/>
      <c r="AB24" s="48">
        <f t="shared" si="0"/>
        <v>656.61</v>
      </c>
    </row>
    <row r="25" spans="1:28" x14ac:dyDescent="0.15">
      <c r="A25" s="50">
        <f>agent!J$2</f>
        <v>397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>
        <f>SSCSource!K$2</f>
        <v>11112</v>
      </c>
      <c r="I25" s="45">
        <f>SSCSource!M33</f>
        <v>656.61</v>
      </c>
      <c r="J25" s="45">
        <f t="shared" si="1"/>
        <v>1002930.835</v>
      </c>
      <c r="K25" s="50">
        <f>IF(ISNUMBER(agent!$O$6*$W25*$X25*E25),TRUNC(agent!$O$6*$W25*$X25*E25,3),"没有上级")</f>
        <v>3.996</v>
      </c>
      <c r="L25" s="50">
        <f>IF(ISNUMBER(agent!$O$9*$W25*E25*$X25),TRUNC(agent!$O$9*$W25*E25*$X25,3),"没有上级")</f>
        <v>2.6640000000000001</v>
      </c>
      <c r="M25" s="50">
        <f>IF(ISNUMBER(agent!$O$12*$W25*E25*$X25),TRUNC(agent!$O$12*$W25*E25*$X25,3),"没有上级")</f>
        <v>2.6640000000000001</v>
      </c>
      <c r="N25" s="50" t="str">
        <f>IF(ISNUMBER(agent!$O$15*$W25*E25*$X25),TRUNC(agent!$O$15*$W25*E25*$X25,3),"没有上级")</f>
        <v>没有上级</v>
      </c>
      <c r="O25" s="50" t="str">
        <f>IF(ISNUMBER(agent!$O$18*$W25*E25*$X25),TRUNC(agent!$O$18*$W25*E25*$X25,3),"没有上级")</f>
        <v>没有上级</v>
      </c>
      <c r="P25" s="50" t="str">
        <f>IF(ISNUMBER(agent!$O$21*$W25*E25*$X25),TRUNC(agent!$O$21*$W25*E25*$X25,3),"没有上级")</f>
        <v>没有上级</v>
      </c>
      <c r="Q25" s="50" t="str">
        <f>IF(ISNUMBER(agent!$O$24*$W25*E25*$X25),TRUNC(agent!$O$24*$W25*E25*$X25,3),"没有上级")</f>
        <v>没有上级</v>
      </c>
      <c r="R25" s="50" t="str">
        <f>IF(ISNUMBER(agent!$O$27*$W25*E25*$X25),TRUNC(agent!$O$27*$W25*E25*$X25,3),"没有上级")</f>
        <v>没有上级</v>
      </c>
      <c r="S25" s="50" t="str">
        <f>IF(ISNUMBER(agent!$O$30*$W25*E25*$X25),TRUNC(agent!$O$30*$W25*E25*$X25,3),"没有上级")</f>
        <v>没有上级</v>
      </c>
      <c r="T25" s="50" t="str">
        <f>IF(ISNUMBER(agent!$O$33*$W25*$X25*E25),TRUNC(agent!$O$33*$W25*$X25*E25,3),"没有上级")</f>
        <v>没有上级</v>
      </c>
      <c r="U25" s="50">
        <f t="shared" si="2"/>
        <v>9.3239999999999998</v>
      </c>
      <c r="V25" s="50"/>
      <c r="W25" s="36">
        <f>TRUNC(0.33325,3)</f>
        <v>0.33300000000000002</v>
      </c>
      <c r="X25" s="25">
        <f>SSCSource!N33</f>
        <v>1</v>
      </c>
      <c r="Y25" s="36">
        <f>TRUNC((Z25-(9.9-agent!$L$3)*W25*10),3)</f>
        <v>328.30500000000001</v>
      </c>
      <c r="Z25" s="49">
        <f t="shared" ref="Z25:Z27" si="8">TRUNC(300+99*W25,3)</f>
        <v>332.96699999999998</v>
      </c>
      <c r="AA25" s="48"/>
      <c r="AB25" s="48">
        <f t="shared" si="0"/>
        <v>328.30500000000001</v>
      </c>
    </row>
    <row r="26" spans="1:28" x14ac:dyDescent="0.15">
      <c r="A26" s="50">
        <f>agent!J$2</f>
        <v>397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>
        <f>SSCSource!K$2</f>
        <v>11112</v>
      </c>
      <c r="I26" s="45">
        <f>SSCSource!M34</f>
        <v>0</v>
      </c>
      <c r="J26" s="45">
        <f t="shared" si="1"/>
        <v>1002900.835</v>
      </c>
      <c r="K26" s="50">
        <f>IF(ISNUMBER(agent!$O$6*$W26*$X26*E26),TRUNC(agent!$O$6*$W26*$X26*E26,3),"没有上级")</f>
        <v>0</v>
      </c>
      <c r="L26" s="50">
        <f>IF(ISNUMBER(agent!$O$9*$W26*E26*$X26),TRUNC(agent!$O$9*$W26*E26*$X26,3),"没有上级")</f>
        <v>0</v>
      </c>
      <c r="M26" s="50">
        <f>IF(ISNUMBER(agent!$O$12*$W26*E26*$X26),TRUNC(agent!$O$12*$W26*E26*$X26,3),"没有上级")</f>
        <v>0</v>
      </c>
      <c r="N26" s="50" t="str">
        <f>IF(ISNUMBER(agent!$O$15*$W26*E26*$X26),TRUNC(agent!$O$15*$W26*E26*$X26,3),"没有上级")</f>
        <v>没有上级</v>
      </c>
      <c r="O26" s="50" t="str">
        <f>IF(ISNUMBER(agent!$O$18*$W26*E26*$X26),TRUNC(agent!$O$18*$W26*E26*$X26,3),"没有上级")</f>
        <v>没有上级</v>
      </c>
      <c r="P26" s="50" t="str">
        <f>IF(ISNUMBER(agent!$O$21*$W26*E26*$X26),TRUNC(agent!$O$21*$W26*E26*$X26,3),"没有上级")</f>
        <v>没有上级</v>
      </c>
      <c r="Q26" s="50" t="str">
        <f>IF(ISNUMBER(agent!$O$24*$W26*E26*$X26),TRUNC(agent!$O$24*$W26*E26*$X26,3),"没有上级")</f>
        <v>没有上级</v>
      </c>
      <c r="R26" s="50" t="str">
        <f>IF(ISNUMBER(agent!$O$27*$W26*E26*$X26),TRUNC(agent!$O$27*$W26*E26*$X26,3),"没有上级")</f>
        <v>没有上级</v>
      </c>
      <c r="S26" s="50" t="str">
        <f>IF(ISNUMBER(agent!$O$30*$W26*E26*$X26),TRUNC(agent!$O$30*$W26*E26*$X26,3),"没有上级")</f>
        <v>没有上级</v>
      </c>
      <c r="T26" s="50" t="str">
        <f>IF(ISNUMBER(agent!$O$33*$W26*$X26*E26),TRUNC(agent!$O$33*$W26*$X26*E26,3),"没有上级")</f>
        <v>没有上级</v>
      </c>
      <c r="U26" s="50">
        <f t="shared" si="2"/>
        <v>0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328.30500000000001</v>
      </c>
      <c r="Z26" s="49">
        <f t="shared" si="8"/>
        <v>332.96699999999998</v>
      </c>
      <c r="AA26" s="48"/>
      <c r="AB26" s="48">
        <f t="shared" si="0"/>
        <v>328.30500000000001</v>
      </c>
    </row>
    <row r="27" spans="1:28" x14ac:dyDescent="0.15">
      <c r="A27" s="50">
        <f>agent!J$2</f>
        <v>397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>
        <f>SSCSource!K$2</f>
        <v>11112</v>
      </c>
      <c r="I27" s="45">
        <f>SSCSource!M35</f>
        <v>0</v>
      </c>
      <c r="J27" s="45">
        <f t="shared" si="1"/>
        <v>1002468.835</v>
      </c>
      <c r="K27" s="50">
        <f>IF(ISNUMBER(agent!$O$6*$W27*$X27*E27),TRUNC(agent!$O$6*$W27*$X27*E27,3),"没有上级")</f>
        <v>0</v>
      </c>
      <c r="L27" s="50">
        <f>IF(ISNUMBER(agent!$O$9*$W27*E27*$X27),TRUNC(agent!$O$9*$W27*E27*$X27,3),"没有上级")</f>
        <v>0</v>
      </c>
      <c r="M27" s="50">
        <f>IF(ISNUMBER(agent!$O$12*$W27*E27*$X27),TRUNC(agent!$O$12*$W27*E27*$X27,3),"没有上级")</f>
        <v>0</v>
      </c>
      <c r="N27" s="50" t="str">
        <f>IF(ISNUMBER(agent!$O$15*$W27*E27*$X27),TRUNC(agent!$O$15*$W27*E27*$X27,3),"没有上级")</f>
        <v>没有上级</v>
      </c>
      <c r="O27" s="50" t="str">
        <f>IF(ISNUMBER(agent!$O$18*$W27*E27*$X27),TRUNC(agent!$O$18*$W27*E27*$X27,3),"没有上级")</f>
        <v>没有上级</v>
      </c>
      <c r="P27" s="50" t="str">
        <f>IF(ISNUMBER(agent!$O$21*$W27*E27*$X27),TRUNC(agent!$O$21*$W27*E27*$X27,3),"没有上级")</f>
        <v>没有上级</v>
      </c>
      <c r="Q27" s="50" t="str">
        <f>IF(ISNUMBER(agent!$O$24*$W27*E27*$X27),TRUNC(agent!$O$24*$W27*E27*$X27,3),"没有上级")</f>
        <v>没有上级</v>
      </c>
      <c r="R27" s="50" t="str">
        <f>IF(ISNUMBER(agent!$O$27*$W27*E27*$X27),TRUNC(agent!$O$27*$W27*E27*$X27,3),"没有上级")</f>
        <v>没有上级</v>
      </c>
      <c r="S27" s="50" t="str">
        <f>IF(ISNUMBER(agent!$O$30*$W27*E27*$X27),TRUNC(agent!$O$30*$W27*E27*$X27,3),"没有上级")</f>
        <v>没有上级</v>
      </c>
      <c r="T27" s="50" t="str">
        <f>IF(ISNUMBER(agent!$O$33*$W27*$X27*E27),TRUNC(agent!$O$33*$W27*$X27*E27,3),"没有上级")</f>
        <v>没有上级</v>
      </c>
      <c r="U27" s="50">
        <f t="shared" si="2"/>
        <v>0</v>
      </c>
      <c r="V27" s="50"/>
      <c r="W27" s="36">
        <f>TRUNC(0.33325,3)</f>
        <v>0.33300000000000002</v>
      </c>
      <c r="X27" s="25">
        <f>SSCSource!N35</f>
        <v>0</v>
      </c>
      <c r="Y27" s="36">
        <f>TRUNC((Z27-(9.9-agent!$L$3)*W27*10),3)</f>
        <v>328.30500000000001</v>
      </c>
      <c r="Z27" s="49">
        <f t="shared" si="8"/>
        <v>332.96699999999998</v>
      </c>
      <c r="AA27" s="48"/>
      <c r="AB27" s="48">
        <f t="shared" si="0"/>
        <v>328.30500000000001</v>
      </c>
    </row>
    <row r="28" spans="1:28" x14ac:dyDescent="0.15">
      <c r="A28" s="50">
        <f>agent!J$2</f>
        <v>397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>
        <f>SSCSource!K$2</f>
        <v>11112</v>
      </c>
      <c r="I28" s="45">
        <f>SSCSource!M36</f>
        <v>0</v>
      </c>
      <c r="J28" s="45">
        <f t="shared" si="1"/>
        <v>1002462.835</v>
      </c>
      <c r="K28" s="50">
        <f>IF(ISNUMBER(agent!$O$6*$W28*$X28*E28),TRUNC(agent!$O$6*$W28*$X28*E28,3),"没有上级")</f>
        <v>0</v>
      </c>
      <c r="L28" s="50">
        <f>IF(ISNUMBER(agent!$O$9*$W28*E28*$X28),TRUNC(agent!$O$9*$W28*E28*$X28,3),"没有上级")</f>
        <v>0</v>
      </c>
      <c r="M28" s="50">
        <f>IF(ISNUMBER(agent!$O$12*$W28*E28*$X28),TRUNC(agent!$O$12*$W28*E28*$X28,3),"没有上级")</f>
        <v>0</v>
      </c>
      <c r="N28" s="50" t="str">
        <f>IF(ISNUMBER(agent!$O$15*$W28*E28*$X28),TRUNC(agent!$O$15*$W28*E28*$X28,3),"没有上级")</f>
        <v>没有上级</v>
      </c>
      <c r="O28" s="50" t="str">
        <f>IF(ISNUMBER(agent!$O$18*$W28*E28*$X28),TRUNC(agent!$O$18*$W28*E28*$X28,3),"没有上级")</f>
        <v>没有上级</v>
      </c>
      <c r="P28" s="50" t="str">
        <f>IF(ISNUMBER(agent!$O$21*$W28*E28*$X28),TRUNC(agent!$O$21*$W28*E28*$X28,3),"没有上级")</f>
        <v>没有上级</v>
      </c>
      <c r="Q28" s="50" t="str">
        <f>IF(ISNUMBER(agent!$O$24*$W28*E28*$X28),TRUNC(agent!$O$24*$W28*E28*$X28,3),"没有上级")</f>
        <v>没有上级</v>
      </c>
      <c r="R28" s="50" t="str">
        <f>IF(ISNUMBER(agent!$O$27*$W28*E28*$X28),TRUNC(agent!$O$27*$W28*E28*$X28,3),"没有上级")</f>
        <v>没有上级</v>
      </c>
      <c r="S28" s="50" t="str">
        <f>IF(ISNUMBER(agent!$O$30*$W28*E28*$X28),TRUNC(agent!$O$30*$W28*E28*$X28,3),"没有上级")</f>
        <v>没有上级</v>
      </c>
      <c r="T28" s="50" t="str">
        <f>IF(ISNUMBER(agent!$O$33*$W28*$X28*E28),TRUNC(agent!$O$33*$W28*$X28*E28,3),"没有上级")</f>
        <v>没有上级</v>
      </c>
      <c r="U28" s="50">
        <f t="shared" si="2"/>
        <v>0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656.61</v>
      </c>
      <c r="Z28" s="49">
        <f>TRUNC(600+99*W28,3)</f>
        <v>665.93399999999997</v>
      </c>
      <c r="AA28" s="48"/>
      <c r="AB28" s="48">
        <f t="shared" si="0"/>
        <v>656.61</v>
      </c>
    </row>
    <row r="29" spans="1:28" x14ac:dyDescent="0.15">
      <c r="A29" s="50">
        <f>agent!J$2</f>
        <v>397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>
        <f>SSCSource!K$2</f>
        <v>11112</v>
      </c>
      <c r="I29" s="45">
        <f>SSCSource!M37</f>
        <v>0</v>
      </c>
      <c r="J29" s="45">
        <f t="shared" si="1"/>
        <v>1002458.835</v>
      </c>
      <c r="K29" s="50">
        <f>IF(ISNUMBER(agent!$O$6*$W29*$X29*E29),TRUNC(agent!$O$6*$W29*$X29*E29,3),"没有上级")</f>
        <v>0</v>
      </c>
      <c r="L29" s="50">
        <f>IF(ISNUMBER(agent!$O$9*$W29*E29*$X29),TRUNC(agent!$O$9*$W29*E29*$X29,3),"没有上级")</f>
        <v>0</v>
      </c>
      <c r="M29" s="50">
        <f>IF(ISNUMBER(agent!$O$12*$W29*E29*$X29),TRUNC(agent!$O$12*$W29*E29*$X29,3),"没有上级")</f>
        <v>0</v>
      </c>
      <c r="N29" s="50" t="str">
        <f>IF(ISNUMBER(agent!$O$15*$W29*E29*$X29),TRUNC(agent!$O$15*$W29*E29*$X29,3),"没有上级")</f>
        <v>没有上级</v>
      </c>
      <c r="O29" s="50" t="str">
        <f>IF(ISNUMBER(agent!$O$18*$W29*E29*$X29),TRUNC(agent!$O$18*$W29*E29*$X29,3),"没有上级")</f>
        <v>没有上级</v>
      </c>
      <c r="P29" s="50" t="str">
        <f>IF(ISNUMBER(agent!$O$21*$W29*E29*$X29),TRUNC(agent!$O$21*$W29*E29*$X29,3),"没有上级")</f>
        <v>没有上级</v>
      </c>
      <c r="Q29" s="50" t="str">
        <f>IF(ISNUMBER(agent!$O$24*$W29*E29*$X29),TRUNC(agent!$O$24*$W29*E29*$X29,3),"没有上级")</f>
        <v>没有上级</v>
      </c>
      <c r="R29" s="50" t="str">
        <f>IF(ISNUMBER(agent!$O$27*$W29*E29*$X29),TRUNC(agent!$O$27*$W29*E29*$X29,3),"没有上级")</f>
        <v>没有上级</v>
      </c>
      <c r="S29" s="50" t="str">
        <f>IF(ISNUMBER(agent!$O$30*$W29*E29*$X29),TRUNC(agent!$O$30*$W29*E29*$X29,3),"没有上级")</f>
        <v>没有上级</v>
      </c>
      <c r="T29" s="50" t="str">
        <f>IF(ISNUMBER(agent!$O$33*$W29*$X29*E29),TRUNC(agent!$O$33*$W29*$X29*E29,3),"没有上级")</f>
        <v>没有上级</v>
      </c>
      <c r="U29" s="50">
        <f t="shared" si="2"/>
        <v>0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328.30500000000001</v>
      </c>
      <c r="Z29" s="49">
        <f>TRUNC(300+99*W29,3)</f>
        <v>332.96699999999998</v>
      </c>
      <c r="AA29" s="48"/>
      <c r="AB29" s="48">
        <f t="shared" si="0"/>
        <v>328.30500000000001</v>
      </c>
    </row>
    <row r="30" spans="1:28" s="29" customFormat="1" x14ac:dyDescent="0.15">
      <c r="A30" s="50">
        <f>agent!J$2</f>
        <v>397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>
        <f>SSCSource!K$2</f>
        <v>11112</v>
      </c>
      <c r="I30" s="29">
        <f>SSCSource!M38</f>
        <v>7.2350000000000003</v>
      </c>
      <c r="J30" s="29">
        <f t="shared" si="1"/>
        <v>1002452.07</v>
      </c>
      <c r="K30" s="50">
        <f>IF(ISNUMBER(agent!$O$6*$W30*$X30*E30),TRUNC(agent!$O$6*$W30*$X30*E30,3),"没有上级")</f>
        <v>4.2000000000000003E-2</v>
      </c>
      <c r="L30" s="50">
        <f>IF(ISNUMBER(agent!$O$9*$W30*E30*$X30),TRUNC(agent!$O$9*$W30*E30*$X30,3),"没有上级")</f>
        <v>2.8000000000000001E-2</v>
      </c>
      <c r="M30" s="50">
        <f>IF(ISNUMBER(agent!$O$12*$W30*E30*$X30),TRUNC(agent!$O$12*$W30*E30*$X30,3),"没有上级")</f>
        <v>2.8000000000000001E-2</v>
      </c>
      <c r="N30" s="50" t="str">
        <f>IF(ISNUMBER(agent!$O$15*$W30*E30*$X30),TRUNC(agent!$O$15*$W30*E30*$X30,3),"没有上级")</f>
        <v>没有上级</v>
      </c>
      <c r="O30" s="50" t="str">
        <f>IF(ISNUMBER(agent!$O$18*$W30*E30*$X30),TRUNC(agent!$O$18*$W30*E30*$X30,3),"没有上级")</f>
        <v>没有上级</v>
      </c>
      <c r="P30" s="50" t="str">
        <f>IF(ISNUMBER(agent!$O$21*$W30*E30*$X30),TRUNC(agent!$O$21*$W30*E30*$X30,3),"没有上级")</f>
        <v>没有上级</v>
      </c>
      <c r="Q30" s="50" t="str">
        <f>IF(ISNUMBER(agent!$O$24*$W30*E30*$X30),TRUNC(agent!$O$24*$W30*E30*$X30,3),"没有上级")</f>
        <v>没有上级</v>
      </c>
      <c r="R30" s="50" t="str">
        <f>IF(ISNUMBER(agent!$O$27*$W30*E30*$X30),TRUNC(agent!$O$27*$W30*E30*$X30,3),"没有上级")</f>
        <v>没有上级</v>
      </c>
      <c r="S30" s="50" t="str">
        <f>IF(ISNUMBER(agent!$O$30*$W30*E30*$X30),TRUNC(agent!$O$30*$W30*E30*$X30,3),"没有上级")</f>
        <v>没有上级</v>
      </c>
      <c r="T30" s="50" t="str">
        <f>IF(ISNUMBER(agent!$O$33*$W30*$X30*E30),TRUNC(agent!$O$33*$W30*$X30*E30,3),"没有上级")</f>
        <v>没有上级</v>
      </c>
      <c r="U30" s="50">
        <f t="shared" si="2"/>
        <v>9.8000000000000004E-2</v>
      </c>
      <c r="V30" s="50"/>
      <c r="W30" s="29">
        <f>TRUNC(0.007375,3)</f>
        <v>7.0000000000000001E-3</v>
      </c>
      <c r="X30" s="29">
        <f>SSCSource!N38</f>
        <v>1</v>
      </c>
      <c r="Y30" s="29">
        <f>TRUNC((Z30-(9.9-agent!$L$3)*W30*10),3)</f>
        <v>7.2350000000000003</v>
      </c>
      <c r="Z30" s="49">
        <f>TRUNC(6.64+99*W30,3)</f>
        <v>7.3330000000000002</v>
      </c>
      <c r="AA30" s="48"/>
      <c r="AB30" s="29">
        <f t="shared" si="0"/>
        <v>7.2350000000000003</v>
      </c>
    </row>
    <row r="31" spans="1:28" ht="12.75" customHeight="1" x14ac:dyDescent="0.15">
      <c r="A31" s="50">
        <f>agent!J$2</f>
        <v>397</v>
      </c>
      <c r="B31" s="45" t="s">
        <v>26</v>
      </c>
      <c r="C31" s="45" t="s">
        <v>35</v>
      </c>
      <c r="D31" s="45" t="str">
        <f>SSCSource!$O39</f>
        <v>1 2 3 4 5 6 7 8</v>
      </c>
      <c r="E31" s="45">
        <f>SSCSource!$R39</f>
        <v>4</v>
      </c>
      <c r="F31" s="45">
        <v>1</v>
      </c>
      <c r="G31" s="45">
        <f>SSCSource!$P39</f>
        <v>224</v>
      </c>
      <c r="H31" s="45">
        <f>SSCSource!K$2</f>
        <v>11112</v>
      </c>
      <c r="I31" s="45">
        <f>IF(ISNUMBER(SSCSource!M39),SSCSource!M39,0)</f>
        <v>0</v>
      </c>
      <c r="J31" s="45">
        <f t="shared" si="1"/>
        <v>1002228.07</v>
      </c>
      <c r="K31" s="50">
        <f>IF(ISNUMBER(agent!$O$6*$W31*$X31*E31),TRUNC(agent!$O$6*$W31*$X31*E31,3),"没有上级")</f>
        <v>0</v>
      </c>
      <c r="L31" s="50">
        <f>IF(ISNUMBER(agent!$O$9*$W31*E31*$X31),TRUNC(agent!$O$9*$W31*E31*$X31,3),"没有上级")</f>
        <v>0</v>
      </c>
      <c r="M31" s="50">
        <f>IF(ISNUMBER(agent!$O$12*$W31*E31*$X31),TRUNC(agent!$O$12*$W31*E31*$X31,3),"没有上级")</f>
        <v>0</v>
      </c>
      <c r="N31" s="50" t="str">
        <f>IF(ISNUMBER(agent!$O$15*$W31*E31*$X31),TRUNC(agent!$O$15*$W31*E31*$X31,3),"没有上级")</f>
        <v>没有上级</v>
      </c>
      <c r="O31" s="50" t="str">
        <f>IF(ISNUMBER(agent!$O$18*$W31*E31*$X31),TRUNC(agent!$O$18*$W31*E31*$X31,3),"没有上级")</f>
        <v>没有上级</v>
      </c>
      <c r="P31" s="50" t="str">
        <f>IF(ISNUMBER(agent!$O$21*$W31*E31*$X31),TRUNC(agent!$O$21*$W31*E31*$X31,3),"没有上级")</f>
        <v>没有上级</v>
      </c>
      <c r="Q31" s="50" t="str">
        <f>IF(ISNUMBER(agent!$O$24*$W31*E31*$X31),TRUNC(agent!$O$24*$W31*E31*$X31,3),"没有上级")</f>
        <v>没有上级</v>
      </c>
      <c r="R31" s="50" t="str">
        <f>IF(ISNUMBER(agent!$O$27*$W31*E31*$X31),TRUNC(agent!$O$27*$W31*E31*$X31,3),"没有上级")</f>
        <v>没有上级</v>
      </c>
      <c r="S31" s="50" t="str">
        <f>IF(ISNUMBER(agent!$O$30*$W31*E31*$X31),TRUNC(agent!$O$30*$W31*E31*$X31,3),"没有上级")</f>
        <v>没有上级</v>
      </c>
      <c r="T31" s="50" t="str">
        <f>IF(ISNUMBER(agent!$O$33*$W31*$X31*E31),TRUNC(agent!$O$33*$W31*$X31*E31,3),"没有上级")</f>
        <v>没有上级</v>
      </c>
      <c r="U31" s="50">
        <f t="shared" si="2"/>
        <v>0</v>
      </c>
      <c r="V31" s="50"/>
      <c r="W31" s="25">
        <f>TRUNC(0.037,3)</f>
        <v>3.6999999999999998E-2</v>
      </c>
      <c r="X31" s="25">
        <f>SSCSource!N39</f>
        <v>0</v>
      </c>
      <c r="Y31" s="36">
        <f>TRUNC((Z31-(9.9-agent!$L$3)*W31*10),3)</f>
        <v>36.475000000000001</v>
      </c>
      <c r="Z31" s="49">
        <f>TRUNC(33.33+99*W31,3)</f>
        <v>36.993000000000002</v>
      </c>
      <c r="AA31" s="48"/>
      <c r="AB31" s="48">
        <f t="shared" si="0"/>
        <v>36.475000000000001</v>
      </c>
    </row>
    <row r="32" spans="1:28" x14ac:dyDescent="0.15">
      <c r="A32" s="50">
        <f>agent!J$2</f>
        <v>397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>
        <f>SSCSource!K$2</f>
        <v>11112</v>
      </c>
      <c r="I32" s="45">
        <f>SSCSource!M40</f>
        <v>0</v>
      </c>
      <c r="J32" s="45">
        <f t="shared" si="1"/>
        <v>1000068.07</v>
      </c>
      <c r="K32" s="50">
        <f>IF(ISNUMBER(agent!$O$6*$W32*$X32*E32),TRUNC(agent!$O$6*$W32*$X32*E32,3),"没有上级")</f>
        <v>0</v>
      </c>
      <c r="L32" s="50">
        <f>IF(ISNUMBER(agent!$O$9*$W32*E32*$X32),TRUNC(agent!$O$9*$W32*E32*$X32,3),"没有上级")</f>
        <v>0</v>
      </c>
      <c r="M32" s="50">
        <f>IF(ISNUMBER(agent!$O$12*$W32*E32*$X32),TRUNC(agent!$O$12*$W32*E32*$X32,3),"没有上级")</f>
        <v>0</v>
      </c>
      <c r="N32" s="50" t="str">
        <f>IF(ISNUMBER(agent!$O$15*$W32*E32*$X32),TRUNC(agent!$O$15*$W32*E32*$X32,3),"没有上级")</f>
        <v>没有上级</v>
      </c>
      <c r="O32" s="50" t="str">
        <f>IF(ISNUMBER(agent!$O$18*$W32*E32*$X32),TRUNC(agent!$O$18*$W32*E32*$X32,3),"没有上级")</f>
        <v>没有上级</v>
      </c>
      <c r="P32" s="50" t="str">
        <f>IF(ISNUMBER(agent!$O$21*$W32*E32*$X32),TRUNC(agent!$O$21*$W32*E32*$X32,3),"没有上级")</f>
        <v>没有上级</v>
      </c>
      <c r="Q32" s="50" t="str">
        <f>IF(ISNUMBER(agent!$O$24*$W32*E32*$X32),TRUNC(agent!$O$24*$W32*E32*$X32,3),"没有上级")</f>
        <v>没有上级</v>
      </c>
      <c r="R32" s="50" t="str">
        <f>IF(ISNUMBER(agent!$O$27*$W32*E32*$X32),TRUNC(agent!$O$27*$W32*E32*$X32,3),"没有上级")</f>
        <v>没有上级</v>
      </c>
      <c r="S32" s="50" t="str">
        <f>IF(ISNUMBER(agent!$O$30*$W32*E32*$X32),TRUNC(agent!$O$30*$W32*E32*$X32,3),"没有上级")</f>
        <v>没有上级</v>
      </c>
      <c r="T32" s="50" t="str">
        <f>IF(ISNUMBER(agent!$O$33*$W32*$X32*E32),TRUNC(agent!$O$33*$W32*$X32*E32,3),"没有上级")</f>
        <v>没有上级</v>
      </c>
      <c r="U32" s="50">
        <f t="shared" si="2"/>
        <v>0</v>
      </c>
      <c r="V32" s="50"/>
      <c r="W32" s="25">
        <v>2</v>
      </c>
      <c r="X32" s="25">
        <f>SSCSource!N40</f>
        <v>0</v>
      </c>
      <c r="Y32" s="36">
        <f>TRUNC((Z32-(9.9-agent!$L$3)*W32*10),3)</f>
        <v>1970</v>
      </c>
      <c r="Z32" s="49">
        <f>TRUNC(1800+99*W32,3)</f>
        <v>1998</v>
      </c>
      <c r="AA32" s="48"/>
      <c r="AB32" s="48">
        <f t="shared" si="0"/>
        <v>1970</v>
      </c>
    </row>
    <row r="33" spans="1:28" x14ac:dyDescent="0.15">
      <c r="A33" s="50">
        <f>agent!J$2</f>
        <v>397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>
        <f>SSCSource!K$2</f>
        <v>11112</v>
      </c>
      <c r="I33" s="45">
        <f>SSCSource!M43</f>
        <v>0</v>
      </c>
      <c r="J33" s="45">
        <f t="shared" si="1"/>
        <v>1000060.07</v>
      </c>
      <c r="K33" s="50">
        <f>IF(ISNUMBER(agent!$O$6*$W33*$X33*E33),TRUNC(agent!$O$6*$W33*$X33*E33,3),"没有上级")</f>
        <v>0</v>
      </c>
      <c r="L33" s="50">
        <f>IF(ISNUMBER(agent!$O$9*$W33*E33*$X33),TRUNC(agent!$O$9*$W33*E33*$X33,3),"没有上级")</f>
        <v>0</v>
      </c>
      <c r="M33" s="50">
        <f>IF(ISNUMBER(agent!$O$12*$W33*E33*$X33),TRUNC(agent!$O$12*$W33*E33*$X33,3),"没有上级")</f>
        <v>0</v>
      </c>
      <c r="N33" s="50" t="str">
        <f>IF(ISNUMBER(agent!$O$15*$W33*E33*$X33),TRUNC(agent!$O$15*$W33*E33*$X33,3),"没有上级")</f>
        <v>没有上级</v>
      </c>
      <c r="O33" s="50" t="str">
        <f>IF(ISNUMBER(agent!$O$18*$W33*E33*$X33),TRUNC(agent!$O$18*$W33*E33*$X33,3),"没有上级")</f>
        <v>没有上级</v>
      </c>
      <c r="P33" s="50" t="str">
        <f>IF(ISNUMBER(agent!$O$21*$W33*E33*$X33),TRUNC(agent!$O$21*$W33*E33*$X33,3),"没有上级")</f>
        <v>没有上级</v>
      </c>
      <c r="Q33" s="50" t="str">
        <f>IF(ISNUMBER(agent!$O$24*$W33*E33*$X33),TRUNC(agent!$O$24*$W33*E33*$X33,3),"没有上级")</f>
        <v>没有上级</v>
      </c>
      <c r="R33" s="50" t="str">
        <f>IF(ISNUMBER(agent!$O$27*$W33*E33*$X33),TRUNC(agent!$O$27*$W33*E33*$X33,3),"没有上级")</f>
        <v>没有上级</v>
      </c>
      <c r="S33" s="50" t="str">
        <f>IF(ISNUMBER(agent!$O$30*$W33*E33*$X33),TRUNC(agent!$O$30*$W33*E33*$X33,3),"没有上级")</f>
        <v>没有上级</v>
      </c>
      <c r="T33" s="50" t="str">
        <f>IF(ISNUMBER(agent!$O$33*$W33*$X33*E33),TRUNC(agent!$O$33*$W33*$X33*E33,3),"没有上级")</f>
        <v>没有上级</v>
      </c>
      <c r="U33" s="50">
        <f t="shared" si="2"/>
        <v>0</v>
      </c>
      <c r="V33" s="50"/>
      <c r="W33" s="25">
        <v>2</v>
      </c>
      <c r="X33" s="25">
        <f>SSCSource!N43</f>
        <v>0</v>
      </c>
      <c r="Y33" s="36">
        <f>TRUNC((Z33-(9.9-agent!$L$3)*W33*10),3)</f>
        <v>1970</v>
      </c>
      <c r="Z33" s="49">
        <f t="shared" ref="Z33:Z35" si="9">TRUNC(1800+99*W33,3)</f>
        <v>1998</v>
      </c>
      <c r="AA33" s="48"/>
      <c r="AB33" s="48">
        <f t="shared" si="0"/>
        <v>1970</v>
      </c>
    </row>
    <row r="34" spans="1:28" ht="20.25" customHeight="1" x14ac:dyDescent="0.15">
      <c r="A34" s="50">
        <f>agent!J$2</f>
        <v>397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>
        <f>SSCSource!K$2</f>
        <v>11112</v>
      </c>
      <c r="I34" s="45">
        <f>SSCSource!M44</f>
        <v>0</v>
      </c>
      <c r="J34" s="45">
        <f t="shared" si="1"/>
        <v>998002.07</v>
      </c>
      <c r="K34" s="50">
        <f>IF(ISNUMBER(agent!$O$6*$W34*$X34*E34),TRUNC(agent!$O$6*$W34*$X34*E34,3),"没有上级")</f>
        <v>0</v>
      </c>
      <c r="L34" s="50">
        <f>IF(ISNUMBER(agent!$O$9*$W34*E34*$X34),TRUNC(agent!$O$9*$W34*E34*$X34,3),"没有上级")</f>
        <v>0</v>
      </c>
      <c r="M34" s="50">
        <f>IF(ISNUMBER(agent!$O$12*$W34*E34*$X34),TRUNC(agent!$O$12*$W34*E34*$X34,3),"没有上级")</f>
        <v>0</v>
      </c>
      <c r="N34" s="50" t="str">
        <f>IF(ISNUMBER(agent!$O$15*$W34*E34*$X34),TRUNC(agent!$O$15*$W34*E34*$X34,3),"没有上级")</f>
        <v>没有上级</v>
      </c>
      <c r="O34" s="50" t="str">
        <f>IF(ISNUMBER(agent!$O$18*$W34*E34*$X34),TRUNC(agent!$O$18*$W34*E34*$X34,3),"没有上级")</f>
        <v>没有上级</v>
      </c>
      <c r="P34" s="50" t="str">
        <f>IF(ISNUMBER(agent!$O$21*$W34*E34*$X34),TRUNC(agent!$O$21*$W34*E34*$X34,3),"没有上级")</f>
        <v>没有上级</v>
      </c>
      <c r="Q34" s="50" t="str">
        <f>IF(ISNUMBER(agent!$O$24*$W34*E34*$X34),TRUNC(agent!$O$24*$W34*E34*$X34,3),"没有上级")</f>
        <v>没有上级</v>
      </c>
      <c r="R34" s="50" t="str">
        <f>IF(ISNUMBER(agent!$O$27*$W34*E34*$X34),TRUNC(agent!$O$27*$W34*E34*$X34,3),"没有上级")</f>
        <v>没有上级</v>
      </c>
      <c r="S34" s="50" t="str">
        <f>IF(ISNUMBER(agent!$O$30*$W34*E34*$X34),TRUNC(agent!$O$30*$W34*E34*$X34,3),"没有上级")</f>
        <v>没有上级</v>
      </c>
      <c r="T34" s="50" t="str">
        <f>IF(ISNUMBER(agent!$O$33*$W34*$X34*E34),TRUNC(agent!$O$33*$W34*$X34*E34,3),"没有上级")</f>
        <v>没有上级</v>
      </c>
      <c r="U34" s="50">
        <f t="shared" si="2"/>
        <v>0</v>
      </c>
      <c r="V34" s="50"/>
      <c r="W34" s="25">
        <v>2</v>
      </c>
      <c r="X34" s="25">
        <f>SSCSource!N44</f>
        <v>0</v>
      </c>
      <c r="Y34" s="36">
        <f>TRUNC((Z34-(9.9-agent!$L$3)*W34*10),3)</f>
        <v>1970</v>
      </c>
      <c r="Z34" s="49">
        <f t="shared" si="9"/>
        <v>1998</v>
      </c>
      <c r="AA34" s="48"/>
      <c r="AB34" s="48">
        <f t="shared" ref="AB34:AB65" si="10">Y34+AA34/E34</f>
        <v>1970</v>
      </c>
    </row>
    <row r="35" spans="1:28" x14ac:dyDescent="0.15">
      <c r="A35" s="50">
        <f>agent!J$2</f>
        <v>397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>
        <f>SSCSource!K$2</f>
        <v>11112</v>
      </c>
      <c r="I35" s="45">
        <f>SSCSource!M45</f>
        <v>9850</v>
      </c>
      <c r="J35" s="45">
        <f t="shared" ref="J35:J66" si="11">$J34-$G35+$I35</f>
        <v>1002052.07</v>
      </c>
      <c r="K35" s="50">
        <f>IF(ISNUMBER(agent!$O$6*$W35*$X35*E35),TRUNC(agent!$O$6*$W35*$X35*E35,3),"没有上级")</f>
        <v>60</v>
      </c>
      <c r="L35" s="50">
        <f>IF(ISNUMBER(agent!$O$9*$W35*E35*$X35),TRUNC(agent!$O$9*$W35*E35*$X35,3),"没有上级")</f>
        <v>40</v>
      </c>
      <c r="M35" s="50">
        <f>IF(ISNUMBER(agent!$O$12*$W35*E35*$X35),TRUNC(agent!$O$12*$W35*E35*$X35,3),"没有上级")</f>
        <v>40</v>
      </c>
      <c r="N35" s="50" t="str">
        <f>IF(ISNUMBER(agent!$O$15*$W35*E35*$X35),TRUNC(agent!$O$15*$W35*E35*$X35,3),"没有上级")</f>
        <v>没有上级</v>
      </c>
      <c r="O35" s="50" t="str">
        <f>IF(ISNUMBER(agent!$O$18*$W35*E35*$X35),TRUNC(agent!$O$18*$W35*E35*$X35,3),"没有上级")</f>
        <v>没有上级</v>
      </c>
      <c r="P35" s="50" t="str">
        <f>IF(ISNUMBER(agent!$O$21*$W35*E35*$X35),TRUNC(agent!$O$21*$W35*E35*$X35,3),"没有上级")</f>
        <v>没有上级</v>
      </c>
      <c r="Q35" s="50" t="str">
        <f>IF(ISNUMBER(agent!$O$24*$W35*E35*$X35),TRUNC(agent!$O$24*$W35*E35*$X35,3),"没有上级")</f>
        <v>没有上级</v>
      </c>
      <c r="R35" s="50" t="str">
        <f>IF(ISNUMBER(agent!$O$27*$W35*E35*$X35),TRUNC(agent!$O$27*$W35*E35*$X35,3),"没有上级")</f>
        <v>没有上级</v>
      </c>
      <c r="S35" s="50" t="str">
        <f>IF(ISNUMBER(agent!$O$30*$W35*E35*$X35),TRUNC(agent!$O$30*$W35*E35*$X35,3),"没有上级")</f>
        <v>没有上级</v>
      </c>
      <c r="T35" s="50" t="str">
        <f>IF(ISNUMBER(agent!$O$33*$W35*$X35*E35),TRUNC(agent!$O$33*$W35*$X35*E35,3),"没有上级")</f>
        <v>没有上级</v>
      </c>
      <c r="U35" s="50">
        <f t="shared" si="2"/>
        <v>140</v>
      </c>
      <c r="V35" s="50"/>
      <c r="W35" s="25">
        <v>2</v>
      </c>
      <c r="X35" s="25">
        <f>SSCSource!N45</f>
        <v>1</v>
      </c>
      <c r="Y35" s="36">
        <f>TRUNC((Z35-(9.9-agent!$L$3)*W35*10),3)</f>
        <v>1970</v>
      </c>
      <c r="Z35" s="49">
        <f t="shared" si="9"/>
        <v>1998</v>
      </c>
      <c r="AA35" s="48"/>
      <c r="AB35" s="48">
        <f t="shared" si="10"/>
        <v>1970</v>
      </c>
    </row>
    <row r="36" spans="1:28" x14ac:dyDescent="0.15">
      <c r="A36" s="50">
        <f>agent!J$2</f>
        <v>397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>
        <f>SSCSource!K$2</f>
        <v>11112</v>
      </c>
      <c r="I36" s="45">
        <f>SSCSource!M46</f>
        <v>0</v>
      </c>
      <c r="J36" s="45">
        <f t="shared" si="11"/>
        <v>1001620.07</v>
      </c>
      <c r="K36" s="50">
        <f>IF(ISNUMBER(agent!$O$6*$W36*$X36*E36),TRUNC(agent!$O$6*$W36*$X36*E36,3),"没有上级")</f>
        <v>0</v>
      </c>
      <c r="L36" s="50">
        <f>IF(ISNUMBER(agent!$O$9*$W36*E36*$X36),TRUNC(agent!$O$9*$W36*E36*$X36,3),"没有上级")</f>
        <v>0</v>
      </c>
      <c r="M36" s="50">
        <f>IF(ISNUMBER(agent!$O$12*$W36*E36*$X36),TRUNC(agent!$O$12*$W36*E36*$X36,3),"没有上级")</f>
        <v>0</v>
      </c>
      <c r="N36" s="50" t="str">
        <f>IF(ISNUMBER(agent!$O$15*$W36*E36*$X36),TRUNC(agent!$O$15*$W36*E36*$X36,3),"没有上级")</f>
        <v>没有上级</v>
      </c>
      <c r="O36" s="50" t="str">
        <f>IF(ISNUMBER(agent!$O$18*$W36*E36*$X36),TRUNC(agent!$O$18*$W36*E36*$X36,3),"没有上级")</f>
        <v>没有上级</v>
      </c>
      <c r="P36" s="50" t="str">
        <f>IF(ISNUMBER(agent!$O$21*$W36*E36*$X36),TRUNC(agent!$O$21*$W36*E36*$X36,3),"没有上级")</f>
        <v>没有上级</v>
      </c>
      <c r="Q36" s="50" t="str">
        <f>IF(ISNUMBER(agent!$O$24*$W36*E36*$X36),TRUNC(agent!$O$24*$W36*E36*$X36,3),"没有上级")</f>
        <v>没有上级</v>
      </c>
      <c r="R36" s="50" t="str">
        <f>IF(ISNUMBER(agent!$O$27*$W36*E36*$X36),TRUNC(agent!$O$27*$W36*E36*$X36,3),"没有上级")</f>
        <v>没有上级</v>
      </c>
      <c r="S36" s="50" t="str">
        <f>IF(ISNUMBER(agent!$O$30*$W36*E36*$X36),TRUNC(agent!$O$30*$W36*E36*$X36,3),"没有上级")</f>
        <v>没有上级</v>
      </c>
      <c r="T36" s="50" t="str">
        <f>IF(ISNUMBER(agent!$O$33*$W36*$X36*E36),TRUNC(agent!$O$33*$W36*$X36*E36,3),"没有上级")</f>
        <v>没有上级</v>
      </c>
      <c r="U36" s="50">
        <f t="shared" si="2"/>
        <v>0</v>
      </c>
      <c r="V36" s="50"/>
      <c r="W36" s="36">
        <f>TRUNC(0.33325,3)</f>
        <v>0.33300000000000002</v>
      </c>
      <c r="X36" s="25">
        <f>SSCSource!N46</f>
        <v>0</v>
      </c>
      <c r="Y36" s="36">
        <f>TRUNC((Z36-(9.9-agent!$L$3)*W36*10),3)</f>
        <v>328.30500000000001</v>
      </c>
      <c r="Z36" s="49">
        <f>TRUNC(300+99*W36,3)</f>
        <v>332.96699999999998</v>
      </c>
      <c r="AA36" s="48"/>
      <c r="AB36" s="48">
        <f t="shared" si="10"/>
        <v>328.30500000000001</v>
      </c>
    </row>
    <row r="37" spans="1:28" x14ac:dyDescent="0.15">
      <c r="A37" s="50">
        <f>agent!J$2</f>
        <v>397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>
        <f>SSCSource!K$2</f>
        <v>11112</v>
      </c>
      <c r="I37" s="45">
        <f>SSCSource!M47</f>
        <v>0</v>
      </c>
      <c r="J37" s="45">
        <f t="shared" si="11"/>
        <v>1001500.07</v>
      </c>
      <c r="K37" s="50">
        <f>IF(ISNUMBER(agent!$O$6*$W37*$X37*E37),TRUNC(agent!$O$6*$W37*$X37*E37,3),"没有上级")</f>
        <v>0</v>
      </c>
      <c r="L37" s="50">
        <f>IF(ISNUMBER(agent!$O$9*$W37*E37*$X37),TRUNC(agent!$O$9*$W37*E37*$X37,3),"没有上级")</f>
        <v>0</v>
      </c>
      <c r="M37" s="50">
        <f>IF(ISNUMBER(agent!$O$12*$W37*E37*$X37),TRUNC(agent!$O$12*$W37*E37*$X37,3),"没有上级")</f>
        <v>0</v>
      </c>
      <c r="N37" s="50" t="str">
        <f>IF(ISNUMBER(agent!$O$15*$W37*E37*$X37),TRUNC(agent!$O$15*$W37*E37*$X37,3),"没有上级")</f>
        <v>没有上级</v>
      </c>
      <c r="O37" s="50" t="str">
        <f>IF(ISNUMBER(agent!$O$18*$W37*E37*$X37),TRUNC(agent!$O$18*$W37*E37*$X37,3),"没有上级")</f>
        <v>没有上级</v>
      </c>
      <c r="P37" s="50" t="str">
        <f>IF(ISNUMBER(agent!$O$21*$W37*E37*$X37),TRUNC(agent!$O$21*$W37*E37*$X37,3),"没有上级")</f>
        <v>没有上级</v>
      </c>
      <c r="Q37" s="50" t="str">
        <f>IF(ISNUMBER(agent!$O$24*$W37*E37*$X37),TRUNC(agent!$O$24*$W37*E37*$X37,3),"没有上级")</f>
        <v>没有上级</v>
      </c>
      <c r="R37" s="50" t="str">
        <f>IF(ISNUMBER(agent!$O$27*$W37*E37*$X37),TRUNC(agent!$O$27*$W37*E37*$X37,3),"没有上级")</f>
        <v>没有上级</v>
      </c>
      <c r="S37" s="50" t="str">
        <f>IF(ISNUMBER(agent!$O$30*$W37*E37*$X37),TRUNC(agent!$O$30*$W37*E37*$X37,3),"没有上级")</f>
        <v>没有上级</v>
      </c>
      <c r="T37" s="50" t="str">
        <f>IF(ISNUMBER(agent!$O$33*$W37*$X37*E37),TRUNC(agent!$O$33*$W37*$X37*E37,3),"没有上级")</f>
        <v>没有上级</v>
      </c>
      <c r="U37" s="50">
        <f t="shared" si="2"/>
        <v>0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656.61</v>
      </c>
      <c r="Z37" s="49">
        <f>TRUNC(600+99*W37,3)</f>
        <v>665.93399999999997</v>
      </c>
      <c r="AA37" s="48"/>
      <c r="AB37" s="48">
        <f t="shared" si="10"/>
        <v>656.61</v>
      </c>
    </row>
    <row r="38" spans="1:28" x14ac:dyDescent="0.15">
      <c r="A38" s="50">
        <f>agent!J$2</f>
        <v>397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>
        <f>SSCSource!K$2</f>
        <v>11112</v>
      </c>
      <c r="I38" s="45">
        <f>SSCSource!M48</f>
        <v>328.30500000000001</v>
      </c>
      <c r="J38" s="45">
        <f t="shared" si="11"/>
        <v>1001758.375</v>
      </c>
      <c r="K38" s="50">
        <f>IF(ISNUMBER(agent!$O$6*$W38*$X38*E38),TRUNC(agent!$O$6*$W38*$X38*E38,3),"没有上级")</f>
        <v>1.998</v>
      </c>
      <c r="L38" s="50">
        <f>IF(ISNUMBER(agent!$O$9*$W38*E38*$X38),TRUNC(agent!$O$9*$W38*E38*$X38,3),"没有上级")</f>
        <v>1.3320000000000001</v>
      </c>
      <c r="M38" s="50">
        <f>IF(ISNUMBER(agent!$O$12*$W38*E38*$X38),TRUNC(agent!$O$12*$W38*E38*$X38,3),"没有上级")</f>
        <v>1.3320000000000001</v>
      </c>
      <c r="N38" s="50" t="str">
        <f>IF(ISNUMBER(agent!$O$15*$W38*E38*$X38),TRUNC(agent!$O$15*$W38*E38*$X38,3),"没有上级")</f>
        <v>没有上级</v>
      </c>
      <c r="O38" s="50" t="str">
        <f>IF(ISNUMBER(agent!$O$18*$W38*E38*$X38),TRUNC(agent!$O$18*$W38*E38*$X38,3),"没有上级")</f>
        <v>没有上级</v>
      </c>
      <c r="P38" s="50" t="str">
        <f>IF(ISNUMBER(agent!$O$21*$W38*E38*$X38),TRUNC(agent!$O$21*$W38*E38*$X38,3),"没有上级")</f>
        <v>没有上级</v>
      </c>
      <c r="Q38" s="50" t="str">
        <f>IF(ISNUMBER(agent!$O$24*$W38*E38*$X38),TRUNC(agent!$O$24*$W38*E38*$X38,3),"没有上级")</f>
        <v>没有上级</v>
      </c>
      <c r="R38" s="50" t="str">
        <f>IF(ISNUMBER(agent!$O$27*$W38*E38*$X38),TRUNC(agent!$O$27*$W38*E38*$X38,3),"没有上级")</f>
        <v>没有上级</v>
      </c>
      <c r="S38" s="50" t="str">
        <f>IF(ISNUMBER(agent!$O$30*$W38*E38*$X38),TRUNC(agent!$O$30*$W38*E38*$X38,3),"没有上级")</f>
        <v>没有上级</v>
      </c>
      <c r="T38" s="50" t="str">
        <f>IF(ISNUMBER(agent!$O$33*$W38*$X38*E38),TRUNC(agent!$O$33*$W38*$X38*E38,3),"没有上级")</f>
        <v>没有上级</v>
      </c>
      <c r="U38" s="50">
        <f t="shared" si="2"/>
        <v>4.6619999999999999</v>
      </c>
      <c r="V38" s="50"/>
      <c r="W38" s="36">
        <f>TRUNC(0.33325,3)</f>
        <v>0.33300000000000002</v>
      </c>
      <c r="X38" s="25">
        <f>SSCSource!N48</f>
        <v>1</v>
      </c>
      <c r="Y38" s="36">
        <f>TRUNC((Z38-(9.9-agent!$L$3)*W38*10),3)</f>
        <v>328.30500000000001</v>
      </c>
      <c r="Z38" s="49">
        <f t="shared" ref="Z38:Z40" si="12">TRUNC(300+99*W38,3)</f>
        <v>332.96699999999998</v>
      </c>
      <c r="AA38" s="48"/>
      <c r="AB38" s="48">
        <f t="shared" si="10"/>
        <v>328.30500000000001</v>
      </c>
    </row>
    <row r="39" spans="1:28" x14ac:dyDescent="0.15">
      <c r="A39" s="50">
        <f>agent!J$2</f>
        <v>397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>
        <f>SSCSource!K$2</f>
        <v>11112</v>
      </c>
      <c r="I39" s="45">
        <f>SSCSource!M49</f>
        <v>0</v>
      </c>
      <c r="J39" s="45">
        <f t="shared" si="11"/>
        <v>1001752.375</v>
      </c>
      <c r="K39" s="50">
        <f>IF(ISNUMBER(agent!$O$6*$W39*$X39*E39),TRUNC(agent!$O$6*$W39*$X39*E39,3),"没有上级")</f>
        <v>0</v>
      </c>
      <c r="L39" s="50">
        <f>IF(ISNUMBER(agent!$O$9*$W39*E39*$X39),TRUNC(agent!$O$9*$W39*E39*$X39,3),"没有上级")</f>
        <v>0</v>
      </c>
      <c r="M39" s="50">
        <f>IF(ISNUMBER(agent!$O$12*$W39*E39*$X39),TRUNC(agent!$O$12*$W39*E39*$X39,3),"没有上级")</f>
        <v>0</v>
      </c>
      <c r="N39" s="50" t="str">
        <f>IF(ISNUMBER(agent!$O$15*$W39*E39*$X39),TRUNC(agent!$O$15*$W39*E39*$X39,3),"没有上级")</f>
        <v>没有上级</v>
      </c>
      <c r="O39" s="50" t="str">
        <f>IF(ISNUMBER(agent!$O$18*$W39*E39*$X39),TRUNC(agent!$O$18*$W39*E39*$X39,3),"没有上级")</f>
        <v>没有上级</v>
      </c>
      <c r="P39" s="50" t="str">
        <f>IF(ISNUMBER(agent!$O$21*$W39*E39*$X39),TRUNC(agent!$O$21*$W39*E39*$X39,3),"没有上级")</f>
        <v>没有上级</v>
      </c>
      <c r="Q39" s="50" t="str">
        <f>IF(ISNUMBER(agent!$O$24*$W39*E39*$X39),TRUNC(agent!$O$24*$W39*E39*$X39,3),"没有上级")</f>
        <v>没有上级</v>
      </c>
      <c r="R39" s="50" t="str">
        <f>IF(ISNUMBER(agent!$O$27*$W39*E39*$X39),TRUNC(agent!$O$27*$W39*E39*$X39,3),"没有上级")</f>
        <v>没有上级</v>
      </c>
      <c r="S39" s="50" t="str">
        <f>IF(ISNUMBER(agent!$O$30*$W39*E39*$X39),TRUNC(agent!$O$30*$W39*E39*$X39,3),"没有上级")</f>
        <v>没有上级</v>
      </c>
      <c r="T39" s="50" t="str">
        <f>IF(ISNUMBER(agent!$O$33*$W39*$X39*E39),TRUNC(agent!$O$33*$W39*$X39*E39,3),"没有上级")</f>
        <v>没有上级</v>
      </c>
      <c r="U39" s="50">
        <f t="shared" si="2"/>
        <v>0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328.30500000000001</v>
      </c>
      <c r="Z39" s="49">
        <f t="shared" si="12"/>
        <v>332.96699999999998</v>
      </c>
      <c r="AA39" s="48"/>
      <c r="AB39" s="48">
        <f t="shared" si="10"/>
        <v>328.30500000000001</v>
      </c>
    </row>
    <row r="40" spans="1:28" x14ac:dyDescent="0.15">
      <c r="A40" s="50">
        <f>agent!J$2</f>
        <v>397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>
        <f>SSCSource!K$2</f>
        <v>11112</v>
      </c>
      <c r="I40" s="45">
        <f>SSCSource!M50</f>
        <v>0</v>
      </c>
      <c r="J40" s="45">
        <f t="shared" si="11"/>
        <v>1001212.375</v>
      </c>
      <c r="K40" s="50">
        <f>IF(ISNUMBER(agent!$O$6*$W40*$X40*E40),TRUNC(agent!$O$6*$W40*$X40*E40,3),"没有上级")</f>
        <v>0</v>
      </c>
      <c r="L40" s="50">
        <f>IF(ISNUMBER(agent!$O$9*$W40*E40*$X40),TRUNC(agent!$O$9*$W40*E40*$X40,3),"没有上级")</f>
        <v>0</v>
      </c>
      <c r="M40" s="50">
        <f>IF(ISNUMBER(agent!$O$12*$W40*E40*$X40),TRUNC(agent!$O$12*$W40*E40*$X40,3),"没有上级")</f>
        <v>0</v>
      </c>
      <c r="N40" s="50" t="str">
        <f>IF(ISNUMBER(agent!$O$15*$W40*E40*$X40),TRUNC(agent!$O$15*$W40*E40*$X40,3),"没有上级")</f>
        <v>没有上级</v>
      </c>
      <c r="O40" s="50" t="str">
        <f>IF(ISNUMBER(agent!$O$18*$W40*E40*$X40),TRUNC(agent!$O$18*$W40*E40*$X40,3),"没有上级")</f>
        <v>没有上级</v>
      </c>
      <c r="P40" s="50" t="str">
        <f>IF(ISNUMBER(agent!$O$21*$W40*E40*$X40),TRUNC(agent!$O$21*$W40*E40*$X40,3),"没有上级")</f>
        <v>没有上级</v>
      </c>
      <c r="Q40" s="50" t="str">
        <f>IF(ISNUMBER(agent!$O$24*$W40*E40*$X40),TRUNC(agent!$O$24*$W40*E40*$X40,3),"没有上级")</f>
        <v>没有上级</v>
      </c>
      <c r="R40" s="50" t="str">
        <f>IF(ISNUMBER(agent!$O$27*$W40*E40*$X40),TRUNC(agent!$O$27*$W40*E40*$X40,3),"没有上级")</f>
        <v>没有上级</v>
      </c>
      <c r="S40" s="50" t="str">
        <f>IF(ISNUMBER(agent!$O$30*$W40*E40*$X40),TRUNC(agent!$O$30*$W40*E40*$X40,3),"没有上级")</f>
        <v>没有上级</v>
      </c>
      <c r="T40" s="50" t="str">
        <f>IF(ISNUMBER(agent!$O$33*$W40*$X40*E40),TRUNC(agent!$O$33*$W40*$X40*E40,3),"没有上级")</f>
        <v>没有上级</v>
      </c>
      <c r="U40" s="50">
        <f t="shared" si="2"/>
        <v>0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328.30500000000001</v>
      </c>
      <c r="Z40" s="49">
        <f t="shared" si="12"/>
        <v>332.96699999999998</v>
      </c>
      <c r="AA40" s="48"/>
      <c r="AB40" s="48">
        <f t="shared" si="10"/>
        <v>328.30500000000001</v>
      </c>
    </row>
    <row r="41" spans="1:28" x14ac:dyDescent="0.15">
      <c r="A41" s="50">
        <f>agent!J$2</f>
        <v>397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>
        <f>SSCSource!K$2</f>
        <v>11112</v>
      </c>
      <c r="I41" s="45">
        <f>SSCSource!M51</f>
        <v>0</v>
      </c>
      <c r="J41" s="45">
        <f t="shared" si="11"/>
        <v>1001204.375</v>
      </c>
      <c r="K41" s="50">
        <f>IF(ISNUMBER(agent!$O$6*$W41*$X41*E41),TRUNC(agent!$O$6*$W41*$X41*E41,3),"没有上级")</f>
        <v>0</v>
      </c>
      <c r="L41" s="50">
        <f>IF(ISNUMBER(agent!$O$9*$W41*E41*$X41),TRUNC(agent!$O$9*$W41*E41*$X41,3),"没有上级")</f>
        <v>0</v>
      </c>
      <c r="M41" s="50">
        <f>IF(ISNUMBER(agent!$O$12*$W41*E41*$X41),TRUNC(agent!$O$12*$W41*E41*$X41,3),"没有上级")</f>
        <v>0</v>
      </c>
      <c r="N41" s="50" t="str">
        <f>IF(ISNUMBER(agent!$O$15*$W41*E41*$X41),TRUNC(agent!$O$15*$W41*E41*$X41,3),"没有上级")</f>
        <v>没有上级</v>
      </c>
      <c r="O41" s="50" t="str">
        <f>IF(ISNUMBER(agent!$O$18*$W41*E41*$X41),TRUNC(agent!$O$18*$W41*E41*$X41,3),"没有上级")</f>
        <v>没有上级</v>
      </c>
      <c r="P41" s="50" t="str">
        <f>IF(ISNUMBER(agent!$O$21*$W41*E41*$X41),TRUNC(agent!$O$21*$W41*E41*$X41,3),"没有上级")</f>
        <v>没有上级</v>
      </c>
      <c r="Q41" s="50" t="str">
        <f>IF(ISNUMBER(agent!$O$24*$W41*E41*$X41),TRUNC(agent!$O$24*$W41*E41*$X41,3),"没有上级")</f>
        <v>没有上级</v>
      </c>
      <c r="R41" s="50" t="str">
        <f>IF(ISNUMBER(agent!$O$27*$W41*E41*$X41),TRUNC(agent!$O$27*$W41*E41*$X41,3),"没有上级")</f>
        <v>没有上级</v>
      </c>
      <c r="S41" s="50" t="str">
        <f>IF(ISNUMBER(agent!$O$30*$W41*E41*$X41),TRUNC(agent!$O$30*$W41*E41*$X41,3),"没有上级")</f>
        <v>没有上级</v>
      </c>
      <c r="T41" s="50" t="str">
        <f>IF(ISNUMBER(agent!$O$33*$W41*$X41*E41),TRUNC(agent!$O$33*$W41*$X41*E41,3),"没有上级")</f>
        <v>没有上级</v>
      </c>
      <c r="U41" s="50">
        <f t="shared" si="2"/>
        <v>0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656.61</v>
      </c>
      <c r="Z41" s="49">
        <f>TRUNC(600+99*W41,3)</f>
        <v>665.93399999999997</v>
      </c>
      <c r="AA41" s="48"/>
      <c r="AB41" s="48">
        <f t="shared" si="10"/>
        <v>656.61</v>
      </c>
    </row>
    <row r="42" spans="1:28" x14ac:dyDescent="0.15">
      <c r="A42" s="50">
        <f>agent!J$2</f>
        <v>397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>
        <f>SSCSource!K$2</f>
        <v>11112</v>
      </c>
      <c r="I42" s="45">
        <f>SSCSource!M52</f>
        <v>0</v>
      </c>
      <c r="J42" s="45">
        <f t="shared" si="11"/>
        <v>1001194.375</v>
      </c>
      <c r="K42" s="50">
        <f>IF(ISNUMBER(agent!$O$6*$W42*$X42*E42),TRUNC(agent!$O$6*$W42*$X42*E42,3),"没有上级")</f>
        <v>0</v>
      </c>
      <c r="L42" s="50">
        <f>IF(ISNUMBER(agent!$O$9*$W42*E42*$X42),TRUNC(agent!$O$9*$W42*E42*$X42,3),"没有上级")</f>
        <v>0</v>
      </c>
      <c r="M42" s="50">
        <f>IF(ISNUMBER(agent!$O$12*$W42*E42*$X42),TRUNC(agent!$O$12*$W42*E42*$X42,3),"没有上级")</f>
        <v>0</v>
      </c>
      <c r="N42" s="50" t="str">
        <f>IF(ISNUMBER(agent!$O$15*$W42*E42*$X42),TRUNC(agent!$O$15*$W42*E42*$X42,3),"没有上级")</f>
        <v>没有上级</v>
      </c>
      <c r="O42" s="50" t="str">
        <f>IF(ISNUMBER(agent!$O$18*$W42*E42*$X42),TRUNC(agent!$O$18*$W42*E42*$X42,3),"没有上级")</f>
        <v>没有上级</v>
      </c>
      <c r="P42" s="50" t="str">
        <f>IF(ISNUMBER(agent!$O$21*$W42*E42*$X42),TRUNC(agent!$O$21*$W42*E42*$X42,3),"没有上级")</f>
        <v>没有上级</v>
      </c>
      <c r="Q42" s="50" t="str">
        <f>IF(ISNUMBER(agent!$O$24*$W42*E42*$X42),TRUNC(agent!$O$24*$W42*E42*$X42,3),"没有上级")</f>
        <v>没有上级</v>
      </c>
      <c r="R42" s="50" t="str">
        <f>IF(ISNUMBER(agent!$O$27*$W42*E42*$X42),TRUNC(agent!$O$27*$W42*E42*$X42,3),"没有上级")</f>
        <v>没有上级</v>
      </c>
      <c r="S42" s="50" t="str">
        <f>IF(ISNUMBER(agent!$O$30*$W42*E42*$X42),TRUNC(agent!$O$30*$W42*E42*$X42,3),"没有上级")</f>
        <v>没有上级</v>
      </c>
      <c r="T42" s="50" t="str">
        <f>IF(ISNUMBER(agent!$O$33*$W42*$X42*E42),TRUNC(agent!$O$33*$W42*$X42*E42,3),"没有上级")</f>
        <v>没有上级</v>
      </c>
      <c r="U42" s="50">
        <f t="shared" si="2"/>
        <v>0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328.30500000000001</v>
      </c>
      <c r="Z42" s="49">
        <f>TRUNC(300+99*W42,3)</f>
        <v>332.96699999999998</v>
      </c>
      <c r="AA42" s="48"/>
      <c r="AB42" s="48">
        <f t="shared" si="10"/>
        <v>328.30500000000001</v>
      </c>
    </row>
    <row r="43" spans="1:28" s="29" customFormat="1" x14ac:dyDescent="0.15">
      <c r="A43" s="50">
        <f>agent!J$2</f>
        <v>397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>
        <f>SSCSource!K$2</f>
        <v>11112</v>
      </c>
      <c r="I43" s="29">
        <f>SSCSource!M53</f>
        <v>28.94</v>
      </c>
      <c r="J43" s="29">
        <f t="shared" si="11"/>
        <v>1001183.3149999999</v>
      </c>
      <c r="K43" s="50">
        <f>IF(ISNUMBER(agent!$O$6*$W43*$X43*E43),TRUNC(agent!$O$6*$W43*$X43*E43,3),"没有上级")</f>
        <v>0.16800000000000001</v>
      </c>
      <c r="L43" s="50">
        <f>IF(ISNUMBER(agent!$O$9*$W43*E43*$X43),TRUNC(agent!$O$9*$W43*E43*$X43,3),"没有上级")</f>
        <v>0.112</v>
      </c>
      <c r="M43" s="50">
        <f>IF(ISNUMBER(agent!$O$12*$W43*E43*$X43),TRUNC(agent!$O$12*$W43*E43*$X43,3),"没有上级")</f>
        <v>0.112</v>
      </c>
      <c r="N43" s="50" t="str">
        <f>IF(ISNUMBER(agent!$O$15*$W43*E43*$X43),TRUNC(agent!$O$15*$W43*E43*$X43,3),"没有上级")</f>
        <v>没有上级</v>
      </c>
      <c r="O43" s="50" t="str">
        <f>IF(ISNUMBER(agent!$O$18*$W43*E43*$X43),TRUNC(agent!$O$18*$W43*E43*$X43,3),"没有上级")</f>
        <v>没有上级</v>
      </c>
      <c r="P43" s="50" t="str">
        <f>IF(ISNUMBER(agent!$O$21*$W43*E43*$X43),TRUNC(agent!$O$21*$W43*E43*$X43,3),"没有上级")</f>
        <v>没有上级</v>
      </c>
      <c r="Q43" s="50" t="str">
        <f>IF(ISNUMBER(agent!$O$24*$W43*E43*$X43),TRUNC(agent!$O$24*$W43*E43*$X43,3),"没有上级")</f>
        <v>没有上级</v>
      </c>
      <c r="R43" s="50" t="str">
        <f>IF(ISNUMBER(agent!$O$27*$W43*E43*$X43),TRUNC(agent!$O$27*$W43*E43*$X43,3),"没有上级")</f>
        <v>没有上级</v>
      </c>
      <c r="S43" s="50" t="str">
        <f>IF(ISNUMBER(agent!$O$30*$W43*E43*$X43),TRUNC(agent!$O$30*$W43*E43*$X43,3),"没有上级")</f>
        <v>没有上级</v>
      </c>
      <c r="T43" s="50" t="str">
        <f>IF(ISNUMBER(agent!$O$33*$W43*$X43*E43),TRUNC(agent!$O$33*$W43*$X43*E43,3),"没有上级")</f>
        <v>没有上级</v>
      </c>
      <c r="U43" s="50">
        <f t="shared" si="2"/>
        <v>0.39200000000000002</v>
      </c>
      <c r="V43" s="50"/>
      <c r="W43" s="29">
        <f>TRUNC(0.007375,3)</f>
        <v>7.0000000000000001E-3</v>
      </c>
      <c r="X43" s="29">
        <f>SSCSource!N53</f>
        <v>1</v>
      </c>
      <c r="Y43" s="29">
        <f>TRUNC((Z43-(9.9-agent!$L$3)*W43*10),3)</f>
        <v>7.2350000000000003</v>
      </c>
      <c r="Z43" s="49">
        <f>TRUNC(6.64+99*W43,3)</f>
        <v>7.3330000000000002</v>
      </c>
      <c r="AA43" s="48"/>
      <c r="AB43" s="29">
        <f t="shared" si="10"/>
        <v>7.2350000000000003</v>
      </c>
    </row>
    <row r="44" spans="1:28" x14ac:dyDescent="0.15">
      <c r="A44" s="50">
        <f>agent!J$2</f>
        <v>397</v>
      </c>
      <c r="B44" s="45" t="s">
        <v>36</v>
      </c>
      <c r="C44" s="45" t="s">
        <v>35</v>
      </c>
      <c r="D44" s="45" t="str">
        <f>SSCSource!$O54</f>
        <v>0 2 7 5 9</v>
      </c>
      <c r="E44" s="45">
        <f>SSCSource!$R54</f>
        <v>2</v>
      </c>
      <c r="F44" s="45">
        <v>1</v>
      </c>
      <c r="G44" s="45">
        <f>SSCSource!$P54</f>
        <v>40</v>
      </c>
      <c r="H44" s="45">
        <f>SSCSource!K$2</f>
        <v>11112</v>
      </c>
      <c r="I44" s="48">
        <f>IF(ISNUMBER(SSCSource!M54),SSCSource!M54,0)</f>
        <v>0</v>
      </c>
      <c r="J44" s="45">
        <f t="shared" si="11"/>
        <v>1001143.3149999999</v>
      </c>
      <c r="K44" s="50">
        <f>IF(ISNUMBER(agent!$O$6*$W44*$X44*E44),TRUNC(agent!$O$6*$W44*$X44*E44,3),"没有上级")</f>
        <v>0</v>
      </c>
      <c r="L44" s="50">
        <f>IF(ISNUMBER(agent!$O$9*$W44*E44*$X44),TRUNC(agent!$O$9*$W44*E44*$X44,3),"没有上级")</f>
        <v>0</v>
      </c>
      <c r="M44" s="50">
        <f>IF(ISNUMBER(agent!$O$12*$W44*E44*$X44),TRUNC(agent!$O$12*$W44*E44*$X44,3),"没有上级")</f>
        <v>0</v>
      </c>
      <c r="N44" s="50" t="str">
        <f>IF(ISNUMBER(agent!$O$15*$W44*E44*$X44),TRUNC(agent!$O$15*$W44*E44*$X44,3),"没有上级")</f>
        <v>没有上级</v>
      </c>
      <c r="O44" s="50" t="str">
        <f>IF(ISNUMBER(agent!$O$18*$W44*E44*$X44),TRUNC(agent!$O$18*$W44*E44*$X44,3),"没有上级")</f>
        <v>没有上级</v>
      </c>
      <c r="P44" s="50" t="str">
        <f>IF(ISNUMBER(agent!$O$21*$W44*E44*$X44),TRUNC(agent!$O$21*$W44*E44*$X44,3),"没有上级")</f>
        <v>没有上级</v>
      </c>
      <c r="Q44" s="50" t="str">
        <f>IF(ISNUMBER(agent!$O$24*$W44*E44*$X44),TRUNC(agent!$O$24*$W44*E44*$X44,3),"没有上级")</f>
        <v>没有上级</v>
      </c>
      <c r="R44" s="50" t="str">
        <f>IF(ISNUMBER(agent!$O$27*$W44*E44*$X44),TRUNC(agent!$O$27*$W44*E44*$X44,3),"没有上级")</f>
        <v>没有上级</v>
      </c>
      <c r="S44" s="50" t="str">
        <f>IF(ISNUMBER(agent!$O$30*$W44*E44*$X44),TRUNC(agent!$O$30*$W44*E44*$X44,3),"没有上级")</f>
        <v>没有上级</v>
      </c>
      <c r="T44" s="50" t="str">
        <f>IF(ISNUMBER(agent!$O$33*$W44*$X44*E44),TRUNC(agent!$O$33*$W44*$X44*E44,3),"没有上级")</f>
        <v>没有上级</v>
      </c>
      <c r="U44" s="50">
        <f t="shared" si="2"/>
        <v>0</v>
      </c>
      <c r="V44" s="50"/>
      <c r="W44" s="36">
        <f>TRUNC(0.037,3)</f>
        <v>3.6999999999999998E-2</v>
      </c>
      <c r="X44" s="25">
        <f>SSCSource!N54</f>
        <v>0</v>
      </c>
      <c r="Y44" s="36">
        <f>TRUNC((Z44-(9.9-agent!$L$3)*W44*10),3)</f>
        <v>36.475000000000001</v>
      </c>
      <c r="Z44" s="49">
        <f>TRUNC(33.33+99*W44,3)</f>
        <v>36.993000000000002</v>
      </c>
      <c r="AA44" s="48"/>
      <c r="AB44" s="48">
        <f t="shared" si="10"/>
        <v>36.475000000000001</v>
      </c>
    </row>
    <row r="45" spans="1:28" x14ac:dyDescent="0.15">
      <c r="A45" s="50">
        <f>agent!J$2</f>
        <v>397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>
        <f>SSCSource!K$2</f>
        <v>11112</v>
      </c>
      <c r="I45" s="45">
        <f>SSCSource!M55</f>
        <v>5910</v>
      </c>
      <c r="J45" s="45">
        <f t="shared" si="11"/>
        <v>1005613.3149999999</v>
      </c>
      <c r="K45" s="50">
        <f>IF(ISNUMBER(agent!$O$6*$W45*$X45*E45),TRUNC(agent!$O$6*$W45*$X45*E45,3),"没有上级")</f>
        <v>36</v>
      </c>
      <c r="L45" s="50">
        <f>IF(ISNUMBER(agent!$O$9*$W45*E45*$X45),TRUNC(agent!$O$9*$W45*E45*$X45,3),"没有上级")</f>
        <v>24</v>
      </c>
      <c r="M45" s="50">
        <f>IF(ISNUMBER(agent!$O$12*$W45*E45*$X45),TRUNC(agent!$O$12*$W45*E45*$X45,3),"没有上级")</f>
        <v>24</v>
      </c>
      <c r="N45" s="50" t="str">
        <f>IF(ISNUMBER(agent!$O$15*$W45*E45*$X45),TRUNC(agent!$O$15*$W45*E45*$X45,3),"没有上级")</f>
        <v>没有上级</v>
      </c>
      <c r="O45" s="50" t="str">
        <f>IF(ISNUMBER(agent!$O$18*$W45*E45*$X45),TRUNC(agent!$O$18*$W45*E45*$X45,3),"没有上级")</f>
        <v>没有上级</v>
      </c>
      <c r="P45" s="50" t="str">
        <f>IF(ISNUMBER(agent!$O$21*$W45*E45*$X45),TRUNC(agent!$O$21*$W45*E45*$X45,3),"没有上级")</f>
        <v>没有上级</v>
      </c>
      <c r="Q45" s="50" t="str">
        <f>IF(ISNUMBER(agent!$O$24*$W45*E45*$X45),TRUNC(agent!$O$24*$W45*E45*$X45,3),"没有上级")</f>
        <v>没有上级</v>
      </c>
      <c r="R45" s="50" t="str">
        <f>IF(ISNUMBER(agent!$O$27*$W45*E45*$X45),TRUNC(agent!$O$27*$W45*E45*$X45,3),"没有上级")</f>
        <v>没有上级</v>
      </c>
      <c r="S45" s="50" t="str">
        <f>IF(ISNUMBER(agent!$O$30*$W45*E45*$X45),TRUNC(agent!$O$30*$W45*E45*$X45,3),"没有上级")</f>
        <v>没有上级</v>
      </c>
      <c r="T45" s="50" t="str">
        <f>IF(ISNUMBER(agent!$O$33*$W45*$X45*E45),TRUNC(agent!$O$33*$W45*$X45*E45,3),"没有上级")</f>
        <v>没有上级</v>
      </c>
      <c r="U45" s="50">
        <f t="shared" si="2"/>
        <v>84</v>
      </c>
      <c r="V45" s="50"/>
      <c r="W45" s="25">
        <v>2</v>
      </c>
      <c r="X45" s="25">
        <f>SSCSource!N55</f>
        <v>1</v>
      </c>
      <c r="Y45" s="36">
        <f>TRUNC((Z45-(9.9-agent!$L$3)*W45*10),3)</f>
        <v>1970</v>
      </c>
      <c r="Z45" s="49">
        <f>TRUNC(1800+99*W45,3)</f>
        <v>1998</v>
      </c>
      <c r="AA45" s="48"/>
      <c r="AB45" s="48">
        <f t="shared" si="10"/>
        <v>1970</v>
      </c>
    </row>
    <row r="46" spans="1:28" x14ac:dyDescent="0.15">
      <c r="A46" s="50">
        <f>agent!J$2</f>
        <v>397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>
        <f>SSCSource!K$2</f>
        <v>11112</v>
      </c>
      <c r="I46" s="45">
        <f>SSCSource!M58</f>
        <v>0</v>
      </c>
      <c r="J46" s="45">
        <f t="shared" si="11"/>
        <v>1005611.3149999999</v>
      </c>
      <c r="K46" s="50">
        <f>IF(ISNUMBER(agent!$O$6*$W46*$X46*E46),TRUNC(agent!$O$6*$W46*$X46*E46,3),"没有上级")</f>
        <v>0</v>
      </c>
      <c r="L46" s="50">
        <f>IF(ISNUMBER(agent!$O$9*$W46*E46*$X46),TRUNC(agent!$O$9*$W46*E46*$X46,3),"没有上级")</f>
        <v>0</v>
      </c>
      <c r="M46" s="50">
        <f>IF(ISNUMBER(agent!$O$12*$W46*E46*$X46),TRUNC(agent!$O$12*$W46*E46*$X46,3),"没有上级")</f>
        <v>0</v>
      </c>
      <c r="N46" s="50" t="str">
        <f>IF(ISNUMBER(agent!$O$15*$W46*E46*$X46),TRUNC(agent!$O$15*$W46*E46*$X46,3),"没有上级")</f>
        <v>没有上级</v>
      </c>
      <c r="O46" s="50" t="str">
        <f>IF(ISNUMBER(agent!$O$18*$W46*E46*$X46),TRUNC(agent!$O$18*$W46*E46*$X46,3),"没有上级")</f>
        <v>没有上级</v>
      </c>
      <c r="P46" s="50" t="str">
        <f>IF(ISNUMBER(agent!$O$21*$W46*E46*$X46),TRUNC(agent!$O$21*$W46*E46*$X46,3),"没有上级")</f>
        <v>没有上级</v>
      </c>
      <c r="Q46" s="50" t="str">
        <f>IF(ISNUMBER(agent!$O$24*$W46*E46*$X46),TRUNC(agent!$O$24*$W46*E46*$X46,3),"没有上级")</f>
        <v>没有上级</v>
      </c>
      <c r="R46" s="50" t="str">
        <f>IF(ISNUMBER(agent!$O$27*$W46*E46*$X46),TRUNC(agent!$O$27*$W46*E46*$X46,3),"没有上级")</f>
        <v>没有上级</v>
      </c>
      <c r="S46" s="50" t="str">
        <f>IF(ISNUMBER(agent!$O$30*$W46*E46*$X46),TRUNC(agent!$O$30*$W46*E46*$X46,3),"没有上级")</f>
        <v>没有上级</v>
      </c>
      <c r="T46" s="50" t="str">
        <f>IF(ISNUMBER(agent!$O$33*$W46*$X46*E46),TRUNC(agent!$O$33*$W46*$X46*E46,3),"没有上级")</f>
        <v>没有上级</v>
      </c>
      <c r="U46" s="50">
        <f t="shared" si="2"/>
        <v>0</v>
      </c>
      <c r="V46" s="50"/>
      <c r="W46" s="25">
        <v>2</v>
      </c>
      <c r="X46" s="25">
        <f>SSCSource!N58</f>
        <v>0</v>
      </c>
      <c r="Y46" s="36">
        <f>TRUNC((Z46-(9.9-agent!$L$3)*W46*10),3)</f>
        <v>1970</v>
      </c>
      <c r="Z46" s="49">
        <f t="shared" ref="Z46:Z48" si="13">TRUNC(1800+99*W46,3)</f>
        <v>1998</v>
      </c>
      <c r="AA46" s="48"/>
      <c r="AB46" s="48">
        <f t="shared" si="10"/>
        <v>1970</v>
      </c>
    </row>
    <row r="47" spans="1:28" x14ac:dyDescent="0.15">
      <c r="A47" s="50">
        <f>agent!J$2</f>
        <v>397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>
        <f>SSCSource!K$2</f>
        <v>11112</v>
      </c>
      <c r="I47" s="45">
        <f>SSCSource!M59</f>
        <v>0</v>
      </c>
      <c r="J47" s="45">
        <f t="shared" si="11"/>
        <v>1004487.3149999999</v>
      </c>
      <c r="K47" s="50">
        <f>IF(ISNUMBER(agent!$O$6*$W47*$X47*E47),TRUNC(agent!$O$6*$W47*$X47*E47,3),"没有上级")</f>
        <v>0</v>
      </c>
      <c r="L47" s="50">
        <f>IF(ISNUMBER(agent!$O$9*$W47*E47*$X47),TRUNC(agent!$O$9*$W47*E47*$X47,3),"没有上级")</f>
        <v>0</v>
      </c>
      <c r="M47" s="50">
        <f>IF(ISNUMBER(agent!$O$12*$W47*E47*$X47),TRUNC(agent!$O$12*$W47*E47*$X47,3),"没有上级")</f>
        <v>0</v>
      </c>
      <c r="N47" s="50" t="str">
        <f>IF(ISNUMBER(agent!$O$15*$W47*E47*$X47),TRUNC(agent!$O$15*$W47*E47*$X47,3),"没有上级")</f>
        <v>没有上级</v>
      </c>
      <c r="O47" s="50" t="str">
        <f>IF(ISNUMBER(agent!$O$18*$W47*E47*$X47),TRUNC(agent!$O$18*$W47*E47*$X47,3),"没有上级")</f>
        <v>没有上级</v>
      </c>
      <c r="P47" s="50" t="str">
        <f>IF(ISNUMBER(agent!$O$21*$W47*E47*$X47),TRUNC(agent!$O$21*$W47*E47*$X47,3),"没有上级")</f>
        <v>没有上级</v>
      </c>
      <c r="Q47" s="50" t="str">
        <f>IF(ISNUMBER(agent!$O$24*$W47*E47*$X47),TRUNC(agent!$O$24*$W47*E47*$X47,3),"没有上级")</f>
        <v>没有上级</v>
      </c>
      <c r="R47" s="50" t="str">
        <f>IF(ISNUMBER(agent!$O$27*$W47*E47*$X47),TRUNC(agent!$O$27*$W47*E47*$X47,3),"没有上级")</f>
        <v>没有上级</v>
      </c>
      <c r="S47" s="50" t="str">
        <f>IF(ISNUMBER(agent!$O$30*$W47*E47*$X47),TRUNC(agent!$O$30*$W47*E47*$X47,3),"没有上级")</f>
        <v>没有上级</v>
      </c>
      <c r="T47" s="50" t="str">
        <f>IF(ISNUMBER(agent!$O$33*$W47*$X47*E47),TRUNC(agent!$O$33*$W47*$X47*E47,3),"没有上级")</f>
        <v>没有上级</v>
      </c>
      <c r="U47" s="50">
        <f t="shared" si="2"/>
        <v>0</v>
      </c>
      <c r="V47" s="50"/>
      <c r="W47" s="25">
        <v>2</v>
      </c>
      <c r="X47" s="25">
        <f>SSCSource!N59</f>
        <v>0</v>
      </c>
      <c r="Y47" s="36">
        <f>TRUNC((Z47-(9.9-agent!$L$3)*W47*10),3)</f>
        <v>1970</v>
      </c>
      <c r="Z47" s="49">
        <f t="shared" si="13"/>
        <v>1998</v>
      </c>
      <c r="AA47" s="48"/>
      <c r="AB47" s="48">
        <f t="shared" si="10"/>
        <v>1970</v>
      </c>
    </row>
    <row r="48" spans="1:28" x14ac:dyDescent="0.15">
      <c r="A48" s="50">
        <f>agent!J$2</f>
        <v>397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>
        <f>SSCSource!K$2</f>
        <v>11112</v>
      </c>
      <c r="I48" s="45">
        <f>SSCSource!M60</f>
        <v>1970</v>
      </c>
      <c r="J48" s="45">
        <f t="shared" si="11"/>
        <v>1005129.3149999999</v>
      </c>
      <c r="K48" s="50">
        <f>IF(ISNUMBER(agent!$O$6*$W48*$X48*E48),TRUNC(agent!$O$6*$W48*$X48*E48,3),"没有上级")</f>
        <v>12</v>
      </c>
      <c r="L48" s="50">
        <f>IF(ISNUMBER(agent!$O$9*$W48*E48*$X48),TRUNC(agent!$O$9*$W48*E48*$X48,3),"没有上级")</f>
        <v>8</v>
      </c>
      <c r="M48" s="50">
        <f>IF(ISNUMBER(agent!$O$12*$W48*E48*$X48),TRUNC(agent!$O$12*$W48*E48*$X48,3),"没有上级")</f>
        <v>8</v>
      </c>
      <c r="N48" s="50" t="str">
        <f>IF(ISNUMBER(agent!$O$15*$W48*E48*$X48),TRUNC(agent!$O$15*$W48*E48*$X48,3),"没有上级")</f>
        <v>没有上级</v>
      </c>
      <c r="O48" s="50" t="str">
        <f>IF(ISNUMBER(agent!$O$18*$W48*E48*$X48),TRUNC(agent!$O$18*$W48*E48*$X48,3),"没有上级")</f>
        <v>没有上级</v>
      </c>
      <c r="P48" s="50" t="str">
        <f>IF(ISNUMBER(agent!$O$21*$W48*E48*$X48),TRUNC(agent!$O$21*$W48*E48*$X48,3),"没有上级")</f>
        <v>没有上级</v>
      </c>
      <c r="Q48" s="50" t="str">
        <f>IF(ISNUMBER(agent!$O$24*$W48*E48*$X48),TRUNC(agent!$O$24*$W48*E48*$X48,3),"没有上级")</f>
        <v>没有上级</v>
      </c>
      <c r="R48" s="50" t="str">
        <f>IF(ISNUMBER(agent!$O$27*$W48*E48*$X48),TRUNC(agent!$O$27*$W48*E48*$X48,3),"没有上级")</f>
        <v>没有上级</v>
      </c>
      <c r="S48" s="50" t="str">
        <f>IF(ISNUMBER(agent!$O$30*$W48*E48*$X48),TRUNC(agent!$O$30*$W48*E48*$X48,3),"没有上级")</f>
        <v>没有上级</v>
      </c>
      <c r="T48" s="50" t="str">
        <f>IF(ISNUMBER(agent!$O$33*$W48*$X48*E48),TRUNC(agent!$O$33*$W48*$X48*E48,3),"没有上级")</f>
        <v>没有上级</v>
      </c>
      <c r="U48" s="50">
        <f t="shared" si="2"/>
        <v>28</v>
      </c>
      <c r="V48" s="50"/>
      <c r="W48" s="25">
        <v>2</v>
      </c>
      <c r="X48" s="25">
        <f>SSCSource!N60</f>
        <v>1</v>
      </c>
      <c r="Y48" s="36">
        <f>TRUNC((Z48-(9.9-agent!$L$3)*W48*10),3)</f>
        <v>1970</v>
      </c>
      <c r="Z48" s="49">
        <f t="shared" si="13"/>
        <v>1998</v>
      </c>
      <c r="AA48" s="48"/>
      <c r="AB48" s="48">
        <f t="shared" si="10"/>
        <v>1970</v>
      </c>
    </row>
    <row r="49" spans="1:28" x14ac:dyDescent="0.15">
      <c r="A49" s="50">
        <f>agent!J$2</f>
        <v>397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>
        <f>SSCSource!K$2</f>
        <v>11112</v>
      </c>
      <c r="I49" s="45">
        <f>SSCSource!M61</f>
        <v>0</v>
      </c>
      <c r="J49" s="45">
        <f t="shared" si="11"/>
        <v>1005021.3149999999</v>
      </c>
      <c r="K49" s="50">
        <f>IF(ISNUMBER(agent!$O$6*$W49*$X49*E49),TRUNC(agent!$O$6*$W49*$X49*E49,3),"没有上级")</f>
        <v>0</v>
      </c>
      <c r="L49" s="50">
        <f>IF(ISNUMBER(agent!$O$9*$W49*E49*$X49),TRUNC(agent!$O$9*$W49*E49*$X49,3),"没有上级")</f>
        <v>0</v>
      </c>
      <c r="M49" s="50">
        <f>IF(ISNUMBER(agent!$O$12*$W49*E49*$X49),TRUNC(agent!$O$12*$W49*E49*$X49,3),"没有上级")</f>
        <v>0</v>
      </c>
      <c r="N49" s="50" t="str">
        <f>IF(ISNUMBER(agent!$O$15*$W49*E49*$X49),TRUNC(agent!$O$15*$W49*E49*$X49,3),"没有上级")</f>
        <v>没有上级</v>
      </c>
      <c r="O49" s="50" t="str">
        <f>IF(ISNUMBER(agent!$O$18*$W49*E49*$X49),TRUNC(agent!$O$18*$W49*E49*$X49,3),"没有上级")</f>
        <v>没有上级</v>
      </c>
      <c r="P49" s="50" t="str">
        <f>IF(ISNUMBER(agent!$O$21*$W49*E49*$X49),TRUNC(agent!$O$21*$W49*E49*$X49,3),"没有上级")</f>
        <v>没有上级</v>
      </c>
      <c r="Q49" s="50" t="str">
        <f>IF(ISNUMBER(agent!$O$24*$W49*E49*$X49),TRUNC(agent!$O$24*$W49*E49*$X49,3),"没有上级")</f>
        <v>没有上级</v>
      </c>
      <c r="R49" s="50" t="str">
        <f>IF(ISNUMBER(agent!$O$27*$W49*E49*$X49),TRUNC(agent!$O$27*$W49*E49*$X49,3),"没有上级")</f>
        <v>没有上级</v>
      </c>
      <c r="S49" s="50" t="str">
        <f>IF(ISNUMBER(agent!$O$30*$W49*E49*$X49),TRUNC(agent!$O$30*$W49*E49*$X49,3),"没有上级")</f>
        <v>没有上级</v>
      </c>
      <c r="T49" s="50" t="str">
        <f>IF(ISNUMBER(agent!$O$33*$W49*$X49*E49),TRUNC(agent!$O$33*$W49*$X49*E49,3),"没有上级")</f>
        <v>没有上级</v>
      </c>
      <c r="U49" s="50">
        <f t="shared" si="2"/>
        <v>0</v>
      </c>
      <c r="V49" s="50"/>
      <c r="W49" s="36">
        <f>TRUNC(0.33325,3)</f>
        <v>0.33300000000000002</v>
      </c>
      <c r="X49" s="25">
        <f>SSCSource!N61</f>
        <v>0</v>
      </c>
      <c r="Y49" s="36">
        <f>TRUNC((Z49-(9.9-agent!$L$3)*W49*10),3)</f>
        <v>328.30500000000001</v>
      </c>
      <c r="Z49" s="49">
        <f>TRUNC(300+99*W49,3)</f>
        <v>332.96699999999998</v>
      </c>
      <c r="AA49" s="48"/>
      <c r="AB49" s="48">
        <f t="shared" si="10"/>
        <v>328.30500000000001</v>
      </c>
    </row>
    <row r="50" spans="1:28" x14ac:dyDescent="0.15">
      <c r="A50" s="50">
        <f>agent!J$2</f>
        <v>397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>
        <f>SSCSource!K$2</f>
        <v>11112</v>
      </c>
      <c r="I50" s="45">
        <f>SSCSource!M62</f>
        <v>0</v>
      </c>
      <c r="J50" s="45">
        <f t="shared" si="11"/>
        <v>1004909.3149999999</v>
      </c>
      <c r="K50" s="50">
        <f>IF(ISNUMBER(agent!$O$6*$W50*$X50*E50),TRUNC(agent!$O$6*$W50*$X50*E50,3),"没有上级")</f>
        <v>0</v>
      </c>
      <c r="L50" s="50">
        <f>IF(ISNUMBER(agent!$O$9*$W50*E50*$X50),TRUNC(agent!$O$9*$W50*E50*$X50,3),"没有上级")</f>
        <v>0</v>
      </c>
      <c r="M50" s="50">
        <f>IF(ISNUMBER(agent!$O$12*$W50*E50*$X50),TRUNC(agent!$O$12*$W50*E50*$X50,3),"没有上级")</f>
        <v>0</v>
      </c>
      <c r="N50" s="50" t="str">
        <f>IF(ISNUMBER(agent!$O$15*$W50*E50*$X50),TRUNC(agent!$O$15*$W50*E50*$X50,3),"没有上级")</f>
        <v>没有上级</v>
      </c>
      <c r="O50" s="50" t="str">
        <f>IF(ISNUMBER(agent!$O$18*$W50*E50*$X50),TRUNC(agent!$O$18*$W50*E50*$X50,3),"没有上级")</f>
        <v>没有上级</v>
      </c>
      <c r="P50" s="50" t="str">
        <f>IF(ISNUMBER(agent!$O$21*$W50*E50*$X50),TRUNC(agent!$O$21*$W50*E50*$X50,3),"没有上级")</f>
        <v>没有上级</v>
      </c>
      <c r="Q50" s="50" t="str">
        <f>IF(ISNUMBER(agent!$O$24*$W50*E50*$X50),TRUNC(agent!$O$24*$W50*E50*$X50,3),"没有上级")</f>
        <v>没有上级</v>
      </c>
      <c r="R50" s="50" t="str">
        <f>IF(ISNUMBER(agent!$O$27*$W50*E50*$X50),TRUNC(agent!$O$27*$W50*E50*$X50,3),"没有上级")</f>
        <v>没有上级</v>
      </c>
      <c r="S50" s="50" t="str">
        <f>IF(ISNUMBER(agent!$O$30*$W50*E50*$X50),TRUNC(agent!$O$30*$W50*E50*$X50,3),"没有上级")</f>
        <v>没有上级</v>
      </c>
      <c r="T50" s="50" t="str">
        <f>IF(ISNUMBER(agent!$O$33*$W50*$X50*E50),TRUNC(agent!$O$33*$W50*$X50*E50,3),"没有上级")</f>
        <v>没有上级</v>
      </c>
      <c r="U50" s="50">
        <f t="shared" si="2"/>
        <v>0</v>
      </c>
      <c r="V50" s="50"/>
      <c r="W50" s="36">
        <f>TRUNC(0.666625,3)</f>
        <v>0.66600000000000004</v>
      </c>
      <c r="X50" s="25">
        <f>SSCSource!N62</f>
        <v>0</v>
      </c>
      <c r="Y50" s="36">
        <f>TRUNC((Z50-(9.9-agent!$L$3)*W50*10),3)</f>
        <v>656.61</v>
      </c>
      <c r="Z50" s="49">
        <f>TRUNC(600+99*W50,3)</f>
        <v>665.93399999999997</v>
      </c>
      <c r="AA50" s="48"/>
      <c r="AB50" s="48">
        <f t="shared" si="10"/>
        <v>656.61</v>
      </c>
    </row>
    <row r="51" spans="1:28" x14ac:dyDescent="0.15">
      <c r="A51" s="50">
        <f>agent!J$2</f>
        <v>397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>
        <f>SSCSource!K$2</f>
        <v>11112</v>
      </c>
      <c r="I51" s="45">
        <f>SSCSource!M63</f>
        <v>0</v>
      </c>
      <c r="J51" s="45">
        <f t="shared" si="11"/>
        <v>1004685.3149999999</v>
      </c>
      <c r="K51" s="50">
        <f>IF(ISNUMBER(agent!$O$6*$W51*$X51*E51),TRUNC(agent!$O$6*$W51*$X51*E51,3),"没有上级")</f>
        <v>0</v>
      </c>
      <c r="L51" s="50">
        <f>IF(ISNUMBER(agent!$O$9*$W51*E51*$X51),TRUNC(agent!$O$9*$W51*E51*$X51,3),"没有上级")</f>
        <v>0</v>
      </c>
      <c r="M51" s="50">
        <f>IF(ISNUMBER(agent!$O$12*$W51*E51*$X51),TRUNC(agent!$O$12*$W51*E51*$X51,3),"没有上级")</f>
        <v>0</v>
      </c>
      <c r="N51" s="50" t="str">
        <f>IF(ISNUMBER(agent!$O$15*$W51*E51*$X51),TRUNC(agent!$O$15*$W51*E51*$X51,3),"没有上级")</f>
        <v>没有上级</v>
      </c>
      <c r="O51" s="50" t="str">
        <f>IF(ISNUMBER(agent!$O$18*$W51*E51*$X51),TRUNC(agent!$O$18*$W51*E51*$X51,3),"没有上级")</f>
        <v>没有上级</v>
      </c>
      <c r="P51" s="50" t="str">
        <f>IF(ISNUMBER(agent!$O$21*$W51*E51*$X51),TRUNC(agent!$O$21*$W51*E51*$X51,3),"没有上级")</f>
        <v>没有上级</v>
      </c>
      <c r="Q51" s="50" t="str">
        <f>IF(ISNUMBER(agent!$O$24*$W51*E51*$X51),TRUNC(agent!$O$24*$W51*E51*$X51,3),"没有上级")</f>
        <v>没有上级</v>
      </c>
      <c r="R51" s="50" t="str">
        <f>IF(ISNUMBER(agent!$O$27*$W51*E51*$X51),TRUNC(agent!$O$27*$W51*E51*$X51,3),"没有上级")</f>
        <v>没有上级</v>
      </c>
      <c r="S51" s="50" t="str">
        <f>IF(ISNUMBER(agent!$O$30*$W51*E51*$X51),TRUNC(agent!$O$30*$W51*E51*$X51,3),"没有上级")</f>
        <v>没有上级</v>
      </c>
      <c r="T51" s="50" t="str">
        <f>IF(ISNUMBER(agent!$O$33*$W51*$X51*E51),TRUNC(agent!$O$33*$W51*$X51*E51,3),"没有上级")</f>
        <v>没有上级</v>
      </c>
      <c r="U51" s="50">
        <f t="shared" si="2"/>
        <v>0</v>
      </c>
      <c r="V51" s="50"/>
      <c r="W51" s="36">
        <f>TRUNC(0.33325,3)</f>
        <v>0.33300000000000002</v>
      </c>
      <c r="X51" s="25">
        <f>SSCSource!N63</f>
        <v>0</v>
      </c>
      <c r="Y51" s="36">
        <f>TRUNC((Z51-(9.9-agent!$L$3)*W51*10),3)</f>
        <v>328.30500000000001</v>
      </c>
      <c r="Z51" s="49">
        <f t="shared" ref="Z51:Z53" si="14">TRUNC(300+99*W51,3)</f>
        <v>332.96699999999998</v>
      </c>
      <c r="AA51" s="48"/>
      <c r="AB51" s="48">
        <f t="shared" si="10"/>
        <v>328.30500000000001</v>
      </c>
    </row>
    <row r="52" spans="1:28" x14ac:dyDescent="0.15">
      <c r="A52" s="50">
        <f>agent!J$2</f>
        <v>397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>
        <f>SSCSource!K$2</f>
        <v>11112</v>
      </c>
      <c r="I52" s="45">
        <f>SSCSource!M64</f>
        <v>0</v>
      </c>
      <c r="J52" s="45">
        <f t="shared" si="11"/>
        <v>1004679.3149999999</v>
      </c>
      <c r="K52" s="50">
        <f>IF(ISNUMBER(agent!$O$6*$W52*$X52*E52),TRUNC(agent!$O$6*$W52*$X52*E52,3),"没有上级")</f>
        <v>0</v>
      </c>
      <c r="L52" s="50">
        <f>IF(ISNUMBER(agent!$O$9*$W52*E52*$X52),TRUNC(agent!$O$9*$W52*E52*$X52,3),"没有上级")</f>
        <v>0</v>
      </c>
      <c r="M52" s="50">
        <f>IF(ISNUMBER(agent!$O$12*$W52*E52*$X52),TRUNC(agent!$O$12*$W52*E52*$X52,3),"没有上级")</f>
        <v>0</v>
      </c>
      <c r="N52" s="50" t="str">
        <f>IF(ISNUMBER(agent!$O$15*$W52*E52*$X52),TRUNC(agent!$O$15*$W52*E52*$X52,3),"没有上级")</f>
        <v>没有上级</v>
      </c>
      <c r="O52" s="50" t="str">
        <f>IF(ISNUMBER(agent!$O$18*$W52*E52*$X52),TRUNC(agent!$O$18*$W52*E52*$X52,3),"没有上级")</f>
        <v>没有上级</v>
      </c>
      <c r="P52" s="50" t="str">
        <f>IF(ISNUMBER(agent!$O$21*$W52*E52*$X52),TRUNC(agent!$O$21*$W52*E52*$X52,3),"没有上级")</f>
        <v>没有上级</v>
      </c>
      <c r="Q52" s="50" t="str">
        <f>IF(ISNUMBER(agent!$O$24*$W52*E52*$X52),TRUNC(agent!$O$24*$W52*E52*$X52,3),"没有上级")</f>
        <v>没有上级</v>
      </c>
      <c r="R52" s="50" t="str">
        <f>IF(ISNUMBER(agent!$O$27*$W52*E52*$X52),TRUNC(agent!$O$27*$W52*E52*$X52,3),"没有上级")</f>
        <v>没有上级</v>
      </c>
      <c r="S52" s="50" t="str">
        <f>IF(ISNUMBER(agent!$O$30*$W52*E52*$X52),TRUNC(agent!$O$30*$W52*E52*$X52,3),"没有上级")</f>
        <v>没有上级</v>
      </c>
      <c r="T52" s="50" t="str">
        <f>IF(ISNUMBER(agent!$O$33*$W52*$X52*E52),TRUNC(agent!$O$33*$W52*$X52*E52,3),"没有上级")</f>
        <v>没有上级</v>
      </c>
      <c r="U52" s="50">
        <f t="shared" si="2"/>
        <v>0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328.30500000000001</v>
      </c>
      <c r="Z52" s="49">
        <f t="shared" si="14"/>
        <v>332.96699999999998</v>
      </c>
      <c r="AA52" s="48"/>
      <c r="AB52" s="48">
        <f t="shared" si="10"/>
        <v>328.30500000000001</v>
      </c>
    </row>
    <row r="53" spans="1:28" x14ac:dyDescent="0.15">
      <c r="A53" s="50">
        <f>agent!J$2</f>
        <v>397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>
        <f>SSCSource!K$2</f>
        <v>11112</v>
      </c>
      <c r="I53" s="45">
        <f>SSCSource!M65</f>
        <v>0</v>
      </c>
      <c r="J53" s="45">
        <f t="shared" si="11"/>
        <v>1004571.3149999999</v>
      </c>
      <c r="K53" s="50">
        <f>IF(ISNUMBER(agent!$O$6*$W53*$X53*E53),TRUNC(agent!$O$6*$W53*$X53*E53,3),"没有上级")</f>
        <v>0</v>
      </c>
      <c r="L53" s="50">
        <f>IF(ISNUMBER(agent!$O$9*$W53*E53*$X53),TRUNC(agent!$O$9*$W53*E53*$X53,3),"没有上级")</f>
        <v>0</v>
      </c>
      <c r="M53" s="50">
        <f>IF(ISNUMBER(agent!$O$12*$W53*E53*$X53),TRUNC(agent!$O$12*$W53*E53*$X53,3),"没有上级")</f>
        <v>0</v>
      </c>
      <c r="N53" s="50" t="str">
        <f>IF(ISNUMBER(agent!$O$15*$W53*E53*$X53),TRUNC(agent!$O$15*$W53*E53*$X53,3),"没有上级")</f>
        <v>没有上级</v>
      </c>
      <c r="O53" s="50" t="str">
        <f>IF(ISNUMBER(agent!$O$18*$W53*E53*$X53),TRUNC(agent!$O$18*$W53*E53*$X53,3),"没有上级")</f>
        <v>没有上级</v>
      </c>
      <c r="P53" s="50" t="str">
        <f>IF(ISNUMBER(agent!$O$21*$W53*E53*$X53),TRUNC(agent!$O$21*$W53*E53*$X53,3),"没有上级")</f>
        <v>没有上级</v>
      </c>
      <c r="Q53" s="50" t="str">
        <f>IF(ISNUMBER(agent!$O$24*$W53*E53*$X53),TRUNC(agent!$O$24*$W53*E53*$X53,3),"没有上级")</f>
        <v>没有上级</v>
      </c>
      <c r="R53" s="50" t="str">
        <f>IF(ISNUMBER(agent!$O$27*$W53*E53*$X53),TRUNC(agent!$O$27*$W53*E53*$X53,3),"没有上级")</f>
        <v>没有上级</v>
      </c>
      <c r="S53" s="50" t="str">
        <f>IF(ISNUMBER(agent!$O$30*$W53*E53*$X53),TRUNC(agent!$O$30*$W53*E53*$X53,3),"没有上级")</f>
        <v>没有上级</v>
      </c>
      <c r="T53" s="50" t="str">
        <f>IF(ISNUMBER(agent!$O$33*$W53*$X53*E53),TRUNC(agent!$O$33*$W53*$X53*E53,3),"没有上级")</f>
        <v>没有上级</v>
      </c>
      <c r="U53" s="50">
        <f t="shared" si="2"/>
        <v>0</v>
      </c>
      <c r="V53" s="50"/>
      <c r="W53" s="36">
        <f>TRUNC(0.33325,3)</f>
        <v>0.33300000000000002</v>
      </c>
      <c r="X53" s="25">
        <f>SSCSource!N65</f>
        <v>0</v>
      </c>
      <c r="Y53" s="36">
        <f>TRUNC((Z53-(9.9-agent!$L$3)*W53*10),3)</f>
        <v>328.30500000000001</v>
      </c>
      <c r="Z53" s="49">
        <f t="shared" si="14"/>
        <v>332.96699999999998</v>
      </c>
      <c r="AA53" s="48"/>
      <c r="AB53" s="48">
        <f t="shared" si="10"/>
        <v>328.30500000000001</v>
      </c>
    </row>
    <row r="54" spans="1:28" x14ac:dyDescent="0.15">
      <c r="A54" s="50">
        <f>agent!J$2</f>
        <v>397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>
        <f>SSCSource!K$2</f>
        <v>11112</v>
      </c>
      <c r="I54" s="45">
        <f>SSCSource!M66</f>
        <v>0</v>
      </c>
      <c r="J54" s="45">
        <f t="shared" si="11"/>
        <v>1004567.3149999999</v>
      </c>
      <c r="K54" s="50">
        <f>IF(ISNUMBER(agent!$O$6*$W54*$X54*E54),TRUNC(agent!$O$6*$W54*$X54*E54,3),"没有上级")</f>
        <v>0</v>
      </c>
      <c r="L54" s="50">
        <f>IF(ISNUMBER(agent!$O$9*$W54*E54*$X54),TRUNC(agent!$O$9*$W54*E54*$X54,3),"没有上级")</f>
        <v>0</v>
      </c>
      <c r="M54" s="50">
        <f>IF(ISNUMBER(agent!$O$12*$W54*E54*$X54),TRUNC(agent!$O$12*$W54*E54*$X54,3),"没有上级")</f>
        <v>0</v>
      </c>
      <c r="N54" s="50" t="str">
        <f>IF(ISNUMBER(agent!$O$15*$W54*E54*$X54),TRUNC(agent!$O$15*$W54*E54*$X54,3),"没有上级")</f>
        <v>没有上级</v>
      </c>
      <c r="O54" s="50" t="str">
        <f>IF(ISNUMBER(agent!$O$18*$W54*E54*$X54),TRUNC(agent!$O$18*$W54*E54*$X54,3),"没有上级")</f>
        <v>没有上级</v>
      </c>
      <c r="P54" s="50" t="str">
        <f>IF(ISNUMBER(agent!$O$21*$W54*E54*$X54),TRUNC(agent!$O$21*$W54*E54*$X54,3),"没有上级")</f>
        <v>没有上级</v>
      </c>
      <c r="Q54" s="50" t="str">
        <f>IF(ISNUMBER(agent!$O$24*$W54*E54*$X54),TRUNC(agent!$O$24*$W54*E54*$X54,3),"没有上级")</f>
        <v>没有上级</v>
      </c>
      <c r="R54" s="50" t="str">
        <f>IF(ISNUMBER(agent!$O$27*$W54*E54*$X54),TRUNC(agent!$O$27*$W54*E54*$X54,3),"没有上级")</f>
        <v>没有上级</v>
      </c>
      <c r="S54" s="50" t="str">
        <f>IF(ISNUMBER(agent!$O$30*$W54*E54*$X54),TRUNC(agent!$O$30*$W54*E54*$X54,3),"没有上级")</f>
        <v>没有上级</v>
      </c>
      <c r="T54" s="50" t="str">
        <f>IF(ISNUMBER(agent!$O$33*$W54*$X54*E54),TRUNC(agent!$O$33*$W54*$X54*E54,3),"没有上级")</f>
        <v>没有上级</v>
      </c>
      <c r="U54" s="50">
        <f t="shared" si="2"/>
        <v>0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656.61</v>
      </c>
      <c r="Z54" s="49">
        <f>TRUNC(600+99*W54,3)</f>
        <v>665.93399999999997</v>
      </c>
      <c r="AA54" s="48"/>
      <c r="AB54" s="48">
        <f t="shared" si="10"/>
        <v>656.61</v>
      </c>
    </row>
    <row r="55" spans="1:28" x14ac:dyDescent="0.15">
      <c r="A55" s="50">
        <f>agent!J$2</f>
        <v>397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>
        <f>SSCSource!K$2</f>
        <v>11112</v>
      </c>
      <c r="I55" s="45">
        <f>SSCSource!M67</f>
        <v>0</v>
      </c>
      <c r="J55" s="45">
        <f t="shared" si="11"/>
        <v>1004561.3149999999</v>
      </c>
      <c r="K55" s="50">
        <f>IF(ISNUMBER(agent!$O$6*$W55*$X55*E55),TRUNC(agent!$O$6*$W55*$X55*E55,3),"没有上级")</f>
        <v>0</v>
      </c>
      <c r="L55" s="50">
        <f>IF(ISNUMBER(agent!$O$9*$W55*E55*$X55),TRUNC(agent!$O$9*$W55*E55*$X55,3),"没有上级")</f>
        <v>0</v>
      </c>
      <c r="M55" s="50">
        <f>IF(ISNUMBER(agent!$O$12*$W55*E55*$X55),TRUNC(agent!$O$12*$W55*E55*$X55,3),"没有上级")</f>
        <v>0</v>
      </c>
      <c r="N55" s="50" t="str">
        <f>IF(ISNUMBER(agent!$O$15*$W55*E55*$X55),TRUNC(agent!$O$15*$W55*E55*$X55,3),"没有上级")</f>
        <v>没有上级</v>
      </c>
      <c r="O55" s="50" t="str">
        <f>IF(ISNUMBER(agent!$O$18*$W55*E55*$X55),TRUNC(agent!$O$18*$W55*E55*$X55,3),"没有上级")</f>
        <v>没有上级</v>
      </c>
      <c r="P55" s="50" t="str">
        <f>IF(ISNUMBER(agent!$O$21*$W55*E55*$X55),TRUNC(agent!$O$21*$W55*E55*$X55,3),"没有上级")</f>
        <v>没有上级</v>
      </c>
      <c r="Q55" s="50" t="str">
        <f>IF(ISNUMBER(agent!$O$24*$W55*E55*$X55),TRUNC(agent!$O$24*$W55*E55*$X55,3),"没有上级")</f>
        <v>没有上级</v>
      </c>
      <c r="R55" s="50" t="str">
        <f>IF(ISNUMBER(agent!$O$27*$W55*E55*$X55),TRUNC(agent!$O$27*$W55*E55*$X55,3),"没有上级")</f>
        <v>没有上级</v>
      </c>
      <c r="S55" s="50" t="str">
        <f>IF(ISNUMBER(agent!$O$30*$W55*E55*$X55),TRUNC(agent!$O$30*$W55*E55*$X55,3),"没有上级")</f>
        <v>没有上级</v>
      </c>
      <c r="T55" s="50" t="str">
        <f>IF(ISNUMBER(agent!$O$33*$W55*$X55*E55),TRUNC(agent!$O$33*$W55*$X55*E55,3),"没有上级")</f>
        <v>没有上级</v>
      </c>
      <c r="U55" s="50">
        <f t="shared" si="2"/>
        <v>0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328.30500000000001</v>
      </c>
      <c r="Z55" s="49">
        <f>TRUNC(300+99*W55,3)</f>
        <v>332.96699999999998</v>
      </c>
      <c r="AA55" s="48"/>
      <c r="AB55" s="48">
        <f t="shared" si="10"/>
        <v>328.30500000000001</v>
      </c>
    </row>
    <row r="56" spans="1:28" s="29" customFormat="1" x14ac:dyDescent="0.15">
      <c r="A56" s="50">
        <f>agent!J$2</f>
        <v>397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>
        <f>SSCSource!K$2</f>
        <v>11112</v>
      </c>
      <c r="I56" s="29">
        <f>SSCSource!M68</f>
        <v>43.410000000000004</v>
      </c>
      <c r="J56" s="29">
        <f t="shared" si="11"/>
        <v>1004562.725</v>
      </c>
      <c r="K56" s="50">
        <f>IF(ISNUMBER(agent!$O$6*$W56*$X56*E56),TRUNC(agent!$O$6*$W56*$X56*E56,3),"没有上级")</f>
        <v>0.252</v>
      </c>
      <c r="L56" s="50">
        <f>IF(ISNUMBER(agent!$O$9*$W56*E56*$X56),TRUNC(agent!$O$9*$W56*E56*$X56,3),"没有上级")</f>
        <v>0.16800000000000001</v>
      </c>
      <c r="M56" s="50">
        <f>IF(ISNUMBER(agent!$O$12*$W56*E56*$X56),TRUNC(agent!$O$12*$W56*E56*$X56,3),"没有上级")</f>
        <v>0.16800000000000001</v>
      </c>
      <c r="N56" s="50" t="str">
        <f>IF(ISNUMBER(agent!$O$15*$W56*E56*$X56),TRUNC(agent!$O$15*$W56*E56*$X56,3),"没有上级")</f>
        <v>没有上级</v>
      </c>
      <c r="O56" s="50" t="str">
        <f>IF(ISNUMBER(agent!$O$18*$W56*E56*$X56),TRUNC(agent!$O$18*$W56*E56*$X56,3),"没有上级")</f>
        <v>没有上级</v>
      </c>
      <c r="P56" s="50" t="str">
        <f>IF(ISNUMBER(agent!$O$21*$W56*E56*$X56),TRUNC(agent!$O$21*$W56*E56*$X56,3),"没有上级")</f>
        <v>没有上级</v>
      </c>
      <c r="Q56" s="50" t="str">
        <f>IF(ISNUMBER(agent!$O$24*$W56*E56*$X56),TRUNC(agent!$O$24*$W56*E56*$X56,3),"没有上级")</f>
        <v>没有上级</v>
      </c>
      <c r="R56" s="50" t="str">
        <f>IF(ISNUMBER(agent!$O$27*$W56*E56*$X56),TRUNC(agent!$O$27*$W56*E56*$X56,3),"没有上级")</f>
        <v>没有上级</v>
      </c>
      <c r="S56" s="50" t="str">
        <f>IF(ISNUMBER(agent!$O$30*$W56*E56*$X56),TRUNC(agent!$O$30*$W56*E56*$X56,3),"没有上级")</f>
        <v>没有上级</v>
      </c>
      <c r="T56" s="50" t="str">
        <f>IF(ISNUMBER(agent!$O$33*$W56*$X56*E56),TRUNC(agent!$O$33*$W56*$X56*E56,3),"没有上级")</f>
        <v>没有上级</v>
      </c>
      <c r="U56" s="50">
        <f t="shared" si="2"/>
        <v>0.58800000000000008</v>
      </c>
      <c r="V56" s="50"/>
      <c r="W56" s="29">
        <f>TRUNC(0.007375,3)</f>
        <v>7.0000000000000001E-3</v>
      </c>
      <c r="X56" s="29">
        <f>SSCSource!N68</f>
        <v>2</v>
      </c>
      <c r="Y56" s="29">
        <f>TRUNC((Z56-(9.9-agent!$L$3)*W56*10),3)</f>
        <v>7.2350000000000003</v>
      </c>
      <c r="Z56" s="49">
        <f>TRUNC(6.64+99*W56,3)</f>
        <v>7.3330000000000002</v>
      </c>
      <c r="AA56" s="48"/>
      <c r="AB56" s="29">
        <f t="shared" si="10"/>
        <v>7.2350000000000003</v>
      </c>
    </row>
    <row r="57" spans="1:28" x14ac:dyDescent="0.15">
      <c r="A57" s="50">
        <f>agent!J$2</f>
        <v>397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>
        <f>SSCSource!K$2</f>
        <v>11112</v>
      </c>
      <c r="I57" s="48">
        <f>IF(ISNUMBER(SSCSource!M69),SSCSource!M69,0)</f>
        <v>0</v>
      </c>
      <c r="J57" s="45">
        <f t="shared" si="11"/>
        <v>1004436.725</v>
      </c>
      <c r="K57" s="50">
        <f>IF(ISNUMBER(agent!$O$6*$W57*$X57*E57),TRUNC(agent!$O$6*$W57*$X57*E57,3),"没有上级")</f>
        <v>0</v>
      </c>
      <c r="L57" s="50">
        <f>IF(ISNUMBER(agent!$O$9*$W57*E57*$X57),TRUNC(agent!$O$9*$W57*E57*$X57,3),"没有上级")</f>
        <v>0</v>
      </c>
      <c r="M57" s="50">
        <f>IF(ISNUMBER(agent!$O$12*$W57*E57*$X57),TRUNC(agent!$O$12*$W57*E57*$X57,3),"没有上级")</f>
        <v>0</v>
      </c>
      <c r="N57" s="50" t="str">
        <f>IF(ISNUMBER(agent!$O$15*$W57*E57*$X57),TRUNC(agent!$O$15*$W57*E57*$X57,3),"没有上级")</f>
        <v>没有上级</v>
      </c>
      <c r="O57" s="50" t="str">
        <f>IF(ISNUMBER(agent!$O$18*$W57*E57*$X57),TRUNC(agent!$O$18*$W57*E57*$X57,3),"没有上级")</f>
        <v>没有上级</v>
      </c>
      <c r="P57" s="50" t="str">
        <f>IF(ISNUMBER(agent!$O$21*$W57*E57*$X57),TRUNC(agent!$O$21*$W57*E57*$X57,3),"没有上级")</f>
        <v>没有上级</v>
      </c>
      <c r="Q57" s="50" t="str">
        <f>IF(ISNUMBER(agent!$O$24*$W57*E57*$X57),TRUNC(agent!$O$24*$W57*E57*$X57,3),"没有上级")</f>
        <v>没有上级</v>
      </c>
      <c r="R57" s="50" t="str">
        <f>IF(ISNUMBER(agent!$O$27*$W57*E57*$X57),TRUNC(agent!$O$27*$W57*E57*$X57,3),"没有上级")</f>
        <v>没有上级</v>
      </c>
      <c r="S57" s="50" t="str">
        <f>IF(ISNUMBER(agent!$O$30*$W57*E57*$X57),TRUNC(agent!$O$30*$W57*E57*$X57,3),"没有上级")</f>
        <v>没有上级</v>
      </c>
      <c r="T57" s="50" t="str">
        <f>IF(ISNUMBER(agent!$O$33*$W57*$X57*E57),TRUNC(agent!$O$33*$W57*$X57*E57,3),"没有上级")</f>
        <v>没有上级</v>
      </c>
      <c r="U57" s="50">
        <f t="shared" si="2"/>
        <v>0</v>
      </c>
      <c r="V57" s="50"/>
      <c r="W57" s="36">
        <f>TRUNC(0.037,3)</f>
        <v>3.6999999999999998E-2</v>
      </c>
      <c r="X57" s="25">
        <f>SSCSource!N69</f>
        <v>0</v>
      </c>
      <c r="Y57" s="36">
        <f>TRUNC((Z57-(9.9-agent!$L$3)*W57*10),3)</f>
        <v>36.475000000000001</v>
      </c>
      <c r="Z57" s="49">
        <f>TRUNC(33.33+99*W57,3)</f>
        <v>36.993000000000002</v>
      </c>
      <c r="AA57" s="48"/>
      <c r="AB57" s="48">
        <f t="shared" si="10"/>
        <v>36.475000000000001</v>
      </c>
    </row>
    <row r="58" spans="1:28" x14ac:dyDescent="0.15">
      <c r="A58" s="50">
        <f>agent!J$2</f>
        <v>397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>
        <f>SSCSource!K$2</f>
        <v>11112</v>
      </c>
      <c r="I58" s="45">
        <f>SSCSource!M70</f>
        <v>0</v>
      </c>
      <c r="J58" s="45">
        <f t="shared" si="11"/>
        <v>1002636.725</v>
      </c>
      <c r="K58" s="50">
        <f>IF(ISNUMBER(agent!$O$6*$W58*$X58*E58),TRUNC(agent!$O$6*$W58*$X58*E58,3),"没有上级")</f>
        <v>0</v>
      </c>
      <c r="L58" s="50">
        <f>IF(ISNUMBER(agent!$O$9*$W58*E58*$X58),TRUNC(agent!$O$9*$W58*E58*$X58,3),"没有上级")</f>
        <v>0</v>
      </c>
      <c r="M58" s="50">
        <f>IF(ISNUMBER(agent!$O$12*$W58*E58*$X58),TRUNC(agent!$O$12*$W58*E58*$X58,3),"没有上级")</f>
        <v>0</v>
      </c>
      <c r="N58" s="50" t="str">
        <f>IF(ISNUMBER(agent!$O$15*$W58*E58*$X58),TRUNC(agent!$O$15*$W58*E58*$X58,3),"没有上级")</f>
        <v>没有上级</v>
      </c>
      <c r="O58" s="50" t="str">
        <f>IF(ISNUMBER(agent!$O$18*$W58*E58*$X58),TRUNC(agent!$O$18*$W58*E58*$X58,3),"没有上级")</f>
        <v>没有上级</v>
      </c>
      <c r="P58" s="50" t="str">
        <f>IF(ISNUMBER(agent!$O$21*$W58*E58*$X58),TRUNC(agent!$O$21*$W58*E58*$X58,3),"没有上级")</f>
        <v>没有上级</v>
      </c>
      <c r="Q58" s="50" t="str">
        <f>IF(ISNUMBER(agent!$O$24*$W58*E58*$X58),TRUNC(agent!$O$24*$W58*E58*$X58,3),"没有上级")</f>
        <v>没有上级</v>
      </c>
      <c r="R58" s="50" t="str">
        <f>IF(ISNUMBER(agent!$O$27*$W58*E58*$X58),TRUNC(agent!$O$27*$W58*E58*$X58,3),"没有上级")</f>
        <v>没有上级</v>
      </c>
      <c r="S58" s="50" t="str">
        <f>IF(ISNUMBER(agent!$O$30*$W58*E58*$X58),TRUNC(agent!$O$30*$W58*E58*$X58,3),"没有上级")</f>
        <v>没有上级</v>
      </c>
      <c r="T58" s="50" t="str">
        <f>IF(ISNUMBER(agent!$O$33*$W58*$X58*E58),TRUNC(agent!$O$33*$W58*$X58*E58,3),"没有上级")</f>
        <v>没有上级</v>
      </c>
      <c r="U58" s="50">
        <f t="shared" si="2"/>
        <v>0</v>
      </c>
      <c r="V58" s="50"/>
      <c r="W58" s="25">
        <v>20</v>
      </c>
      <c r="X58" s="25">
        <f>SSCSource!N70</f>
        <v>0</v>
      </c>
      <c r="Y58" s="36">
        <f>TRUNC((Z58-(9.9-agent!$L$3)*W58*10),3)</f>
        <v>19700</v>
      </c>
      <c r="Z58" s="49">
        <f>TRUNC(18000+99*W58,3)</f>
        <v>19980</v>
      </c>
      <c r="AA58" s="48"/>
      <c r="AB58" s="48">
        <f t="shared" si="10"/>
        <v>19700</v>
      </c>
    </row>
    <row r="59" spans="1:28" x14ac:dyDescent="0.15">
      <c r="A59" s="50">
        <f>agent!J$2</f>
        <v>397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>
        <f>SSCSource!K$2</f>
        <v>11112</v>
      </c>
      <c r="I59" s="45">
        <f>SSCSource!M74</f>
        <v>0</v>
      </c>
      <c r="J59" s="45">
        <f t="shared" si="11"/>
        <v>1002632.725</v>
      </c>
      <c r="K59" s="50">
        <f>IF(ISNUMBER(agent!$O$6*$W59*$X59*E59),TRUNC(agent!$O$6*$W59*$X59*E59,3),"没有上级")</f>
        <v>0</v>
      </c>
      <c r="L59" s="50">
        <f>IF(ISNUMBER(agent!$O$9*$W59*E59*$X59),TRUNC(agent!$O$9*$W59*E59*$X59,3),"没有上级")</f>
        <v>0</v>
      </c>
      <c r="M59" s="50">
        <f>IF(ISNUMBER(agent!$O$12*$W59*E59*$X59),TRUNC(agent!$O$12*$W59*E59*$X59,3),"没有上级")</f>
        <v>0</v>
      </c>
      <c r="N59" s="50" t="str">
        <f>IF(ISNUMBER(agent!$O$15*$W59*E59*$X59),TRUNC(agent!$O$15*$W59*E59*$X59,3),"没有上级")</f>
        <v>没有上级</v>
      </c>
      <c r="O59" s="50" t="str">
        <f>IF(ISNUMBER(agent!$O$18*$W59*E59*$X59),TRUNC(agent!$O$18*$W59*E59*$X59,3),"没有上级")</f>
        <v>没有上级</v>
      </c>
      <c r="P59" s="50" t="str">
        <f>IF(ISNUMBER(agent!$O$21*$W59*E59*$X59),TRUNC(agent!$O$21*$W59*E59*$X59,3),"没有上级")</f>
        <v>没有上级</v>
      </c>
      <c r="Q59" s="50" t="str">
        <f>IF(ISNUMBER(agent!$O$24*$W59*E59*$X59),TRUNC(agent!$O$24*$W59*E59*$X59,3),"没有上级")</f>
        <v>没有上级</v>
      </c>
      <c r="R59" s="50" t="str">
        <f>IF(ISNUMBER(agent!$O$27*$W59*E59*$X59),TRUNC(agent!$O$27*$W59*E59*$X59,3),"没有上级")</f>
        <v>没有上级</v>
      </c>
      <c r="S59" s="50" t="str">
        <f>IF(ISNUMBER(agent!$O$30*$W59*E59*$X59),TRUNC(agent!$O$30*$W59*E59*$X59,3),"没有上级")</f>
        <v>没有上级</v>
      </c>
      <c r="T59" s="50" t="str">
        <f>IF(ISNUMBER(agent!$O$33*$W59*$X59*E59),TRUNC(agent!$O$33*$W59*$X59*E59,3),"没有上级")</f>
        <v>没有上级</v>
      </c>
      <c r="U59" s="50">
        <f t="shared" si="2"/>
        <v>0</v>
      </c>
      <c r="V59" s="50"/>
      <c r="W59" s="25">
        <v>20</v>
      </c>
      <c r="X59" s="25">
        <f>SSCSource!N74</f>
        <v>0</v>
      </c>
      <c r="Y59" s="36">
        <f>TRUNC((Z59-(9.9-agent!$L$3)*W59*10),3)</f>
        <v>19700</v>
      </c>
      <c r="Z59" s="49">
        <f>TRUNC(18000+99*W59,3)</f>
        <v>19980</v>
      </c>
      <c r="AA59" s="48"/>
      <c r="AB59" s="48">
        <f t="shared" si="10"/>
        <v>19700</v>
      </c>
    </row>
    <row r="60" spans="1:28" x14ac:dyDescent="0.15">
      <c r="A60" s="50">
        <f>agent!J$2</f>
        <v>397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>
        <f>SSCSource!K$2</f>
        <v>11112</v>
      </c>
      <c r="I60" s="45">
        <f>IF(ISNUMBER(SSCSource!M75),SSCSource!M75,0)</f>
        <v>0</v>
      </c>
      <c r="J60" s="45">
        <f t="shared" si="11"/>
        <v>1001932.725</v>
      </c>
      <c r="K60" s="50">
        <f>IF(ISNUMBER(agent!$O$6*$W60*$X60*E60),TRUNC(agent!$O$6*$W60*$X60*E60,3),"没有上级")</f>
        <v>0</v>
      </c>
      <c r="L60" s="50">
        <f>IF(ISNUMBER(agent!$O$9*$W60*E60*$X60),TRUNC(agent!$O$9*$W60*E60*$X60,3),"没有上级")</f>
        <v>0</v>
      </c>
      <c r="M60" s="50">
        <f>IF(ISNUMBER(agent!$O$12*$W60*E60*$X60),TRUNC(agent!$O$12*$W60*E60*$X60,3),"没有上级")</f>
        <v>0</v>
      </c>
      <c r="N60" s="50" t="str">
        <f>IF(ISNUMBER(agent!$O$15*$W60*E60*$X60),TRUNC(agent!$O$15*$W60*E60*$X60,3),"没有上级")</f>
        <v>没有上级</v>
      </c>
      <c r="O60" s="50" t="str">
        <f>IF(ISNUMBER(agent!$O$18*$W60*E60*$X60),TRUNC(agent!$O$18*$W60*E60*$X60,3),"没有上级")</f>
        <v>没有上级</v>
      </c>
      <c r="P60" s="50" t="str">
        <f>IF(ISNUMBER(agent!$O$21*$W60*E60*$X60),TRUNC(agent!$O$21*$W60*E60*$X60,3),"没有上级")</f>
        <v>没有上级</v>
      </c>
      <c r="Q60" s="50" t="str">
        <f>IF(ISNUMBER(agent!$O$24*$W60*E60*$X60),TRUNC(agent!$O$24*$W60*E60*$X60,3),"没有上级")</f>
        <v>没有上级</v>
      </c>
      <c r="R60" s="50" t="str">
        <f>IF(ISNUMBER(agent!$O$27*$W60*E60*$X60),TRUNC(agent!$O$27*$W60*E60*$X60,3),"没有上级")</f>
        <v>没有上级</v>
      </c>
      <c r="S60" s="50" t="str">
        <f>IF(ISNUMBER(agent!$O$30*$W60*E60*$X60),TRUNC(agent!$O$30*$W60*E60*$X60,3),"没有上级")</f>
        <v>没有上级</v>
      </c>
      <c r="T60" s="50" t="str">
        <f>IF(ISNUMBER(agent!$O$33*$W60*$X60*E60),TRUNC(agent!$O$33*$W60*$X60*E60,3),"没有上级")</f>
        <v>没有上级</v>
      </c>
      <c r="U60" s="50">
        <f t="shared" si="2"/>
        <v>0</v>
      </c>
      <c r="V60" s="50"/>
      <c r="W60" s="25">
        <f>TRUNC(0.83325,3)</f>
        <v>0.83299999999999996</v>
      </c>
      <c r="X60" s="25">
        <f>SSCSource!N75</f>
        <v>0</v>
      </c>
      <c r="Y60" s="36">
        <f>TRUNC((Z60-(9.9-agent!$L$3)*W60*10),3)</f>
        <v>820.80499999999995</v>
      </c>
      <c r="Z60" s="49">
        <f>TRUNC(750+99*W60,3)</f>
        <v>832.46699999999998</v>
      </c>
      <c r="AA60" s="48"/>
      <c r="AB60" s="48">
        <f t="shared" si="10"/>
        <v>820.80499999999995</v>
      </c>
    </row>
    <row r="61" spans="1:28" x14ac:dyDescent="0.15">
      <c r="A61" s="50">
        <f>agent!J$2</f>
        <v>397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>
        <f>SSCSource!K$2</f>
        <v>11112</v>
      </c>
      <c r="I61" s="45">
        <f>IF(ISNUMBER(SSCSource!M76),SSCSource!M76,0)</f>
        <v>0</v>
      </c>
      <c r="J61" s="45">
        <f t="shared" si="11"/>
        <v>1000644.725</v>
      </c>
      <c r="K61" s="50">
        <f>IF(ISNUMBER(agent!$O$6*$W61*$X61*E61),TRUNC(agent!$O$6*$W61*$X61*E61,3),"没有上级")</f>
        <v>0</v>
      </c>
      <c r="L61" s="50">
        <f>IF(ISNUMBER(agent!$O$9*$W61*E61*$X61),TRUNC(agent!$O$9*$W61*E61*$X61,3),"没有上级")</f>
        <v>0</v>
      </c>
      <c r="M61" s="50">
        <f>IF(ISNUMBER(agent!$O$12*$W61*E61*$X61),TRUNC(agent!$O$12*$W61*E61*$X61,3),"没有上级")</f>
        <v>0</v>
      </c>
      <c r="N61" s="50" t="str">
        <f>IF(ISNUMBER(agent!$O$15*$W61*E61*$X61),TRUNC(agent!$O$15*$W61*E61*$X61,3),"没有上级")</f>
        <v>没有上级</v>
      </c>
      <c r="O61" s="50" t="str">
        <f>IF(ISNUMBER(agent!$O$18*$W61*E61*$X61),TRUNC(agent!$O$18*$W61*E61*$X61,3),"没有上级")</f>
        <v>没有上级</v>
      </c>
      <c r="P61" s="50" t="str">
        <f>IF(ISNUMBER(agent!$O$21*$W61*E61*$X61),TRUNC(agent!$O$21*$W61*E61*$X61,3),"没有上级")</f>
        <v>没有上级</v>
      </c>
      <c r="Q61" s="50" t="str">
        <f>IF(ISNUMBER(agent!$O$24*$W61*E61*$X61),TRUNC(agent!$O$24*$W61*E61*$X61,3),"没有上级")</f>
        <v>没有上级</v>
      </c>
      <c r="R61" s="50" t="str">
        <f>IF(ISNUMBER(agent!$O$27*$W61*E61*$X61),TRUNC(agent!$O$27*$W61*E61*$X61,3),"没有上级")</f>
        <v>没有上级</v>
      </c>
      <c r="S61" s="50" t="str">
        <f>IF(ISNUMBER(agent!$O$30*$W61*E61*$X61),TRUNC(agent!$O$30*$W61*E61*$X61,3),"没有上级")</f>
        <v>没有上级</v>
      </c>
      <c r="T61" s="50" t="str">
        <f>IF(ISNUMBER(agent!$O$33*$W61*$X61*E61),TRUNC(agent!$O$33*$W61*$X61*E61,3),"没有上级")</f>
        <v>没有上级</v>
      </c>
      <c r="U61" s="50">
        <f t="shared" si="2"/>
        <v>0</v>
      </c>
      <c r="V61" s="50"/>
      <c r="W61" s="36">
        <f>TRUNC(1.666625,3)</f>
        <v>1.6659999999999999</v>
      </c>
      <c r="X61" s="25">
        <f>SSCSource!N76</f>
        <v>0</v>
      </c>
      <c r="Y61" s="36">
        <f>TRUNC((Z61-(9.9-agent!$L$3)*W61*10),3)</f>
        <v>1641.61</v>
      </c>
      <c r="Z61" s="49">
        <f>TRUNC(1500+99*W61,3)</f>
        <v>1664.934</v>
      </c>
      <c r="AA61" s="48"/>
      <c r="AB61" s="48">
        <f t="shared" si="10"/>
        <v>1641.61</v>
      </c>
    </row>
    <row r="62" spans="1:28" x14ac:dyDescent="0.15">
      <c r="A62" s="50">
        <f>agent!J$2</f>
        <v>397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>
        <f>SSCSource!K$2</f>
        <v>11112</v>
      </c>
      <c r="I62" s="45">
        <f>IF(ISNUMBER(SSCSource!M78),SSCSource!M78,0)</f>
        <v>0</v>
      </c>
      <c r="J62" s="45">
        <f t="shared" si="11"/>
        <v>1000602.725</v>
      </c>
      <c r="K62" s="50">
        <f>IF(ISNUMBER(agent!$O$6*$W62*$X62*E62),TRUNC(agent!$O$6*$W62*$X62*E62,3),"没有上级")</f>
        <v>0</v>
      </c>
      <c r="L62" s="50">
        <f>IF(ISNUMBER(agent!$O$9*$W62*E62*$X62),TRUNC(agent!$O$9*$W62*E62*$X62,3),"没有上级")</f>
        <v>0</v>
      </c>
      <c r="M62" s="50">
        <f>IF(ISNUMBER(agent!$O$12*$W62*E62*$X62),TRUNC(agent!$O$12*$W62*E62*$X62,3),"没有上级")</f>
        <v>0</v>
      </c>
      <c r="N62" s="50" t="str">
        <f>IF(ISNUMBER(agent!$O$15*$W62*E62*$X62),TRUNC(agent!$O$15*$W62*E62*$X62,3),"没有上级")</f>
        <v>没有上级</v>
      </c>
      <c r="O62" s="50" t="str">
        <f>IF(ISNUMBER(agent!$O$18*$W62*E62*$X62),TRUNC(agent!$O$18*$W62*E62*$X62,3),"没有上级")</f>
        <v>没有上级</v>
      </c>
      <c r="P62" s="50" t="str">
        <f>IF(ISNUMBER(agent!$O$21*$W62*E62*$X62),TRUNC(agent!$O$21*$W62*E62*$X62,3),"没有上级")</f>
        <v>没有上级</v>
      </c>
      <c r="Q62" s="50" t="str">
        <f>IF(ISNUMBER(agent!$O$24*$W62*E62*$X62),TRUNC(agent!$O$24*$W62*E62*$X62,3),"没有上级")</f>
        <v>没有上级</v>
      </c>
      <c r="R62" s="50" t="str">
        <f>IF(ISNUMBER(agent!$O$27*$W62*E62*$X62),TRUNC(agent!$O$27*$W62*E62*$X62,3),"没有上级")</f>
        <v>没有上级</v>
      </c>
      <c r="S62" s="50" t="str">
        <f>IF(ISNUMBER(agent!$O$30*$W62*E62*$X62),TRUNC(agent!$O$30*$W62*E62*$X62,3),"没有上级")</f>
        <v>没有上级</v>
      </c>
      <c r="T62" s="50" t="str">
        <f>IF(ISNUMBER(agent!$O$33*$W62*$X62*E62),TRUNC(agent!$O$33*$W62*$X62*E62,3),"没有上级")</f>
        <v>没有上级</v>
      </c>
      <c r="U62" s="50">
        <f t="shared" si="2"/>
        <v>0</v>
      </c>
      <c r="V62" s="50"/>
      <c r="W62" s="25">
        <f>TRUNC(3.33325,3)</f>
        <v>3.3330000000000002</v>
      </c>
      <c r="X62" s="25">
        <f>SSCSource!N78</f>
        <v>0</v>
      </c>
      <c r="Y62" s="36">
        <f>TRUNC((Z62-(9.9-agent!$L$3)*W62*10),3)</f>
        <v>3283.3049999999998</v>
      </c>
      <c r="Z62" s="49">
        <f>TRUNC(3000+99*W62,3)</f>
        <v>3329.9670000000001</v>
      </c>
      <c r="AA62" s="48"/>
      <c r="AB62" s="48">
        <f t="shared" si="10"/>
        <v>3283.3049999999998</v>
      </c>
    </row>
    <row r="63" spans="1:28" x14ac:dyDescent="0.15">
      <c r="A63" s="50">
        <f>agent!J$2</f>
        <v>397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>
        <f>SSCSource!K$2</f>
        <v>11112</v>
      </c>
      <c r="I63" s="45">
        <f>SSCSource!M79</f>
        <v>9850</v>
      </c>
      <c r="J63" s="45">
        <f t="shared" si="11"/>
        <v>1010304.725</v>
      </c>
      <c r="K63" s="50">
        <f>IF(ISNUMBER(agent!$O$6*$W63*$X63*E63),TRUNC(agent!$O$6*$W63*$X63*E63,3),"没有上级")</f>
        <v>60</v>
      </c>
      <c r="L63" s="50">
        <f>IF(ISNUMBER(agent!$O$9*$W63*E63*$X63),TRUNC(agent!$O$9*$W63*E63*$X63,3),"没有上级")</f>
        <v>40</v>
      </c>
      <c r="M63" s="50">
        <f>IF(ISNUMBER(agent!$O$12*$W63*E63*$X63),TRUNC(agent!$O$12*$W63*E63*$X63,3),"没有上级")</f>
        <v>40</v>
      </c>
      <c r="N63" s="50" t="str">
        <f>IF(ISNUMBER(agent!$O$15*$W63*E63*$X63),TRUNC(agent!$O$15*$W63*E63*$X63,3),"没有上级")</f>
        <v>没有上级</v>
      </c>
      <c r="O63" s="50" t="str">
        <f>IF(ISNUMBER(agent!$O$18*$W63*E63*$X63),TRUNC(agent!$O$18*$W63*E63*$X63,3),"没有上级")</f>
        <v>没有上级</v>
      </c>
      <c r="P63" s="50" t="str">
        <f>IF(ISNUMBER(agent!$O$21*$W63*E63*$X63),TRUNC(agent!$O$21*$W63*E63*$X63,3),"没有上级")</f>
        <v>没有上级</v>
      </c>
      <c r="Q63" s="50" t="str">
        <f>IF(ISNUMBER(agent!$O$24*$W63*E63*$X63),TRUNC(agent!$O$24*$W63*E63*$X63,3),"没有上级")</f>
        <v>没有上级</v>
      </c>
      <c r="R63" s="50" t="str">
        <f>IF(ISNUMBER(agent!$O$27*$W63*E63*$X63),TRUNC(agent!$O$27*$W63*E63*$X63,3),"没有上级")</f>
        <v>没有上级</v>
      </c>
      <c r="S63" s="50" t="str">
        <f>IF(ISNUMBER(agent!$O$30*$W63*E63*$X63),TRUNC(agent!$O$30*$W63*E63*$X63,3),"没有上级")</f>
        <v>没有上级</v>
      </c>
      <c r="T63" s="50" t="str">
        <f>IF(ISNUMBER(agent!$O$33*$W63*$X63*E63),TRUNC(agent!$O$33*$W63*$X63*E63,3),"没有上级")</f>
        <v>没有上级</v>
      </c>
      <c r="U63" s="50">
        <f t="shared" si="2"/>
        <v>140</v>
      </c>
      <c r="V63" s="50"/>
      <c r="W63" s="25">
        <v>5</v>
      </c>
      <c r="X63" s="25">
        <f>SSCSource!N79</f>
        <v>1</v>
      </c>
      <c r="Y63" s="36">
        <f>TRUNC((Z63-(9.9-agent!$L$3)*W63*10),3)</f>
        <v>4925</v>
      </c>
      <c r="Z63" s="49">
        <f>TRUNC(4500+99*W63,3)</f>
        <v>4995</v>
      </c>
      <c r="AA63" s="48"/>
      <c r="AB63" s="48">
        <f t="shared" si="10"/>
        <v>4925</v>
      </c>
    </row>
    <row r="64" spans="1:28" s="29" customFormat="1" x14ac:dyDescent="0.15">
      <c r="A64" s="50">
        <f>agent!J$2</f>
        <v>397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>
        <f>SSCSource!K$2</f>
        <v>11112</v>
      </c>
      <c r="I64" s="29">
        <f>SSCSource!M81</f>
        <v>33.93</v>
      </c>
      <c r="J64" s="29">
        <f t="shared" si="11"/>
        <v>1010290.655</v>
      </c>
      <c r="K64" s="50">
        <f>IF(ISNUMBER(agent!$O$6*$W64*$X64*E64),TRUNC(agent!$O$6*$W64*$X64*E64,3),"没有上级")</f>
        <v>0.18</v>
      </c>
      <c r="L64" s="50">
        <f>IF(ISNUMBER(agent!$O$9*$W64*E64*$X64),TRUNC(agent!$O$9*$W64*E64*$X64,3),"没有上级")</f>
        <v>0.12</v>
      </c>
      <c r="M64" s="50">
        <f>IF(ISNUMBER(agent!$O$12*$W64*E64*$X64),TRUNC(agent!$O$12*$W64*E64*$X64,3),"没有上级")</f>
        <v>0.12</v>
      </c>
      <c r="N64" s="50" t="str">
        <f>IF(ISNUMBER(agent!$O$15*$W64*E64*$X64),TRUNC(agent!$O$15*$W64*E64*$X64,3),"没有上级")</f>
        <v>没有上级</v>
      </c>
      <c r="O64" s="50" t="str">
        <f>IF(ISNUMBER(agent!$O$18*$W64*E64*$X64),TRUNC(agent!$O$18*$W64*E64*$X64,3),"没有上级")</f>
        <v>没有上级</v>
      </c>
      <c r="P64" s="50" t="str">
        <f>IF(ISNUMBER(agent!$O$21*$W64*E64*$X64),TRUNC(agent!$O$21*$W64*E64*$X64,3),"没有上级")</f>
        <v>没有上级</v>
      </c>
      <c r="Q64" s="50" t="str">
        <f>IF(ISNUMBER(agent!$O$24*$W64*E64*$X64),TRUNC(agent!$O$24*$W64*E64*$X64,3),"没有上级")</f>
        <v>没有上级</v>
      </c>
      <c r="R64" s="50" t="str">
        <f>IF(ISNUMBER(agent!$O$27*$W64*E64*$X64),TRUNC(agent!$O$27*$W64*E64*$X64,3),"没有上级")</f>
        <v>没有上级</v>
      </c>
      <c r="S64" s="50" t="str">
        <f>IF(ISNUMBER(agent!$O$30*$W64*E64*$X64),TRUNC(agent!$O$30*$W64*E64*$X64,3),"没有上级")</f>
        <v>没有上级</v>
      </c>
      <c r="T64" s="50" t="str">
        <f>IF(ISNUMBER(agent!$O$33*$W64*$X64*E64),TRUNC(agent!$O$33*$W64*$X64*E64,3),"没有上级")</f>
        <v>没有上级</v>
      </c>
      <c r="U64" s="50">
        <f t="shared" si="2"/>
        <v>0.42</v>
      </c>
      <c r="V64" s="50"/>
      <c r="W64" s="29">
        <f>TRUNC(0.00575,3)</f>
        <v>5.0000000000000001E-3</v>
      </c>
      <c r="X64" s="29">
        <f>SSCSource!N81</f>
        <v>2</v>
      </c>
      <c r="Y64" s="29">
        <f>TRUNC((Z64-(9.9-agent!$L$3)*W64*10),3)</f>
        <v>5.6550000000000002</v>
      </c>
      <c r="Z64" s="49">
        <f>TRUNC(5.23+99*W64,3)</f>
        <v>5.7249999999999996</v>
      </c>
      <c r="AA64" s="48"/>
      <c r="AB64" s="29">
        <f t="shared" si="10"/>
        <v>5.6550000000000002</v>
      </c>
    </row>
    <row r="65" spans="1:28" s="29" customFormat="1" x14ac:dyDescent="0.15">
      <c r="A65" s="50">
        <f>agent!J$2</f>
        <v>397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>
        <f>SSCSource!K$2</f>
        <v>11112</v>
      </c>
      <c r="I65" s="29">
        <f>SSCSource!M82</f>
        <v>20.18</v>
      </c>
      <c r="J65" s="29">
        <f t="shared" si="11"/>
        <v>1010268.8350000001</v>
      </c>
      <c r="K65" s="50">
        <f>IF(ISNUMBER(agent!$O$6*$W65*$X65*E65),TRUNC(agent!$O$6*$W65*$X65*E65,3),"没有上级")</f>
        <v>0.12</v>
      </c>
      <c r="L65" s="50">
        <f>IF(ISNUMBER(agent!$O$9*$W65*E65*$X65),TRUNC(agent!$O$9*$W65*E65*$X65,3),"没有上级")</f>
        <v>0.08</v>
      </c>
      <c r="M65" s="50">
        <f>IF(ISNUMBER(agent!$O$12*$W65*E65*$X65),TRUNC(agent!$O$12*$W65*E65*$X65,3),"没有上级")</f>
        <v>0.08</v>
      </c>
      <c r="N65" s="50" t="str">
        <f>IF(ISNUMBER(agent!$O$15*$W65*E65*$X65),TRUNC(agent!$O$15*$W65*E65*$X65,3),"没有上级")</f>
        <v>没有上级</v>
      </c>
      <c r="O65" s="50" t="str">
        <f>IF(ISNUMBER(agent!$O$18*$W65*E65*$X65),TRUNC(agent!$O$18*$W65*E65*$X65,3),"没有上级")</f>
        <v>没有上级</v>
      </c>
      <c r="P65" s="50" t="str">
        <f>IF(ISNUMBER(agent!$O$21*$W65*E65*$X65),TRUNC(agent!$O$21*$W65*E65*$X65,3),"没有上级")</f>
        <v>没有上级</v>
      </c>
      <c r="Q65" s="50" t="str">
        <f>IF(ISNUMBER(agent!$O$24*$W65*E65*$X65),TRUNC(agent!$O$24*$W65*E65*$X65,3),"没有上级")</f>
        <v>没有上级</v>
      </c>
      <c r="R65" s="50" t="str">
        <f>IF(ISNUMBER(agent!$O$27*$W65*E65*$X65),TRUNC(agent!$O$27*$W65*E65*$X65,3),"没有上级")</f>
        <v>没有上级</v>
      </c>
      <c r="S65" s="50" t="str">
        <f>IF(ISNUMBER(agent!$O$30*$W65*E65*$X65),TRUNC(agent!$O$30*$W65*E65*$X65,3),"没有上级")</f>
        <v>没有上级</v>
      </c>
      <c r="T65" s="50" t="str">
        <f>IF(ISNUMBER(agent!$O$33*$W65*$X65*E65),TRUNC(agent!$O$33*$W65*$X65*E65,3),"没有上级")</f>
        <v>没有上级</v>
      </c>
      <c r="U65" s="50">
        <f t="shared" si="2"/>
        <v>0.28000000000000003</v>
      </c>
      <c r="V65" s="50"/>
      <c r="W65" s="29">
        <f>TRUNC(0.0205,3)</f>
        <v>0.02</v>
      </c>
      <c r="X65" s="29">
        <f>SSCSource!N82</f>
        <v>1</v>
      </c>
      <c r="Y65" s="29">
        <f>TRUNC((Z65-(9.9-agent!$L$3)*W65*10),3)</f>
        <v>20.18</v>
      </c>
      <c r="Z65" s="49">
        <f>TRUNC(18.48+99*W65,3)</f>
        <v>20.46</v>
      </c>
      <c r="AA65" s="48"/>
      <c r="AB65" s="29">
        <f t="shared" si="10"/>
        <v>20.18</v>
      </c>
    </row>
    <row r="66" spans="1:28" x14ac:dyDescent="0.15">
      <c r="A66" s="50">
        <f>agent!J$2</f>
        <v>397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>
        <f>SSCSource!K$2</f>
        <v>11112</v>
      </c>
      <c r="I66" s="45">
        <f>SSCSource!M83</f>
        <v>0</v>
      </c>
      <c r="J66" s="45">
        <f t="shared" si="11"/>
        <v>979164.83500000008</v>
      </c>
      <c r="K66" s="50">
        <f>IF(ISNUMBER(agent!$O$6*$W66*$X66*E66),TRUNC(agent!$O$6*$W66*$X66*E66,3),"没有上级")</f>
        <v>0</v>
      </c>
      <c r="L66" s="50">
        <f>IF(ISNUMBER(agent!$O$9*$W66*E66*$X66),TRUNC(agent!$O$9*$W66*E66*$X66,3),"没有上级")</f>
        <v>0</v>
      </c>
      <c r="M66" s="50">
        <f>IF(ISNUMBER(agent!$O$12*$W66*E66*$X66),TRUNC(agent!$O$12*$W66*E66*$X66,3),"没有上级")</f>
        <v>0</v>
      </c>
      <c r="N66" s="50" t="str">
        <f>IF(ISNUMBER(agent!$O$15*$W66*E66*$X66),TRUNC(agent!$O$15*$W66*E66*$X66,3),"没有上级")</f>
        <v>没有上级</v>
      </c>
      <c r="O66" s="50" t="str">
        <f>IF(ISNUMBER(agent!$O$18*$W66*E66*$X66),TRUNC(agent!$O$18*$W66*E66*$X66,3),"没有上级")</f>
        <v>没有上级</v>
      </c>
      <c r="P66" s="50" t="str">
        <f>IF(ISNUMBER(agent!$O$21*$W66*E66*$X66),TRUNC(agent!$O$21*$W66*E66*$X66,3),"没有上级")</f>
        <v>没有上级</v>
      </c>
      <c r="Q66" s="50" t="str">
        <f>IF(ISNUMBER(agent!$O$24*$W66*E66*$X66),TRUNC(agent!$O$24*$W66*E66*$X66,3),"没有上级")</f>
        <v>没有上级</v>
      </c>
      <c r="R66" s="50" t="str">
        <f>IF(ISNUMBER(agent!$O$27*$W66*E66*$X66),TRUNC(agent!$O$27*$W66*E66*$X66,3),"没有上级")</f>
        <v>没有上级</v>
      </c>
      <c r="S66" s="50" t="str">
        <f>IF(ISNUMBER(agent!$O$30*$W66*E66*$X66),TRUNC(agent!$O$30*$W66*E66*$X66,3),"没有上级")</f>
        <v>没有上级</v>
      </c>
      <c r="T66" s="50" t="str">
        <f>IF(ISNUMBER(agent!$O$33*$W66*$X66*E66),TRUNC(agent!$O$33*$W66*$X66*E66,3),"没有上级")</f>
        <v>没有上级</v>
      </c>
      <c r="U66" s="50">
        <f t="shared" si="2"/>
        <v>0</v>
      </c>
      <c r="V66" s="50"/>
      <c r="W66" s="25">
        <v>200</v>
      </c>
      <c r="X66" s="25">
        <f>SSCSource!N83</f>
        <v>0</v>
      </c>
      <c r="Y66" s="36">
        <f>TRUNC((Z66-(9.9-agent!$L$3)*W66*10),3)</f>
        <v>197000</v>
      </c>
      <c r="Z66" s="49">
        <f>TRUNC(180000+99*W66,3)</f>
        <v>199800</v>
      </c>
      <c r="AA66" s="48"/>
      <c r="AB66" s="48">
        <f t="shared" ref="AB66:AB86" si="15">Y66+AA66/E66</f>
        <v>197000</v>
      </c>
    </row>
    <row r="67" spans="1:28" x14ac:dyDescent="0.15">
      <c r="A67" s="50">
        <f>agent!J$2</f>
        <v>397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>
        <f>SSCSource!K$2</f>
        <v>11112</v>
      </c>
      <c r="I67" s="45">
        <f>SSCSource!M88</f>
        <v>0</v>
      </c>
      <c r="J67" s="45">
        <f t="shared" ref="J67:J86" si="16">$J66-$G67+$I67</f>
        <v>979146.83500000008</v>
      </c>
      <c r="K67" s="50">
        <f>IF(ISNUMBER(agent!$O$6*$W67*$X67*E67),TRUNC(agent!$O$6*$W67*$X67*E67,3),"没有上级")</f>
        <v>0</v>
      </c>
      <c r="L67" s="50">
        <f>IF(ISNUMBER(agent!$O$9*$W67*E67*$X67),TRUNC(agent!$O$9*$W67*E67*$X67,3),"没有上级")</f>
        <v>0</v>
      </c>
      <c r="M67" s="50">
        <f>IF(ISNUMBER(agent!$O$12*$W67*E67*$X67),TRUNC(agent!$O$12*$W67*E67*$X67,3),"没有上级")</f>
        <v>0</v>
      </c>
      <c r="N67" s="50" t="str">
        <f>IF(ISNUMBER(agent!$O$15*$W67*E67*$X67),TRUNC(agent!$O$15*$W67*E67*$X67,3),"没有上级")</f>
        <v>没有上级</v>
      </c>
      <c r="O67" s="50" t="str">
        <f>IF(ISNUMBER(agent!$O$18*$W67*E67*$X67),TRUNC(agent!$O$18*$W67*E67*$X67,3),"没有上级")</f>
        <v>没有上级</v>
      </c>
      <c r="P67" s="50" t="str">
        <f>IF(ISNUMBER(agent!$O$21*$W67*E67*$X67),TRUNC(agent!$O$21*$W67*E67*$X67,3),"没有上级")</f>
        <v>没有上级</v>
      </c>
      <c r="Q67" s="50" t="str">
        <f>IF(ISNUMBER(agent!$O$24*$W67*E67*$X67),TRUNC(agent!$O$24*$W67*E67*$X67,3),"没有上级")</f>
        <v>没有上级</v>
      </c>
      <c r="R67" s="50" t="str">
        <f>IF(ISNUMBER(agent!$O$27*$W67*E67*$X67),TRUNC(agent!$O$27*$W67*E67*$X67,3),"没有上级")</f>
        <v>没有上级</v>
      </c>
      <c r="S67" s="50" t="str">
        <f>IF(ISNUMBER(agent!$O$30*$W67*E67*$X67),TRUNC(agent!$O$30*$W67*E67*$X67,3),"没有上级")</f>
        <v>没有上级</v>
      </c>
      <c r="T67" s="50" t="str">
        <f>IF(ISNUMBER(agent!$O$33*$W67*$X67*E67),TRUNC(agent!$O$33*$W67*$X67*E67,3),"没有上级")</f>
        <v>没有上级</v>
      </c>
      <c r="U67" s="50">
        <f t="shared" ref="U67:U88" si="17">SUM(K67:T67)</f>
        <v>0</v>
      </c>
      <c r="V67" s="50"/>
      <c r="W67" s="25">
        <v>200</v>
      </c>
      <c r="X67" s="25">
        <f>SSCSource!N88</f>
        <v>0</v>
      </c>
      <c r="Y67" s="36">
        <f>TRUNC((Z67-(9.9-agent!$L$3)*W67*10),3)</f>
        <v>197000</v>
      </c>
      <c r="Z67" s="49">
        <f>TRUNC(180000+99*W67,3)</f>
        <v>199800</v>
      </c>
      <c r="AA67" s="48"/>
      <c r="AB67" s="48">
        <f t="shared" si="15"/>
        <v>197000</v>
      </c>
    </row>
    <row r="68" spans="1:28" x14ac:dyDescent="0.15">
      <c r="A68" s="50">
        <f>agent!J$2</f>
        <v>397</v>
      </c>
      <c r="B68" s="45" t="s">
        <v>53</v>
      </c>
      <c r="C68" s="45" t="s">
        <v>272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>
        <f>SSCSource!K$2</f>
        <v>11112</v>
      </c>
      <c r="I68" s="45">
        <f>SSCSource!M89</f>
        <v>0</v>
      </c>
      <c r="J68" s="45">
        <f t="shared" si="16"/>
        <v>978894.83500000008</v>
      </c>
      <c r="K68" s="50">
        <f>IF(ISNUMBER(agent!$O$6*$W68*$X68*E68),TRUNC(agent!$O$6*$W68*$X68*E68,3),"没有上级")</f>
        <v>0</v>
      </c>
      <c r="L68" s="50">
        <f>IF(ISNUMBER(agent!$O$9*$W68*E68*$X68),TRUNC(agent!$O$9*$W68*E68*$X68,3),"没有上级")</f>
        <v>0</v>
      </c>
      <c r="M68" s="50">
        <f>IF(ISNUMBER(agent!$O$12*$W68*E68*$X68),TRUNC(agent!$O$12*$W68*E68*$X68,3),"没有上级")</f>
        <v>0</v>
      </c>
      <c r="N68" s="50" t="str">
        <f>IF(ISNUMBER(agent!$O$15*$W68*E68*$X68),TRUNC(agent!$O$15*$W68*E68*$X68,3),"没有上级")</f>
        <v>没有上级</v>
      </c>
      <c r="O68" s="50" t="str">
        <f>IF(ISNUMBER(agent!$O$18*$W68*E68*$X68),TRUNC(agent!$O$18*$W68*E68*$X68,3),"没有上级")</f>
        <v>没有上级</v>
      </c>
      <c r="P68" s="50" t="str">
        <f>IF(ISNUMBER(agent!$O$21*$W68*E68*$X68),TRUNC(agent!$O$21*$W68*E68*$X68,3),"没有上级")</f>
        <v>没有上级</v>
      </c>
      <c r="Q68" s="50" t="str">
        <f>IF(ISNUMBER(agent!$O$24*$W68*E68*$X68),TRUNC(agent!$O$24*$W68*E68*$X68,3),"没有上级")</f>
        <v>没有上级</v>
      </c>
      <c r="R68" s="50" t="str">
        <f>IF(ISNUMBER(agent!$O$27*$W68*E68*$X68),TRUNC(agent!$O$27*$W68*E68*$X68,3),"没有上级")</f>
        <v>没有上级</v>
      </c>
      <c r="S68" s="50" t="str">
        <f>IF(ISNUMBER(agent!$O$30*$W68*E68*$X68),TRUNC(agent!$O$30*$W68*E68*$X68,3),"没有上级")</f>
        <v>没有上级</v>
      </c>
      <c r="T68" s="50" t="str">
        <f>IF(ISNUMBER(agent!$O$33*$W68*$X68*E68),TRUNC(agent!$O$33*$W68*$X68*E68,3),"没有上级")</f>
        <v>没有上级</v>
      </c>
      <c r="U68" s="50">
        <f t="shared" si="17"/>
        <v>0</v>
      </c>
      <c r="V68" s="50"/>
      <c r="W68" s="36">
        <f>TRUNC(1.666625,3)</f>
        <v>1.6659999999999999</v>
      </c>
      <c r="X68" s="25">
        <f>SSCSource!N89</f>
        <v>0</v>
      </c>
      <c r="Y68" s="36">
        <f>TRUNC((Z68-(9.9-agent!$L$3)*W68*10),3)</f>
        <v>1641.61</v>
      </c>
      <c r="Z68" s="49">
        <f>TRUNC(1500+99*W68,3)</f>
        <v>1664.934</v>
      </c>
      <c r="AA68" s="48"/>
      <c r="AB68" s="48">
        <f t="shared" si="15"/>
        <v>1641.61</v>
      </c>
    </row>
    <row r="69" spans="1:28" x14ac:dyDescent="0.15">
      <c r="A69" s="50">
        <f>agent!J$2</f>
        <v>397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>
        <f>SSCSource!K$2</f>
        <v>11112</v>
      </c>
      <c r="I69" s="45">
        <f>SSCSource!M90</f>
        <v>0</v>
      </c>
      <c r="J69" s="45">
        <f t="shared" si="16"/>
        <v>978354.83500000008</v>
      </c>
      <c r="K69" s="50">
        <f>IF(ISNUMBER(agent!$O$6*$W69*$X69*E69),TRUNC(agent!$O$6*$W69*$X69*E69,3),"没有上级")</f>
        <v>0</v>
      </c>
      <c r="L69" s="50">
        <f>IF(ISNUMBER(agent!$O$9*$W69*E69*$X69),TRUNC(agent!$O$9*$W69*E69*$X69,3),"没有上级")</f>
        <v>0</v>
      </c>
      <c r="M69" s="50">
        <f>IF(ISNUMBER(agent!$O$12*$W69*E69*$X69),TRUNC(agent!$O$12*$W69*E69*$X69,3),"没有上级")</f>
        <v>0</v>
      </c>
      <c r="N69" s="50" t="str">
        <f>IF(ISNUMBER(agent!$O$15*$W69*E69*$X69),TRUNC(agent!$O$15*$W69*E69*$X69,3),"没有上级")</f>
        <v>没有上级</v>
      </c>
      <c r="O69" s="50" t="str">
        <f>IF(ISNUMBER(agent!$O$18*$W69*E69*$X69),TRUNC(agent!$O$18*$W69*E69*$X69,3),"没有上级")</f>
        <v>没有上级</v>
      </c>
      <c r="P69" s="50" t="str">
        <f>IF(ISNUMBER(agent!$O$21*$W69*E69*$X69),TRUNC(agent!$O$21*$W69*E69*$X69,3),"没有上级")</f>
        <v>没有上级</v>
      </c>
      <c r="Q69" s="50" t="str">
        <f>IF(ISNUMBER(agent!$O$24*$W69*E69*$X69),TRUNC(agent!$O$24*$W69*E69*$X69,3),"没有上级")</f>
        <v>没有上级</v>
      </c>
      <c r="R69" s="50" t="str">
        <f>IF(ISNUMBER(agent!$O$27*$W69*E69*$X69),TRUNC(agent!$O$27*$W69*E69*$X69,3),"没有上级")</f>
        <v>没有上级</v>
      </c>
      <c r="S69" s="50" t="str">
        <f>IF(ISNUMBER(agent!$O$30*$W69*E69*$X69),TRUNC(agent!$O$30*$W69*E69*$X69,3),"没有上级")</f>
        <v>没有上级</v>
      </c>
      <c r="T69" s="50" t="str">
        <f>IF(ISNUMBER(agent!$O$33*$W69*$X69*E69),TRUNC(agent!$O$33*$W69*$X69*E69,3),"没有上级")</f>
        <v>没有上级</v>
      </c>
      <c r="U69" s="50">
        <f t="shared" si="17"/>
        <v>0</v>
      </c>
      <c r="V69" s="50"/>
      <c r="W69" s="36">
        <f>TRUNC(3.33325,3)</f>
        <v>3.3330000000000002</v>
      </c>
      <c r="X69" s="25">
        <f>SSCSource!N90</f>
        <v>0</v>
      </c>
      <c r="Y69" s="36">
        <f>TRUNC((Z69-(9.9-agent!$L$3)*W69*10),3)</f>
        <v>3283.3049999999998</v>
      </c>
      <c r="Z69" s="49">
        <f>TRUNC(3000+99*W69,3)</f>
        <v>3329.9670000000001</v>
      </c>
      <c r="AA69" s="48"/>
      <c r="AB69" s="48">
        <f t="shared" si="15"/>
        <v>3283.3049999999998</v>
      </c>
    </row>
    <row r="70" spans="1:28" x14ac:dyDescent="0.15">
      <c r="A70" s="50">
        <f>agent!J$2</f>
        <v>397</v>
      </c>
      <c r="B70" s="45" t="s">
        <v>53</v>
      </c>
      <c r="C70" s="45" t="s">
        <v>273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>
        <f>SSCSource!K$2</f>
        <v>11112</v>
      </c>
      <c r="I70" s="45">
        <f>SSCSource!M92</f>
        <v>0</v>
      </c>
      <c r="J70" s="45">
        <f t="shared" si="16"/>
        <v>978250.83500000008</v>
      </c>
      <c r="K70" s="50">
        <f>IF(ISNUMBER(agent!$O$6*$W70*$X70*E70),TRUNC(agent!$O$6*$W70*$X70*E70,3),"没有上级")</f>
        <v>0</v>
      </c>
      <c r="L70" s="50">
        <f>IF(ISNUMBER(agent!$O$9*$W70*E70*$X70),TRUNC(agent!$O$9*$W70*E70*$X70,3),"没有上级")</f>
        <v>0</v>
      </c>
      <c r="M70" s="50">
        <f>IF(ISNUMBER(agent!$O$12*$W70*E70*$X70),TRUNC(agent!$O$12*$W70*E70*$X70,3),"没有上级")</f>
        <v>0</v>
      </c>
      <c r="N70" s="50" t="str">
        <f>IF(ISNUMBER(agent!$O$15*$W70*E70*$X70),TRUNC(agent!$O$15*$W70*E70*$X70,3),"没有上级")</f>
        <v>没有上级</v>
      </c>
      <c r="O70" s="50" t="str">
        <f>IF(ISNUMBER(agent!$O$18*$W70*E70*$X70),TRUNC(agent!$O$18*$W70*E70*$X70,3),"没有上级")</f>
        <v>没有上级</v>
      </c>
      <c r="P70" s="50" t="str">
        <f>IF(ISNUMBER(agent!$O$21*$W70*E70*$X70),TRUNC(agent!$O$21*$W70*E70*$X70,3),"没有上级")</f>
        <v>没有上级</v>
      </c>
      <c r="Q70" s="50" t="str">
        <f>IF(ISNUMBER(agent!$O$24*$W70*E70*$X70),TRUNC(agent!$O$24*$W70*E70*$X70,3),"没有上级")</f>
        <v>没有上级</v>
      </c>
      <c r="R70" s="50" t="str">
        <f>IF(ISNUMBER(agent!$O$27*$W70*E70*$X70),TRUNC(agent!$O$27*$W70*E70*$X70,3),"没有上级")</f>
        <v>没有上级</v>
      </c>
      <c r="S70" s="50" t="str">
        <f>IF(ISNUMBER(agent!$O$30*$W70*E70*$X70),TRUNC(agent!$O$30*$W70*E70*$X70,3),"没有上级")</f>
        <v>没有上级</v>
      </c>
      <c r="T70" s="50" t="str">
        <f>IF(ISNUMBER(agent!$O$33*$W70*$X70*E70),TRUNC(agent!$O$33*$W70*$X70*E70,3),"没有上级")</f>
        <v>没有上级</v>
      </c>
      <c r="U70" s="50">
        <f t="shared" si="17"/>
        <v>0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6566.61</v>
      </c>
      <c r="Z70" s="49">
        <f>TRUNC(6000+99*W70,3)</f>
        <v>6659.9340000000002</v>
      </c>
      <c r="AA70" s="48"/>
      <c r="AB70" s="48">
        <f t="shared" si="15"/>
        <v>6566.61</v>
      </c>
    </row>
    <row r="71" spans="1:28" x14ac:dyDescent="0.15">
      <c r="A71" s="50">
        <f>agent!J$2</f>
        <v>397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>
        <f>SSCSource!K$2</f>
        <v>11112</v>
      </c>
      <c r="I71" s="45">
        <f>SSCSource!M94</f>
        <v>0</v>
      </c>
      <c r="J71" s="45">
        <f t="shared" si="16"/>
        <v>978142.83500000008</v>
      </c>
      <c r="K71" s="50">
        <f>IF(ISNUMBER(agent!$O$6*$W71*$X71*E71),TRUNC(agent!$O$6*$W71*$X71*E71,3),"没有上级")</f>
        <v>0</v>
      </c>
      <c r="L71" s="50">
        <f>IF(ISNUMBER(agent!$O$9*$W71*E71*$X71),TRUNC(agent!$O$9*$W71*E71*$X71,3),"没有上级")</f>
        <v>0</v>
      </c>
      <c r="M71" s="50">
        <f>IF(ISNUMBER(agent!$O$12*$W71*E71*$X71),TRUNC(agent!$O$12*$W71*E71*$X71,3),"没有上级")</f>
        <v>0</v>
      </c>
      <c r="N71" s="50" t="str">
        <f>IF(ISNUMBER(agent!$O$15*$W71*E71*$X71),TRUNC(agent!$O$15*$W71*E71*$X71,3),"没有上级")</f>
        <v>没有上级</v>
      </c>
      <c r="O71" s="50" t="str">
        <f>IF(ISNUMBER(agent!$O$18*$W71*E71*$X71),TRUNC(agent!$O$18*$W71*E71*$X71,3),"没有上级")</f>
        <v>没有上级</v>
      </c>
      <c r="P71" s="50" t="str">
        <f>IF(ISNUMBER(agent!$O$21*$W71*E71*$X71),TRUNC(agent!$O$21*$W71*E71*$X71,3),"没有上级")</f>
        <v>没有上级</v>
      </c>
      <c r="Q71" s="50" t="str">
        <f>IF(ISNUMBER(agent!$O$24*$W71*E71*$X71),TRUNC(agent!$O$24*$W71*E71*$X71,3),"没有上级")</f>
        <v>没有上级</v>
      </c>
      <c r="R71" s="50" t="str">
        <f>IF(ISNUMBER(agent!$O$27*$W71*E71*$X71),TRUNC(agent!$O$27*$W71*E71*$X71,3),"没有上级")</f>
        <v>没有上级</v>
      </c>
      <c r="S71" s="50" t="str">
        <f>IF(ISNUMBER(agent!$O$30*$W71*E71*$X71),TRUNC(agent!$O$30*$W71*E71*$X71,3),"没有上级")</f>
        <v>没有上级</v>
      </c>
      <c r="T71" s="50" t="str">
        <f>IF(ISNUMBER(agent!$O$33*$W71*$X71*E71),TRUNC(agent!$O$33*$W71*$X71*E71,3),"没有上级")</f>
        <v>没有上级</v>
      </c>
      <c r="U71" s="50">
        <f t="shared" si="17"/>
        <v>0</v>
      </c>
      <c r="V71" s="50"/>
      <c r="W71" s="25">
        <v>10</v>
      </c>
      <c r="X71" s="25">
        <f>SSCSource!N94</f>
        <v>0</v>
      </c>
      <c r="Y71" s="36">
        <f>TRUNC((Z71-(9.9-agent!$L$3)*W71*10),3)</f>
        <v>9850</v>
      </c>
      <c r="Z71" s="49">
        <f>TRUNC(9000+99*W71,3)</f>
        <v>9990</v>
      </c>
      <c r="AA71" s="48"/>
      <c r="AB71" s="48">
        <f t="shared" si="15"/>
        <v>9850</v>
      </c>
    </row>
    <row r="72" spans="1:28" x14ac:dyDescent="0.15">
      <c r="A72" s="50">
        <f>agent!J$2</f>
        <v>397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>
        <f>SSCSource!K$2</f>
        <v>11112</v>
      </c>
      <c r="I72" s="45">
        <f>SSCSource!M96</f>
        <v>0</v>
      </c>
      <c r="J72" s="45">
        <f t="shared" si="16"/>
        <v>978114.83500000008</v>
      </c>
      <c r="K72" s="50">
        <f>IF(ISNUMBER(agent!$O$6*$W72*$X72*E72),TRUNC(agent!$O$6*$W72*$X72*E72,3),"没有上级")</f>
        <v>0</v>
      </c>
      <c r="L72" s="50">
        <f>IF(ISNUMBER(agent!$O$9*$W72*E72*$X72),TRUNC(agent!$O$9*$W72*E72*$X72,3),"没有上级")</f>
        <v>0</v>
      </c>
      <c r="M72" s="50">
        <f>IF(ISNUMBER(agent!$O$12*$W72*E72*$X72),TRUNC(agent!$O$12*$W72*E72*$X72,3),"没有上级")</f>
        <v>0</v>
      </c>
      <c r="N72" s="50" t="str">
        <f>IF(ISNUMBER(agent!$O$15*$W72*E72*$X72),TRUNC(agent!$O$15*$W72*E72*$X72,3),"没有上级")</f>
        <v>没有上级</v>
      </c>
      <c r="O72" s="50" t="str">
        <f>IF(ISNUMBER(agent!$O$18*$W72*E72*$X72),TRUNC(agent!$O$18*$W72*E72*$X72,3),"没有上级")</f>
        <v>没有上级</v>
      </c>
      <c r="P72" s="50" t="str">
        <f>IF(ISNUMBER(agent!$O$21*$W72*E72*$X72),TRUNC(agent!$O$21*$W72*E72*$X72,3),"没有上级")</f>
        <v>没有上级</v>
      </c>
      <c r="Q72" s="50" t="str">
        <f>IF(ISNUMBER(agent!$O$24*$W72*E72*$X72),TRUNC(agent!$O$24*$W72*E72*$X72,3),"没有上级")</f>
        <v>没有上级</v>
      </c>
      <c r="R72" s="50" t="str">
        <f>IF(ISNUMBER(agent!$O$27*$W72*E72*$X72),TRUNC(agent!$O$27*$W72*E72*$X72,3),"没有上级")</f>
        <v>没有上级</v>
      </c>
      <c r="S72" s="50" t="str">
        <f>IF(ISNUMBER(agent!$O$30*$W72*E72*$X72),TRUNC(agent!$O$30*$W72*E72*$X72,3),"没有上级")</f>
        <v>没有上级</v>
      </c>
      <c r="T72" s="50" t="str">
        <f>IF(ISNUMBER(agent!$O$33*$W72*$X72*E72),TRUNC(agent!$O$33*$W72*$X72*E72,3),"没有上级")</f>
        <v>没有上级</v>
      </c>
      <c r="U72" s="50">
        <f t="shared" si="17"/>
        <v>0</v>
      </c>
      <c r="V72" s="50"/>
      <c r="W72" s="25">
        <v>20</v>
      </c>
      <c r="X72" s="25">
        <f>SSCSource!N96</f>
        <v>0</v>
      </c>
      <c r="Y72" s="36">
        <f>TRUNC((Z72-(9.9-agent!$L$3)*W72*10),3)</f>
        <v>19700</v>
      </c>
      <c r="Z72" s="49">
        <f>TRUNC(18000+99*W72,3)</f>
        <v>19980</v>
      </c>
      <c r="AA72" s="48"/>
      <c r="AB72" s="48">
        <f t="shared" si="15"/>
        <v>19700</v>
      </c>
    </row>
    <row r="73" spans="1:28" x14ac:dyDescent="0.15">
      <c r="A73" s="50">
        <f>agent!J$2</f>
        <v>397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>
        <f>SSCSource!K$2</f>
        <v>11112</v>
      </c>
      <c r="I73" s="45">
        <f>SSCSource!M98</f>
        <v>118200</v>
      </c>
      <c r="J73" s="45">
        <f t="shared" si="16"/>
        <v>1096266.835</v>
      </c>
      <c r="K73" s="50">
        <f>IF(ISNUMBER(agent!$O$6*$W73*$X73*E73),TRUNC(agent!$O$6*$W73*$X73*E73,3),"没有上级")</f>
        <v>720</v>
      </c>
      <c r="L73" s="50">
        <f>IF(ISNUMBER(agent!$O$9*$W73*E73*$X73),TRUNC(agent!$O$9*$W73*E73*$X73,3),"没有上级")</f>
        <v>480</v>
      </c>
      <c r="M73" s="50">
        <f>IF(ISNUMBER(agent!$O$12*$W73*E73*$X73),TRUNC(agent!$O$12*$W73*E73*$X73,3),"没有上级")</f>
        <v>480</v>
      </c>
      <c r="N73" s="50" t="str">
        <f>IF(ISNUMBER(agent!$O$15*$W73*E73*$X73),TRUNC(agent!$O$15*$W73*E73*$X73,3),"没有上级")</f>
        <v>没有上级</v>
      </c>
      <c r="O73" s="50" t="str">
        <f>IF(ISNUMBER(agent!$O$18*$W73*E73*$X73),TRUNC(agent!$O$18*$W73*E73*$X73,3),"没有上级")</f>
        <v>没有上级</v>
      </c>
      <c r="P73" s="50" t="str">
        <f>IF(ISNUMBER(agent!$O$21*$W73*E73*$X73),TRUNC(agent!$O$21*$W73*E73*$X73,3),"没有上级")</f>
        <v>没有上级</v>
      </c>
      <c r="Q73" s="50" t="str">
        <f>IF(ISNUMBER(agent!$O$24*$W73*E73*$X73),TRUNC(agent!$O$24*$W73*E73*$X73,3),"没有上级")</f>
        <v>没有上级</v>
      </c>
      <c r="R73" s="50" t="str">
        <f>IF(ISNUMBER(agent!$O$27*$W73*E73*$X73),TRUNC(agent!$O$27*$W73*E73*$X73,3),"没有上级")</f>
        <v>没有上级</v>
      </c>
      <c r="S73" s="50" t="str">
        <f>IF(ISNUMBER(agent!$O$30*$W73*E73*$X73),TRUNC(agent!$O$30*$W73*E73*$X73,3),"没有上级")</f>
        <v>没有上级</v>
      </c>
      <c r="T73" s="50" t="str">
        <f>IF(ISNUMBER(agent!$O$33*$W73*$X73*E73),TRUNC(agent!$O$33*$W73*$X73*E73,3),"没有上级")</f>
        <v>没有上级</v>
      </c>
      <c r="U73" s="50">
        <f t="shared" si="17"/>
        <v>1680</v>
      </c>
      <c r="V73" s="50"/>
      <c r="W73" s="25">
        <v>40</v>
      </c>
      <c r="X73" s="25">
        <f>SSCSource!N98</f>
        <v>1</v>
      </c>
      <c r="Y73" s="36">
        <f>TRUNC((Z73-(9.9-agent!$L$3)*W73*10),3)</f>
        <v>39400</v>
      </c>
      <c r="Z73" s="49">
        <f>TRUNC(36000+99*W73,3)</f>
        <v>39960</v>
      </c>
      <c r="AA73" s="48"/>
      <c r="AB73" s="48">
        <f t="shared" si="15"/>
        <v>39400</v>
      </c>
    </row>
    <row r="74" spans="1:28" x14ac:dyDescent="0.15">
      <c r="A74" s="50">
        <f>agent!J$2</f>
        <v>397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>
        <f>SSCSource!K$2</f>
        <v>11112</v>
      </c>
      <c r="I74" s="45">
        <f>SSCSource!M100</f>
        <v>18.920000000000002</v>
      </c>
      <c r="J74" s="45">
        <f t="shared" si="16"/>
        <v>1096257.7549999999</v>
      </c>
      <c r="K74" s="50">
        <f>IF(ISNUMBER(agent!$O$6*$W74*$X74*E74),TRUNC(agent!$O$6*$W74*$X74*E74,3),"没有上级")</f>
        <v>9.6000000000000002E-2</v>
      </c>
      <c r="L74" s="50">
        <f>IF(ISNUMBER(agent!$O$9*$W74*E74*$X74),TRUNC(agent!$O$9*$W74*E74*$X74,3),"没有上级")</f>
        <v>6.4000000000000001E-2</v>
      </c>
      <c r="M74" s="50">
        <f>IF(ISNUMBER(agent!$O$12*$W74*E74*$X74),TRUNC(agent!$O$12*$W74*E74*$X74,3),"没有上级")</f>
        <v>6.4000000000000001E-2</v>
      </c>
      <c r="N74" s="50" t="str">
        <f>IF(ISNUMBER(agent!$O$15*$W74*E74*$X74),TRUNC(agent!$O$15*$W74*E74*$X74,3),"没有上级")</f>
        <v>没有上级</v>
      </c>
      <c r="O74" s="50" t="str">
        <f>IF(ISNUMBER(agent!$O$18*$W74*E74*$X74),TRUNC(agent!$O$18*$W74*E74*$X74,3),"没有上级")</f>
        <v>没有上级</v>
      </c>
      <c r="P74" s="50" t="str">
        <f>IF(ISNUMBER(agent!$O$21*$W74*E74*$X74),TRUNC(agent!$O$21*$W74*E74*$X74,3),"没有上级")</f>
        <v>没有上级</v>
      </c>
      <c r="Q74" s="50" t="str">
        <f>IF(ISNUMBER(agent!$O$24*$W74*E74*$X74),TRUNC(agent!$O$24*$W74*E74*$X74,3),"没有上级")</f>
        <v>没有上级</v>
      </c>
      <c r="R74" s="50" t="str">
        <f>IF(ISNUMBER(agent!$O$27*$W74*E74*$X74),TRUNC(agent!$O$27*$W74*E74*$X74,3),"没有上级")</f>
        <v>没有上级</v>
      </c>
      <c r="S74" s="50" t="str">
        <f>IF(ISNUMBER(agent!$O$30*$W74*E74*$X74),TRUNC(agent!$O$30*$W74*E74*$X74,3),"没有上级")</f>
        <v>没有上级</v>
      </c>
      <c r="T74" s="50" t="str">
        <f>IF(ISNUMBER(agent!$O$33*$W74*$X74*E74),TRUNC(agent!$O$33*$W74*$X74*E74,3),"没有上级")</f>
        <v>没有上级</v>
      </c>
      <c r="U74" s="50">
        <f t="shared" si="17"/>
        <v>0.224</v>
      </c>
      <c r="V74" s="50"/>
      <c r="W74" s="25">
        <f>TRUNC(0.004875,3)</f>
        <v>4.0000000000000001E-3</v>
      </c>
      <c r="X74" s="25">
        <f>SSCSource!N100</f>
        <v>2</v>
      </c>
      <c r="Y74" s="36">
        <f>TRUNC((Z74-(9.9-agent!$L$3)*W74*10),3)</f>
        <v>4.7300000000000004</v>
      </c>
      <c r="Z74" s="49">
        <f>TRUNC(4.39+99*W74,3)</f>
        <v>4.7859999999999996</v>
      </c>
      <c r="AA74" s="48"/>
      <c r="AB74" s="48">
        <f t="shared" si="15"/>
        <v>4.7300000000000004</v>
      </c>
    </row>
    <row r="75" spans="1:28" x14ac:dyDescent="0.15">
      <c r="A75" s="50">
        <f>agent!J$2</f>
        <v>397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>
        <f>SSCSource!K$2</f>
        <v>11112</v>
      </c>
      <c r="I75" s="45">
        <f>SSCSource!M101</f>
        <v>53.46</v>
      </c>
      <c r="J75" s="45">
        <f t="shared" si="16"/>
        <v>1096143.2149999999</v>
      </c>
      <c r="K75" s="50">
        <f>IF(ISNUMBER(agent!$O$6*$W75*$X75*E75),TRUNC(agent!$O$6*$W75*$X75*E75,3),"没有上级")</f>
        <v>0.312</v>
      </c>
      <c r="L75" s="50">
        <f>IF(ISNUMBER(agent!$O$9*$W75*E75*$X75),TRUNC(agent!$O$9*$W75*E75*$X75,3),"没有上级")</f>
        <v>0.20799999999999999</v>
      </c>
      <c r="M75" s="50">
        <f>IF(ISNUMBER(agent!$O$12*$W75*E75*$X75),TRUNC(agent!$O$12*$W75*E75*$X75,3),"没有上级")</f>
        <v>0.20799999999999999</v>
      </c>
      <c r="N75" s="50" t="str">
        <f>IF(ISNUMBER(agent!$O$15*$W75*E75*$X75),TRUNC(agent!$O$15*$W75*E75*$X75,3),"没有上级")</f>
        <v>没有上级</v>
      </c>
      <c r="O75" s="50" t="str">
        <f>IF(ISNUMBER(agent!$O$18*$W75*E75*$X75),TRUNC(agent!$O$18*$W75*E75*$X75,3),"没有上级")</f>
        <v>没有上级</v>
      </c>
      <c r="P75" s="50" t="str">
        <f>IF(ISNUMBER(agent!$O$21*$W75*E75*$X75),TRUNC(agent!$O$21*$W75*E75*$X75,3),"没有上级")</f>
        <v>没有上级</v>
      </c>
      <c r="Q75" s="50" t="str">
        <f>IF(ISNUMBER(agent!$O$24*$W75*E75*$X75),TRUNC(agent!$O$24*$W75*E75*$X75,3),"没有上级")</f>
        <v>没有上级</v>
      </c>
      <c r="R75" s="50" t="str">
        <f>IF(ISNUMBER(agent!$O$27*$W75*E75*$X75),TRUNC(agent!$O$27*$W75*E75*$X75,3),"没有上级")</f>
        <v>没有上级</v>
      </c>
      <c r="S75" s="50" t="str">
        <f>IF(ISNUMBER(agent!$O$30*$W75*E75*$X75),TRUNC(agent!$O$30*$W75*E75*$X75,3),"没有上级")</f>
        <v>没有上级</v>
      </c>
      <c r="T75" s="50" t="str">
        <f>IF(ISNUMBER(agent!$O$33*$W75*$X75*E75),TRUNC(agent!$O$33*$W75*$X75*E75,3),"没有上级")</f>
        <v>没有上级</v>
      </c>
      <c r="U75" s="50">
        <f t="shared" si="17"/>
        <v>0.72799999999999998</v>
      </c>
      <c r="V75" s="50"/>
      <c r="W75" s="25">
        <f>TRUNC(0.01375,3)</f>
        <v>1.2999999999999999E-2</v>
      </c>
      <c r="X75" s="25">
        <f>SSCSource!N101</f>
        <v>1</v>
      </c>
      <c r="Y75" s="36">
        <f>TRUNC((Z75-(9.9-agent!$L$3)*W75*10),3)</f>
        <v>13.365</v>
      </c>
      <c r="Z75" s="49">
        <f>TRUNC(12.26+99*W75,3)</f>
        <v>13.547000000000001</v>
      </c>
      <c r="AA75" s="48"/>
      <c r="AB75" s="48">
        <f t="shared" si="15"/>
        <v>13.365</v>
      </c>
    </row>
    <row r="76" spans="1:28" x14ac:dyDescent="0.15">
      <c r="A76" s="50">
        <f>agent!J$2</f>
        <v>397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>
        <f>SSCSource!K$2</f>
        <v>11112</v>
      </c>
      <c r="I76" s="45">
        <f>SSCSource!M102</f>
        <v>0</v>
      </c>
      <c r="J76" s="45">
        <f t="shared" si="16"/>
        <v>1096023.2149999999</v>
      </c>
      <c r="K76" s="50">
        <f>IF(ISNUMBER(agent!$O$6*$W76*$X76*E76),TRUNC(agent!$O$6*$W76*$X76*E76,3),"没有上级")</f>
        <v>0</v>
      </c>
      <c r="L76" s="50">
        <f>IF(ISNUMBER(agent!$O$9*$W76*E76*$X76),TRUNC(agent!$O$9*$W76*E76*$X76,3),"没有上级")</f>
        <v>0</v>
      </c>
      <c r="M76" s="50">
        <f>IF(ISNUMBER(agent!$O$12*$W76*E76*$X76),TRUNC(agent!$O$12*$W76*E76*$X76,3),"没有上级")</f>
        <v>0</v>
      </c>
      <c r="N76" s="50" t="str">
        <f>IF(ISNUMBER(agent!$O$15*$W76*E76*$X76),TRUNC(agent!$O$15*$W76*E76*$X76,3),"没有上级")</f>
        <v>没有上级</v>
      </c>
      <c r="O76" s="50" t="str">
        <f>IF(ISNUMBER(agent!$O$18*$W76*E76*$X76),TRUNC(agent!$O$18*$W76*E76*$X76,3),"没有上级")</f>
        <v>没有上级</v>
      </c>
      <c r="P76" s="50" t="str">
        <f>IF(ISNUMBER(agent!$O$21*$W76*E76*$X76),TRUNC(agent!$O$21*$W76*E76*$X76,3),"没有上级")</f>
        <v>没有上级</v>
      </c>
      <c r="Q76" s="50" t="str">
        <f>IF(ISNUMBER(agent!$O$24*$W76*E76*$X76),TRUNC(agent!$O$24*$W76*E76*$X76,3),"没有上级")</f>
        <v>没有上级</v>
      </c>
      <c r="R76" s="50" t="str">
        <f>IF(ISNUMBER(agent!$O$27*$W76*E76*$X76),TRUNC(agent!$O$27*$W76*E76*$X76,3),"没有上级")</f>
        <v>没有上级</v>
      </c>
      <c r="S76" s="50" t="str">
        <f>IF(ISNUMBER(agent!$O$30*$W76*E76*$X76),TRUNC(agent!$O$30*$W76*E76*$X76,3),"没有上级")</f>
        <v>没有上级</v>
      </c>
      <c r="T76" s="50" t="str">
        <f>IF(ISNUMBER(agent!$O$33*$W76*$X76*E76),TRUNC(agent!$O$33*$W76*$X76*E76,3),"没有上级")</f>
        <v>没有上级</v>
      </c>
      <c r="U76" s="50">
        <f t="shared" si="17"/>
        <v>0</v>
      </c>
      <c r="V76" s="50"/>
      <c r="W76" s="25">
        <f>TRUNC(0.046,4)</f>
        <v>4.5999999999999999E-2</v>
      </c>
      <c r="X76" s="25">
        <f>SSCSource!N102</f>
        <v>0</v>
      </c>
      <c r="Y76" s="36">
        <f>TRUNC((Z76-(9.9-agent!$L$3)*W76*10),3)</f>
        <v>45.28</v>
      </c>
      <c r="Z76" s="49">
        <f>TRUNC(41.37+99*W76,3)</f>
        <v>45.923999999999999</v>
      </c>
      <c r="AA76" s="48"/>
      <c r="AB76" s="48">
        <f t="shared" si="15"/>
        <v>45.28</v>
      </c>
    </row>
    <row r="77" spans="1:28" x14ac:dyDescent="0.15">
      <c r="A77" s="50">
        <f>agent!J$2</f>
        <v>397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>
        <f>SSCSource!K$2</f>
        <v>11112</v>
      </c>
      <c r="I77" s="45">
        <f>SSCSource!M103</f>
        <v>37.840000000000003</v>
      </c>
      <c r="J77" s="45">
        <f t="shared" si="16"/>
        <v>1095981.0549999999</v>
      </c>
      <c r="K77" s="50">
        <f>IF(ISNUMBER(agent!$O$6*$W77*$X77*E77),TRUNC(agent!$O$6*$W77*$X77*E77,3),"没有上级")</f>
        <v>0.192</v>
      </c>
      <c r="L77" s="50">
        <f>IF(ISNUMBER(agent!$O$9*$W77*E77*$X77),TRUNC(agent!$O$9*$W77*E77*$X77,3),"没有上级")</f>
        <v>0.128</v>
      </c>
      <c r="M77" s="50">
        <f>IF(ISNUMBER(agent!$O$12*$W77*E77*$X77),TRUNC(agent!$O$12*$W77*E77*$X77,3),"没有上级")</f>
        <v>0.128</v>
      </c>
      <c r="N77" s="50" t="str">
        <f>IF(ISNUMBER(agent!$O$15*$W77*E77*$X77),TRUNC(agent!$O$15*$W77*E77*$X77,3),"没有上级")</f>
        <v>没有上级</v>
      </c>
      <c r="O77" s="50" t="str">
        <f>IF(ISNUMBER(agent!$O$18*$W77*E77*$X77),TRUNC(agent!$O$18*$W77*E77*$X77,3),"没有上级")</f>
        <v>没有上级</v>
      </c>
      <c r="P77" s="50" t="str">
        <f>IF(ISNUMBER(agent!$O$21*$W77*E77*$X77),TRUNC(agent!$O$21*$W77*E77*$X77,3),"没有上级")</f>
        <v>没有上级</v>
      </c>
      <c r="Q77" s="50" t="str">
        <f>IF(ISNUMBER(agent!$O$24*$W77*E77*$X77),TRUNC(agent!$O$24*$W77*E77*$X77,3),"没有上级")</f>
        <v>没有上级</v>
      </c>
      <c r="R77" s="50" t="str">
        <f>IF(ISNUMBER(agent!$O$27*$W77*E77*$X77),TRUNC(agent!$O$27*$W77*E77*$X77,3),"没有上级")</f>
        <v>没有上级</v>
      </c>
      <c r="S77" s="50" t="str">
        <f>IF(ISNUMBER(agent!$O$30*$W77*E77*$X77),TRUNC(agent!$O$30*$W77*E77*$X77,3),"没有上级")</f>
        <v>没有上级</v>
      </c>
      <c r="T77" s="50" t="str">
        <f>IF(ISNUMBER(agent!$O$33*$W77*$X77*E77),TRUNC(agent!$O$33*$W77*$X77*E77,3),"没有上级")</f>
        <v>没有上级</v>
      </c>
      <c r="U77" s="50">
        <f t="shared" si="17"/>
        <v>0.44800000000000001</v>
      </c>
      <c r="V77" s="50"/>
      <c r="W77" s="36">
        <f>TRUNC(0.004875,3)</f>
        <v>4.0000000000000001E-3</v>
      </c>
      <c r="X77" s="25">
        <f>SSCSource!N103</f>
        <v>2</v>
      </c>
      <c r="Y77" s="36">
        <f>TRUNC((Z77-(9.9-agent!$L$3)*W77*10),3)</f>
        <v>4.7300000000000004</v>
      </c>
      <c r="Z77" s="49">
        <f>TRUNC(4.39+99*W77,3)</f>
        <v>4.7859999999999996</v>
      </c>
      <c r="AA77" s="48"/>
      <c r="AB77" s="48">
        <f t="shared" si="15"/>
        <v>4.7300000000000004</v>
      </c>
    </row>
    <row r="78" spans="1:28" x14ac:dyDescent="0.15">
      <c r="A78" s="50">
        <f>agent!J$2</f>
        <v>397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>
        <f>SSCSource!K$2</f>
        <v>11112</v>
      </c>
      <c r="I78" s="45">
        <f>SSCSource!M104</f>
        <v>0</v>
      </c>
      <c r="J78" s="45">
        <f t="shared" si="16"/>
        <v>1095957.0549999999</v>
      </c>
      <c r="K78" s="50">
        <f>IF(ISNUMBER(agent!$O$6*$W78*$X78*E78),TRUNC(agent!$O$6*$W78*$X78*E78,3),"没有上级")</f>
        <v>0</v>
      </c>
      <c r="L78" s="50">
        <f>IF(ISNUMBER(agent!$O$9*$W78*E78*$X78),TRUNC(agent!$O$9*$W78*E78*$X78,3),"没有上级")</f>
        <v>0</v>
      </c>
      <c r="M78" s="50">
        <f>IF(ISNUMBER(agent!$O$12*$W78*E78*$X78),TRUNC(agent!$O$12*$W78*E78*$X78,3),"没有上级")</f>
        <v>0</v>
      </c>
      <c r="N78" s="50" t="str">
        <f>IF(ISNUMBER(agent!$O$15*$W78*E78*$X78),TRUNC(agent!$O$15*$W78*E78*$X78,3),"没有上级")</f>
        <v>没有上级</v>
      </c>
      <c r="O78" s="50" t="str">
        <f>IF(ISNUMBER(agent!$O$18*$W78*E78*$X78),TRUNC(agent!$O$18*$W78*E78*$X78,3),"没有上级")</f>
        <v>没有上级</v>
      </c>
      <c r="P78" s="50" t="str">
        <f>IF(ISNUMBER(agent!$O$21*$W78*E78*$X78),TRUNC(agent!$O$21*$W78*E78*$X78,3),"没有上级")</f>
        <v>没有上级</v>
      </c>
      <c r="Q78" s="50" t="str">
        <f>IF(ISNUMBER(agent!$O$24*$W78*E78*$X78),TRUNC(agent!$O$24*$W78*E78*$X78,3),"没有上级")</f>
        <v>没有上级</v>
      </c>
      <c r="R78" s="50" t="str">
        <f>IF(ISNUMBER(agent!$O$27*$W78*E78*$X78),TRUNC(agent!$O$27*$W78*E78*$X78,3),"没有上级")</f>
        <v>没有上级</v>
      </c>
      <c r="S78" s="50" t="str">
        <f>IF(ISNUMBER(agent!$O$30*$W78*E78*$X78),TRUNC(agent!$O$30*$W78*E78*$X78,3),"没有上级")</f>
        <v>没有上级</v>
      </c>
      <c r="T78" s="50" t="str">
        <f>IF(ISNUMBER(agent!$O$33*$W78*$X78*E78),TRUNC(agent!$O$33*$W78*$X78*E78,3),"没有上级")</f>
        <v>没有上级</v>
      </c>
      <c r="U78" s="50">
        <f t="shared" si="17"/>
        <v>0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24.13</v>
      </c>
      <c r="Z78" s="49">
        <f>TRUNC(22.09+99*W78,3)</f>
        <v>24.466000000000001</v>
      </c>
      <c r="AA78" s="48"/>
      <c r="AB78" s="48">
        <f t="shared" si="15"/>
        <v>24.13</v>
      </c>
    </row>
    <row r="79" spans="1:28" x14ac:dyDescent="0.15">
      <c r="A79" s="50">
        <f>agent!J$2</f>
        <v>397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>
        <f>SSCSource!K$2</f>
        <v>11112</v>
      </c>
      <c r="I79" s="45">
        <f>SSCSource!M105</f>
        <v>0</v>
      </c>
      <c r="J79" s="45">
        <f t="shared" si="16"/>
        <v>1095941.0549999999</v>
      </c>
      <c r="K79" s="50">
        <f>IF(ISNUMBER(agent!$O$6*$W79*$X79*E79),TRUNC(agent!$O$6*$W79*$X79*E79,3),"没有上级")</f>
        <v>0</v>
      </c>
      <c r="L79" s="50">
        <f>IF(ISNUMBER(agent!$O$9*$W79*E79*$X79),TRUNC(agent!$O$9*$W79*E79*$X79,3),"没有上级")</f>
        <v>0</v>
      </c>
      <c r="M79" s="50">
        <f>IF(ISNUMBER(agent!$O$12*$W79*E79*$X79),TRUNC(agent!$O$12*$W79*E79*$X79,3),"没有上级")</f>
        <v>0</v>
      </c>
      <c r="N79" s="50" t="str">
        <f>IF(ISNUMBER(agent!$O$15*$W79*E79*$X79),TRUNC(agent!$O$15*$W79*E79*$X79,3),"没有上级")</f>
        <v>没有上级</v>
      </c>
      <c r="O79" s="50" t="str">
        <f>IF(ISNUMBER(agent!$O$18*$W79*E79*$X79),TRUNC(agent!$O$18*$W79*E79*$X79,3),"没有上级")</f>
        <v>没有上级</v>
      </c>
      <c r="P79" s="50" t="str">
        <f>IF(ISNUMBER(agent!$O$21*$W79*E79*$X79),TRUNC(agent!$O$21*$W79*E79*$X79,3),"没有上级")</f>
        <v>没有上级</v>
      </c>
      <c r="Q79" s="50" t="str">
        <f>IF(ISNUMBER(agent!$O$24*$W79*E79*$X79),TRUNC(agent!$O$24*$W79*E79*$X79,3),"没有上级")</f>
        <v>没有上级</v>
      </c>
      <c r="R79" s="50" t="str">
        <f>IF(ISNUMBER(agent!$O$27*$W79*E79*$X79),TRUNC(agent!$O$27*$W79*E79*$X79,3),"没有上级")</f>
        <v>没有上级</v>
      </c>
      <c r="S79" s="50" t="str">
        <f>IF(ISNUMBER(agent!$O$30*$W79*E79*$X79),TRUNC(agent!$O$30*$W79*E79*$X79,3),"没有上级")</f>
        <v>没有上级</v>
      </c>
      <c r="T79" s="50" t="str">
        <f>IF(ISNUMBER(agent!$O$33*$W79*$X79*E79),TRUNC(agent!$O$33*$W79*$X79*E79,3),"没有上级")</f>
        <v>没有上级</v>
      </c>
      <c r="U79" s="50">
        <f t="shared" si="17"/>
        <v>0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230.08500000000001</v>
      </c>
      <c r="Z79" s="49">
        <f>TRUNC(210.28+99*W79,3)</f>
        <v>233.34700000000001</v>
      </c>
      <c r="AA79" s="48"/>
      <c r="AB79" s="48">
        <f t="shared" si="15"/>
        <v>230.08500000000001</v>
      </c>
    </row>
    <row r="80" spans="1:28" x14ac:dyDescent="0.15">
      <c r="A80" s="50">
        <f>agent!J$2</f>
        <v>397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>
        <f>SSCSource!K$2</f>
        <v>11112</v>
      </c>
      <c r="I80" s="45">
        <f>SSCSource!M106</f>
        <v>12847.605</v>
      </c>
      <c r="J80" s="45">
        <f t="shared" si="16"/>
        <v>1108728.6599999999</v>
      </c>
      <c r="K80" s="50">
        <f>IF(ISNUMBER(agent!$O$6*$W80*$X80*E80),TRUNC(agent!$O$6*$W80*$X80*E80,3),"没有上级")</f>
        <v>78.245999999999995</v>
      </c>
      <c r="L80" s="50">
        <f>IF(ISNUMBER(agent!$O$9*$W80*E80*$X80),TRUNC(agent!$O$9*$W80*E80*$X80,3),"没有上级")</f>
        <v>52.164000000000001</v>
      </c>
      <c r="M80" s="50">
        <f>IF(ISNUMBER(agent!$O$12*$W80*E80*$X80),TRUNC(agent!$O$12*$W80*E80*$X80,3),"没有上级")</f>
        <v>52.164000000000001</v>
      </c>
      <c r="N80" s="50" t="str">
        <f>IF(ISNUMBER(agent!$O$15*$W80*E80*$X80),TRUNC(agent!$O$15*$W80*E80*$X80,3),"没有上级")</f>
        <v>没有上级</v>
      </c>
      <c r="O80" s="50" t="str">
        <f>IF(ISNUMBER(agent!$O$18*$W80*E80*$X80),TRUNC(agent!$O$18*$W80*E80*$X80,3),"没有上级")</f>
        <v>没有上级</v>
      </c>
      <c r="P80" s="50" t="str">
        <f>IF(ISNUMBER(agent!$O$21*$W80*E80*$X80),TRUNC(agent!$O$21*$W80*E80*$X80,3),"没有上级")</f>
        <v>没有上级</v>
      </c>
      <c r="Q80" s="50" t="str">
        <f>IF(ISNUMBER(agent!$O$24*$W80*E80*$X80),TRUNC(agent!$O$24*$W80*E80*$X80,3),"没有上级")</f>
        <v>没有上级</v>
      </c>
      <c r="R80" s="50" t="str">
        <f>IF(ISNUMBER(agent!$O$27*$W80*E80*$X80),TRUNC(agent!$O$27*$W80*E80*$X80,3),"没有上级")</f>
        <v>没有上级</v>
      </c>
      <c r="S80" s="50" t="str">
        <f>IF(ISNUMBER(agent!$O$30*$W80*E80*$X80),TRUNC(agent!$O$30*$W80*E80*$X80,3),"没有上级")</f>
        <v>没有上级</v>
      </c>
      <c r="T80" s="50" t="str">
        <f>IF(ISNUMBER(agent!$O$33*$W80*$X80*E80),TRUNC(agent!$O$33*$W80*$X80*E80,3),"没有上级")</f>
        <v>没有上级</v>
      </c>
      <c r="U80" s="50">
        <f t="shared" si="17"/>
        <v>182.57400000000001</v>
      </c>
      <c r="V80" s="50"/>
      <c r="W80" s="25">
        <f>TRUNC(4.34775,3)</f>
        <v>4.3470000000000004</v>
      </c>
      <c r="X80" s="25">
        <f>SSCSource!N106</f>
        <v>1</v>
      </c>
      <c r="Y80" s="36">
        <f>TRUNC((Z80-(9.9-agent!$L$3)*W80*10),3)</f>
        <v>4282.5349999999999</v>
      </c>
      <c r="Z80" s="49">
        <f>TRUNC(3913.04+99*W80,3)</f>
        <v>4343.393</v>
      </c>
      <c r="AA80" s="48"/>
      <c r="AB80" s="48">
        <f t="shared" si="15"/>
        <v>4282.5349999999999</v>
      </c>
    </row>
    <row r="81" spans="1:28" x14ac:dyDescent="0.15">
      <c r="A81" s="50">
        <f>agent!J$2</f>
        <v>397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>
        <f>SSCSource!K$2</f>
        <v>11112</v>
      </c>
      <c r="I81" s="45">
        <f>SSCSource!M107</f>
        <v>157.6</v>
      </c>
      <c r="J81" s="45">
        <f t="shared" si="16"/>
        <v>1108726.26</v>
      </c>
      <c r="K81" s="50">
        <f>IF(ISNUMBER(agent!$O$6*$W81*$X81*E81),TRUNC(agent!$O$6*$W81*$X81*E81,3),"没有上级")</f>
        <v>0.96</v>
      </c>
      <c r="L81" s="50">
        <f>IF(ISNUMBER(agent!$O$9*$W81*E81*$X81),TRUNC(agent!$O$9*$W81*E81*$X81,3),"没有上级")</f>
        <v>0.64</v>
      </c>
      <c r="M81" s="50">
        <f>IF(ISNUMBER(agent!$O$12*$W81*E81*$X81),TRUNC(agent!$O$12*$W81*E81*$X81,3),"没有上级")</f>
        <v>0.64</v>
      </c>
      <c r="N81" s="50" t="str">
        <f>IF(ISNUMBER(agent!$O$15*$W81*E81*$X81),TRUNC(agent!$O$15*$W81*E81*$X81,3),"没有上级")</f>
        <v>没有上级</v>
      </c>
      <c r="O81" s="50" t="str">
        <f>IF(ISNUMBER(agent!$O$18*$W81*E81*$X81),TRUNC(agent!$O$18*$W81*E81*$X81,3),"没有上级")</f>
        <v>没有上级</v>
      </c>
      <c r="P81" s="50" t="str">
        <f>IF(ISNUMBER(agent!$O$21*$W81*E81*$X81),TRUNC(agent!$O$21*$W81*E81*$X81,3),"没有上级")</f>
        <v>没有上级</v>
      </c>
      <c r="Q81" s="50" t="str">
        <f>IF(ISNUMBER(agent!$O$24*$W81*E81*$X81),TRUNC(agent!$O$24*$W81*E81*$X81,3),"没有上级")</f>
        <v>没有上级</v>
      </c>
      <c r="R81" s="50" t="str">
        <f>IF(ISNUMBER(agent!$O$27*$W81*E81*$X81),TRUNC(agent!$O$27*$W81*E81*$X81,3),"没有上级")</f>
        <v>没有上级</v>
      </c>
      <c r="S81" s="50" t="str">
        <f>IF(ISNUMBER(agent!$O$30*$W81*E81*$X81),TRUNC(agent!$O$30*$W81*E81*$X81,3),"没有上级")</f>
        <v>没有上级</v>
      </c>
      <c r="T81" s="50" t="str">
        <f>IF(ISNUMBER(agent!$O$33*$W81*$X81*E81),TRUNC(agent!$O$33*$W81*$X81*E81,3),"没有上级")</f>
        <v>没有上级</v>
      </c>
      <c r="U81" s="50">
        <f t="shared" si="17"/>
        <v>2.2400000000000002</v>
      </c>
      <c r="V81" s="50"/>
      <c r="W81" s="25">
        <f>TRUNC(0.008,4)</f>
        <v>8.0000000000000002E-3</v>
      </c>
      <c r="X81" s="25">
        <f>SSCSource!N107</f>
        <v>4</v>
      </c>
      <c r="Y81" s="36">
        <f>TRUNC((Z81-(9.9-agent!$L$3)*W81*10),3)</f>
        <v>7.88</v>
      </c>
      <c r="Z81" s="49">
        <f>TRUNC(7.2+99*W81,3)</f>
        <v>7.992</v>
      </c>
      <c r="AA81" s="48"/>
      <c r="AB81" s="48">
        <f t="shared" si="15"/>
        <v>7.88</v>
      </c>
    </row>
    <row r="82" spans="1:28" x14ac:dyDescent="0.15">
      <c r="A82" s="50">
        <f>agent!J$2</f>
        <v>397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>
        <f>SSCSource!K$2</f>
        <v>11112</v>
      </c>
      <c r="I82" s="45">
        <f>SSCSource!M109</f>
        <v>31.52</v>
      </c>
      <c r="J82" s="45">
        <f t="shared" si="16"/>
        <v>1108725.78</v>
      </c>
      <c r="K82" s="50">
        <f>IF(ISNUMBER(agent!$O$6*$W82*$X82*E82),TRUNC(agent!$O$6*$W82*$X82*E82,3),"没有上级")</f>
        <v>0.192</v>
      </c>
      <c r="L82" s="50">
        <f>IF(ISNUMBER(agent!$O$9*$W82*E82*$X82),TRUNC(agent!$O$9*$W82*E82*$X82,3),"没有上级")</f>
        <v>0.128</v>
      </c>
      <c r="M82" s="50">
        <f>IF(ISNUMBER(agent!$O$12*$W82*E82*$X82),TRUNC(agent!$O$12*$W82*E82*$X82,3),"没有上级")</f>
        <v>0.128</v>
      </c>
      <c r="N82" s="50" t="str">
        <f>IF(ISNUMBER(agent!$O$15*$W82*E82*$X82),TRUNC(agent!$O$15*$W82*E82*$X82,3),"没有上级")</f>
        <v>没有上级</v>
      </c>
      <c r="O82" s="50" t="str">
        <f>IF(ISNUMBER(agent!$O$18*$W82*E82*$X82),TRUNC(agent!$O$18*$W82*E82*$X82,3),"没有上级")</f>
        <v>没有上级</v>
      </c>
      <c r="P82" s="50" t="str">
        <f>IF(ISNUMBER(agent!$O$21*$W82*E82*$X82),TRUNC(agent!$O$21*$W82*E82*$X82,3),"没有上级")</f>
        <v>没有上级</v>
      </c>
      <c r="Q82" s="50" t="str">
        <f>IF(ISNUMBER(agent!$O$24*$W82*E82*$X82),TRUNC(agent!$O$24*$W82*E82*$X82,3),"没有上级")</f>
        <v>没有上级</v>
      </c>
      <c r="R82" s="50" t="str">
        <f>IF(ISNUMBER(agent!$O$27*$W82*E82*$X82),TRUNC(agent!$O$27*$W82*E82*$X82,3),"没有上级")</f>
        <v>没有上级</v>
      </c>
      <c r="S82" s="50" t="str">
        <f>IF(ISNUMBER(agent!$O$30*$W82*E82*$X82),TRUNC(agent!$O$30*$W82*E82*$X82,3),"没有上级")</f>
        <v>没有上级</v>
      </c>
      <c r="T82" s="50" t="str">
        <f>IF(ISNUMBER(agent!$O$33*$W82*$X82*E82),TRUNC(agent!$O$33*$W82*$X82*E82,3),"没有上级")</f>
        <v>没有上级</v>
      </c>
      <c r="U82" s="50">
        <f t="shared" si="17"/>
        <v>0.44800000000000001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7.88</v>
      </c>
      <c r="Z82" s="49">
        <f>TRUNC(7.2+99*W82,3)</f>
        <v>7.992</v>
      </c>
      <c r="AA82" s="48"/>
      <c r="AB82" s="48">
        <f t="shared" si="15"/>
        <v>7.88</v>
      </c>
    </row>
    <row r="83" spans="1:28" x14ac:dyDescent="0.15">
      <c r="A83" s="50">
        <f>agent!J$2</f>
        <v>397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>
        <f>SSCSource!K$2</f>
        <v>11112</v>
      </c>
      <c r="I83" s="45">
        <f>SSCSource!M111</f>
        <v>252.16</v>
      </c>
      <c r="J83" s="45">
        <f t="shared" si="16"/>
        <v>1108721.94</v>
      </c>
      <c r="K83" s="50">
        <f>IF(ISNUMBER(agent!$O$6*$W83*$X83*E83),TRUNC(agent!$O$6*$W83*$X83*E83,3),"没有上级")</f>
        <v>1.536</v>
      </c>
      <c r="L83" s="50">
        <f>IF(ISNUMBER(agent!$O$9*$W83*E83*$X83),TRUNC(agent!$O$9*$W83*E83*$X83,3),"没有上级")</f>
        <v>1.024</v>
      </c>
      <c r="M83" s="50">
        <f>IF(ISNUMBER(agent!$O$12*$W83*E83*$X83),TRUNC(agent!$O$12*$W83*E83*$X83,3),"没有上级")</f>
        <v>1.024</v>
      </c>
      <c r="N83" s="50" t="str">
        <f>IF(ISNUMBER(agent!$O$15*$W83*E83*$X83),TRUNC(agent!$O$15*$W83*E83*$X83,3),"没有上级")</f>
        <v>没有上级</v>
      </c>
      <c r="O83" s="50" t="str">
        <f>IF(ISNUMBER(agent!$O$18*$W83*E83*$X83),TRUNC(agent!$O$18*$W83*E83*$X83,3),"没有上级")</f>
        <v>没有上级</v>
      </c>
      <c r="P83" s="50" t="str">
        <f>IF(ISNUMBER(agent!$O$21*$W83*E83*$X83),TRUNC(agent!$O$21*$W83*E83*$X83,3),"没有上级")</f>
        <v>没有上级</v>
      </c>
      <c r="Q83" s="50" t="str">
        <f>IF(ISNUMBER(agent!$O$24*$W83*E83*$X83),TRUNC(agent!$O$24*$W83*E83*$X83,3),"没有上级")</f>
        <v>没有上级</v>
      </c>
      <c r="R83" s="50" t="str">
        <f>IF(ISNUMBER(agent!$O$27*$W83*E83*$X83),TRUNC(agent!$O$27*$W83*E83*$X83,3),"没有上级")</f>
        <v>没有上级</v>
      </c>
      <c r="S83" s="50" t="str">
        <f>IF(ISNUMBER(agent!$O$30*$W83*E83*$X83),TRUNC(agent!$O$30*$W83*E83*$X83,3),"没有上级")</f>
        <v>没有上级</v>
      </c>
      <c r="T83" s="50" t="str">
        <f>IF(ISNUMBER(agent!$O$33*$W83*$X83*E83),TRUNC(agent!$O$33*$W83*$X83*E83,3),"没有上级")</f>
        <v>没有上级</v>
      </c>
      <c r="U83" s="50">
        <f t="shared" si="17"/>
        <v>3.5840000000000001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15.76</v>
      </c>
      <c r="Z83" s="49">
        <f>TRUNC(14.4+99*W83,3)</f>
        <v>15.984</v>
      </c>
      <c r="AA83" s="48"/>
      <c r="AB83" s="48">
        <f t="shared" si="15"/>
        <v>15.76</v>
      </c>
    </row>
    <row r="84" spans="1:28" x14ac:dyDescent="0.15">
      <c r="A84" s="50">
        <f>agent!J$2</f>
        <v>397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>
        <f>SSCSource!K$2</f>
        <v>11112</v>
      </c>
      <c r="I84" s="45">
        <f>SSCSource!M114</f>
        <v>378.24</v>
      </c>
      <c r="J84" s="45">
        <f t="shared" si="16"/>
        <v>1108716.18</v>
      </c>
      <c r="K84" s="50">
        <f>IF(ISNUMBER(agent!$O$6*$W84*$X84*E84),TRUNC(agent!$O$6*$W84*$X84*E84,3),"没有上级")</f>
        <v>2.3039999999999998</v>
      </c>
      <c r="L84" s="50">
        <f>IF(ISNUMBER(agent!$O$9*$W84*E84*$X84),TRUNC(agent!$O$9*$W84*E84*$X84,3),"没有上级")</f>
        <v>1.536</v>
      </c>
      <c r="M84" s="50">
        <f>IF(ISNUMBER(agent!$O$12*$W84*E84*$X84),TRUNC(agent!$O$12*$W84*E84*$X84,3),"没有上级")</f>
        <v>1.536</v>
      </c>
      <c r="N84" s="50" t="str">
        <f>IF(ISNUMBER(agent!$O$15*$W84*E84*$X84),TRUNC(agent!$O$15*$W84*E84*$X84,3),"没有上级")</f>
        <v>没有上级</v>
      </c>
      <c r="O84" s="50" t="str">
        <f>IF(ISNUMBER(agent!$O$18*$W84*E84*$X84),TRUNC(agent!$O$18*$W84*E84*$X84,3),"没有上级")</f>
        <v>没有上级</v>
      </c>
      <c r="P84" s="50" t="str">
        <f>IF(ISNUMBER(agent!$O$21*$W84*E84*$X84),TRUNC(agent!$O$21*$W84*E84*$X84,3),"没有上级")</f>
        <v>没有上级</v>
      </c>
      <c r="Q84" s="50" t="str">
        <f>IF(ISNUMBER(agent!$O$24*$W84*E84*$X84),TRUNC(agent!$O$24*$W84*E84*$X84,3),"没有上级")</f>
        <v>没有上级</v>
      </c>
      <c r="R84" s="50" t="str">
        <f>IF(ISNUMBER(agent!$O$27*$W84*E84*$X84),TRUNC(agent!$O$27*$W84*E84*$X84,3),"没有上级")</f>
        <v>没有上级</v>
      </c>
      <c r="S84" s="50" t="str">
        <f>IF(ISNUMBER(agent!$O$30*$W84*E84*$X84),TRUNC(agent!$O$30*$W84*E84*$X84,3),"没有上级")</f>
        <v>没有上级</v>
      </c>
      <c r="T84" s="50" t="str">
        <f>IF(ISNUMBER(agent!$O$33*$W84*$X84*E84),TRUNC(agent!$O$33*$W84*$X84*E84,3),"没有上级")</f>
        <v>没有上级</v>
      </c>
      <c r="U84" s="50">
        <f t="shared" si="17"/>
        <v>5.3759999999999994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15.76</v>
      </c>
      <c r="Z84" s="49">
        <f>TRUNC(14.4+99*W84,3)</f>
        <v>15.984</v>
      </c>
      <c r="AA84" s="48"/>
      <c r="AB84" s="48">
        <f t="shared" si="15"/>
        <v>15.76</v>
      </c>
    </row>
    <row r="85" spans="1:28" s="29" customFormat="1" x14ac:dyDescent="0.15">
      <c r="A85" s="50">
        <f>agent!J$2</f>
        <v>397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>
        <f>SSCSource!K$2</f>
        <v>11112</v>
      </c>
      <c r="I85" s="29">
        <f>SSCSource!M117</f>
        <v>33.49</v>
      </c>
      <c r="J85" s="29">
        <f t="shared" si="16"/>
        <v>1108715.67</v>
      </c>
      <c r="K85" s="50">
        <f>IF(ISNUMBER(agent!$O$6*$W85*$X85*F85),TRUNC(agent!$O$6*$W85*$X85*F85,3),"没有上级")</f>
        <v>0.20399999999999999</v>
      </c>
      <c r="L85" s="50">
        <f>IF(ISNUMBER(agent!$O$9*$W85*F85*$X85),TRUNC(agent!$O$9*$W85*F85*$X85,3),"没有上级")</f>
        <v>0.13600000000000001</v>
      </c>
      <c r="M85" s="50">
        <f>IF(ISNUMBER(agent!$O$12*$W85*F85*$X85),TRUNC(agent!$O$12*$W85*F85*$X85,3),"没有上级")</f>
        <v>0.13600000000000001</v>
      </c>
      <c r="N85" s="50" t="str">
        <f>IF(ISNUMBER(agent!$O$15*$W85*F85*$X85),TRUNC(agent!$O$15*$W85*F85*$X85,3),"没有上级")</f>
        <v>没有上级</v>
      </c>
      <c r="O85" s="50" t="str">
        <f>IF(ISNUMBER(agent!$O$18*$W85*F85*$X85),TRUNC(agent!$O$18*$W85*F85*$X85,3),"没有上级")</f>
        <v>没有上级</v>
      </c>
      <c r="P85" s="50" t="str">
        <f>IF(ISNUMBER(agent!$O$21*$W85*F85*$X85),TRUNC(agent!$O$21*$W85*F85*$X85,3),"没有上级")</f>
        <v>没有上级</v>
      </c>
      <c r="Q85" s="50" t="str">
        <f>IF(ISNUMBER(agent!$O$24*$W85*F85*$X85),TRUNC(agent!$O$24*$W85*F85*$X85,3),"没有上级")</f>
        <v>没有上级</v>
      </c>
      <c r="R85" s="50" t="str">
        <f>IF(ISNUMBER(agent!$O$27*$W85*F85*$X85),TRUNC(agent!$O$27*$W85*F85*$X85,3),"没有上级")</f>
        <v>没有上级</v>
      </c>
      <c r="S85" s="50" t="str">
        <f>IF(ISNUMBER(agent!$O$30*$W85*F85*$X85),TRUNC(agent!$O$30*$W85*F85*$X85,3),"没有上级")</f>
        <v>没有上级</v>
      </c>
      <c r="T85" s="50" t="str">
        <f>IF(ISNUMBER(agent!$O$33*$W85*$X85*F85),TRUNC(agent!$O$33*$W85*$X85*F85,3),"没有上级")</f>
        <v>没有上级</v>
      </c>
      <c r="U85" s="50">
        <f t="shared" si="17"/>
        <v>0.47599999999999998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1.97</v>
      </c>
      <c r="Z85" s="49">
        <f>TRUNC(1.8+99*W85,3)</f>
        <v>1.998</v>
      </c>
      <c r="AA85" s="48"/>
      <c r="AB85" s="29">
        <f t="shared" si="15"/>
        <v>1.97</v>
      </c>
    </row>
    <row r="86" spans="1:28" s="25" customFormat="1" x14ac:dyDescent="0.15">
      <c r="A86" s="50">
        <f>agent!J$2</f>
        <v>397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>
        <f>SSCSource!K$2</f>
        <v>11112</v>
      </c>
      <c r="I86" s="45">
        <f>SSCSource!M123+SSCSource!M128</f>
        <v>135.56</v>
      </c>
      <c r="J86" s="45">
        <f t="shared" si="16"/>
        <v>1108791.23</v>
      </c>
      <c r="K86" s="58">
        <f>IF(ISNUMBER(agent!$O$6*$W86*SSCSource!$M$123),TRUNC(agent!$O$6*$W86*X86*F86,3)+TRUNC(agent!$O$6*$W87*X87*F86,3),"没有上级")</f>
        <v>0.81599999999999995</v>
      </c>
      <c r="L86" s="58">
        <f>IF(ISNUMBER(agent!$O$9*$W86*$X86),TRUNC(agent!$O$9*$W86*X86*F86,3)+TRUNC(agent!$O$9*$W87*X87*F86,3),"没有上级")</f>
        <v>0.54400000000000004</v>
      </c>
      <c r="M86" s="58">
        <f>IF(ISNUMBER(agent!$O$12*$W86*$X86),TRUNC(agent!$O$12*$W86*X86*F86,3)+TRUNC(agent!$O$12*$W87*X87*F86,3),"没有上级")</f>
        <v>0.54400000000000004</v>
      </c>
      <c r="N86" s="58" t="str">
        <f>IF(ISNUMBER(agent!$O$15*$W86*$X86),TRUNC(agent!$O$15*$W86*X86*F86,3)+TRUNC(agent!$O$15*$W87*X87*F86,3),"没有上级")</f>
        <v>没有上级</v>
      </c>
      <c r="O86" s="58" t="str">
        <f>IF(ISNUMBER(agent!$O$18*$W86*$X86),TRUNC(agent!$O$18*$W86*X86*F86,3)+TRUNC(agent!$O$18*$W87*X87*F86,3),"没有上级")</f>
        <v>没有上级</v>
      </c>
      <c r="P86" s="58" t="str">
        <f>IF(ISNUMBER(agent!$O$21*$W86*$X86),TRUNC(agent!$O$21*$W86*X86*F86,3)+TRUNC(agent!$O$21*$W87*X87*F86,3),"没有上级")</f>
        <v>没有上级</v>
      </c>
      <c r="Q86" s="58" t="str">
        <f>IF(ISNUMBER(agent!$O$24*$W86*$X86),TRUNC(agent!$O$24*$W86*X86*F86,3)+TRUNC(agent!$O$24*$W87*X87*F86,3),"没有上级")</f>
        <v>没有上级</v>
      </c>
      <c r="R86" s="58" t="str">
        <f>IF(ISNUMBER(agent!$O$27*$W86*$X86),TRUNC(agent!$O$27*$W86*X86*F86,3)+TRUNC(agent!$O$27*$W87*X87*F86,3),"没有上级")</f>
        <v>没有上级</v>
      </c>
      <c r="S86" s="58" t="str">
        <f>IF(ISNUMBER(agent!$O$30*$W86*$X86),TRUNC(agent!$O$30*$W86*X86*F86,3)+TRUNC(agent!$O$30*$W87*X87*F86,3),"没有上级")</f>
        <v>没有上级</v>
      </c>
      <c r="T86" s="58" t="str">
        <f>IF(ISNUMBER(agent!$O$33*$W86*$X86),TRUNC(agent!$O$33*$W86*X86*F86,3)+TRUNC(agent!$O$33*$W87*X87*F86,3),"没有上级")</f>
        <v>没有上级</v>
      </c>
      <c r="U86" s="50">
        <f t="shared" si="17"/>
        <v>1.9039999999999999</v>
      </c>
      <c r="V86" s="50"/>
      <c r="W86" s="26">
        <f>TRUNC(0.002225,3)</f>
        <v>2E-3</v>
      </c>
      <c r="X86" s="36" t="str">
        <f>SSCSource!N123</f>
        <v>4</v>
      </c>
      <c r="Y86" s="36">
        <f>TRUNC((Z86-(9.9-agent!$L$3)*W86*10),3)</f>
        <v>2.17</v>
      </c>
      <c r="Z86" s="49">
        <f>TRUNC(2+99*W86,3)</f>
        <v>2.198</v>
      </c>
      <c r="AA86" s="58"/>
      <c r="AB86" s="48">
        <f t="shared" si="15"/>
        <v>2.17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45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0">
        <f t="shared" si="17"/>
        <v>0</v>
      </c>
      <c r="V87" s="50"/>
      <c r="W87" s="26">
        <v>0.01</v>
      </c>
      <c r="X87" s="36" t="str">
        <f>SSCSource!N128</f>
        <v>6</v>
      </c>
      <c r="Y87" s="36">
        <f>TRUNC((Z87-(9.9-agent!$L$3)*W87*10),3)</f>
        <v>9.85</v>
      </c>
      <c r="Z87" s="49">
        <f>TRUNC(9+99*W87,3)</f>
        <v>9.99</v>
      </c>
      <c r="AA87" s="58"/>
      <c r="AB87" s="48"/>
    </row>
    <row r="88" spans="1:28" x14ac:dyDescent="0.15">
      <c r="A88" s="50">
        <f>agent!J$2</f>
        <v>397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>
        <f>SSCSource!K$2</f>
        <v>11112</v>
      </c>
      <c r="I88" s="45">
        <f>SSCSource!M133</f>
        <v>0</v>
      </c>
      <c r="J88" s="45">
        <f>$J86-$G88+$I88</f>
        <v>1108731.23</v>
      </c>
      <c r="K88" s="36">
        <f>IF(ISNUMBER(agent!$O$6*$W88*$X88),TRUNC(agent!$O$6*$W88*$X88,3),"没有上级")</f>
        <v>0</v>
      </c>
      <c r="L88" s="36">
        <f>IF(ISNUMBER(agent!$O$9*$W88*$X88),TRUNC(agent!$O$9*$W88*$X88,3),"没有上级")</f>
        <v>0</v>
      </c>
      <c r="M88" s="36">
        <f>IF(ISNUMBER(agent!$O$12*$W88*$X88),TRUNC(agent!$O$12*$W88*$X88,3),"没有上级")</f>
        <v>0</v>
      </c>
      <c r="N88" s="36" t="str">
        <f>IF(ISNUMBER(agent!$O$15*$W88*$X88),TRUNC(agent!$O$15*$W88*$X88,3),"没有上级")</f>
        <v>没有上级</v>
      </c>
      <c r="O88" s="36" t="str">
        <f>IF(ISNUMBER(agent!$O$18*$W88*$X88),TRUNC(agent!$O$18*$W88*$X88,3),"没有上级")</f>
        <v>没有上级</v>
      </c>
      <c r="P88" s="36" t="str">
        <f>IF(ISNUMBER(agent!$O$21*$W88*$X88),TRUNC(agent!$O$21*$W88*$X88,3),"没有上级")</f>
        <v>没有上级</v>
      </c>
      <c r="Q88" s="36" t="str">
        <f>IF(ISNUMBER(agent!$O$24*$W88*$X88),TRUNC(agent!$O$24*$W88*$X88,3),"没有上级")</f>
        <v>没有上级</v>
      </c>
      <c r="R88" s="36" t="str">
        <f>IF(ISNUMBER(agent!$O$27*$W88*$X88),TRUNC(agent!$O$27*$W88*$X88,3),"没有上级")</f>
        <v>没有上级</v>
      </c>
      <c r="S88" s="36" t="str">
        <f>IF(ISNUMBER(agent!$O$30*$W88*$X88),TRUNC(agent!$O$30*$W88*$X88,3),"没有上级")</f>
        <v>没有上级</v>
      </c>
      <c r="T88" s="36" t="str">
        <f>IF(ISNUMBER(agent!$O$33*$W88*$X88),TRUNC(agent!$O$33*$W88*$X88,3),"没有上级")</f>
        <v>没有上级</v>
      </c>
      <c r="U88" s="50">
        <f t="shared" si="17"/>
        <v>0</v>
      </c>
      <c r="V88" s="50"/>
      <c r="W88" s="25">
        <v>100</v>
      </c>
      <c r="X88" s="25">
        <f>SSCSource!N133</f>
        <v>0</v>
      </c>
      <c r="Y88" s="36">
        <f>TRUNC((Z88-(9.9-agent!$L$3)*W88*10),3)</f>
        <v>98500</v>
      </c>
      <c r="Z88" s="49">
        <f>TRUNC(90000+99*W88,3)</f>
        <v>99900</v>
      </c>
      <c r="AA88" s="45"/>
      <c r="AB88" s="48">
        <f>Y88+AA88/E88</f>
        <v>98500</v>
      </c>
    </row>
    <row r="89" spans="1:28" x14ac:dyDescent="0.15">
      <c r="L89" s="36">
        <f t="shared" ref="L89:T89" si="18">SUM(L2:L88)</f>
        <v>687.81599999999992</v>
      </c>
      <c r="M89" s="36">
        <f t="shared" si="18"/>
        <v>687.81599999999992</v>
      </c>
      <c r="N89" s="36">
        <f t="shared" si="18"/>
        <v>0</v>
      </c>
      <c r="O89" s="36">
        <f t="shared" si="18"/>
        <v>0</v>
      </c>
      <c r="P89" s="36">
        <f t="shared" si="18"/>
        <v>0</v>
      </c>
      <c r="Q89" s="36">
        <f t="shared" si="18"/>
        <v>0</v>
      </c>
      <c r="R89" s="36">
        <f t="shared" si="18"/>
        <v>0</v>
      </c>
      <c r="S89" s="36">
        <f t="shared" si="18"/>
        <v>0</v>
      </c>
      <c r="T89" s="36">
        <f t="shared" si="18"/>
        <v>0</v>
      </c>
    </row>
    <row r="90" spans="1:28" x14ac:dyDescent="0.15">
      <c r="I90" s="21">
        <f>SUM(I2:I88)</f>
        <v>169401.22999999998</v>
      </c>
      <c r="Y90" s="48"/>
      <c r="Z90" s="48"/>
    </row>
    <row r="91" spans="1:28" x14ac:dyDescent="0.15">
      <c r="Y91" s="48"/>
    </row>
    <row r="92" spans="1:28" x14ac:dyDescent="0.15">
      <c r="J92" s="57"/>
      <c r="Y92" s="48"/>
    </row>
    <row r="93" spans="1:28" x14ac:dyDescent="0.15">
      <c r="K93" s="57"/>
      <c r="Y93" s="48"/>
      <c r="Z93" s="48"/>
    </row>
  </sheetData>
  <autoFilter ref="B1:Y88"/>
  <mergeCells count="11">
    <mergeCell ref="AA86:AA87"/>
    <mergeCell ref="P86:P87"/>
    <mergeCell ref="Q86:Q87"/>
    <mergeCell ref="R86:R87"/>
    <mergeCell ref="S86:S87"/>
    <mergeCell ref="T86:T87"/>
    <mergeCell ref="K86:K87"/>
    <mergeCell ref="L86:L87"/>
    <mergeCell ref="M86:M87"/>
    <mergeCell ref="N86:N87"/>
    <mergeCell ref="O86:O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opLeftCell="G1" workbookViewId="0">
      <pane ySplit="1" topLeftCell="A26" activePane="bottomLeft" state="frozen"/>
      <selection pane="bottomLeft" activeCell="L37" sqref="L37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1" ht="20.100000000000001" customHeight="1" x14ac:dyDescent="0.15">
      <c r="A1" s="2" t="s">
        <v>114</v>
      </c>
      <c r="B1" s="2" t="s">
        <v>116</v>
      </c>
      <c r="C1" s="2" t="s">
        <v>197</v>
      </c>
      <c r="D1" s="2" t="s">
        <v>198</v>
      </c>
      <c r="E1" s="4" t="s">
        <v>199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201</v>
      </c>
      <c r="M1" s="26" t="s">
        <v>276</v>
      </c>
      <c r="N1" s="26" t="s">
        <v>460</v>
      </c>
      <c r="P1" s="1" t="s">
        <v>202</v>
      </c>
      <c r="Q1" s="23" t="s">
        <v>274</v>
      </c>
      <c r="R1" s="23" t="s">
        <v>275</v>
      </c>
      <c r="S1" s="23" t="s">
        <v>277</v>
      </c>
      <c r="T1" t="s">
        <v>113</v>
      </c>
    </row>
    <row r="2" spans="1:21" ht="29.25" customHeight="1" x14ac:dyDescent="0.15">
      <c r="A2" s="59" t="s">
        <v>115</v>
      </c>
      <c r="B2" s="2" t="s">
        <v>124</v>
      </c>
      <c r="C2" s="1">
        <f>IF(ISNUMBER(FIND($B2,$J$10,1)),$F2,0)</f>
        <v>0</v>
      </c>
      <c r="D2" s="24" t="s">
        <v>292</v>
      </c>
      <c r="E2" s="1">
        <f>IF(ISNUMBER(FIND($B2,J$19,1)),$F2,0)</f>
        <v>1</v>
      </c>
      <c r="F2" s="1">
        <v>1</v>
      </c>
      <c r="G2" s="58" t="s">
        <v>4</v>
      </c>
      <c r="H2" s="58" t="s">
        <v>5</v>
      </c>
      <c r="I2" s="6" t="s">
        <v>6</v>
      </c>
      <c r="J2" s="10" t="s">
        <v>551</v>
      </c>
      <c r="K2" s="55">
        <v>11112</v>
      </c>
      <c r="L2" s="8">
        <f>IF(AND(ISNUMBER(FIND(LEFT($K$2,1),J2,1)),LEN($K$2)&lt;&gt;0),1,0)</f>
        <v>1</v>
      </c>
      <c r="M2" s="58">
        <f>SUM(L2:L6)*S2*R2</f>
        <v>118.19999999999999</v>
      </c>
      <c r="N2" s="58">
        <f>M2/S2/R2</f>
        <v>3</v>
      </c>
      <c r="O2" s="60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8">
        <f>SUM(Q2:Q6)*2*R2</f>
        <v>52</v>
      </c>
      <c r="Q2" s="1">
        <f>LEN(SUBSTITUTE(J2,",",))</f>
        <v>4</v>
      </c>
      <c r="R2" s="58">
        <v>2</v>
      </c>
      <c r="S2" s="58">
        <f>SSC!Y2</f>
        <v>19.7</v>
      </c>
      <c r="U2" s="1" t="str">
        <f>MID(K2,2,1)</f>
        <v>1</v>
      </c>
    </row>
    <row r="3" spans="1:21" ht="20.100000000000001" customHeight="1" x14ac:dyDescent="0.15">
      <c r="A3" s="59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5</v>
      </c>
      <c r="E3" s="12">
        <f t="shared" ref="E3:E20" si="1">IF(ISNUMBER(FIND($B3,J$19,1)),$F3,0)</f>
        <v>2</v>
      </c>
      <c r="F3" s="1">
        <v>2</v>
      </c>
      <c r="G3" s="58"/>
      <c r="H3" s="58"/>
      <c r="I3" s="6" t="s">
        <v>7</v>
      </c>
      <c r="J3" s="10" t="s">
        <v>187</v>
      </c>
      <c r="K3" s="28">
        <f>K2</f>
        <v>11112</v>
      </c>
      <c r="L3" s="8">
        <f>IF(AND(ISNUMBER(FIND(MID($K$2,2,1),J3,1)),LEN($K$2)&lt;&gt;0),1,0)</f>
        <v>1</v>
      </c>
      <c r="M3" s="58"/>
      <c r="N3" s="58"/>
      <c r="O3" s="60"/>
      <c r="P3" s="58"/>
      <c r="Q3" s="22">
        <f>LEN(SUBSTITUTE(J3,",",))</f>
        <v>3</v>
      </c>
      <c r="R3" s="58"/>
      <c r="S3" s="58"/>
    </row>
    <row r="4" spans="1:21" ht="20.100000000000001" customHeight="1" x14ac:dyDescent="0.15">
      <c r="A4" s="59"/>
      <c r="B4" s="2" t="s">
        <v>126</v>
      </c>
      <c r="C4" s="12">
        <f t="shared" si="0"/>
        <v>0</v>
      </c>
      <c r="D4" s="24" t="s">
        <v>293</v>
      </c>
      <c r="E4" s="12">
        <f t="shared" si="1"/>
        <v>0</v>
      </c>
      <c r="F4" s="1">
        <v>3</v>
      </c>
      <c r="G4" s="58"/>
      <c r="H4" s="58"/>
      <c r="I4" s="6" t="s">
        <v>8</v>
      </c>
      <c r="J4" s="10" t="s">
        <v>188</v>
      </c>
      <c r="K4" s="28">
        <f t="shared" ref="K4:K67" si="2">K3</f>
        <v>11112</v>
      </c>
      <c r="L4" s="8">
        <f>IF(AND(ISNUMBER(FIND(MID($K$2,3,1),J4,1)),LEN($K$2)&lt;&gt;0),1,0)</f>
        <v>1</v>
      </c>
      <c r="M4" s="58"/>
      <c r="N4" s="58"/>
      <c r="O4" s="60"/>
      <c r="P4" s="58"/>
      <c r="Q4" s="22">
        <f>LEN(SUBSTITUTE(J4,",",))</f>
        <v>2</v>
      </c>
      <c r="R4" s="58"/>
      <c r="S4" s="58"/>
    </row>
    <row r="5" spans="1:21" ht="20.100000000000001" customHeight="1" x14ac:dyDescent="0.15">
      <c r="A5" s="59"/>
      <c r="B5" s="2" t="s">
        <v>127</v>
      </c>
      <c r="C5" s="12">
        <f t="shared" si="0"/>
        <v>0</v>
      </c>
      <c r="D5" s="22" t="e">
        <f>LOOKUP(SUM(LEN(SUBSTITUTE(K5,MID(K5,{1,2,3},1),))),{8,6;3,6})</f>
        <v>#N/A</v>
      </c>
      <c r="E5" s="12">
        <f t="shared" si="1"/>
        <v>0</v>
      </c>
      <c r="F5" s="1">
        <v>4</v>
      </c>
      <c r="G5" s="58"/>
      <c r="H5" s="58"/>
      <c r="I5" s="6" t="s">
        <v>10</v>
      </c>
      <c r="J5" s="10" t="s">
        <v>189</v>
      </c>
      <c r="K5" s="28">
        <f t="shared" si="2"/>
        <v>11112</v>
      </c>
      <c r="L5" s="8">
        <f>IF(AND(ISNUMBER(FIND(MID($K$2,4,1),J5,1)),LEN($K$2)&lt;&gt;0),1,0)</f>
        <v>0</v>
      </c>
      <c r="M5" s="58"/>
      <c r="N5" s="58"/>
      <c r="O5" s="60"/>
      <c r="P5" s="58"/>
      <c r="Q5" s="22">
        <f>LEN(SUBSTITUTE(J5,",",))</f>
        <v>2</v>
      </c>
      <c r="R5" s="58"/>
      <c r="S5" s="58"/>
    </row>
    <row r="6" spans="1:21" ht="20.100000000000001" customHeight="1" x14ac:dyDescent="0.15">
      <c r="A6" s="59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8"/>
      <c r="H6" s="58"/>
      <c r="I6" s="6" t="s">
        <v>11</v>
      </c>
      <c r="J6" s="10" t="s">
        <v>190</v>
      </c>
      <c r="K6" s="28">
        <f t="shared" si="2"/>
        <v>11112</v>
      </c>
      <c r="L6" s="8">
        <f>IF(AND(ISNUMBER(FIND(RIGHT($K$2,1),J6,1)),LEN($K$2)&lt;&gt;0),1,0)</f>
        <v>0</v>
      </c>
      <c r="M6" s="58"/>
      <c r="N6" s="58"/>
      <c r="O6" s="60"/>
      <c r="P6" s="58"/>
      <c r="Q6" s="22">
        <f>LEN(SUBSTITUTE(J6,",",))</f>
        <v>2</v>
      </c>
      <c r="R6" s="58"/>
      <c r="S6" s="58"/>
    </row>
    <row r="7" spans="1:21" ht="20.100000000000001" customHeight="1" x14ac:dyDescent="0.15">
      <c r="A7" s="59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8" t="s">
        <v>12</v>
      </c>
      <c r="H7" s="58" t="s">
        <v>13</v>
      </c>
      <c r="I7" s="6" t="s">
        <v>6</v>
      </c>
      <c r="J7" s="10" t="s">
        <v>279</v>
      </c>
      <c r="K7" s="28">
        <f t="shared" si="2"/>
        <v>11112</v>
      </c>
      <c r="L7" s="8">
        <f>IF(AND(ISNUMBER(FIND(LEFT($K$2,1),J7,1)),LEN($K$2)&lt;&gt;0),1,0)</f>
        <v>1</v>
      </c>
      <c r="M7" s="58">
        <f>IF(SUM(L7:L8)=2,1,0)*S7*R7</f>
        <v>591</v>
      </c>
      <c r="N7" s="58">
        <f>M7/S7/R7</f>
        <v>1</v>
      </c>
      <c r="O7" s="60" t="str">
        <f>TRIM(IF(LEN($J7)=0,"-",SUBSTITUTE($J7,","," ")))&amp;","&amp;TRIM(IF(LEN($J8)=0,"-",SUBSTITUTE($J8,","," ")))</f>
        <v>0 1 2 8,3 4 5 6 1</v>
      </c>
      <c r="P7" s="58">
        <f>Q7*2*R7</f>
        <v>120</v>
      </c>
      <c r="Q7" s="58">
        <f>LEN(SUBSTITUTE(J7,",",))*LEN(SUBSTITUTE(J8,",",))</f>
        <v>20</v>
      </c>
      <c r="R7" s="58">
        <v>3</v>
      </c>
      <c r="S7" s="58">
        <f>SSC!Y3</f>
        <v>197</v>
      </c>
    </row>
    <row r="8" spans="1:21" ht="20.100000000000001" customHeight="1" x14ac:dyDescent="0.15">
      <c r="A8" s="59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8"/>
      <c r="H8" s="58"/>
      <c r="I8" s="6" t="s">
        <v>7</v>
      </c>
      <c r="J8" s="10" t="s">
        <v>278</v>
      </c>
      <c r="K8" s="28">
        <f t="shared" si="2"/>
        <v>11112</v>
      </c>
      <c r="L8" s="7">
        <f>IF(AND(ISNUMBER(FIND(MID($K$2,2,1),J8,1)),LEN($K$2)&lt;&gt;0),1,0)</f>
        <v>1</v>
      </c>
      <c r="M8" s="58"/>
      <c r="N8" s="58"/>
      <c r="O8" s="60"/>
      <c r="P8" s="58"/>
      <c r="Q8" s="58"/>
      <c r="R8" s="58"/>
      <c r="S8" s="58"/>
    </row>
    <row r="9" spans="1:21" ht="20.100000000000001" customHeight="1" x14ac:dyDescent="0.15">
      <c r="A9" s="59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8"/>
      <c r="H9" s="6" t="s">
        <v>14</v>
      </c>
      <c r="I9" s="6" t="s">
        <v>15</v>
      </c>
      <c r="J9" s="10" t="s">
        <v>515</v>
      </c>
      <c r="K9" s="28">
        <f t="shared" si="2"/>
        <v>11112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197</v>
      </c>
    </row>
    <row r="10" spans="1:21" ht="20.100000000000001" customHeight="1" x14ac:dyDescent="0.15">
      <c r="A10" s="59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8"/>
      <c r="H10" s="6" t="s">
        <v>16</v>
      </c>
      <c r="I10" s="6" t="s">
        <v>17</v>
      </c>
      <c r="J10" s="10" t="s">
        <v>524</v>
      </c>
      <c r="K10" s="28">
        <f t="shared" si="2"/>
        <v>11112</v>
      </c>
      <c r="L10" s="7" t="b">
        <f>ISNUMBER(FIND(","&amp;SUM(MID(K$2,1,1),MID(K$2,2,1)),J10,1))</f>
        <v>0</v>
      </c>
      <c r="M10" s="25">
        <f>N(L10)*R10*S10</f>
        <v>0</v>
      </c>
      <c r="N10" s="25">
        <f t="shared" ref="N10:N15" si="3">M10/S10/R10</f>
        <v>0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197</v>
      </c>
    </row>
    <row r="11" spans="1:21" ht="20.100000000000001" customHeight="1" x14ac:dyDescent="0.15">
      <c r="A11" s="59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8"/>
      <c r="H11" s="6" t="s">
        <v>18</v>
      </c>
      <c r="I11" s="6" t="s">
        <v>18</v>
      </c>
      <c r="J11" s="9" t="s">
        <v>123</v>
      </c>
      <c r="K11" s="28">
        <f t="shared" si="2"/>
        <v>11112</v>
      </c>
      <c r="L11" s="8" t="b">
        <f>ISNUMBER(FIND(MAX(LEFT(K$2,1),MID(K$2,2,1))-MIN(LEFT(K$2,1),MID(K$2,2,1)),J11,1))</f>
        <v>1</v>
      </c>
      <c r="M11" s="25">
        <f>N(L11)*R11*S11</f>
        <v>197</v>
      </c>
      <c r="N11" s="25">
        <f t="shared" si="3"/>
        <v>1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197</v>
      </c>
    </row>
    <row r="12" spans="1:21" ht="20.100000000000001" customHeight="1" x14ac:dyDescent="0.15">
      <c r="A12" s="59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8"/>
      <c r="H12" s="6" t="s">
        <v>20</v>
      </c>
      <c r="I12" s="6" t="s">
        <v>19</v>
      </c>
      <c r="J12" s="9" t="s">
        <v>174</v>
      </c>
      <c r="K12" s="28">
        <f t="shared" si="2"/>
        <v>11112</v>
      </c>
      <c r="L12" s="7" t="b">
        <f>IF(LEFT(K2,1)&lt;&gt;MID(K2,2,1),IF(IF(ISNUMBER(FIND(LEFT(K2,1),J12,1)),1,0)+IF(ISNUMBER(FIND(MID(K2,2,1),J12,1)),1,0)=2,TRUE,FALSE),FALSE)</f>
        <v>0</v>
      </c>
      <c r="M12" s="25">
        <f>IF(LEFT(K2,1)&lt;&gt;MID(K2,2,1),IF(IF(ISNUMBER(FIND(LEFT(K2,1),J12,1)),1,0)+IF(ISNUMBER(FIND(MID(K2,2,1),J12,1)),1,0)=2,R12*S12,0),0)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98.5</v>
      </c>
    </row>
    <row r="13" spans="1:21" ht="20.100000000000001" customHeight="1" x14ac:dyDescent="0.15">
      <c r="A13" s="59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8"/>
      <c r="H13" s="6" t="s">
        <v>21</v>
      </c>
      <c r="I13" s="6" t="s">
        <v>15</v>
      </c>
      <c r="J13" s="10" t="s">
        <v>280</v>
      </c>
      <c r="K13" s="28">
        <f t="shared" si="2"/>
        <v>11112</v>
      </c>
      <c r="M13" s="25">
        <f>IF(EXACT(LEFT(K2,1),MID(K2,2,1)),0,IF(OR(ISNUMBER(FIND(","&amp;LEFT(K2,2)&amp;",",J13,1)),ISNUMBER(FIND(","&amp;MID(K2,2,1)&amp;LEFT(K2,1)&amp;",",J13,1))),R13*S13,0))</f>
        <v>0</v>
      </c>
      <c r="N13" s="25">
        <f t="shared" si="3"/>
        <v>0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98.5</v>
      </c>
    </row>
    <row r="14" spans="1:21" ht="20.100000000000001" customHeight="1" x14ac:dyDescent="0.15">
      <c r="A14" s="59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8"/>
      <c r="H14" s="6" t="s">
        <v>22</v>
      </c>
      <c r="I14" s="6" t="s">
        <v>17</v>
      </c>
      <c r="J14" s="10" t="s">
        <v>281</v>
      </c>
      <c r="K14" s="28">
        <f t="shared" si="2"/>
        <v>11112</v>
      </c>
      <c r="M14" s="25">
        <f>IF(LEFT(K14,1)&lt;&gt;MID(K14,2,1),IF(ISNUMBER(FIND(","&amp;SUM(LEFT(K14,1),MID(K14,2,1))&amp;",",J14,1)),R14*S14,0),0)</f>
        <v>0</v>
      </c>
      <c r="N14" s="25">
        <f t="shared" si="3"/>
        <v>0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98.5</v>
      </c>
    </row>
    <row r="15" spans="1:21" ht="20.100000000000001" customHeight="1" x14ac:dyDescent="0.15">
      <c r="A15" s="59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8"/>
      <c r="H15" s="6" t="s">
        <v>23</v>
      </c>
      <c r="I15" s="6" t="s">
        <v>24</v>
      </c>
      <c r="J15" s="24" t="s">
        <v>282</v>
      </c>
      <c r="K15" s="28">
        <f t="shared" si="2"/>
        <v>11112</v>
      </c>
      <c r="M15" s="25">
        <f>IF(AND(OR(ISNUMBER(FIND(LEFT(K15,1),J15,1)),ISNUMBER(FIND(MID(K15,2,1),J15,1))),LEFT(K15,1)&lt;&gt;MID(K15,2,1)),R15*S15,0)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98.5</v>
      </c>
    </row>
    <row r="16" spans="1:21" ht="20.100000000000001" customHeight="1" x14ac:dyDescent="0.15">
      <c r="A16" s="59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8" t="s">
        <v>25</v>
      </c>
      <c r="H16" s="58" t="s">
        <v>13</v>
      </c>
      <c r="I16" s="6" t="s">
        <v>103</v>
      </c>
      <c r="J16" s="10" t="s">
        <v>184</v>
      </c>
      <c r="K16" s="28">
        <f t="shared" si="2"/>
        <v>11112</v>
      </c>
      <c r="L16" s="23">
        <f>IF(AND(ISNUMBER(FIND(MID($K$2,4,1),J16,1)),LEN($K$2)&lt;&gt;0),1,0)</f>
        <v>1</v>
      </c>
      <c r="M16" s="58">
        <f>IF(SUM(L16:L17)=2,1,0)*S16*R16</f>
        <v>985</v>
      </c>
      <c r="N16" s="58">
        <f>M16/S16/R16</f>
        <v>1</v>
      </c>
      <c r="O16" s="60" t="str">
        <f>TRIM(IF(LEN($J16)=0,"-",SUBSTITUTE($J16,","," ")))&amp;","&amp;TRIM(IF(LEN($J17)=0,"-",SUBSTITUTE($J17,","," ")))</f>
        <v>1 2 8 9,2 3 4 1</v>
      </c>
      <c r="P16" s="58">
        <f>Q16*2*R16</f>
        <v>160</v>
      </c>
      <c r="Q16" s="58">
        <f>LEN(SUBSTITUTE(J16,",",))*LEN(SUBSTITUTE(J17,",",))</f>
        <v>16</v>
      </c>
      <c r="R16" s="58">
        <v>5</v>
      </c>
      <c r="S16" s="58">
        <f>SSC!Y11</f>
        <v>197</v>
      </c>
    </row>
    <row r="17" spans="1:19" ht="20.100000000000001" customHeight="1" x14ac:dyDescent="0.15">
      <c r="A17" s="59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8"/>
      <c r="H17" s="58"/>
      <c r="I17" s="6" t="s">
        <v>104</v>
      </c>
      <c r="J17" s="10" t="s">
        <v>284</v>
      </c>
      <c r="K17" s="28">
        <f t="shared" si="2"/>
        <v>11112</v>
      </c>
      <c r="L17" s="22">
        <f>IF(AND(ISNUMBER(FIND(MID($K$2,5,1),J17,1)),LEN($K$2)&lt;&gt;0),1,0)</f>
        <v>1</v>
      </c>
      <c r="M17" s="58"/>
      <c r="N17" s="58"/>
      <c r="O17" s="60"/>
      <c r="P17" s="58"/>
      <c r="Q17" s="58"/>
      <c r="R17" s="58"/>
      <c r="S17" s="58"/>
    </row>
    <row r="18" spans="1:19" ht="20.100000000000001" customHeight="1" x14ac:dyDescent="0.15">
      <c r="A18" s="59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8"/>
      <c r="H18" s="6" t="s">
        <v>14</v>
      </c>
      <c r="I18" s="6" t="s">
        <v>15</v>
      </c>
      <c r="J18" s="13" t="s">
        <v>385</v>
      </c>
      <c r="K18" s="28">
        <f t="shared" si="2"/>
        <v>11112</v>
      </c>
      <c r="L18" s="22" t="b">
        <f>ISNUMBER(FIND(","&amp;RIGHT(K$2,2),J18))</f>
        <v>1</v>
      </c>
      <c r="M18" s="25">
        <f>N(L18)*R18*S18</f>
        <v>394</v>
      </c>
      <c r="N18" s="25">
        <f t="shared" ref="N18:N24" si="7">M18/S18/R18</f>
        <v>1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197</v>
      </c>
    </row>
    <row r="19" spans="1:19" ht="20.100000000000001" customHeight="1" x14ac:dyDescent="0.15">
      <c r="A19" s="59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8"/>
      <c r="H19" s="6" t="s">
        <v>16</v>
      </c>
      <c r="I19" s="6" t="s">
        <v>17</v>
      </c>
      <c r="J19" s="10" t="s">
        <v>285</v>
      </c>
      <c r="K19" s="28">
        <f t="shared" si="2"/>
        <v>11112</v>
      </c>
      <c r="L19" s="22" t="b">
        <f>ISNUMBER(FIND(","&amp;SUM(MID(K$2,4,1),MID(K$2,5,1)),J19,1))</f>
        <v>0</v>
      </c>
      <c r="M19" s="25">
        <f>N(L19)*R19*S19</f>
        <v>0</v>
      </c>
      <c r="N19" s="25">
        <f t="shared" si="7"/>
        <v>0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197</v>
      </c>
    </row>
    <row r="20" spans="1:19" ht="20.100000000000001" customHeight="1" x14ac:dyDescent="0.15">
      <c r="A20" s="59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8"/>
      <c r="H20" s="6" t="s">
        <v>18</v>
      </c>
      <c r="I20" s="6" t="s">
        <v>18</v>
      </c>
      <c r="J20" s="13" t="s">
        <v>191</v>
      </c>
      <c r="K20" s="28">
        <f t="shared" si="2"/>
        <v>11112</v>
      </c>
      <c r="L20" s="23" t="b">
        <f>ISNUMBER(FIND(MAX(RIGHT(K$2,1),MID(K$2,4,1))-MIN(RIGHT(K$2,1),MID(K$2,4,1)),J20,1))</f>
        <v>0</v>
      </c>
      <c r="M20" s="25">
        <f>N(L20)*R20*S20</f>
        <v>0</v>
      </c>
      <c r="N20" s="25">
        <f t="shared" si="7"/>
        <v>0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197</v>
      </c>
    </row>
    <row r="21" spans="1:19" ht="20.100000000000001" customHeight="1" x14ac:dyDescent="0.15">
      <c r="A21" s="59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8"/>
      <c r="H21" s="6" t="s">
        <v>20</v>
      </c>
      <c r="I21" s="6" t="s">
        <v>19</v>
      </c>
      <c r="J21" s="13" t="s">
        <v>192</v>
      </c>
      <c r="K21" s="28">
        <f t="shared" si="2"/>
        <v>11112</v>
      </c>
      <c r="L21" s="22" t="b">
        <f>IF(RIGHT(K11,1)&lt;&gt;MID(K11,4,1),IF(IF(ISNUMBER(FIND(RIGHT(K11,1),J21,1)),1,0)+IF(ISNUMBER(FIND(MID(K11,4,1),J21,1)),1,0)=2,TRUE,FALSE),FALSE)</f>
        <v>1</v>
      </c>
      <c r="M21" s="25">
        <f>IF(RIGHT(K11,1)&lt;&gt;MID(K11,4,1),IF(IF(ISNUMBER(FIND(RIGHT(K11,1),J21,1)),1,0)+IF(ISNUMBER(FIND(MID(K11,4,1),J21,1)),1,0)=2,R21*S21,0),0)</f>
        <v>197</v>
      </c>
      <c r="N21" s="25">
        <f t="shared" si="7"/>
        <v>1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98.5</v>
      </c>
    </row>
    <row r="22" spans="1:19" ht="20.100000000000001" customHeight="1" x14ac:dyDescent="0.15">
      <c r="A22" s="59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8"/>
      <c r="H22" s="6" t="s">
        <v>21</v>
      </c>
      <c r="I22" s="6" t="s">
        <v>15</v>
      </c>
      <c r="J22" s="24" t="s">
        <v>283</v>
      </c>
      <c r="K22" s="28">
        <f t="shared" si="2"/>
        <v>11112</v>
      </c>
      <c r="M22" s="25">
        <f>IF(EXACT(RIGHT(K11,1),MID(K11,4,1)),0,IF(OR(ISNUMBER(FIND(","&amp;RIGHT(K11,2)&amp;",",J22,1)),ISNUMBER(FIND(","&amp;RIGHT(K11,1)&amp;MID(K11,4,1)&amp;",",J22,1))),R22*S22,0))</f>
        <v>0</v>
      </c>
      <c r="N22" s="25">
        <f t="shared" si="7"/>
        <v>0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98.5</v>
      </c>
    </row>
    <row r="23" spans="1:19" ht="20.100000000000001" customHeight="1" x14ac:dyDescent="0.15">
      <c r="A23" s="59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8"/>
      <c r="H23" s="6" t="s">
        <v>22</v>
      </c>
      <c r="I23" s="6" t="s">
        <v>17</v>
      </c>
      <c r="J23" s="13" t="s">
        <v>193</v>
      </c>
      <c r="K23" s="28">
        <f t="shared" si="2"/>
        <v>11112</v>
      </c>
      <c r="M23" s="25">
        <f>IF(RIGHT(K23,1)&lt;&gt;MID(K23,4,1),IF(ISNUMBER(FIND(","&amp;SUM(RIGHT(K23,1),MID(K23,4,1))&amp;",",J23,1)),R23*S23,0),0)</f>
        <v>492.5</v>
      </c>
      <c r="N23" s="25">
        <f t="shared" si="7"/>
        <v>1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98.5</v>
      </c>
    </row>
    <row r="24" spans="1:19" ht="20.100000000000001" customHeight="1" x14ac:dyDescent="0.15">
      <c r="A24" s="59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8"/>
      <c r="H24" s="6" t="s">
        <v>23</v>
      </c>
      <c r="I24" s="6" t="s">
        <v>24</v>
      </c>
      <c r="J24" s="13" t="s">
        <v>294</v>
      </c>
      <c r="K24" s="28">
        <f t="shared" si="2"/>
        <v>11112</v>
      </c>
      <c r="M24" s="25">
        <f>IF(AND(OR(ISNUMBER(FIND(RIGHT(K24,1),J24,1)),ISNUMBER(FIND(MID(K24,4,1),J24,1))),RIGHT(K24,1)&lt;&gt;MID(K24,4,1)),R24*S24,0)</f>
        <v>0</v>
      </c>
      <c r="N24" s="25">
        <f t="shared" si="7"/>
        <v>0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98.5</v>
      </c>
    </row>
    <row r="25" spans="1:19" ht="20.100000000000001" customHeight="1" x14ac:dyDescent="0.15">
      <c r="A25" s="59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60" t="s">
        <v>26</v>
      </c>
      <c r="H25" s="58" t="s">
        <v>5</v>
      </c>
      <c r="I25" s="6" t="s">
        <v>6</v>
      </c>
      <c r="J25" s="10" t="s">
        <v>194</v>
      </c>
      <c r="K25" s="28">
        <f t="shared" si="2"/>
        <v>11112</v>
      </c>
      <c r="M25" s="58">
        <f>IF(AND(ISNUMBER(FIND(LEFT(K25,1),J25,1)),ISNUMBER(FIND(MID(K25,2,1),J26,1)),ISNUMBER(FIND(MID(K25,3,1),J27,1))),R25*S25,0)</f>
        <v>0</v>
      </c>
      <c r="N25" s="58">
        <f>M25/S25/R25</f>
        <v>0</v>
      </c>
      <c r="O25" s="61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8">
        <f>R25*Q25*2</f>
        <v>1080</v>
      </c>
      <c r="Q25" s="58">
        <f>LEN(SUBSTITUTE($J$25,",",))*LEN(SUBSTITUTE($J$26,",",))*LEN(SUBSTITUTE($J$27,",",))</f>
        <v>180</v>
      </c>
      <c r="R25" s="58">
        <v>3</v>
      </c>
      <c r="S25" s="58">
        <f>SSC!Y19</f>
        <v>1970</v>
      </c>
    </row>
    <row r="26" spans="1:19" ht="20.100000000000001" customHeight="1" x14ac:dyDescent="0.15">
      <c r="A26" s="59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60"/>
      <c r="H26" s="58"/>
      <c r="I26" s="6" t="s">
        <v>7</v>
      </c>
      <c r="J26" s="10" t="s">
        <v>286</v>
      </c>
      <c r="K26" s="28">
        <f t="shared" si="2"/>
        <v>11112</v>
      </c>
      <c r="M26" s="58"/>
      <c r="N26" s="58"/>
      <c r="O26" s="60"/>
      <c r="P26" s="58"/>
      <c r="Q26" s="58"/>
      <c r="R26" s="58"/>
      <c r="S26" s="58"/>
    </row>
    <row r="27" spans="1:19" ht="20.100000000000001" customHeight="1" x14ac:dyDescent="0.15">
      <c r="A27" s="59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60"/>
      <c r="H27" s="58"/>
      <c r="I27" s="6" t="s">
        <v>8</v>
      </c>
      <c r="J27" s="10" t="s">
        <v>195</v>
      </c>
      <c r="K27" s="28">
        <f t="shared" si="2"/>
        <v>11112</v>
      </c>
      <c r="M27" s="58"/>
      <c r="N27" s="58"/>
      <c r="O27" s="60"/>
      <c r="P27" s="58"/>
      <c r="Q27" s="58"/>
      <c r="R27" s="58"/>
      <c r="S27" s="58"/>
    </row>
    <row r="28" spans="1:19" ht="20.100000000000001" customHeight="1" x14ac:dyDescent="0.15">
      <c r="A28" s="59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60"/>
      <c r="H28" s="6" t="s">
        <v>27</v>
      </c>
      <c r="I28" s="6" t="s">
        <v>15</v>
      </c>
      <c r="J28" s="13" t="s">
        <v>287</v>
      </c>
      <c r="K28" s="28">
        <f t="shared" si="2"/>
        <v>11112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1970</v>
      </c>
    </row>
    <row r="29" spans="1:19" ht="33" customHeight="1" x14ac:dyDescent="0.15">
      <c r="A29" s="59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60"/>
      <c r="H29" s="6" t="s">
        <v>16</v>
      </c>
      <c r="I29" s="6" t="s">
        <v>17</v>
      </c>
      <c r="J29" s="10" t="s">
        <v>288</v>
      </c>
      <c r="K29" s="28">
        <f t="shared" si="2"/>
        <v>11112</v>
      </c>
      <c r="M29" s="25">
        <f>IF(ISNUMBER(FIND(","&amp;SUM(LEFT(K29,1),MID(K29,2,1),MID(K29,3,1))&amp;",",J29,1)),R29*S29,0)</f>
        <v>1970</v>
      </c>
      <c r="N29" s="25">
        <f t="shared" si="13"/>
        <v>1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1970</v>
      </c>
    </row>
    <row r="30" spans="1:19" ht="20.100000000000001" customHeight="1" x14ac:dyDescent="0.15">
      <c r="A30" s="59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60"/>
      <c r="H30" s="6" t="s">
        <v>18</v>
      </c>
      <c r="I30" s="6" t="s">
        <v>18</v>
      </c>
      <c r="J30" s="13" t="s">
        <v>289</v>
      </c>
      <c r="K30" s="28">
        <f t="shared" si="2"/>
        <v>11112</v>
      </c>
      <c r="M30" s="25">
        <f>IF(ISNUMBER(FIND(MAX(MID(K30,2,1),LEFT(K30,1),MID(K30,3,1))-MIN(MID(K30,2,1),LEFT(K30,1),MID(K30,3,1)),J30,1)),R30*S30*1,0)</f>
        <v>1970</v>
      </c>
      <c r="N30" s="25">
        <f t="shared" si="13"/>
        <v>1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1970</v>
      </c>
    </row>
    <row r="31" spans="1:19" ht="20.100000000000001" customHeight="1" x14ac:dyDescent="0.15">
      <c r="A31" s="59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60"/>
      <c r="H31" s="6" t="s">
        <v>22</v>
      </c>
      <c r="I31" s="6" t="s">
        <v>17</v>
      </c>
      <c r="J31" s="10" t="s">
        <v>290</v>
      </c>
      <c r="K31" s="28">
        <f t="shared" si="2"/>
        <v>11112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1641.5250000000001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1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328.30500000000001</v>
      </c>
    </row>
    <row r="32" spans="1:19" ht="20.100000000000001" customHeight="1" x14ac:dyDescent="0.15">
      <c r="A32" s="59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60"/>
      <c r="H32" s="6" t="s">
        <v>28</v>
      </c>
      <c r="I32" s="6" t="s">
        <v>28</v>
      </c>
      <c r="J32" s="13" t="s">
        <v>291</v>
      </c>
      <c r="K32" s="28">
        <f t="shared" si="2"/>
        <v>11112</v>
      </c>
      <c r="M32" s="25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0</v>
      </c>
      <c r="N32" s="25">
        <f t="shared" si="13"/>
        <v>0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656.61</v>
      </c>
    </row>
    <row r="33" spans="1:20" ht="20.100000000000001" customHeight="1" x14ac:dyDescent="0.15">
      <c r="A33" s="59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60"/>
      <c r="H33" s="6" t="s">
        <v>29</v>
      </c>
      <c r="I33" s="6" t="s">
        <v>29</v>
      </c>
      <c r="J33" s="13" t="s">
        <v>196</v>
      </c>
      <c r="K33" s="28">
        <f t="shared" si="2"/>
        <v>11112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656.61</v>
      </c>
      <c r="N33" s="25">
        <f t="shared" si="13"/>
        <v>1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328.30500000000001</v>
      </c>
    </row>
    <row r="34" spans="1:20" ht="20.100000000000001" customHeight="1" x14ac:dyDescent="0.15">
      <c r="A34" s="59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60"/>
      <c r="H34" s="6" t="s">
        <v>30</v>
      </c>
      <c r="I34" s="6" t="s">
        <v>15</v>
      </c>
      <c r="J34" s="20" t="s">
        <v>295</v>
      </c>
      <c r="K34" s="28">
        <f t="shared" si="2"/>
        <v>11112</v>
      </c>
      <c r="L34" s="57" t="s">
        <v>328</v>
      </c>
      <c r="M34" s="29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328.30500000000001</v>
      </c>
    </row>
    <row r="35" spans="1:20" ht="20.100000000000001" customHeight="1" x14ac:dyDescent="0.15">
      <c r="A35" s="59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60"/>
      <c r="H35" s="6" t="s">
        <v>23</v>
      </c>
      <c r="I35" s="6" t="s">
        <v>24</v>
      </c>
      <c r="J35" s="20" t="s">
        <v>294</v>
      </c>
      <c r="K35" s="28">
        <f t="shared" si="2"/>
        <v>11112</v>
      </c>
      <c r="L35" s="1" t="str">
        <f>LEFT(K38,3)</f>
        <v>111</v>
      </c>
      <c r="M35" s="25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0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0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328.30500000000001</v>
      </c>
    </row>
    <row r="36" spans="1:20" ht="20.100000000000001" customHeight="1" x14ac:dyDescent="0.15">
      <c r="A36" s="59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60"/>
      <c r="H36" s="6" t="s">
        <v>31</v>
      </c>
      <c r="I36" s="6" t="s">
        <v>15</v>
      </c>
      <c r="J36" s="20" t="s">
        <v>296</v>
      </c>
      <c r="K36" s="28">
        <f t="shared" si="2"/>
        <v>11112</v>
      </c>
      <c r="L36" s="1">
        <f>IF(ISNUMBER(_xlfn.MODE.SNGL(INT(LEFT(L35,1)),INT(MID(L35,2,1)),INT(RIGHT(L35,1)))),_xlfn.MODE.SNGL(INT(LEFT(L35,1)),INT(MID(L35,2,1)),INT(RIGHT(L35,1))),FALSE)</f>
        <v>1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656.61</v>
      </c>
    </row>
    <row r="37" spans="1:20" ht="20.100000000000001" customHeight="1" x14ac:dyDescent="0.15">
      <c r="A37" s="59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60"/>
      <c r="H37" s="6" t="s">
        <v>32</v>
      </c>
      <c r="I37" s="6" t="s">
        <v>15</v>
      </c>
      <c r="J37" s="20" t="s">
        <v>308</v>
      </c>
      <c r="K37" s="28">
        <f t="shared" si="2"/>
        <v>11112</v>
      </c>
      <c r="L37" s="1" t="b">
        <f>IF(ISNUMBER(INT(SUBSTITUTE(L35,L36,))),INT(SUBSTITUTE(L35,L36,)),FALSE)</f>
        <v>0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328.30500000000001</v>
      </c>
    </row>
    <row r="38" spans="1:20" ht="20.100000000000001" customHeight="1" x14ac:dyDescent="0.15">
      <c r="A38" s="59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60"/>
      <c r="H38" s="6" t="s">
        <v>34</v>
      </c>
      <c r="I38" s="6" t="s">
        <v>33</v>
      </c>
      <c r="J38" s="17" t="s">
        <v>297</v>
      </c>
      <c r="K38" s="28">
        <f>K37</f>
        <v>11112</v>
      </c>
      <c r="M38" s="29">
        <f>IF(AND(LEFT(L35,1)=MID(L35,2,1),MID(L35,2,1)=MID(L35,3,1)),N(ISNUMBER(FIND(L36,J38,1)))*R38*S38,
 IF(AND(LEFT(L35,1)&lt;&gt;MID(L35,2,1),MID(L35,2,1)&lt;&gt;MID(L35,3,1),LEFT(L35,1)&lt;&gt;MID(L35,3,1)),
  SUM(N(ISNUMBER(FIND(LEFT(L35,1),J38,1))),N(ISNUMBER(FIND(MID(L35,2,1),J38,1))),N(ISNUMBER(FIND(RIGHT(L35,1),J38,1))))*R38*S38,SUM(N(ISNUMBER(FIND(L36,J38,1))),N(ISNUMBER(FIND(L37,J38,1))))*R38*S38))</f>
        <v>7.2350000000000003</v>
      </c>
      <c r="N38" s="25">
        <f t="shared" si="13"/>
        <v>1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7.2350000000000003</v>
      </c>
      <c r="T38" s="54" t="s">
        <v>550</v>
      </c>
    </row>
    <row r="39" spans="1:20" ht="20.100000000000001" customHeight="1" x14ac:dyDescent="0.15">
      <c r="A39" s="59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60"/>
      <c r="H39" s="6" t="s">
        <v>35</v>
      </c>
      <c r="I39" s="6" t="s">
        <v>33</v>
      </c>
      <c r="J39" s="20" t="s">
        <v>555</v>
      </c>
      <c r="K39" s="28">
        <f t="shared" si="2"/>
        <v>11112</v>
      </c>
      <c r="M39" s="29">
        <f>IF(ISNUMBER(L36),IF(ISNUMBER(L37),N(AND(ISNUMBER(FIND(L36,J39,1)),ISNUMBER(FIND(L37,J39,1))))*R39*S39,0),IF(SUM(N(ISNUMBER(FIND(LEFT(L35,1),J39,1))),N(ISNUMBER(FIND(MID(L35,2,1),J39,1))),N(ISNUMBER(FIND(RIGHT(L35,1),J39,1))))&gt;1,COMBIN(SUM(N(ISNUMBER(FIND(LEFT(L35,1),J39,1))),N(ISNUMBER(FIND(MID(L35,2,1),J39,1))),N(ISNUMBER(FIND(RIGHT(L35,1),J39,1)))),2)*R39*S39,0))</f>
        <v>0</v>
      </c>
      <c r="N39" s="25">
        <f t="shared" si="13"/>
        <v>0</v>
      </c>
      <c r="O39" s="19" t="str">
        <f t="shared" si="15"/>
        <v>1 2 3 4 5 6 7 8</v>
      </c>
      <c r="P39" s="22">
        <f>Q39*R39*2</f>
        <v>224</v>
      </c>
      <c r="Q39" s="22">
        <f>COMBIN(LEN(SUBSTITUTE(J39,",",)),2)</f>
        <v>28</v>
      </c>
      <c r="R39" s="22">
        <v>4</v>
      </c>
      <c r="S39" s="22">
        <f>SSC!Y31</f>
        <v>36.475000000000001</v>
      </c>
    </row>
    <row r="40" spans="1:20" ht="20.100000000000001" customHeight="1" x14ac:dyDescent="0.15">
      <c r="A40" s="59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8" t="s">
        <v>36</v>
      </c>
      <c r="H40" s="58" t="s">
        <v>5</v>
      </c>
      <c r="I40" s="6" t="s">
        <v>105</v>
      </c>
      <c r="J40" s="20" t="s">
        <v>299</v>
      </c>
      <c r="K40" s="28">
        <f t="shared" si="2"/>
        <v>11112</v>
      </c>
      <c r="M40" s="58">
        <f>IF(AND(ISNUMBER(FIND(MID(K40,2,1),J40,1)),ISNUMBER(FIND(MID(K40,3,1),J41,1)),ISNUMBER(FIND(MID(K40,4,1),J42,1))),R40*S40,0)</f>
        <v>0</v>
      </c>
      <c r="N40" s="58">
        <f>M40/S40/R40</f>
        <v>0</v>
      </c>
      <c r="O40" s="61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8">
        <f>R40*Q40*2</f>
        <v>2160</v>
      </c>
      <c r="Q40" s="58">
        <f>LEN(SUBSTITUTE($J40,",",))*LEN(SUBSTITUTE($J41,",",))*LEN(SUBSTITUTE($J42,",",))</f>
        <v>216</v>
      </c>
      <c r="R40" s="58">
        <v>5</v>
      </c>
      <c r="S40" s="58">
        <f>SSC!Y32</f>
        <v>1970</v>
      </c>
    </row>
    <row r="41" spans="1:20" ht="20.100000000000001" customHeight="1" x14ac:dyDescent="0.15">
      <c r="A41" s="59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8"/>
      <c r="H41" s="58"/>
      <c r="I41" s="6" t="s">
        <v>106</v>
      </c>
      <c r="J41" s="20" t="s">
        <v>255</v>
      </c>
      <c r="K41" s="28">
        <f t="shared" si="2"/>
        <v>11112</v>
      </c>
      <c r="M41" s="58"/>
      <c r="N41" s="58"/>
      <c r="O41" s="60"/>
      <c r="P41" s="58"/>
      <c r="Q41" s="58"/>
      <c r="R41" s="58"/>
      <c r="S41" s="58"/>
    </row>
    <row r="42" spans="1:20" ht="20.100000000000001" customHeight="1" x14ac:dyDescent="0.15">
      <c r="A42" s="59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8"/>
      <c r="H42" s="58"/>
      <c r="I42" s="6" t="s">
        <v>107</v>
      </c>
      <c r="J42" s="20" t="s">
        <v>298</v>
      </c>
      <c r="K42" s="28">
        <f t="shared" si="2"/>
        <v>11112</v>
      </c>
      <c r="M42" s="58"/>
      <c r="N42" s="58"/>
      <c r="O42" s="60"/>
      <c r="P42" s="58"/>
      <c r="Q42" s="58"/>
      <c r="R42" s="58"/>
      <c r="S42" s="58"/>
    </row>
    <row r="43" spans="1:20" ht="20.100000000000001" customHeight="1" x14ac:dyDescent="0.15">
      <c r="A43" s="59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8"/>
      <c r="H43" s="6" t="s">
        <v>27</v>
      </c>
      <c r="I43" s="6" t="s">
        <v>15</v>
      </c>
      <c r="J43" s="17" t="s">
        <v>300</v>
      </c>
      <c r="K43" s="28">
        <f t="shared" si="2"/>
        <v>11112</v>
      </c>
      <c r="M43" s="25">
        <f>IF(ISNUMBER(FIND(","&amp;MID(K43,2,3),J43,1)),R43*S43,0)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1970</v>
      </c>
    </row>
    <row r="44" spans="1:20" ht="20.100000000000001" customHeight="1" x14ac:dyDescent="0.15">
      <c r="A44" s="59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8"/>
      <c r="H44" s="6" t="s">
        <v>16</v>
      </c>
      <c r="I44" s="6" t="s">
        <v>17</v>
      </c>
      <c r="J44" s="13" t="s">
        <v>302</v>
      </c>
      <c r="K44" s="28">
        <f t="shared" si="2"/>
        <v>11112</v>
      </c>
      <c r="M44" s="25">
        <f>IF(ISNUMBER(FIND(","&amp;SUM(MID(K44,2,1),MID(K44,3,1),MID(K44,4,1))&amp;",",J44,1)),R44*S44,0)</f>
        <v>0</v>
      </c>
      <c r="N44" s="25">
        <f t="shared" si="18"/>
        <v>0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1970</v>
      </c>
    </row>
    <row r="45" spans="1:20" ht="20.100000000000001" customHeight="1" x14ac:dyDescent="0.15">
      <c r="A45" s="59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8"/>
      <c r="H45" s="6" t="s">
        <v>18</v>
      </c>
      <c r="I45" s="6" t="s">
        <v>18</v>
      </c>
      <c r="J45" s="20" t="s">
        <v>301</v>
      </c>
      <c r="K45" s="28">
        <f t="shared" si="2"/>
        <v>11112</v>
      </c>
      <c r="M45" s="25">
        <f>IF(ISNUMBER(FIND(MAX(MID(K45,2,1),MID(K45,3,1),MID(K45,4,1))-MIN(MID(K45,2,1),MID(K45,4,1),MID(K45,3,1)),J45,1)),R45*S45*1,0)</f>
        <v>9850</v>
      </c>
      <c r="N45" s="25">
        <f t="shared" si="18"/>
        <v>1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1970</v>
      </c>
    </row>
    <row r="46" spans="1:20" ht="20.100000000000001" customHeight="1" x14ac:dyDescent="0.15">
      <c r="A46" s="59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8"/>
      <c r="H46" s="6" t="s">
        <v>22</v>
      </c>
      <c r="I46" s="6" t="s">
        <v>17</v>
      </c>
      <c r="J46" s="13" t="s">
        <v>303</v>
      </c>
      <c r="K46" s="28">
        <f t="shared" si="2"/>
        <v>11112</v>
      </c>
      <c r="L46" s="50"/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0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0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328.30500000000001</v>
      </c>
    </row>
    <row r="47" spans="1:20" ht="20.100000000000001" customHeight="1" x14ac:dyDescent="0.15">
      <c r="A47" s="59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8"/>
      <c r="H47" s="6" t="s">
        <v>28</v>
      </c>
      <c r="I47" s="6" t="s">
        <v>28</v>
      </c>
      <c r="J47" s="20" t="s">
        <v>304</v>
      </c>
      <c r="K47" s="28">
        <f t="shared" si="2"/>
        <v>11112</v>
      </c>
      <c r="L47" s="50"/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656.61</v>
      </c>
    </row>
    <row r="48" spans="1:20" ht="20.100000000000001" customHeight="1" x14ac:dyDescent="0.15">
      <c r="A48" s="59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8"/>
      <c r="H48" s="6" t="s">
        <v>29</v>
      </c>
      <c r="I48" s="6" t="s">
        <v>29</v>
      </c>
      <c r="J48" s="20" t="s">
        <v>256</v>
      </c>
      <c r="K48" s="28">
        <f t="shared" si="2"/>
        <v>11112</v>
      </c>
      <c r="L48" s="50"/>
      <c r="M48" s="25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328.30500000000001</v>
      </c>
      <c r="N48" s="25">
        <f t="shared" si="18"/>
        <v>1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328.30500000000001</v>
      </c>
    </row>
    <row r="49" spans="1:19" ht="20.100000000000001" customHeight="1" x14ac:dyDescent="0.15">
      <c r="A49" s="59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8"/>
      <c r="H49" s="6" t="s">
        <v>30</v>
      </c>
      <c r="I49" s="6" t="s">
        <v>15</v>
      </c>
      <c r="J49" s="20" t="s">
        <v>305</v>
      </c>
      <c r="K49" s="28">
        <f t="shared" si="2"/>
        <v>11112</v>
      </c>
      <c r="L49" s="57" t="s">
        <v>328</v>
      </c>
      <c r="M49" s="29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328.30500000000001</v>
      </c>
    </row>
    <row r="50" spans="1:19" ht="20.100000000000001" customHeight="1" x14ac:dyDescent="0.15">
      <c r="A50" s="59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8"/>
      <c r="H50" s="6" t="s">
        <v>23</v>
      </c>
      <c r="I50" s="6" t="s">
        <v>24</v>
      </c>
      <c r="J50" s="20" t="s">
        <v>306</v>
      </c>
      <c r="K50" s="28">
        <f t="shared" si="2"/>
        <v>11112</v>
      </c>
      <c r="L50" s="56" t="str">
        <f>MID(K53,2,3)</f>
        <v>111</v>
      </c>
      <c r="M50" s="25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328.30500000000001</v>
      </c>
    </row>
    <row r="51" spans="1:19" ht="20.100000000000001" customHeight="1" x14ac:dyDescent="0.15">
      <c r="A51" s="59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8"/>
      <c r="H51" s="6" t="s">
        <v>31</v>
      </c>
      <c r="I51" s="6" t="s">
        <v>15</v>
      </c>
      <c r="J51" s="20" t="s">
        <v>307</v>
      </c>
      <c r="K51" s="28">
        <f t="shared" si="2"/>
        <v>11112</v>
      </c>
      <c r="L51" s="56">
        <f>IF(ISNUMBER(_xlfn.MODE.SNGL(INT(LEFT(L50,1)),INT(MID(L50,2,1)),INT(RIGHT(L50,1)))),_xlfn.MODE.SNGL(INT(LEFT(L50,1)),INT(MID(L50,2,1)),INT(RIGHT(L50,1))),FALSE)</f>
        <v>1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656.61</v>
      </c>
    </row>
    <row r="52" spans="1:19" ht="20.100000000000001" customHeight="1" x14ac:dyDescent="0.15">
      <c r="A52" s="59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8"/>
      <c r="H52" s="6" t="s">
        <v>32</v>
      </c>
      <c r="I52" s="6" t="s">
        <v>15</v>
      </c>
      <c r="J52" s="20" t="s">
        <v>309</v>
      </c>
      <c r="K52" s="28">
        <f t="shared" si="2"/>
        <v>11112</v>
      </c>
      <c r="L52" s="56" t="b">
        <f>IF(ISNUMBER(INT(SUBSTITUTE(L50,L51,))),INT(SUBSTITUTE(L50,L51,)),FALSE)</f>
        <v>0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328.30500000000001</v>
      </c>
    </row>
    <row r="53" spans="1:19" ht="20.100000000000001" customHeight="1" x14ac:dyDescent="0.15">
      <c r="A53" s="59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8"/>
      <c r="H53" s="6" t="s">
        <v>34</v>
      </c>
      <c r="I53" s="6" t="s">
        <v>33</v>
      </c>
      <c r="J53" s="20" t="s">
        <v>554</v>
      </c>
      <c r="K53" s="28">
        <f t="shared" si="2"/>
        <v>11112</v>
      </c>
      <c r="M53" s="29">
        <f>IF(AND(LEFT(L50,1)=MID(L50,2,1),MID(L50,2,1)=MID(L50,3,1)),N(ISNUMBER(FIND(L51,J53,1)))*R53*S53,
 IF(AND(LEFT(L50,1)&lt;&gt;MID(L50,2,1),MID(L50,2,1)&lt;&gt;MID(L50,3,1),LEFT(L50,1)&lt;&gt;MID(L50,3,1)),
  SUM(N(ISNUMBER(FIND(LEFT(L50,1),J53,1))),N(ISNUMBER(FIND(MID(L50,2,1),J53,1))),N(ISNUMBER(FIND(RIGHT(L50,1),J53,1))))*R53*S53,SUM(N(ISNUMBER(FIND(L51,J53,1))),N(ISNUMBER(FIND(L52,J53,1))))*R53*S53))</f>
        <v>28.94</v>
      </c>
      <c r="N53" s="25">
        <f t="shared" si="18"/>
        <v>1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7.2350000000000003</v>
      </c>
    </row>
    <row r="54" spans="1:19" ht="20.100000000000001" customHeight="1" x14ac:dyDescent="0.15">
      <c r="A54" s="59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8"/>
      <c r="H54" s="6" t="s">
        <v>35</v>
      </c>
      <c r="I54" s="6" t="s">
        <v>33</v>
      </c>
      <c r="J54" s="20" t="s">
        <v>553</v>
      </c>
      <c r="K54" s="28">
        <f t="shared" si="2"/>
        <v>11112</v>
      </c>
      <c r="M54" s="29">
        <f>IF(ISNUMBER(L51),IF(ISNUMBER(L52),N(AND(ISNUMBER(FIND(L51,J54,1)),ISNUMBER(FIND(L52,J54,1))))*R54*S54,0),IF(SUM(N(ISNUMBER(FIND(LEFT(L50,1),J54,1))),N(ISNUMBER(FIND(MID(L50,2,1),J54,1))),N(ISNUMBER(FIND(RIGHT(L50,1),J54,1))))&gt;1,COMBIN(SUM(N(ISNUMBER(FIND(LEFT(L50,1),J54,1))),N(ISNUMBER(FIND(MID(L50,2,1),J54,1))),N(ISNUMBER(FIND(RIGHT(L50,1),J54,1)))),2)*R54*S54,0))</f>
        <v>0</v>
      </c>
      <c r="N54" s="25">
        <f t="shared" si="18"/>
        <v>0</v>
      </c>
      <c r="O54" s="19" t="str">
        <f t="shared" si="20"/>
        <v>0 2 7 5 9</v>
      </c>
      <c r="P54" s="22">
        <f>Q54*R54*2</f>
        <v>40</v>
      </c>
      <c r="Q54" s="25">
        <f>COMBIN(LEN(SUBSTITUTE(J54,",",)),2)</f>
        <v>10</v>
      </c>
      <c r="R54" s="22">
        <v>2</v>
      </c>
      <c r="S54" s="22">
        <f>SSC!Y44</f>
        <v>36.475000000000001</v>
      </c>
    </row>
    <row r="55" spans="1:19" ht="20.100000000000001" customHeight="1" x14ac:dyDescent="0.15">
      <c r="A55" s="59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8" t="s">
        <v>5</v>
      </c>
      <c r="I55" s="6" t="s">
        <v>109</v>
      </c>
      <c r="J55" s="20" t="s">
        <v>257</v>
      </c>
      <c r="K55" s="28">
        <f t="shared" si="2"/>
        <v>11112</v>
      </c>
      <c r="M55" s="58">
        <f>IF(AND(ISNUMBER(FIND(MID(K55,3,1),J55,1)),ISNUMBER(FIND(MID(K55,4,1),J56,1)),ISNUMBER(FIND(MID(K55,5,1),J57,1))),R55*S55,0)</f>
        <v>5910</v>
      </c>
      <c r="N55" s="58">
        <f>M55/S55/R55</f>
        <v>1</v>
      </c>
      <c r="O55" s="61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8">
        <f>R55*Q55*2</f>
        <v>1440</v>
      </c>
      <c r="Q55" s="58">
        <f>LEN(SUBSTITUTE($J55,",",))*LEN(SUBSTITUTE($J56,",",))*LEN(SUBSTITUTE($J57,",",))</f>
        <v>240</v>
      </c>
      <c r="R55" s="58">
        <v>3</v>
      </c>
      <c r="S55" s="58">
        <f>SSC!Y45</f>
        <v>1970</v>
      </c>
    </row>
    <row r="56" spans="1:19" ht="20.100000000000001" customHeight="1" x14ac:dyDescent="0.15">
      <c r="A56" s="59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8"/>
      <c r="I56" s="6" t="s">
        <v>110</v>
      </c>
      <c r="J56" s="20" t="s">
        <v>313</v>
      </c>
      <c r="K56" s="28">
        <f t="shared" si="2"/>
        <v>11112</v>
      </c>
      <c r="M56" s="58"/>
      <c r="N56" s="58"/>
      <c r="O56" s="60"/>
      <c r="P56" s="58"/>
      <c r="Q56" s="58"/>
      <c r="R56" s="58"/>
      <c r="S56" s="58"/>
    </row>
    <row r="57" spans="1:19" ht="20.100000000000001" customHeight="1" x14ac:dyDescent="0.15">
      <c r="A57" s="59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8"/>
      <c r="I57" s="6" t="s">
        <v>111</v>
      </c>
      <c r="J57" s="20" t="s">
        <v>312</v>
      </c>
      <c r="K57" s="28">
        <f t="shared" si="2"/>
        <v>11112</v>
      </c>
      <c r="M57" s="58"/>
      <c r="N57" s="58"/>
      <c r="O57" s="60"/>
      <c r="P57" s="58"/>
      <c r="Q57" s="58"/>
      <c r="R57" s="58"/>
      <c r="S57" s="58"/>
    </row>
    <row r="58" spans="1:19" ht="20.100000000000001" customHeight="1" x14ac:dyDescent="0.15">
      <c r="A58" s="59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314</v>
      </c>
      <c r="K58" s="28">
        <f t="shared" si="2"/>
        <v>11112</v>
      </c>
      <c r="M58" s="25">
        <f>IF(ISNUMBER(FIND(","&amp;MID(K58,3,3),J58,1)),R58*S58,0)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1970</v>
      </c>
    </row>
    <row r="59" spans="1:19" ht="20.100000000000001" customHeight="1" x14ac:dyDescent="0.15">
      <c r="A59" s="59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310</v>
      </c>
      <c r="K59" s="28">
        <f t="shared" si="2"/>
        <v>11112</v>
      </c>
      <c r="M59" s="25">
        <f>IF(ISNUMBER(FIND(","&amp;SUM(MID(K59,3,1),MID(K59,4,1),MID(K59,5,1))&amp;",",J59,1)),R59*S59,0)</f>
        <v>0</v>
      </c>
      <c r="N59" s="25">
        <f t="shared" si="25"/>
        <v>0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1970</v>
      </c>
    </row>
    <row r="60" spans="1:19" ht="20.100000000000001" customHeight="1" x14ac:dyDescent="0.15">
      <c r="A60" s="59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311</v>
      </c>
      <c r="K60" s="28">
        <f t="shared" si="2"/>
        <v>11112</v>
      </c>
      <c r="M60" s="25">
        <f>IF(ISNUMBER(FIND(MAX(MID(K60,3,1),MID(K60,4,1),MID(K60,5,1))-MIN(MID(K60,3,1),MID(K60,5,1),MID(K60,4,1)),J60,1)),R60*S60*1,0)</f>
        <v>1970</v>
      </c>
      <c r="N60" s="25">
        <f t="shared" si="25"/>
        <v>1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1970</v>
      </c>
    </row>
    <row r="61" spans="1:19" ht="20.100000000000001" customHeight="1" x14ac:dyDescent="0.15">
      <c r="A61" s="59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315</v>
      </c>
      <c r="K61" s="28">
        <f t="shared" si="2"/>
        <v>11112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0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0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328.30500000000001</v>
      </c>
    </row>
    <row r="62" spans="1:19" ht="20.100000000000001" customHeight="1" x14ac:dyDescent="0.15">
      <c r="A62" s="59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316</v>
      </c>
      <c r="K62" s="28">
        <f t="shared" si="2"/>
        <v>11112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5">
        <f t="shared" si="25"/>
        <v>0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656.61</v>
      </c>
    </row>
    <row r="63" spans="1:19" ht="20.100000000000001" customHeight="1" x14ac:dyDescent="0.15">
      <c r="A63" s="59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317</v>
      </c>
      <c r="K63" s="28">
        <f t="shared" si="2"/>
        <v>11112</v>
      </c>
      <c r="M63" s="25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0</v>
      </c>
      <c r="N63" s="25">
        <f t="shared" si="25"/>
        <v>0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328.30500000000001</v>
      </c>
    </row>
    <row r="64" spans="1:19" ht="20.100000000000001" customHeight="1" x14ac:dyDescent="0.15">
      <c r="A64" s="59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318</v>
      </c>
      <c r="K64" s="28">
        <f t="shared" si="2"/>
        <v>11112</v>
      </c>
      <c r="L64" s="57" t="s">
        <v>328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328.30500000000001</v>
      </c>
    </row>
    <row r="65" spans="1:23" ht="20.100000000000001" customHeight="1" x14ac:dyDescent="0.15">
      <c r="A65" s="59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258</v>
      </c>
      <c r="K65" s="28">
        <f t="shared" si="2"/>
        <v>11112</v>
      </c>
      <c r="L65" s="56" t="str">
        <f>RIGHT(K68,3)</f>
        <v>112</v>
      </c>
      <c r="M65" s="25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0</v>
      </c>
      <c r="N65" s="25">
        <f t="shared" si="28"/>
        <v>0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328.30500000000001</v>
      </c>
    </row>
    <row r="66" spans="1:23" ht="20.100000000000001" customHeight="1" x14ac:dyDescent="0.15">
      <c r="A66" s="59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319</v>
      </c>
      <c r="K66" s="28">
        <f t="shared" si="2"/>
        <v>11112</v>
      </c>
      <c r="L66" s="56">
        <f>IF(ISNUMBER(_xlfn.MODE.SNGL(INT(LEFT(L65,1)),INT(MID(L65,2,1)),INT(RIGHT(L65,1)))),_xlfn.MODE.SNGL(INT(LEFT(L65,1)),INT(MID(L65,2,1)),INT(RIGHT(L65,1))),FALSE)</f>
        <v>1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656.61</v>
      </c>
    </row>
    <row r="67" spans="1:23" ht="20.100000000000001" customHeight="1" x14ac:dyDescent="0.15">
      <c r="A67" s="59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320</v>
      </c>
      <c r="K67" s="28">
        <f t="shared" si="2"/>
        <v>11112</v>
      </c>
      <c r="L67" s="56">
        <f>IF(ISNUMBER(INT(SUBSTITUTE(L65,L66,))),INT(SUBSTITUTE(L65,L66,)),FALSE)</f>
        <v>2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328.30500000000001</v>
      </c>
    </row>
    <row r="68" spans="1:23" ht="20.100000000000001" customHeight="1" x14ac:dyDescent="0.15">
      <c r="A68" s="59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259</v>
      </c>
      <c r="K68" s="28">
        <v>11112</v>
      </c>
      <c r="M68" s="29">
        <f>IF(AND(LEFT(L65,1)=MID(L65,2,1),MID(L65,2,1)=MID(L65,3,1)),N(ISNUMBER(FIND(L66,J68,1)))*R68*S68,
 IF(AND(LEFT(L65,1)&lt;&gt;MID(L65,2,1),MID(L65,2,1)&lt;&gt;MID(L65,3,1),LEFT(L65,1)&lt;&gt;MID(L65,3,1)),
  SUM(N(ISNUMBER(FIND(LEFT(L65,1),J68,1))),N(ISNUMBER(FIND(MID(L65,2,1),J68,1))),N(ISNUMBER(FIND(RIGHT(L65,1),J68,1))))*R68*S68,SUM(N(ISNUMBER(FIND(L66,J68,1))),N(ISNUMBER(FIND(L67,J68,1))))*R68*S68))</f>
        <v>43.410000000000004</v>
      </c>
      <c r="N68" s="25">
        <f t="shared" si="25"/>
        <v>2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7.2350000000000003</v>
      </c>
      <c r="U68" s="50" t="str">
        <f>RIGHT(K68,3)</f>
        <v>112</v>
      </c>
      <c r="V68" s="50">
        <f>_xlfn.MODE.SNGL(INT(LEFT(U68,1)),INT(MID(U68,2,1)),INT(RIGHT(U68,1)))</f>
        <v>1</v>
      </c>
      <c r="W68" s="50" t="str">
        <f>SUBSTITUTE(U68,V68,)</f>
        <v>2</v>
      </c>
    </row>
    <row r="69" spans="1:23" ht="20.100000000000001" customHeight="1" x14ac:dyDescent="0.15">
      <c r="A69" s="59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260</v>
      </c>
      <c r="K69" s="28">
        <f t="shared" ref="K68:K131" si="29">K68</f>
        <v>11112</v>
      </c>
      <c r="M69" s="29">
        <f>IF(ISNUMBER(L66),IF(ISNUMBER(L67),N(AND(ISNUMBER(FIND(L66,J69,1)),ISNUMBER(FIND(L67,J69,1))))*R69*S69,0),IF(SUM(N(ISNUMBER(FIND(LEFT(L65,1),J69,1))),N(ISNUMBER(FIND(MID(L65,2,1),J69,1))),N(ISNUMBER(FIND(RIGHT(L65,1),J69,1))))&gt;1,COMBIN(SUM(N(ISNUMBER(FIND(LEFT(L65,1),J69,1))),N(ISNUMBER(FIND(MID(L65,2,1),J69,1))),N(ISNUMBER(FIND(RIGHT(L65,1),J69,1)))),2)*R69*S69,0))</f>
        <v>0</v>
      </c>
      <c r="N69" s="25">
        <f t="shared" si="25"/>
        <v>0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36.475000000000001</v>
      </c>
    </row>
    <row r="70" spans="1:23" ht="20.100000000000001" customHeight="1" x14ac:dyDescent="0.15">
      <c r="A70" s="59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8" t="s">
        <v>39</v>
      </c>
      <c r="I70" s="6" t="s">
        <v>7</v>
      </c>
      <c r="J70" s="20" t="s">
        <v>323</v>
      </c>
      <c r="K70" s="28">
        <f t="shared" si="29"/>
        <v>11112</v>
      </c>
      <c r="M70" s="58">
        <f>IF(AND(ISNUMBER(FIND(MID(K70,2,1),J70,1)),ISNUMBER(FIND(MID(K70,3,1),J71,1)),ISNUMBER(FIND(MID(K70,4,1),J72,1)),ISNUMBER(FIND(RIGHT(K70,1),J73,1))),R70*S70,0)</f>
        <v>0</v>
      </c>
      <c r="N70" s="58">
        <f>M70/S70/R70</f>
        <v>0</v>
      </c>
      <c r="O70" s="60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8">
        <f>Q70*R70*2</f>
        <v>1800</v>
      </c>
      <c r="Q70" s="59">
        <f>LEN(SUBSTITUTE($J70,",",))*LEN(SUBSTITUTE($J71,",",))*LEN(SUBSTITUTE($J72,",",))*LEN(SUBSTITUTE($J73,",",))</f>
        <v>900</v>
      </c>
      <c r="R70" s="58">
        <v>1</v>
      </c>
      <c r="S70" s="58">
        <f>SSC!Y58</f>
        <v>19700</v>
      </c>
    </row>
    <row r="71" spans="1:23" ht="20.100000000000001" customHeight="1" x14ac:dyDescent="0.15">
      <c r="A71" s="59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8"/>
      <c r="I71" s="6" t="s">
        <v>8</v>
      </c>
      <c r="J71" s="20" t="s">
        <v>321</v>
      </c>
      <c r="K71" s="28">
        <f t="shared" si="29"/>
        <v>11112</v>
      </c>
      <c r="M71" s="58"/>
      <c r="N71" s="58"/>
      <c r="O71" s="60"/>
      <c r="P71" s="58"/>
      <c r="Q71" s="58"/>
      <c r="R71" s="58"/>
      <c r="S71" s="58"/>
    </row>
    <row r="72" spans="1:23" ht="20.100000000000001" customHeight="1" x14ac:dyDescent="0.15">
      <c r="A72" s="59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8"/>
      <c r="I72" s="6" t="s">
        <v>10</v>
      </c>
      <c r="J72" s="20" t="s">
        <v>324</v>
      </c>
      <c r="K72" s="28">
        <f t="shared" si="29"/>
        <v>11112</v>
      </c>
      <c r="M72" s="58"/>
      <c r="N72" s="58"/>
      <c r="O72" s="60"/>
      <c r="P72" s="58"/>
      <c r="Q72" s="58"/>
      <c r="R72" s="58"/>
      <c r="S72" s="58"/>
    </row>
    <row r="73" spans="1:23" ht="20.100000000000001" customHeight="1" x14ac:dyDescent="0.15">
      <c r="A73" s="59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8"/>
      <c r="I73" s="6" t="s">
        <v>11</v>
      </c>
      <c r="J73" s="20" t="s">
        <v>322</v>
      </c>
      <c r="K73" s="28">
        <f t="shared" si="29"/>
        <v>11112</v>
      </c>
      <c r="M73" s="58"/>
      <c r="N73" s="58"/>
      <c r="O73" s="60"/>
      <c r="P73" s="58"/>
      <c r="Q73" s="58"/>
      <c r="R73" s="58"/>
      <c r="S73" s="58"/>
    </row>
    <row r="74" spans="1:23" ht="20.100000000000001" customHeight="1" x14ac:dyDescent="0.15">
      <c r="A74" s="59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325</v>
      </c>
      <c r="K74" s="28">
        <f t="shared" si="29"/>
        <v>11112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19700</v>
      </c>
    </row>
    <row r="75" spans="1:23" ht="20.100000000000001" customHeight="1" x14ac:dyDescent="0.15">
      <c r="A75" s="59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261</v>
      </c>
      <c r="K75" s="28">
        <f t="shared" si="29"/>
        <v>11112</v>
      </c>
      <c r="L75" s="26" t="s">
        <v>328</v>
      </c>
      <c r="M75" s="25">
        <f>IF(N(L76)=1,0,
 IF(AND(ISNUMBER(FIND(MID(K75,2,1),J75,1)),ISNUMBER(FIND(MID(K75,3,1),J75,1)),ISNUMBER(FIND(MID(K75,4,1),J75,1)),ISNUMBER(FIND(MID(K75,5,1),J75,1))),R75*S75,0))</f>
        <v>0</v>
      </c>
      <c r="N75" s="25">
        <f t="shared" si="30"/>
        <v>0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820.80499999999995</v>
      </c>
    </row>
    <row r="76" spans="1:23" ht="20.100000000000001" customHeight="1" x14ac:dyDescent="0.15">
      <c r="A76" s="59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9" t="s">
        <v>185</v>
      </c>
      <c r="I76" s="6" t="s">
        <v>43</v>
      </c>
      <c r="J76" s="20" t="s">
        <v>262</v>
      </c>
      <c r="K76" s="28">
        <f t="shared" si="29"/>
        <v>11112</v>
      </c>
      <c r="L76" s="7">
        <f>_xlfn.MODE.SNGL(INT(MID(K78,2,1)),INT(MID(K78,3,1)),INT(MID(K78,4,1)),INT(MID(K78,5,1)))</f>
        <v>1</v>
      </c>
      <c r="M76" s="58">
        <f>IF(N(ISNUMBER(L76))+N(LEFT(L77,1)=RIGHT(L77,1))=1,
 IF(AND(ISNUMBER(FIND(L76,J76,1)),
   ISNUMBER(FIND(LEFT(L77,1),J77,1)),
   ISNUMBER(FIND(RIGHT(L77,1),J77,1))
  ),R76*S76,0
 ),0
)</f>
        <v>0</v>
      </c>
      <c r="N76" s="58">
        <f>M76/S76/R76</f>
        <v>0</v>
      </c>
      <c r="O76" s="60" t="str">
        <f>TRIM(IF(LEN($J76)=0,"-",SUBSTITUTE($J76,","," ")))&amp;","&amp;TRIM(IF(LEN($J77)=0,"-",SUBSTITUTE($J77,","," ")))</f>
        <v>0 1 2 6 7 8 9,0 1 2 3 4 5 8 9</v>
      </c>
      <c r="P76" s="58">
        <f>Q76*R76*2</f>
        <v>1288</v>
      </c>
      <c r="Q76" s="58">
        <f>LEN(SUBSTITUTE(J76,",",))*COMBIN(LEN(SUBSTITUTE(J77,",",)),2)-T76*(LEN(SUBSTITUTE(J77,",",))-1)</f>
        <v>161</v>
      </c>
      <c r="R76" s="58">
        <v>4</v>
      </c>
      <c r="S76" s="58">
        <f>SSC!Y61</f>
        <v>1641.61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9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8"/>
      <c r="I77" s="6" t="s">
        <v>44</v>
      </c>
      <c r="J77" s="20" t="s">
        <v>326</v>
      </c>
      <c r="K77" s="28">
        <f t="shared" si="29"/>
        <v>11112</v>
      </c>
      <c r="L77" s="7" t="str">
        <f>SUBSTITUTE(RIGHT(K78,4),_xlfn.MODE.SNGL(INT(MID(K78,2,1)),INT(MID(K78,3,1)),INT(MID(K78,4,1)),INT(MID(K78,5,1))),)</f>
        <v>2</v>
      </c>
      <c r="M77" s="58"/>
      <c r="N77" s="58"/>
      <c r="O77" s="60"/>
      <c r="P77" s="58"/>
      <c r="Q77" s="58"/>
      <c r="R77" s="58"/>
      <c r="S77" s="58"/>
    </row>
    <row r="78" spans="1:23" ht="20.100000000000001" customHeight="1" x14ac:dyDescent="0.15">
      <c r="A78" s="59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327</v>
      </c>
      <c r="K78" s="28">
        <f t="shared" si="29"/>
        <v>11112</v>
      </c>
      <c r="L78" s="7">
        <f>_xlfn.MODE.SNGL(INT(LEFT(L77,1)),INT(RIGHT(L77,1)))</f>
        <v>2</v>
      </c>
      <c r="M78" s="25">
        <f>IF(N(ISNUMBER(L76))+N(LEFT(L77,1)=MID(L77,2,1))=2,IF(AND(ISNUMBER(FIND(L76,J78,1)),ISNUMBER(FIND(L78,J78,1))),R78*S78,0),0)</f>
        <v>0</v>
      </c>
      <c r="N78" s="25">
        <f t="shared" ref="N78" si="35">M78/S78/R78</f>
        <v>0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3283.3049999999998</v>
      </c>
    </row>
    <row r="79" spans="1:23" ht="20.100000000000001" customHeight="1" x14ac:dyDescent="0.15">
      <c r="A79" s="59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9" t="s">
        <v>186</v>
      </c>
      <c r="I79" s="6" t="s">
        <v>48</v>
      </c>
      <c r="J79" s="20" t="s">
        <v>329</v>
      </c>
      <c r="K79" s="28">
        <f t="shared" si="29"/>
        <v>11112</v>
      </c>
      <c r="L79" s="7">
        <f>N(ISNUMBER(L76))+N(ISNUMBER(INT(LEFT(L77,1))))+N(ISNUMBER(INT(MID(L77,2,1))))</f>
        <v>2</v>
      </c>
      <c r="M79" s="58">
        <f>IF(L79=2,IF(SUM(N(ISNUMBER(FIND(L76,J79,1))),N(ISNUMBER(FIND(L77,J80,1))))=2,R79*S79,0),0)</f>
        <v>9850</v>
      </c>
      <c r="N79" s="58">
        <f>M79/S79/R79</f>
        <v>1</v>
      </c>
      <c r="O79" s="60" t="str">
        <f>TRIM(IF(LEN($J79)=0,"-",SUBSTITUTE($J79,","," ")))&amp;","&amp;TRIM(IF(LEN($J80)=0,"-",SUBSTITUTE($J80,","," ")))</f>
        <v>0 1 2 5 6 7 8,0 1 2 7 8 9</v>
      </c>
      <c r="P79" s="58">
        <f>Q79*R79*2</f>
        <v>148</v>
      </c>
      <c r="Q79" s="58">
        <f>LEN(SUBSTITUTE(J79,",",))*LEN(SUBSTITUTE(J80,",",))-T79</f>
        <v>37</v>
      </c>
      <c r="R79" s="58">
        <v>2</v>
      </c>
      <c r="S79" s="58">
        <f>SSC!Y63</f>
        <v>4925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9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8"/>
      <c r="I80" s="6" t="s">
        <v>47</v>
      </c>
      <c r="J80" s="20" t="s">
        <v>263</v>
      </c>
      <c r="K80" s="28">
        <f t="shared" si="29"/>
        <v>11112</v>
      </c>
      <c r="M80" s="58"/>
      <c r="N80" s="58"/>
      <c r="O80" s="60"/>
      <c r="P80" s="58"/>
      <c r="Q80" s="58"/>
      <c r="R80" s="58"/>
      <c r="S80" s="58"/>
    </row>
    <row r="81" spans="1:20" ht="20.100000000000001" customHeight="1" x14ac:dyDescent="0.15">
      <c r="A81" s="59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330</v>
      </c>
      <c r="K81" s="28">
        <f t="shared" si="29"/>
        <v>11112</v>
      </c>
      <c r="M81" s="25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33.93</v>
      </c>
      <c r="N81" s="25">
        <f t="shared" ref="N81:N82" si="36">M81/S81/R81</f>
        <v>2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5.6550000000000002</v>
      </c>
    </row>
    <row r="82" spans="1:20" ht="20.100000000000001" customHeight="1" x14ac:dyDescent="0.15">
      <c r="A82" s="59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331</v>
      </c>
      <c r="K82" s="28">
        <f t="shared" si="29"/>
        <v>11112</v>
      </c>
      <c r="L82" s="26">
        <f>COMBIN(SUM(N(ISNUMBER(FIND(MID(K82,2,1),J82,1))),N(ISNUMBER(FIND(MID(K82,3,1),J82,1))),N(ISNUMBER(FIND(MID(K82,4,1),J82,1))),N(ISNUMBER(FIND(MID(K82,5,1),J82,1)))),2)</f>
        <v>6</v>
      </c>
      <c r="M82" s="25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20.18</v>
      </c>
      <c r="N82" s="25">
        <f t="shared" si="36"/>
        <v>1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20.18</v>
      </c>
    </row>
    <row r="83" spans="1:20" ht="20.100000000000001" customHeight="1" x14ac:dyDescent="0.15">
      <c r="A83" s="59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8" t="s">
        <v>54</v>
      </c>
      <c r="I83" s="6" t="s">
        <v>6</v>
      </c>
      <c r="J83" s="20" t="s">
        <v>333</v>
      </c>
      <c r="K83" s="28">
        <f t="shared" si="29"/>
        <v>11112</v>
      </c>
      <c r="M83" s="58">
        <f>IF(AND(ISNUMBER(FIND(LEFT(K83,1),J83,1)),ISNUMBER(FIND(MID(K83,2,1),J84,1)),ISNUMBER(FIND(MID(K83,3,1),J85,1)),ISNUMBER(FIND(MID(K83,4,1),J86,1)),ISNUMBER(FIND(RIGHT(K83,1),J87,1))),R83*S83,0)</f>
        <v>0</v>
      </c>
      <c r="N83" s="58">
        <f>M83/S83/R83</f>
        <v>0</v>
      </c>
      <c r="O83" s="60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8">
        <f>Q83*R83*2</f>
        <v>31104</v>
      </c>
      <c r="Q83" s="58">
        <f>LEN(SUBSTITUTE($J83,",",))*LEN(SUBSTITUTE($J84,",",))*LEN(SUBSTITUTE($J85,",",))*LEN(SUBSTITUTE($J86,",",))*LEN(SUBSTITUTE($J87,",",))</f>
        <v>7776</v>
      </c>
      <c r="R83" s="58">
        <v>2</v>
      </c>
      <c r="S83" s="58">
        <f>SSC!Y66</f>
        <v>197000</v>
      </c>
    </row>
    <row r="84" spans="1:20" ht="20.100000000000001" customHeight="1" x14ac:dyDescent="0.15">
      <c r="A84" s="59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8"/>
      <c r="I84" s="6" t="s">
        <v>7</v>
      </c>
      <c r="J84" s="20" t="s">
        <v>332</v>
      </c>
      <c r="K84" s="28">
        <f t="shared" si="29"/>
        <v>11112</v>
      </c>
      <c r="M84" s="58"/>
      <c r="N84" s="58"/>
      <c r="O84" s="60"/>
      <c r="P84" s="58"/>
      <c r="Q84" s="58"/>
      <c r="R84" s="58"/>
      <c r="S84" s="58"/>
    </row>
    <row r="85" spans="1:20" ht="20.100000000000001" customHeight="1" x14ac:dyDescent="0.15">
      <c r="A85" s="59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8"/>
      <c r="I85" s="6" t="s">
        <v>8</v>
      </c>
      <c r="J85" s="17" t="s">
        <v>174</v>
      </c>
      <c r="K85" s="28">
        <f t="shared" si="29"/>
        <v>11112</v>
      </c>
      <c r="M85" s="58"/>
      <c r="N85" s="58"/>
      <c r="O85" s="60"/>
      <c r="P85" s="58"/>
      <c r="Q85" s="58"/>
      <c r="R85" s="58"/>
      <c r="S85" s="58"/>
    </row>
    <row r="86" spans="1:20" ht="20.100000000000001" customHeight="1" x14ac:dyDescent="0.15">
      <c r="A86" s="59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8"/>
      <c r="I86" s="6" t="s">
        <v>10</v>
      </c>
      <c r="J86" s="20" t="s">
        <v>334</v>
      </c>
      <c r="K86" s="28">
        <f t="shared" si="29"/>
        <v>11112</v>
      </c>
      <c r="M86" s="58"/>
      <c r="N86" s="58"/>
      <c r="O86" s="60"/>
      <c r="P86" s="58"/>
      <c r="Q86" s="58"/>
      <c r="R86" s="58"/>
      <c r="S86" s="58"/>
    </row>
    <row r="87" spans="1:20" ht="20.100000000000001" customHeight="1" x14ac:dyDescent="0.15">
      <c r="A87" s="59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8"/>
      <c r="I87" s="6" t="s">
        <v>11</v>
      </c>
      <c r="J87" s="17" t="s">
        <v>335</v>
      </c>
      <c r="K87" s="28">
        <f t="shared" si="29"/>
        <v>11112</v>
      </c>
      <c r="M87" s="58"/>
      <c r="N87" s="58"/>
      <c r="O87" s="60"/>
      <c r="P87" s="58"/>
      <c r="Q87" s="58"/>
      <c r="R87" s="58"/>
      <c r="S87" s="58"/>
    </row>
    <row r="88" spans="1:20" ht="20.100000000000001" customHeight="1" x14ac:dyDescent="0.15">
      <c r="A88" s="59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336</v>
      </c>
      <c r="K88" s="28">
        <f>K87</f>
        <v>11112</v>
      </c>
      <c r="L88" s="7">
        <f>LOOKUP(SUM(LEN(SUBSTITUTE(K88,MID(K88,{1,2,3,4,5},1),))),{8,12,14,16,18,20;5,10,20,30,60,120})</f>
        <v>5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197000</v>
      </c>
    </row>
    <row r="89" spans="1:20" ht="20.100000000000001" customHeight="1" x14ac:dyDescent="0.15">
      <c r="A89" s="59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337</v>
      </c>
      <c r="K89" s="28">
        <f>K88</f>
        <v>11112</v>
      </c>
      <c r="L89" s="7">
        <f>_xlfn.MODE.SNGL(INT(LEFT(K89,1)),INT(MID(K89,2,1)),INT(MID(K89,3,1)),INT(MID(K89,4,1)),INT(MID(K89,5,1)))</f>
        <v>1</v>
      </c>
      <c r="M89" s="25">
        <f>IF(L88=120,IF(AND(ISNUMBER(FIND(LEFT(K89,1),J89,1)),ISNUMBER(FIND(MID(K89,2,1),J89,1)),ISNUMBER(FIND(MID(K89,3,1),J89,1)),ISNUMBER(FIND(MID(K89,4,1),J89,1)),ISNUMBER(FIND(MID(K89,5,1),J89,1))),R89*S89,0),0)</f>
        <v>0</v>
      </c>
      <c r="N89" s="25">
        <f t="shared" si="41"/>
        <v>0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1641.61</v>
      </c>
    </row>
    <row r="90" spans="1:20" ht="20.100000000000001" customHeight="1" x14ac:dyDescent="0.15">
      <c r="A90" s="59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8" t="s">
        <v>176</v>
      </c>
      <c r="I90" s="6" t="s">
        <v>61</v>
      </c>
      <c r="J90" s="20" t="s">
        <v>340</v>
      </c>
      <c r="K90" s="28">
        <f t="shared" si="29"/>
        <v>11112</v>
      </c>
      <c r="L90" s="26" t="e">
        <f>_xlfn.MODE.SNGL(INT(LEFT(SUBSTITUTE(K88,L89,),1)),
         INT(MID(SUBSTITUTE(K88,L89,),2,1)),
         INT(MID(SUBSTITUTE(K88,L89,),3,1)))</f>
        <v>#VALUE!</v>
      </c>
      <c r="M90" s="58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58">
        <f t="shared" si="41"/>
        <v>0</v>
      </c>
      <c r="O90" s="60" t="str">
        <f>TRIM(IF(LEN($J90)=0,"-",SUBSTITUTE($J90,","," ")))&amp;","&amp;TRIM(IF(LEN($J91)=0,"-",SUBSTITUTE($J91,","," ")))</f>
        <v>0 1 5 7 9 6,0 1 4 5 6 8 9</v>
      </c>
      <c r="P90" s="58">
        <f>Q90*R90*2</f>
        <v>540</v>
      </c>
      <c r="Q90" s="58">
        <f>LEN(SUBSTITUTE(J90,",",))*COMBIN(LEN(SUBSTITUTE(J91,",",)),3)-T90*COMBIN(LEN(SUBSTITUTE(J91,",",))-1,2)</f>
        <v>135</v>
      </c>
      <c r="R90" s="58">
        <v>2</v>
      </c>
      <c r="S90" s="58">
        <f>SSC!Y69</f>
        <v>3283.3049999999998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9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8"/>
      <c r="I91" s="6" t="s">
        <v>44</v>
      </c>
      <c r="J91" s="20" t="s">
        <v>339</v>
      </c>
      <c r="K91" s="28">
        <f t="shared" si="29"/>
        <v>11112</v>
      </c>
      <c r="L91" s="7" t="e">
        <f>_xlfn.MODE.SNGL(INT(LEFT(SUBSTITUTE(K88,L89,),1)),
         INT(MID(SUBSTITUTE(K88,L89,),2,1)))</f>
        <v>#VALUE!</v>
      </c>
      <c r="M91" s="58"/>
      <c r="N91" s="58"/>
      <c r="O91" s="60"/>
      <c r="P91" s="58"/>
      <c r="Q91" s="58"/>
      <c r="R91" s="58"/>
      <c r="S91" s="58"/>
    </row>
    <row r="92" spans="1:20" ht="20.100000000000001" customHeight="1" x14ac:dyDescent="0.15">
      <c r="A92" s="59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8" t="s">
        <v>58</v>
      </c>
      <c r="I92" s="6" t="s">
        <v>61</v>
      </c>
      <c r="J92" s="20" t="s">
        <v>338</v>
      </c>
      <c r="K92" s="28">
        <f t="shared" si="29"/>
        <v>11112</v>
      </c>
      <c r="M92" s="58">
        <f>IF(L88=30,
 IF(AND(ISNUMBER(FIND(L89,J92,1)),ISNUMBER(FIND(L90,J92,1)),ISNUMBER(FIND(SUBSTITUTE(SUBSTITUTE(K2,L89,),L90,),J93,1))
  ),R92*S92,0),0)</f>
        <v>0</v>
      </c>
      <c r="N92" s="58">
        <f t="shared" ref="N92" si="43">M92/S92/R92</f>
        <v>0</v>
      </c>
      <c r="O92" s="60" t="str">
        <f t="shared" ref="O92" si="44">TRIM(IF(LEN($J92)=0,"-",SUBSTITUTE($J92,","," ")))&amp;","&amp;TRIM(IF(LEN($J93)=0,"-",SUBSTITUTE($J93,","," ")))</f>
        <v>0 1 2 7 8,1 3 4 5 6 7</v>
      </c>
      <c r="P92" s="58">
        <f t="shared" ref="P92" si="45">Q92*R92*2</f>
        <v>104</v>
      </c>
      <c r="Q92" s="58">
        <f>COMBIN(LEN(SUBSTITUTE(J92,",",)),2)*LEN(SUBSTITUTE(J93,",",))-T92*(LEN(SUBSTITUTE(J92,",",))-1)</f>
        <v>52</v>
      </c>
      <c r="R92" s="58">
        <v>1</v>
      </c>
      <c r="S92" s="58">
        <f>SSC!Y70</f>
        <v>6566.61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9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8"/>
      <c r="I93" s="6" t="s">
        <v>44</v>
      </c>
      <c r="J93" s="20" t="s">
        <v>313</v>
      </c>
      <c r="K93" s="28">
        <f t="shared" si="29"/>
        <v>11112</v>
      </c>
      <c r="M93" s="58"/>
      <c r="N93" s="58"/>
      <c r="O93" s="60"/>
      <c r="P93" s="58"/>
      <c r="Q93" s="58"/>
      <c r="R93" s="58"/>
      <c r="S93" s="58"/>
    </row>
    <row r="94" spans="1:20" ht="20.100000000000001" customHeight="1" x14ac:dyDescent="0.15">
      <c r="A94" s="59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8" t="s">
        <v>177</v>
      </c>
      <c r="I94" s="6" t="s">
        <v>62</v>
      </c>
      <c r="J94" s="27" t="s">
        <v>342</v>
      </c>
      <c r="K94" s="28">
        <f t="shared" si="29"/>
        <v>11112</v>
      </c>
      <c r="M94" s="58">
        <f>IF(L88=20,
 IF(AND(ISNUMBER(FIND(L89,J94,1)),ISNUMBER(FIND(LEFT(SUBSTITUTE(K94,L89,),1),J95,1)),ISNUMBER(FIND(RIGHT(SUBSTITUTE(K94,L89,),1),J95,1))),R94*S94,0),0)</f>
        <v>0</v>
      </c>
      <c r="N94" s="58">
        <f t="shared" ref="N94" si="46">M94/S94/R94</f>
        <v>0</v>
      </c>
      <c r="O94" s="60" t="str">
        <f t="shared" ref="O94" si="47">TRIM(IF(LEN($J94)=0,"-",SUBSTITUTE($J94,","," ")))&amp;","&amp;TRIM(IF(LEN($J95)=0,"-",SUBSTITUTE($J95,","," ")))</f>
        <v>0 1 2 7,0 1 8 9</v>
      </c>
      <c r="P94" s="58">
        <f t="shared" ref="P94" si="48">Q94*R94*2</f>
        <v>108</v>
      </c>
      <c r="Q94" s="58">
        <f>LEN(SUBSTITUTE(J94,",",))*COMBIN(LEN(SUBSTITUTE(J95,",",)),2)-T94*(LEN(SUBSTITUTE(J95,",",))-1)</f>
        <v>18</v>
      </c>
      <c r="R94" s="58">
        <v>3</v>
      </c>
      <c r="S94" s="58">
        <f>SSC!Y71</f>
        <v>9850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9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8"/>
      <c r="I95" s="6" t="s">
        <v>44</v>
      </c>
      <c r="J95" s="17" t="s">
        <v>341</v>
      </c>
      <c r="K95" s="28">
        <f t="shared" si="29"/>
        <v>11112</v>
      </c>
      <c r="M95" s="58"/>
      <c r="N95" s="58"/>
      <c r="O95" s="60"/>
      <c r="P95" s="58"/>
      <c r="Q95" s="58"/>
      <c r="R95" s="58"/>
      <c r="S95" s="58"/>
    </row>
    <row r="96" spans="1:20" ht="20.100000000000001" customHeight="1" x14ac:dyDescent="0.15">
      <c r="A96" s="59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8" t="s">
        <v>178</v>
      </c>
      <c r="I96" s="6" t="s">
        <v>63</v>
      </c>
      <c r="J96" s="17" t="s">
        <v>343</v>
      </c>
      <c r="K96" s="28">
        <f t="shared" si="29"/>
        <v>11112</v>
      </c>
      <c r="M96" s="58">
        <f>IF(L88=10,IF(AND(ISNUMBER(FIND(L89,J96,1)),ISNUMBER(FIND(L91,J97,1))),R96*S96,0),0)</f>
        <v>0</v>
      </c>
      <c r="N96" s="58">
        <f t="shared" ref="N96" si="49">M96/S96/R96</f>
        <v>0</v>
      </c>
      <c r="O96" s="60" t="str">
        <f t="shared" ref="O96" si="50">TRIM(IF(LEN($J96)=0,"-",SUBSTITUTE($J96,","," ")))&amp;","&amp;TRIM(IF(LEN($J97)=0,"-",SUBSTITUTE($J97,","," ")))</f>
        <v>0 1 4,0 1 8</v>
      </c>
      <c r="P96" s="58">
        <f t="shared" ref="P96" si="51">Q96*R96*2</f>
        <v>28</v>
      </c>
      <c r="Q96" s="58">
        <f>LEN(SUBSTITUTE(J96,",",))*LEN(SUBSTITUTE(J97,",",))-T96</f>
        <v>7</v>
      </c>
      <c r="R96" s="58">
        <v>2</v>
      </c>
      <c r="S96" s="58">
        <f>SSC!Y72</f>
        <v>19700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9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8"/>
      <c r="I97" s="6" t="s">
        <v>112</v>
      </c>
      <c r="J97" s="17" t="s">
        <v>344</v>
      </c>
      <c r="K97" s="28">
        <f t="shared" si="29"/>
        <v>11112</v>
      </c>
      <c r="M97" s="58"/>
      <c r="N97" s="58"/>
      <c r="O97" s="60"/>
      <c r="P97" s="58"/>
      <c r="Q97" s="58"/>
      <c r="R97" s="58"/>
      <c r="S97" s="58"/>
    </row>
    <row r="98" spans="1:26" ht="20.100000000000001" customHeight="1" x14ac:dyDescent="0.15">
      <c r="A98" s="59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8" t="s">
        <v>59</v>
      </c>
      <c r="I98" s="6" t="s">
        <v>64</v>
      </c>
      <c r="J98" s="17" t="s">
        <v>267</v>
      </c>
      <c r="K98" s="28">
        <f t="shared" si="29"/>
        <v>11112</v>
      </c>
      <c r="M98" s="58">
        <f>IF(L88=5,IF(AND(
   ISNUMBER(FIND(L89,J98,1)),
   ISNUMBER(FIND(SUBSTITUTE(K98,L89,),J99,1))
  ),R98*S98,0
 ),0
)</f>
        <v>118200</v>
      </c>
      <c r="N98" s="58">
        <f t="shared" ref="N98" si="52">M98/S98/R98</f>
        <v>1</v>
      </c>
      <c r="O98" s="60" t="str">
        <f t="shared" ref="O98" si="53">TRIM(IF(LEN($J98)=0,"-",SUBSTITUTE($J98,","," ")))&amp;","&amp;TRIM(IF(LEN($J99)=0,"-",SUBSTITUTE($J99,","," ")))</f>
        <v>4 1 5,1 2 3</v>
      </c>
      <c r="P98" s="58">
        <f t="shared" ref="P98" si="54">Q98*R98*2</f>
        <v>48</v>
      </c>
      <c r="Q98" s="58">
        <f>LEN(SUBSTITUTE(J98,",",))*LEN(SUBSTITUTE(J99,",",))-T98</f>
        <v>8</v>
      </c>
      <c r="R98" s="58">
        <v>3</v>
      </c>
      <c r="S98" s="58">
        <f>SSC!Y73</f>
        <v>39400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9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8"/>
      <c r="I99" s="6" t="s">
        <v>65</v>
      </c>
      <c r="J99" s="17" t="s">
        <v>268</v>
      </c>
      <c r="K99" s="28">
        <f t="shared" si="29"/>
        <v>11112</v>
      </c>
      <c r="M99" s="58"/>
      <c r="N99" s="58"/>
      <c r="O99" s="60"/>
      <c r="P99" s="58"/>
      <c r="Q99" s="58"/>
      <c r="R99" s="58"/>
      <c r="S99" s="58"/>
      <c r="T99" s="54" t="s">
        <v>548</v>
      </c>
      <c r="U99">
        <f>IF(U101&lt;&gt;120,_xlfn.MODE.SNGL(INT(LEFT(K88,1)),INT(MID(K88,2,1)),INT(MID(K88,3,1)),INT(MID(K88,4,1)),INT(MID(K88,5,1))),FALSE)</f>
        <v>1</v>
      </c>
      <c r="V99" s="1" t="str">
        <f>SUBSTITUTE(K88,U99,)</f>
        <v>2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9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266</v>
      </c>
      <c r="K100" s="28">
        <f t="shared" si="29"/>
        <v>11112</v>
      </c>
      <c r="M100" s="29">
        <f>IF(U$101=120,U100*S100*R100,IF(U$101=60,V100*R100*S100,IF(U$101=30,W100*S100*R100,IF(U$101=20,X100*S100*R100,IF(U$101=10,Y100*S100*R100,Z100*S100*R100)))))</f>
        <v>18.920000000000002</v>
      </c>
      <c r="N100" s="25">
        <f t="shared" ref="N100:N109" si="55">M100/S100/R100</f>
        <v>2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4.7300000000000004</v>
      </c>
      <c r="T100" s="54" t="s">
        <v>548</v>
      </c>
      <c r="U100" s="50">
        <f>SUM(N(ISNUMBER(FIND(LEFT(K100,1),J100,1))),N(ISNUMBER(FIND(MID(K100,2,1),J100,1))),N(ISNUMBER(FIND(MID(K100,3,1),J100,1))),N(ISNUMBER(FIND(MID(K100,4,1),J100,1))),N(ISNUMBER(FIND(RIGHT(K100,1),J100,1))))</f>
        <v>5</v>
      </c>
      <c r="V100" s="50">
        <f>SUM(N(ISNUMBER(FIND(U$99,J100,1))),N(ISNUMBER(FIND(LEFT(V$99,1),J100,1))),N(ISNUMBER(FIND(MID(V$99,2,1),J100,1))),N(ISNUMBER(FIND(RIGHT(V$99,1),J100,1))))</f>
        <v>4</v>
      </c>
      <c r="W100" s="50">
        <f>SUM(N(ISNUMBER(FIND(U$99,J100,1))),N(ISNUMBER(FIND(X$99,J100,1))),N(ISNUMBER(FIND(W$99,J100,1))))</f>
        <v>1</v>
      </c>
      <c r="X100" s="51">
        <f>SUM(N(ISNUMBER(FIND(U$99,J100,1))),N(ISNUMBER(FIND(LEFT(V$99,1),J100,1))),N(ISNUMBER(FIND(RIGHT(V$99,1),J100,1))))</f>
        <v>3</v>
      </c>
      <c r="Y100" s="50">
        <f>SUM(N(ISNUMBER(FIND(U$99,J100,1))),N(ISNUMBER(FIND(W$99,J100,1))))</f>
        <v>1</v>
      </c>
      <c r="Z100" s="50">
        <f>SUM(N(ISNUMBER(FIND(U$99,J100,1))),N(ISNUMBER(FIND(V$99,J100,1))))</f>
        <v>2</v>
      </c>
    </row>
    <row r="101" spans="1:26" ht="20.100000000000001" customHeight="1" x14ac:dyDescent="0.15">
      <c r="A101" s="59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236</v>
      </c>
      <c r="K101" s="28">
        <f t="shared" si="29"/>
        <v>11112</v>
      </c>
      <c r="M101" s="29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53.46</v>
      </c>
      <c r="N101" s="25">
        <f t="shared" si="55"/>
        <v>1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13.365</v>
      </c>
      <c r="T101" s="54" t="s">
        <v>548</v>
      </c>
      <c r="U101">
        <f>LOOKUP(SUM(LEN(SUBSTITUTE(K88,MID(K88,{1,2,3,4,5},1),))),{8,12,14,16,18,20;5,10,20,30,60,120})</f>
        <v>5</v>
      </c>
      <c r="V101" s="50"/>
      <c r="W101" s="50"/>
      <c r="X101" s="51"/>
      <c r="Y101" s="50"/>
      <c r="Z101" s="50"/>
    </row>
    <row r="102" spans="1:26" ht="20.100000000000001" customHeight="1" x14ac:dyDescent="0.15">
      <c r="A102" s="59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386</v>
      </c>
      <c r="K102" s="28">
        <f t="shared" si="29"/>
        <v>11112</v>
      </c>
      <c r="M102" s="25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0</v>
      </c>
      <c r="N102" s="25">
        <f t="shared" si="55"/>
        <v>0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45.28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9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264</v>
      </c>
      <c r="K103" s="28">
        <f t="shared" si="29"/>
        <v>11112</v>
      </c>
      <c r="M103" s="29">
        <f>IF(U$101=120,U103*S103*R103,IF(U$101=60,V103*R103*S103,IF(U$101=30,W103*S103*R103,IF(U$101=20,X103*S103*R103,IF(U$101=10,Y103*S103*R103,Z103*S103*R103)))))</f>
        <v>37.840000000000003</v>
      </c>
      <c r="N103" s="25">
        <f t="shared" si="55"/>
        <v>2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4.7300000000000004</v>
      </c>
      <c r="T103" s="54" t="s">
        <v>548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4</v>
      </c>
      <c r="W103" s="1">
        <f>SUM(N(ISNUMBER(FIND(U$99,J103,1))),N(ISNUMBER(FIND(X$99,J103,1))),N(ISNUMBER(FIND(W$99,J103,1))))</f>
        <v>1</v>
      </c>
      <c r="X103" s="51">
        <f>SUM(N(ISNUMBER(FIND(U$99,J103,1))),N(ISNUMBER(FIND(LEFT(V$99,1),J103,1))),N(ISNUMBER(FIND(RIGHT(V$99,1),J103,1))))</f>
        <v>3</v>
      </c>
      <c r="Y103" s="1">
        <f>SUM(N(ISNUMBER(FIND(U$99,J103,1))),N(ISNUMBER(FIND(W$99,J103,1))))</f>
        <v>1</v>
      </c>
      <c r="Z103" s="1">
        <f>SUM(N(ISNUMBER(FIND(U$99,J103,1))),N(ISNUMBER(FIND(V$99,J103,1))))</f>
        <v>2</v>
      </c>
    </row>
    <row r="104" spans="1:26" ht="20.100000000000001" customHeight="1" x14ac:dyDescent="0.15">
      <c r="A104" s="59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345</v>
      </c>
      <c r="K104" s="28">
        <f t="shared" si="29"/>
        <v>11112</v>
      </c>
      <c r="M104" s="25">
        <f>IF(AND(L88=60,ISNUMBER(FIND(L89,J104,1))),R104*S104,
 IF(L88=30,SUM(N(ISNUMBER(FIND(L89,J104,1))),N(ISNUMBER(FIND(L90,J104,1))))*R104*S104,
  IF(AND(L88=10,ISNUMBER(FIND(L91,J104,1))),R104*S104,0)))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24.13</v>
      </c>
    </row>
    <row r="105" spans="1:26" ht="20.100000000000001" customHeight="1" x14ac:dyDescent="0.15">
      <c r="A105" s="59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269</v>
      </c>
      <c r="K105" s="28">
        <f t="shared" si="29"/>
        <v>11112</v>
      </c>
      <c r="M105" s="25">
        <f>IF(OR(L88=20,L88=10),IF(ISNUMBER(FIND(L89,J105,1)),R105*S105,0),0)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230.08500000000001</v>
      </c>
    </row>
    <row r="106" spans="1:26" ht="20.100000000000001" customHeight="1" x14ac:dyDescent="0.15">
      <c r="A106" s="59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265</v>
      </c>
      <c r="K106" s="28">
        <f t="shared" si="29"/>
        <v>11112</v>
      </c>
      <c r="M106" s="25">
        <f>IF(L88=5,IF(ISNUMBER(FIND(L89,J106,1)),R106*S106,0),0)</f>
        <v>12847.605</v>
      </c>
      <c r="N106" s="25">
        <f t="shared" si="55"/>
        <v>1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4282.5349999999999</v>
      </c>
    </row>
    <row r="107" spans="1:26" ht="20.100000000000001" customHeight="1" x14ac:dyDescent="0.15">
      <c r="A107" s="59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8" t="s">
        <v>75</v>
      </c>
      <c r="I107" s="6" t="s">
        <v>76</v>
      </c>
      <c r="J107" s="17" t="s">
        <v>525</v>
      </c>
      <c r="K107" s="28">
        <f t="shared" si="29"/>
        <v>11112</v>
      </c>
      <c r="M107" s="58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157.6</v>
      </c>
      <c r="N107" s="58">
        <f t="shared" si="55"/>
        <v>4</v>
      </c>
      <c r="O107" s="60" t="str">
        <f t="shared" ref="O107:O109" si="58">TRIM(IF(LEN($J107)=0,"-",SUBSTITUTE($J107,","," ")))&amp;","&amp;TRIM(IF(LEN($J108)=0,"-",SUBSTITUTE($J108,","," ")))</f>
        <v>大 小 单 双,大 小 单 双</v>
      </c>
      <c r="P107" s="58">
        <f>Q107*R107*2</f>
        <v>160</v>
      </c>
      <c r="Q107" s="58">
        <f>LEN(SUBSTITUTE(J107,",",))*LEN(SUBSTITUTE(J108,",",))</f>
        <v>16</v>
      </c>
      <c r="R107" s="58">
        <v>5</v>
      </c>
      <c r="S107" s="58">
        <f>SSC!Y81</f>
        <v>7.88</v>
      </c>
    </row>
    <row r="108" spans="1:26" ht="20.100000000000001" customHeight="1" x14ac:dyDescent="0.15">
      <c r="A108" s="59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8"/>
      <c r="I108" s="6" t="s">
        <v>77</v>
      </c>
      <c r="J108" s="20" t="s">
        <v>270</v>
      </c>
      <c r="K108" s="28">
        <f t="shared" si="29"/>
        <v>11112</v>
      </c>
      <c r="M108" s="58"/>
      <c r="N108" s="58"/>
      <c r="O108" s="60"/>
      <c r="P108" s="58"/>
      <c r="Q108" s="58"/>
      <c r="R108" s="58"/>
      <c r="S108" s="58"/>
    </row>
    <row r="109" spans="1:26" ht="20.100000000000001" customHeight="1" x14ac:dyDescent="0.15">
      <c r="A109" s="59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8" t="s">
        <v>78</v>
      </c>
      <c r="I109" s="6" t="s">
        <v>79</v>
      </c>
      <c r="J109" s="20" t="s">
        <v>271</v>
      </c>
      <c r="K109" s="28">
        <f t="shared" si="29"/>
        <v>11112</v>
      </c>
      <c r="M109" s="58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31.52</v>
      </c>
      <c r="N109" s="58">
        <f t="shared" si="55"/>
        <v>4</v>
      </c>
      <c r="O109" s="60" t="str">
        <f t="shared" si="58"/>
        <v>大 小 单 双,大 小 单 双</v>
      </c>
      <c r="P109" s="58">
        <f t="shared" ref="P109" si="59">Q109*R109*2</f>
        <v>32</v>
      </c>
      <c r="Q109" s="58">
        <f>LEN(SUBSTITUTE(J109,",",))*LEN(SUBSTITUTE(J110,",",))</f>
        <v>16</v>
      </c>
      <c r="R109" s="58">
        <v>1</v>
      </c>
      <c r="S109" s="58">
        <f>SSC!Y82</f>
        <v>7.88</v>
      </c>
    </row>
    <row r="110" spans="1:26" ht="20.100000000000001" customHeight="1" x14ac:dyDescent="0.15">
      <c r="A110" s="59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8"/>
      <c r="I110" s="6" t="s">
        <v>80</v>
      </c>
      <c r="J110" s="20" t="s">
        <v>242</v>
      </c>
      <c r="K110" s="28">
        <f t="shared" si="29"/>
        <v>11112</v>
      </c>
      <c r="M110" s="58"/>
      <c r="N110" s="58"/>
      <c r="O110" s="60"/>
      <c r="P110" s="58"/>
      <c r="Q110" s="58"/>
      <c r="R110" s="58"/>
      <c r="S110" s="58"/>
    </row>
    <row r="111" spans="1:26" ht="20.100000000000001" customHeight="1" x14ac:dyDescent="0.15">
      <c r="A111" s="59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8" t="s">
        <v>81</v>
      </c>
      <c r="I111" s="6" t="s">
        <v>82</v>
      </c>
      <c r="J111" s="20" t="s">
        <v>242</v>
      </c>
      <c r="K111" s="28">
        <f t="shared" si="29"/>
        <v>11112</v>
      </c>
      <c r="M111" s="58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252.16</v>
      </c>
      <c r="N111" s="58">
        <f t="shared" ref="N111" si="60">M111/S111/R111</f>
        <v>8</v>
      </c>
      <c r="O111" s="60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8">
        <f t="shared" ref="P111" si="61">R111*Q111*2</f>
        <v>256</v>
      </c>
      <c r="Q111" s="58">
        <f>LEN(SUBSTITUTE(J111,",",))*LEN(SUBSTITUTE(J112,",",))*LEN(SUBSTITUTE(J113,",",))</f>
        <v>64</v>
      </c>
      <c r="R111" s="58">
        <v>2</v>
      </c>
      <c r="S111" s="58">
        <f>SSC!Y83</f>
        <v>15.76</v>
      </c>
    </row>
    <row r="112" spans="1:26" ht="20.100000000000001" customHeight="1" x14ac:dyDescent="0.15">
      <c r="H112" s="58"/>
      <c r="I112" s="6" t="s">
        <v>83</v>
      </c>
      <c r="J112" s="20" t="s">
        <v>242</v>
      </c>
      <c r="K112" s="28">
        <f t="shared" si="29"/>
        <v>11112</v>
      </c>
      <c r="M112" s="58"/>
      <c r="N112" s="58"/>
      <c r="O112" s="60"/>
      <c r="P112" s="58"/>
      <c r="Q112" s="58"/>
      <c r="R112" s="58"/>
      <c r="S112" s="58"/>
    </row>
    <row r="113" spans="7:19" ht="20.100000000000001" customHeight="1" x14ac:dyDescent="0.15">
      <c r="H113" s="58"/>
      <c r="I113" s="6" t="s">
        <v>84</v>
      </c>
      <c r="J113" s="20" t="s">
        <v>242</v>
      </c>
      <c r="K113" s="28">
        <f t="shared" si="29"/>
        <v>11112</v>
      </c>
      <c r="M113" s="58"/>
      <c r="N113" s="58"/>
      <c r="O113" s="60"/>
      <c r="P113" s="58"/>
      <c r="Q113" s="58"/>
      <c r="R113" s="58"/>
      <c r="S113" s="58"/>
    </row>
    <row r="114" spans="7:19" ht="20.100000000000001" customHeight="1" x14ac:dyDescent="0.15">
      <c r="H114" s="58" t="s">
        <v>37</v>
      </c>
      <c r="I114" s="6" t="s">
        <v>84</v>
      </c>
      <c r="J114" s="20" t="s">
        <v>242</v>
      </c>
      <c r="K114" s="28">
        <f t="shared" si="29"/>
        <v>11112</v>
      </c>
      <c r="M114" s="58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378.24</v>
      </c>
      <c r="N114" s="58">
        <f t="shared" ref="N114" si="62">M114/S114/R114</f>
        <v>8</v>
      </c>
      <c r="O114" s="60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8">
        <f t="shared" ref="P114" si="63">R114*Q114*2</f>
        <v>384</v>
      </c>
      <c r="Q114" s="58">
        <f>LEN(SUBSTITUTE(J114,",",))*LEN(SUBSTITUTE(J115,",",))*LEN(SUBSTITUTE(J116,",",))</f>
        <v>64</v>
      </c>
      <c r="R114" s="58">
        <v>3</v>
      </c>
      <c r="S114" s="58">
        <f>SSC!Y84</f>
        <v>15.76</v>
      </c>
    </row>
    <row r="115" spans="7:19" ht="20.100000000000001" customHeight="1" x14ac:dyDescent="0.15">
      <c r="H115" s="58"/>
      <c r="I115" s="6" t="s">
        <v>85</v>
      </c>
      <c r="J115" s="20" t="s">
        <v>242</v>
      </c>
      <c r="K115" s="28">
        <f t="shared" si="29"/>
        <v>11112</v>
      </c>
      <c r="M115" s="58"/>
      <c r="N115" s="58"/>
      <c r="O115" s="60"/>
      <c r="P115" s="58"/>
      <c r="Q115" s="58"/>
      <c r="R115" s="58"/>
      <c r="S115" s="58"/>
    </row>
    <row r="116" spans="7:19" ht="20.100000000000001" customHeight="1" x14ac:dyDescent="0.15">
      <c r="H116" s="58"/>
      <c r="I116" s="6" t="s">
        <v>80</v>
      </c>
      <c r="J116" s="20" t="s">
        <v>243</v>
      </c>
      <c r="K116" s="28">
        <f t="shared" si="29"/>
        <v>11112</v>
      </c>
      <c r="M116" s="58"/>
      <c r="N116" s="58"/>
      <c r="O116" s="60"/>
      <c r="P116" s="58"/>
      <c r="Q116" s="58"/>
      <c r="R116" s="58"/>
      <c r="S116" s="58"/>
    </row>
    <row r="117" spans="7:19" ht="20.100000000000001" customHeight="1" x14ac:dyDescent="0.15">
      <c r="G117" s="6" t="s">
        <v>86</v>
      </c>
      <c r="H117" s="58" t="s">
        <v>86</v>
      </c>
      <c r="I117" s="6" t="s">
        <v>87</v>
      </c>
      <c r="J117" s="20" t="s">
        <v>244</v>
      </c>
      <c r="K117" s="28">
        <f t="shared" si="29"/>
        <v>11112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8">
        <f>IF(SUM(L117:L122)&gt;0,SUM(L117:L122)*R117*S117,0)</f>
        <v>33.49</v>
      </c>
      <c r="N117" s="58">
        <f>M117/S117/R117</f>
        <v>17</v>
      </c>
      <c r="O117" s="60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8">
        <f>R117*Q117</f>
        <v>34</v>
      </c>
      <c r="Q117" s="58">
        <f>LEN(SUBSTITUTE(J117,",",))/2+LEN(SUBSTITUTE(J118,",",))+LEN(SUBSTITUTE(J119,",",))+LEN(SUBSTITUTE(J120,",",))+LEN(SUBSTITUTE(J121,",",))+LEN(SUBSTITUTE(J122,",",))</f>
        <v>34</v>
      </c>
      <c r="R117" s="58">
        <v>1</v>
      </c>
      <c r="S117" s="58">
        <f>SSC!Y85</f>
        <v>1.97</v>
      </c>
    </row>
    <row r="118" spans="7:19" ht="20.100000000000001" customHeight="1" x14ac:dyDescent="0.15">
      <c r="H118" s="58"/>
      <c r="I118" s="6" t="s">
        <v>6</v>
      </c>
      <c r="J118" s="20" t="s">
        <v>245</v>
      </c>
      <c r="K118" s="28">
        <f t="shared" si="29"/>
        <v>11112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8"/>
      <c r="N118" s="58"/>
      <c r="O118" s="60"/>
      <c r="P118" s="58"/>
      <c r="Q118" s="58"/>
      <c r="R118" s="58"/>
      <c r="S118" s="58"/>
    </row>
    <row r="119" spans="7:19" ht="20.100000000000001" customHeight="1" x14ac:dyDescent="0.15">
      <c r="H119" s="58"/>
      <c r="I119" s="6" t="s">
        <v>7</v>
      </c>
      <c r="J119" s="20" t="s">
        <v>246</v>
      </c>
      <c r="K119" s="28">
        <f t="shared" si="29"/>
        <v>11112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8"/>
      <c r="N119" s="58"/>
      <c r="O119" s="60"/>
      <c r="P119" s="58"/>
      <c r="Q119" s="58"/>
      <c r="R119" s="58"/>
      <c r="S119" s="58"/>
    </row>
    <row r="120" spans="7:19" ht="20.100000000000001" customHeight="1" x14ac:dyDescent="0.15">
      <c r="H120" s="58"/>
      <c r="I120" s="6" t="s">
        <v>8</v>
      </c>
      <c r="J120" s="20" t="s">
        <v>247</v>
      </c>
      <c r="K120" s="28">
        <f t="shared" si="29"/>
        <v>11112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8"/>
      <c r="N120" s="58"/>
      <c r="O120" s="60"/>
      <c r="P120" s="58"/>
      <c r="Q120" s="58"/>
      <c r="R120" s="58"/>
      <c r="S120" s="58"/>
    </row>
    <row r="121" spans="7:19" ht="20.100000000000001" customHeight="1" x14ac:dyDescent="0.15">
      <c r="H121" s="58"/>
      <c r="I121" s="6" t="s">
        <v>10</v>
      </c>
      <c r="J121" s="20" t="s">
        <v>248</v>
      </c>
      <c r="K121" s="28">
        <f t="shared" si="29"/>
        <v>11112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8"/>
      <c r="N121" s="58"/>
      <c r="O121" s="60"/>
      <c r="P121" s="58"/>
      <c r="Q121" s="58"/>
      <c r="R121" s="58"/>
      <c r="S121" s="58"/>
    </row>
    <row r="122" spans="7:19" ht="20.100000000000001" customHeight="1" x14ac:dyDescent="0.15">
      <c r="H122" s="58"/>
      <c r="I122" s="6" t="s">
        <v>11</v>
      </c>
      <c r="J122" s="20" t="s">
        <v>249</v>
      </c>
      <c r="K122" s="28">
        <f t="shared" si="29"/>
        <v>11112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8"/>
      <c r="N122" s="58"/>
      <c r="O122" s="60"/>
      <c r="P122" s="58"/>
      <c r="Q122" s="58"/>
      <c r="R122" s="58"/>
      <c r="S122" s="58"/>
    </row>
    <row r="123" spans="7:19" ht="20.100000000000001" customHeight="1" x14ac:dyDescent="0.15">
      <c r="G123" s="6" t="s">
        <v>88</v>
      </c>
      <c r="H123" s="58" t="s">
        <v>89</v>
      </c>
      <c r="I123" s="6" t="s">
        <v>90</v>
      </c>
      <c r="J123" s="20" t="s">
        <v>203</v>
      </c>
      <c r="K123" s="28">
        <f t="shared" si="29"/>
        <v>11112</v>
      </c>
      <c r="L123" s="25">
        <f>IF(LEFT(K123,1)=MID(K123,2,1),N(ISNUMBER(FIND("和",J123,1)))*100,IF(LEFT(K123,1)&gt;MID(K123,2,1),N(ISNUMBER(FIND("龙",J123,1))),N(ISNUMBER(FIND("虎",J123,1)))))</f>
        <v>100</v>
      </c>
      <c r="M123" s="58">
        <f>IF(SUM(L123:L132)&gt;0,IF(SUM(L123:L132)=1000,0,IF(SUM(L123:L132)&gt;=100,RIGHT(SUM(L123:L132),1)*R123*S123,SUM(L123:L132)*S123*R123)),0)</f>
        <v>17.36</v>
      </c>
      <c r="N123" s="58" t="str">
        <f>IF(SUM(L123:L132)&gt;0,IF(SUM(L123:L132)&gt;=100,RIGHT(SUM(L123:L132),1),SUM(L123:L132)),0)</f>
        <v>4</v>
      </c>
      <c r="O123" s="60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8">
        <f>R123*Q123</f>
        <v>60</v>
      </c>
      <c r="Q123" s="58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8">
        <v>2</v>
      </c>
      <c r="S123" s="58">
        <f>SSC!Y86</f>
        <v>2.17</v>
      </c>
    </row>
    <row r="124" spans="7:19" ht="20.100000000000001" customHeight="1" x14ac:dyDescent="0.15">
      <c r="H124" s="58"/>
      <c r="I124" s="6" t="s">
        <v>91</v>
      </c>
      <c r="J124" s="20" t="s">
        <v>251</v>
      </c>
      <c r="K124" s="28">
        <f t="shared" si="29"/>
        <v>11112</v>
      </c>
      <c r="L124" s="36">
        <f>IF(LEFT(K124,1)=MID(K124,3,1),N(ISNUMBER(FIND("和",J124,1)))*100,IF(LEFT(K124,1)&gt;MID(K124,3,1),N(ISNUMBER(FIND("龙",J124,1))),N(ISNUMBER(FIND("虎",J124,1)))))</f>
        <v>100</v>
      </c>
      <c r="M124" s="58"/>
      <c r="N124" s="58"/>
      <c r="O124" s="60"/>
      <c r="P124" s="58"/>
      <c r="Q124" s="58"/>
      <c r="R124" s="58"/>
      <c r="S124" s="58"/>
    </row>
    <row r="125" spans="7:19" ht="20.100000000000001" customHeight="1" x14ac:dyDescent="0.15">
      <c r="H125" s="58"/>
      <c r="I125" s="6" t="s">
        <v>92</v>
      </c>
      <c r="J125" s="20" t="s">
        <v>252</v>
      </c>
      <c r="K125" s="28">
        <f t="shared" si="29"/>
        <v>11112</v>
      </c>
      <c r="L125" s="36">
        <f>IF(LEFT(K125,1)=MID(K125,4,1),N(ISNUMBER(FIND("和",J125,1)))*100,IF(LEFT(K125,1)&gt;MID(K125,4,1),N(ISNUMBER(FIND("龙",J125,1))),N(ISNUMBER(FIND("虎",J125,1)))))</f>
        <v>100</v>
      </c>
      <c r="M125" s="58"/>
      <c r="N125" s="58"/>
      <c r="O125" s="60"/>
      <c r="P125" s="58"/>
      <c r="Q125" s="58"/>
      <c r="R125" s="58"/>
      <c r="S125" s="58"/>
    </row>
    <row r="126" spans="7:19" ht="20.100000000000001" customHeight="1" x14ac:dyDescent="0.15">
      <c r="H126" s="58"/>
      <c r="I126" s="6" t="s">
        <v>93</v>
      </c>
      <c r="J126" s="20" t="s">
        <v>252</v>
      </c>
      <c r="K126" s="28">
        <f t="shared" si="29"/>
        <v>11112</v>
      </c>
      <c r="L126" s="36">
        <f>IF(LEFT(K126,1)=MID(K126,5,1),N(ISNUMBER(FIND("和",J126,1)))*100,IF(LEFT(K126,1)&gt;MID(K126,5,1),N(ISNUMBER(FIND("龙",J126,1))),N(ISNUMBER(FIND("虎",J126,1)))))</f>
        <v>1</v>
      </c>
      <c r="M126" s="58"/>
      <c r="N126" s="58"/>
      <c r="O126" s="60"/>
      <c r="P126" s="58"/>
      <c r="Q126" s="58"/>
      <c r="R126" s="58"/>
      <c r="S126" s="58"/>
    </row>
    <row r="127" spans="7:19" ht="20.100000000000001" customHeight="1" x14ac:dyDescent="0.15">
      <c r="H127" s="58"/>
      <c r="I127" s="6" t="s">
        <v>94</v>
      </c>
      <c r="J127" s="20" t="s">
        <v>251</v>
      </c>
      <c r="K127" s="28">
        <f t="shared" si="29"/>
        <v>11112</v>
      </c>
      <c r="L127" s="36">
        <f>IF(MID(K127,2,1)=MID(K127,3,1),N(ISNUMBER(FIND("和",J127,1)))*100,IF(MID(K127,2,1)&gt;MID(K127,3,1),N(ISNUMBER(FIND("龙",J127,1))),N(ISNUMBER(FIND("虎",J127,1)))))</f>
        <v>100</v>
      </c>
      <c r="M127" s="58"/>
      <c r="N127" s="58"/>
      <c r="O127" s="60"/>
      <c r="P127" s="58"/>
      <c r="Q127" s="58"/>
      <c r="R127" s="58"/>
      <c r="S127" s="58"/>
    </row>
    <row r="128" spans="7:19" ht="20.100000000000001" customHeight="1" x14ac:dyDescent="0.15">
      <c r="H128" s="58"/>
      <c r="I128" s="6" t="s">
        <v>95</v>
      </c>
      <c r="J128" s="20" t="s">
        <v>253</v>
      </c>
      <c r="K128" s="28">
        <f t="shared" si="29"/>
        <v>11112</v>
      </c>
      <c r="L128" s="36">
        <f>IF(MID(K127,2,1)=MID(K128,4,1),N(ISNUMBER(FIND("和",J128,1)))*100,IF(MID(K127,2,1)&gt;MID(K128,4,1),N(ISNUMBER(FIND("龙",J128,1))),N(ISNUMBER(FIND("虎",J128,1)))))</f>
        <v>100</v>
      </c>
      <c r="M128" s="58">
        <f>IF(SUM(L123:L132)&gt;0,IF(SUM(L123:L132)=1000,R123*S128*10,IF(SUM(L123:L132)&gt;=100,LEFT(SUM(L123:L132),1)*R123*S128,0)),0)</f>
        <v>118.19999999999999</v>
      </c>
      <c r="N128" s="58" t="str">
        <f>IF(SUM(L123:L132)&gt;0,IF(SUM(L123:L132)=1000,10,IF(SUM(L123:L132)&gt;=100,LEFT(SUM(L123:L132),1),0)),0)</f>
        <v>6</v>
      </c>
      <c r="O128" s="60"/>
      <c r="P128" s="58"/>
      <c r="Q128" s="58"/>
      <c r="R128" s="58"/>
      <c r="S128" s="58">
        <f>SSC!Y87</f>
        <v>9.85</v>
      </c>
    </row>
    <row r="129" spans="7:19" ht="20.100000000000001" customHeight="1" x14ac:dyDescent="0.15">
      <c r="H129" s="58"/>
      <c r="I129" s="6" t="s">
        <v>96</v>
      </c>
      <c r="J129" s="20" t="s">
        <v>250</v>
      </c>
      <c r="K129" s="28">
        <f t="shared" si="29"/>
        <v>11112</v>
      </c>
      <c r="L129" s="36">
        <f>IF(MID(K127,2,1)=MID(K129,5,1),N(ISNUMBER(FIND("和",J129,1)))*100,IF(MID(K127,2,1)&gt;MID(K129,5,1),N(ISNUMBER(FIND("龙",J129,1))),N(ISNUMBER(FIND("虎",J129,1)))))</f>
        <v>1</v>
      </c>
      <c r="M129" s="58"/>
      <c r="N129" s="58"/>
      <c r="O129" s="60"/>
      <c r="P129" s="58"/>
      <c r="Q129" s="58"/>
      <c r="R129" s="58"/>
      <c r="S129" s="58"/>
    </row>
    <row r="130" spans="7:19" ht="20.100000000000001" customHeight="1" x14ac:dyDescent="0.15">
      <c r="H130" s="58"/>
      <c r="I130" s="6" t="s">
        <v>97</v>
      </c>
      <c r="J130" s="20" t="s">
        <v>254</v>
      </c>
      <c r="K130" s="28">
        <f t="shared" si="29"/>
        <v>11112</v>
      </c>
      <c r="L130" s="36">
        <f>IF(MID(K127,3,1)=MID(K130,4,1),N(ISNUMBER(FIND("和",J130,1)))*100,IF(MID(K127,3,1)&gt;MID(K130,4,1),N(ISNUMBER(FIND("龙",J130,1))),N(ISNUMBER(FIND("虎",J130,1)))))</f>
        <v>100</v>
      </c>
      <c r="M130" s="58"/>
      <c r="N130" s="58"/>
      <c r="O130" s="60"/>
      <c r="P130" s="58"/>
      <c r="Q130" s="58"/>
      <c r="R130" s="58"/>
      <c r="S130" s="58"/>
    </row>
    <row r="131" spans="7:19" ht="20.100000000000001" customHeight="1" x14ac:dyDescent="0.15">
      <c r="H131" s="58"/>
      <c r="I131" s="6" t="s">
        <v>98</v>
      </c>
      <c r="J131" s="20" t="s">
        <v>251</v>
      </c>
      <c r="K131" s="28">
        <f t="shared" si="29"/>
        <v>11112</v>
      </c>
      <c r="L131" s="36">
        <f>IF(MID(K127,3,1)=MID(K131,5,1),N(ISNUMBER(FIND("和",J131,1)))*100,IF(MID(K127,3,1)&gt;MID(K131,5,1),N(ISNUMBER(FIND("龙",J131,1))),N(ISNUMBER(FIND("虎",J131,1)))))</f>
        <v>1</v>
      </c>
      <c r="M131" s="58"/>
      <c r="N131" s="58"/>
      <c r="O131" s="60"/>
      <c r="P131" s="58"/>
      <c r="Q131" s="58"/>
      <c r="R131" s="58"/>
      <c r="S131" s="58"/>
    </row>
    <row r="132" spans="7:19" ht="20.100000000000001" customHeight="1" x14ac:dyDescent="0.15">
      <c r="H132" s="58"/>
      <c r="I132" s="6" t="s">
        <v>99</v>
      </c>
      <c r="J132" s="17" t="s">
        <v>203</v>
      </c>
      <c r="K132" s="28">
        <f t="shared" ref="K132:K133" si="64">K131</f>
        <v>11112</v>
      </c>
      <c r="L132" s="36">
        <f>IF(MID(K127,4,1)=MID(K132,5,1),N(ISNUMBER(FIND("和",J132,1)))*100,IF(MID(K127,4,1)&gt;MID(K132,5,1),N(ISNUMBER(FIND("龙",J132,1))),N(ISNUMBER(FIND("虎",J132,1)))))</f>
        <v>1</v>
      </c>
      <c r="M132" s="58"/>
      <c r="N132" s="58"/>
      <c r="O132" s="60"/>
      <c r="P132" s="58"/>
      <c r="Q132" s="58"/>
      <c r="R132" s="58"/>
      <c r="S132" s="58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>
        <f t="shared" si="64"/>
        <v>11112</v>
      </c>
      <c r="M133" s="25">
        <f>IF(SUM(LEFT(K133,1),MID(K133,2,1),MID(K133,3,1),MID(K133,4,1),MID(K133,5,1))=LEFT(K133,1)*5,R133*S133,0)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98500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135.56</v>
      </c>
    </row>
    <row r="137" spans="7:19" ht="20.100000000000001" customHeight="1" x14ac:dyDescent="0.15">
      <c r="O137" s="9">
        <f>R123*S123*9</f>
        <v>39.06</v>
      </c>
    </row>
    <row r="138" spans="7:19" ht="20.100000000000001" customHeight="1" x14ac:dyDescent="0.15">
      <c r="O138" s="9">
        <f>R123*S128*1</f>
        <v>19.7</v>
      </c>
    </row>
    <row r="139" spans="7:19" ht="20.100000000000001" customHeight="1" x14ac:dyDescent="0.15">
      <c r="O139" s="9">
        <f>O137+O138</f>
        <v>58.760000000000005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abSelected="1" topLeftCell="C10" zoomScaleNormal="100" workbookViewId="0">
      <selection activeCell="P43" sqref="P43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376</v>
      </c>
      <c r="B1" s="34" t="s">
        <v>375</v>
      </c>
      <c r="C1" s="34" t="s">
        <v>374</v>
      </c>
      <c r="D1" s="62" t="s">
        <v>373</v>
      </c>
      <c r="E1" s="62"/>
      <c r="F1" s="62" t="s">
        <v>372</v>
      </c>
      <c r="G1" s="62"/>
      <c r="H1" s="62" t="s">
        <v>371</v>
      </c>
      <c r="I1" s="62"/>
      <c r="J1" s="32" t="s">
        <v>370</v>
      </c>
      <c r="K1" s="32"/>
      <c r="Q1" s="40" t="s">
        <v>376</v>
      </c>
      <c r="R1" s="34" t="s">
        <v>375</v>
      </c>
      <c r="S1" s="34" t="s">
        <v>374</v>
      </c>
      <c r="T1" s="62" t="s">
        <v>373</v>
      </c>
      <c r="U1" s="62"/>
      <c r="V1" s="62" t="s">
        <v>372</v>
      </c>
      <c r="W1" s="62"/>
      <c r="X1" s="62" t="s">
        <v>493</v>
      </c>
      <c r="Y1" s="62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397</v>
      </c>
      <c r="L2" s="32" t="s">
        <v>369</v>
      </c>
      <c r="P2" s="41">
        <v>15196685175</v>
      </c>
      <c r="Q2" s="41">
        <v>82</v>
      </c>
      <c r="R2" s="41" t="s">
        <v>537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8.5</v>
      </c>
      <c r="P3" s="41" t="s">
        <v>538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539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368</v>
      </c>
      <c r="M5" s="32" t="s">
        <v>367</v>
      </c>
      <c r="N5" s="32" t="s">
        <v>346</v>
      </c>
      <c r="O5" s="32" t="s">
        <v>366</v>
      </c>
      <c r="P5" s="41" t="s">
        <v>540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9119480</v>
      </c>
      <c r="M6" s="33">
        <f>IF(ISNUMBER(INT(L6)),IF(AND(J2&lt;152,J2&gt;82),INDEX(Q$2:Y$48,MATCH(L6,V:V,0)-1,1),IF(J2=82,"没有上级",INDEX(Q$2:Y$48,MATCH(L6,X:X,0)-1,1))),"没有上级")</f>
        <v>387</v>
      </c>
      <c r="N6" s="30">
        <f>IF(ISNUMBER(INDEX(Q$2:Y$48,MATCH(M6,$Q:$Q)-1,3)),INDEX(Q$2:Y$48,MATCH(M6,$Q:$Q)-1,3),"没有上级")</f>
        <v>9.1</v>
      </c>
      <c r="O6" s="30">
        <f>IF(ISNUMBER(N6-L3),ROUND((N6-L3)*10,0),"没有上级")</f>
        <v>6</v>
      </c>
      <c r="P6" s="41" t="s">
        <v>541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542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365</v>
      </c>
      <c r="M8" s="32" t="s">
        <v>364</v>
      </c>
      <c r="N8" s="32" t="s">
        <v>363</v>
      </c>
      <c r="O8" s="30" t="s">
        <v>462</v>
      </c>
      <c r="P8" s="41" t="s">
        <v>543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9599291</v>
      </c>
      <c r="M9" s="33">
        <f>IF(ISNUMBER(INT(L9)),IF(OR(AND(M6&lt;152,M6&gt;82),AND(M6&lt;395,M6&gt;385)),INDEX(Q$2:Y$48,MATCH(L9,V:V,0)-1,1),IF(OR(M6=82,M6=385),"没有上级",INDEX(Q$2:Y$48,MATCH(L9,X:X,0)-1,1))),"没有上级")</f>
        <v>386</v>
      </c>
      <c r="N9" s="41">
        <f>IF(ISNUMBER(INDEX(Q$2:Y$48,MATCH(M9,$Q:$Q)-1,3)),INDEX(Q$2:Y$48,MATCH(M9,$Q:$Q)-1,3),"没有上级")</f>
        <v>9.5</v>
      </c>
      <c r="O9" s="41">
        <f>IF(ISNUMBER(N9-N6),ROUND((N9-N6)*10,0),"没有上级")</f>
        <v>4</v>
      </c>
      <c r="P9" s="41" t="s">
        <v>544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545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362</v>
      </c>
      <c r="M11" s="32" t="s">
        <v>361</v>
      </c>
      <c r="N11" s="32" t="s">
        <v>377</v>
      </c>
      <c r="O11" s="30" t="s">
        <v>463</v>
      </c>
      <c r="P11" s="41" t="s">
        <v>546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9294847</v>
      </c>
      <c r="M12" s="33">
        <f>IF(ISNUMBER(INT(L12)),IF(OR(AND(M9&lt;152,M9&gt;82),AND(M9&lt;395,M9&gt;385)),INDEX(Q$2:Y$48,MATCH(L12,V:V,0)-1,1),IF(OR(M9=82,M9=385),"没有上级",INDEX(Q$2:Y$48,MATCH(L12,X:X,0)-1,1))),"没有上级")</f>
        <v>385</v>
      </c>
      <c r="N12" s="41">
        <f>IF(ISNUMBER(INDEX(Q$2:Y$48,MATCH(M12,$Q:$Q)-1,3)),INDEX(Q$2:Y$48,MATCH(M12,$Q:$Q)-1,3),"没有上级")</f>
        <v>9.9</v>
      </c>
      <c r="O12" s="41">
        <f>IF(ISNUMBER(N12-N9),ROUND((N12-N9)*10,0),"没有上级")</f>
        <v>4</v>
      </c>
      <c r="P12" s="41" t="s">
        <v>547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360</v>
      </c>
      <c r="M14" s="32" t="s">
        <v>359</v>
      </c>
      <c r="N14" s="32" t="s">
        <v>378</v>
      </c>
      <c r="O14" s="30" t="s">
        <v>464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 t="str">
        <f>IF(ISNUMBER(INDEX(Q$2:Y$48,MATCH(M12,Q:Q)-1,2)),INDEX(Q$2:Y$48,MATCH(M12,Q:Q)-1,2),"没有上级")</f>
        <v>没有上级</v>
      </c>
      <c r="M15" s="33" t="str">
        <f>IF(ISNUMBER(INT(L15)),IF(OR(AND(M12&lt;152,M12&gt;82),AND(M12&lt;395,M12&gt;385)),INDEX(Q$2:Y$48,MATCH(L15,V:V,0)-1,1),IF(OR(M12=82,M12=385),"没有上级",INDEX(Q$2:Y$48,MATCH(L15,X:X,0)-1,1))),"没有上级")</f>
        <v>没有上级</v>
      </c>
      <c r="N15" s="41" t="str">
        <f>IF(ISNUMBER(INDEX(Q$2:Y$48,MATCH(M15,$Q:$Q)-1,3)),INDEX(Q$2:Y$48,MATCH(M15,$Q:$Q)-1,3),"没有上级")</f>
        <v>没有上级</v>
      </c>
      <c r="O15" s="41" t="str">
        <f>IF(ISNUMBER(N15-N12),ROUND((N15-N12)*10,0),"没有上级")</f>
        <v>没有上级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358</v>
      </c>
      <c r="M17" s="32" t="s">
        <v>357</v>
      </c>
      <c r="N17" s="32" t="s">
        <v>379</v>
      </c>
      <c r="O17" s="30" t="s">
        <v>465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 t="str">
        <f>IF(ISNUMBER(INDEX(Q$2:Y$48,MATCH(M15,Q:Q)-1,2)),INDEX(Q$2:Y$48,MATCH(M15,Q:Q)-1,2),"没有上级")</f>
        <v>没有上级</v>
      </c>
      <c r="M18" s="33" t="str">
        <f>IF(ISNUMBER(INT(L18)),IF(OR(AND(M15&lt;152,M15&gt;82),AND(M15&lt;395,M15&gt;385)),INDEX(Q$2:Y$48,MATCH(L18,V:V,0)-1,1),IF(OR(M15=82,M15=385),"没有上级",INDEX(Q$2:Y$48,MATCH(L18,X:X,0)-1,1))),"没有上级")</f>
        <v>没有上级</v>
      </c>
      <c r="N18" s="41" t="str">
        <f>IF(ISNUMBER(INDEX(Q$2:Y$48,MATCH(M18,$Q:$Q)-1,3)),INDEX(Q$2:Y$48,MATCH(M18,$Q:$Q)-1,3),"没有上级")</f>
        <v>没有上级</v>
      </c>
      <c r="O18" s="41" t="str">
        <f>IF(ISNUMBER(N18-N15),ROUND((N18-N15)*10,0),"没有上级")</f>
        <v>没有上级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356</v>
      </c>
      <c r="M20" s="32" t="s">
        <v>355</v>
      </c>
      <c r="N20" s="32" t="s">
        <v>380</v>
      </c>
      <c r="O20" s="30" t="s">
        <v>466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 t="str">
        <f>IF(ISNUMBER(INDEX(Q$2:Y$48,MATCH(M18,Q:Q)-1,2)),INDEX(Q$2:Y$48,MATCH(M18,Q:Q)-1,2),"没有上级")</f>
        <v>没有上级</v>
      </c>
      <c r="M21" s="33" t="str">
        <f>IF(ISNUMBER(INT(L21)),IF(OR(AND(M18&lt;152,M18&gt;82),AND(M18&lt;395,M18&gt;385)),INDEX(Q$2:Y$48,MATCH(L21,V:V,0)-1,1),IF(OR(M18=82,M18=385),"没有上级",INDEX(Q$2:Y$48,MATCH(L21,X:X,0)-1,1))),"没有上级")</f>
        <v>没有上级</v>
      </c>
      <c r="N21" s="41" t="str">
        <f>IF(ISNUMBER(INDEX(Q$2:Y$48,MATCH(M21,$Q:$Q)-1,3)),INDEX(Q$2:Y$48,MATCH(M21,$Q:$Q)-1,3),"没有上级")</f>
        <v>没有上级</v>
      </c>
      <c r="O21" s="41" t="str">
        <f>IF(ISNUMBER(N21-N18),ROUND((N21-N18)*10,0),"没有上级")</f>
        <v>没有上级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354</v>
      </c>
      <c r="M23" s="32" t="s">
        <v>353</v>
      </c>
      <c r="N23" s="32" t="s">
        <v>381</v>
      </c>
      <c r="O23" s="30" t="s">
        <v>467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 t="str">
        <f>IF(ISNUMBER(INDEX(Q$2:Y$48,MATCH(M21,Q:Q)-1,2)),INDEX(Q$2:Y$48,MATCH(M21,Q:Q)-1,2),"没有上级")</f>
        <v>没有上级</v>
      </c>
      <c r="M24" s="33" t="str">
        <f>IF(ISNUMBER(INT(L24)),IF(OR(AND(M21&lt;152,M21&gt;82),AND(M21&lt;395,M21&gt;385)),INDEX(Q$2:Y$48,MATCH(L24,V:V,0)-1,1),IF(OR(M21=82,M21=385),"没有上级",INDEX(Q$2:Y$48,MATCH(L24,X:X,0)-1,1))),"没有上级")</f>
        <v>没有上级</v>
      </c>
      <c r="N24" s="41" t="str">
        <f>IF(ISNUMBER(INDEX(Q$2:Y$48,MATCH(M24,$Q:$Q)-1,3)),INDEX(Q$2:Y$48,MATCH(M24,$Q:$Q)-1,3),"没有上级")</f>
        <v>没有上级</v>
      </c>
      <c r="O24" s="41" t="str">
        <f>IF(ISNUMBER(N24-N21),ROUND((N24-N21)*10,0),"没有上级")</f>
        <v>没有上级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352</v>
      </c>
      <c r="M26" s="32" t="s">
        <v>351</v>
      </c>
      <c r="N26" s="32" t="s">
        <v>382</v>
      </c>
      <c r="O26" s="30" t="s">
        <v>468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 t="str">
        <f>IF(ISNUMBER(INDEX(Q$2:Y$48,MATCH(M24,Q:Q)-1,2)),INDEX(Q$2:Y$48,MATCH(M24,Q:Q)-1,2),"没有上级")</f>
        <v>没有上级</v>
      </c>
      <c r="M27" s="33" t="str">
        <f>IF(ISNUMBER(INT(L27)),IF(OR(AND(M24&lt;152,M24&gt;82),AND(M24&lt;395,M24&gt;385)),INDEX(Q$2:Y$48,MATCH(L27,V:V,0)-1,1),IF(OR(M24=82,M24=385),"没有上级",INDEX(Q$2:Y$48,MATCH(L27,X:X,0)-1,1))),"没有上级")</f>
        <v>没有上级</v>
      </c>
      <c r="N27" s="41" t="str">
        <f>IF(ISNUMBER(INDEX(Q$2:Y$48,MATCH(M27,$Q:$Q)-1,3)),INDEX(Q$2:Y$48,MATCH(M27,$Q:$Q)-1,3),"没有上级")</f>
        <v>没有上级</v>
      </c>
      <c r="O27" s="41" t="str">
        <f>IF(ISNUMBER(N27-N24),ROUND((N27-N24)*10,0),"没有上级")</f>
        <v>没有上级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514</v>
      </c>
      <c r="Q28" s="41" t="s">
        <v>514</v>
      </c>
      <c r="R28" s="41" t="s">
        <v>514</v>
      </c>
      <c r="S28" s="41" t="s">
        <v>514</v>
      </c>
      <c r="T28" s="41" t="s">
        <v>514</v>
      </c>
      <c r="U28" s="41" t="s">
        <v>514</v>
      </c>
      <c r="V28" s="41" t="s">
        <v>514</v>
      </c>
      <c r="W28" s="41" t="s">
        <v>514</v>
      </c>
      <c r="X28" s="41" t="s">
        <v>514</v>
      </c>
      <c r="Y28" s="41" t="s">
        <v>514</v>
      </c>
      <c r="Z28" s="41" t="s">
        <v>514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350</v>
      </c>
      <c r="M29" s="32" t="s">
        <v>349</v>
      </c>
      <c r="N29" s="32" t="s">
        <v>383</v>
      </c>
      <c r="O29" s="30" t="s">
        <v>469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 t="str">
        <f>IF(ISNUMBER(INDEX(Q$2:Y$48,MATCH(M27,Q:Q)-1,2)),INDEX(Q$2:Y$48,MATCH(M27,Q:Q)-1,2),"没有上级")</f>
        <v>没有上级</v>
      </c>
      <c r="M30" s="33" t="str">
        <f>IF(ISNUMBER(INT(L30)),IF(OR(AND(M27&lt;152,M27&gt;82),AND(M27&lt;395,M27&gt;385)),INDEX(Q$2:Y$48,MATCH(L30,V:V,0)-1,1),IF(OR(M27=82,M27=385),"没有上级",INDEX(Q$2:Y$48,MATCH(L30,X:X,0)-1,1))),"没有上级")</f>
        <v>没有上级</v>
      </c>
      <c r="N30" s="41" t="str">
        <f>IF(ISNUMBER(INDEX(Q$2:Y$48,MATCH(M30,$Q:$Q)-1,3)),INDEX(Q$2:Y$48,MATCH(M30,$Q:$Q)-1,3),"没有上级")</f>
        <v>没有上级</v>
      </c>
      <c r="O30" s="41" t="str">
        <f>IF(ISNUMBER(N30-N27),ROUND((N30-N27)*10,0),"没有上级")</f>
        <v>没有上级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348</v>
      </c>
      <c r="M32" s="32" t="s">
        <v>347</v>
      </c>
      <c r="N32" s="32" t="s">
        <v>384</v>
      </c>
      <c r="O32" s="30" t="s">
        <v>470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 t="str">
        <f>IF(ISNUMBER(INDEX(Q$2:Y$48,MATCH(M30,Q:Q)-1,2)),INDEX(Q$2:Y$48,MATCH(M30,Q:Q)-1,2),"没有上级")</f>
        <v>没有上级</v>
      </c>
      <c r="M33" s="33" t="str">
        <f>IF(ISNUMBER(INT(L33)),IF(OR(AND(M30&lt;152,M30&gt;82),AND(M30&lt;395,M30&gt;385)),INDEX(Q$2:Y$48,MATCH(L33,V:V,0)-1,1),IF(OR(M30=82,M30=385),"没有上级",INDEX(Q$2:Y$48,MATCH(L33,X:X,0)-1,1))),"没有上级")</f>
        <v>没有上级</v>
      </c>
      <c r="N33" s="41" t="str">
        <f>IF(ISNUMBER(INDEX(Q$2:Y$48,MATCH(M33,$Q:$Q)-1,3)),INDEX(Q$2:Y$48,MATCH(M33,$Q:$Q)-1,3),"没有上级")</f>
        <v>没有上级</v>
      </c>
      <c r="O33" s="41" t="str">
        <f>IF(ISNUMBER(N33-N30),ROUND((N33-N30)*10,0),"没有上级")</f>
        <v>没有上级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497</v>
      </c>
      <c r="M35" s="42" t="s">
        <v>496</v>
      </c>
      <c r="N35" s="42" t="s">
        <v>495</v>
      </c>
      <c r="O35" s="41" t="s">
        <v>494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498</v>
      </c>
      <c r="M38" s="42" t="s">
        <v>499</v>
      </c>
      <c r="N38" s="42" t="s">
        <v>500</v>
      </c>
      <c r="O38" s="41" t="s">
        <v>501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505</v>
      </c>
      <c r="M41" s="42" t="s">
        <v>504</v>
      </c>
      <c r="N41" s="42" t="s">
        <v>503</v>
      </c>
      <c r="O41" s="41" t="s">
        <v>502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506</v>
      </c>
      <c r="M44" s="42" t="s">
        <v>508</v>
      </c>
      <c r="N44" s="42" t="s">
        <v>509</v>
      </c>
      <c r="O44" s="41" t="s">
        <v>510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507</v>
      </c>
      <c r="M47" s="42" t="s">
        <v>511</v>
      </c>
      <c r="N47" s="42" t="s">
        <v>512</v>
      </c>
      <c r="O47" s="41" t="s">
        <v>513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3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485</v>
      </c>
      <c r="P1" s="30" t="s">
        <v>9</v>
      </c>
      <c r="Q1" s="30" t="s">
        <v>486</v>
      </c>
      <c r="R1" s="30" t="s">
        <v>487</v>
      </c>
      <c r="S1" s="30" t="s">
        <v>488</v>
      </c>
      <c r="T1" s="30" t="s">
        <v>489</v>
      </c>
      <c r="U1" s="30" t="s">
        <v>490</v>
      </c>
      <c r="V1" s="30" t="s">
        <v>491</v>
      </c>
      <c r="W1" s="30" t="s">
        <v>450</v>
      </c>
      <c r="X1" s="30" t="s">
        <v>451</v>
      </c>
      <c r="Y1" s="30" t="s">
        <v>452</v>
      </c>
      <c r="Z1" s="30" t="s">
        <v>453</v>
      </c>
      <c r="AA1" s="30" t="s">
        <v>454</v>
      </c>
      <c r="AB1" s="30" t="s">
        <v>455</v>
      </c>
      <c r="AC1" s="30" t="s">
        <v>456</v>
      </c>
      <c r="AD1" s="30" t="s">
        <v>457</v>
      </c>
      <c r="AE1" s="30" t="s">
        <v>458</v>
      </c>
      <c r="AF1" s="30" t="s">
        <v>492</v>
      </c>
    </row>
    <row r="2" spans="1:33" x14ac:dyDescent="0.15">
      <c r="A2" s="63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235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483</v>
      </c>
      <c r="AE2" s="30" t="s">
        <v>483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387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483</v>
      </c>
      <c r="AE3" s="30" t="s">
        <v>483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388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483</v>
      </c>
      <c r="AE4" s="30" t="s">
        <v>483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389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483</v>
      </c>
      <c r="AE5" s="30" t="s">
        <v>483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230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483</v>
      </c>
      <c r="AE6" s="30" t="s">
        <v>483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230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483</v>
      </c>
      <c r="AE7" s="30" t="s">
        <v>483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390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483</v>
      </c>
      <c r="AE8" s="30" t="s">
        <v>483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391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483</v>
      </c>
      <c r="AE9" s="30" t="s">
        <v>483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392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483</v>
      </c>
      <c r="AE10" s="30" t="s">
        <v>483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393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483</v>
      </c>
      <c r="AE11" s="30" t="s">
        <v>483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394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483</v>
      </c>
      <c r="AE12" s="30" t="s">
        <v>483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395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483</v>
      </c>
      <c r="AE13" s="30" t="s">
        <v>483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231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483</v>
      </c>
      <c r="AE14" s="30" t="s">
        <v>483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230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483</v>
      </c>
      <c r="AE15" s="30" t="s">
        <v>483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396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483</v>
      </c>
      <c r="AE16" s="30" t="s">
        <v>483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232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483</v>
      </c>
      <c r="AE17" s="30" t="s">
        <v>483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233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483</v>
      </c>
      <c r="AE18" s="30" t="s">
        <v>483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397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483</v>
      </c>
      <c r="AE19" s="30" t="s">
        <v>483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398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483</v>
      </c>
      <c r="AE20" s="30" t="s">
        <v>483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234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483</v>
      </c>
      <c r="AE21" s="30" t="s">
        <v>483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399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483</v>
      </c>
      <c r="AE22" s="30" t="s">
        <v>483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400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483</v>
      </c>
      <c r="AE23" s="30" t="s">
        <v>483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401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483</v>
      </c>
      <c r="AE24" s="30" t="s">
        <v>483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230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483</v>
      </c>
      <c r="AE25" s="30" t="s">
        <v>483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402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483</v>
      </c>
      <c r="AE26" s="30" t="s">
        <v>483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403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483</v>
      </c>
      <c r="AE27" s="30" t="s">
        <v>483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404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483</v>
      </c>
      <c r="AE28" s="30" t="s">
        <v>483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405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483</v>
      </c>
      <c r="AE29" s="30" t="s">
        <v>483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406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483</v>
      </c>
      <c r="AE30" s="30" t="s">
        <v>483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407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483</v>
      </c>
      <c r="AE31" s="30" t="s">
        <v>483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205</v>
      </c>
      <c r="N32" s="30" t="s">
        <v>5</v>
      </c>
      <c r="O32" s="30" t="s">
        <v>408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483</v>
      </c>
      <c r="AE32" s="30" t="s">
        <v>483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205</v>
      </c>
      <c r="N33" s="30" t="s">
        <v>27</v>
      </c>
      <c r="O33" s="30" t="s">
        <v>409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483</v>
      </c>
      <c r="AE33" s="30" t="s">
        <v>483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205</v>
      </c>
      <c r="N34" s="30" t="s">
        <v>16</v>
      </c>
      <c r="O34" s="30" t="s">
        <v>410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483</v>
      </c>
      <c r="AE34" s="30" t="s">
        <v>483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205</v>
      </c>
      <c r="N35" s="30" t="s">
        <v>18</v>
      </c>
      <c r="O35" s="30" t="s">
        <v>411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483</v>
      </c>
      <c r="AE35" s="30" t="s">
        <v>483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205</v>
      </c>
      <c r="N36" s="30" t="s">
        <v>22</v>
      </c>
      <c r="O36" s="30" t="s">
        <v>412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483</v>
      </c>
      <c r="AE36" s="30" t="s">
        <v>483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205</v>
      </c>
      <c r="N37" s="30" t="s">
        <v>28</v>
      </c>
      <c r="O37" s="30" t="s">
        <v>413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483</v>
      </c>
      <c r="AE37" s="30" t="s">
        <v>483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205</v>
      </c>
      <c r="N38" s="30" t="s">
        <v>29</v>
      </c>
      <c r="O38" s="30" t="s">
        <v>414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483</v>
      </c>
      <c r="AE38" s="30" t="s">
        <v>483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205</v>
      </c>
      <c r="N39" s="30" t="s">
        <v>30</v>
      </c>
      <c r="O39" s="30" t="s">
        <v>415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483</v>
      </c>
      <c r="AE39" s="30" t="s">
        <v>483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205</v>
      </c>
      <c r="N40" s="30" t="s">
        <v>23</v>
      </c>
      <c r="O40" s="30" t="s">
        <v>416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483</v>
      </c>
      <c r="AE40" s="30" t="s">
        <v>483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205</v>
      </c>
      <c r="N41" s="30" t="s">
        <v>31</v>
      </c>
      <c r="O41" s="30" t="s">
        <v>415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483</v>
      </c>
      <c r="AE41" s="30" t="s">
        <v>483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205</v>
      </c>
      <c r="N42" s="30" t="s">
        <v>32</v>
      </c>
      <c r="O42" s="30" t="s">
        <v>417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483</v>
      </c>
      <c r="AE42" s="30" t="s">
        <v>483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205</v>
      </c>
      <c r="N43" s="30" t="s">
        <v>34</v>
      </c>
      <c r="O43" s="30" t="s">
        <v>206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483</v>
      </c>
      <c r="AE43" s="30" t="s">
        <v>483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205</v>
      </c>
      <c r="N44" s="30" t="s">
        <v>35</v>
      </c>
      <c r="O44" s="30" t="s">
        <v>418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483</v>
      </c>
      <c r="AE44" s="30" t="s">
        <v>483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207</v>
      </c>
      <c r="N45" s="30" t="s">
        <v>5</v>
      </c>
      <c r="O45" s="30" t="s">
        <v>419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483</v>
      </c>
      <c r="AE45" s="30" t="s">
        <v>483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207</v>
      </c>
      <c r="N46" s="30" t="s">
        <v>27</v>
      </c>
      <c r="O46" s="30" t="s">
        <v>420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483</v>
      </c>
      <c r="AE46" s="30" t="s">
        <v>483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207</v>
      </c>
      <c r="N47" s="30" t="s">
        <v>16</v>
      </c>
      <c r="O47" s="30" t="s">
        <v>421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483</v>
      </c>
      <c r="AE47" s="30" t="s">
        <v>483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207</v>
      </c>
      <c r="N48" s="30" t="s">
        <v>18</v>
      </c>
      <c r="O48" s="30" t="s">
        <v>422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483</v>
      </c>
      <c r="AE48" s="30" t="s">
        <v>483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207</v>
      </c>
      <c r="N49" s="30" t="s">
        <v>22</v>
      </c>
      <c r="O49" s="30" t="s">
        <v>423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483</v>
      </c>
      <c r="AE49" s="30" t="s">
        <v>483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207</v>
      </c>
      <c r="N50" s="30" t="s">
        <v>28</v>
      </c>
      <c r="O50" s="30" t="s">
        <v>424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483</v>
      </c>
      <c r="AE50" s="30" t="s">
        <v>483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207</v>
      </c>
      <c r="N51" s="30" t="s">
        <v>29</v>
      </c>
      <c r="O51" s="30" t="s">
        <v>424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483</v>
      </c>
      <c r="AE51" s="30" t="s">
        <v>483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207</v>
      </c>
      <c r="N52" s="30" t="s">
        <v>30</v>
      </c>
      <c r="O52" s="30" t="s">
        <v>425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483</v>
      </c>
      <c r="AE52" s="30" t="s">
        <v>483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207</v>
      </c>
      <c r="N53" s="30" t="s">
        <v>23</v>
      </c>
      <c r="O53" s="30" t="s">
        <v>403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483</v>
      </c>
      <c r="AE53" s="30" t="s">
        <v>483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207</v>
      </c>
      <c r="N54" s="30" t="s">
        <v>31</v>
      </c>
      <c r="O54" s="30" t="s">
        <v>426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483</v>
      </c>
      <c r="AE54" s="30" t="s">
        <v>483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207</v>
      </c>
      <c r="N55" s="30" t="s">
        <v>32</v>
      </c>
      <c r="O55" s="30" t="s">
        <v>427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483</v>
      </c>
      <c r="AE55" s="30" t="s">
        <v>483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207</v>
      </c>
      <c r="N56" s="30" t="s">
        <v>34</v>
      </c>
      <c r="O56" s="30" t="s">
        <v>428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483</v>
      </c>
      <c r="AE56" s="30" t="s">
        <v>483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207</v>
      </c>
      <c r="N57" s="30" t="s">
        <v>35</v>
      </c>
      <c r="O57" s="30" t="s">
        <v>429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483</v>
      </c>
      <c r="AE57" s="30" t="s">
        <v>483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208</v>
      </c>
      <c r="N58" s="30" t="s">
        <v>5</v>
      </c>
      <c r="O58" s="30" t="s">
        <v>430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483</v>
      </c>
      <c r="AE58" s="30" t="s">
        <v>483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208</v>
      </c>
      <c r="N59" s="30" t="s">
        <v>27</v>
      </c>
      <c r="O59" s="30" t="s">
        <v>431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483</v>
      </c>
      <c r="AE59" s="30" t="s">
        <v>483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208</v>
      </c>
      <c r="N60" s="30" t="s">
        <v>209</v>
      </c>
      <c r="O60" s="30" t="s">
        <v>214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483</v>
      </c>
      <c r="AE60" s="30" t="s">
        <v>483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208</v>
      </c>
      <c r="N61" s="30" t="s">
        <v>210</v>
      </c>
      <c r="O61" s="30" t="s">
        <v>432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483</v>
      </c>
      <c r="AE61" s="30" t="s">
        <v>483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208</v>
      </c>
      <c r="N62" s="30" t="s">
        <v>211</v>
      </c>
      <c r="O62" s="30" t="s">
        <v>433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483</v>
      </c>
      <c r="AE62" s="30" t="s">
        <v>483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208</v>
      </c>
      <c r="N63" s="30" t="s">
        <v>212</v>
      </c>
      <c r="O63" s="30" t="s">
        <v>434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483</v>
      </c>
      <c r="AE63" s="30" t="s">
        <v>483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208</v>
      </c>
      <c r="N64" s="30" t="s">
        <v>34</v>
      </c>
      <c r="O64" s="30" t="s">
        <v>435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483</v>
      </c>
      <c r="AE64" s="30" t="s">
        <v>483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208</v>
      </c>
      <c r="N65" s="30" t="s">
        <v>35</v>
      </c>
      <c r="O65" s="30" t="s">
        <v>436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483</v>
      </c>
      <c r="AE65" s="30" t="s">
        <v>483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213</v>
      </c>
      <c r="N66" s="30" t="s">
        <v>5</v>
      </c>
      <c r="O66" s="30" t="s">
        <v>437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483</v>
      </c>
      <c r="AE66" s="30" t="s">
        <v>483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213</v>
      </c>
      <c r="N67" s="30" t="s">
        <v>27</v>
      </c>
      <c r="O67" s="30" t="s">
        <v>438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483</v>
      </c>
      <c r="AE67" s="30" t="s">
        <v>483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213</v>
      </c>
      <c r="N68" s="30" t="s">
        <v>215</v>
      </c>
      <c r="O68" s="30" t="s">
        <v>439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483</v>
      </c>
      <c r="AE68" s="30" t="s">
        <v>483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213</v>
      </c>
      <c r="N69" s="30" t="s">
        <v>216</v>
      </c>
      <c r="O69" s="30" t="s">
        <v>440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483</v>
      </c>
      <c r="AE69" s="30" t="s">
        <v>483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213</v>
      </c>
      <c r="N70" s="30" t="s">
        <v>217</v>
      </c>
      <c r="O70" s="30" t="s">
        <v>441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483</v>
      </c>
      <c r="AE70" s="30" t="s">
        <v>483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213</v>
      </c>
      <c r="N71" s="30" t="s">
        <v>218</v>
      </c>
      <c r="O71" s="30" t="s">
        <v>442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483</v>
      </c>
      <c r="AE71" s="30" t="s">
        <v>483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213</v>
      </c>
      <c r="N72" s="30" t="s">
        <v>219</v>
      </c>
      <c r="O72" s="30" t="s">
        <v>443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483</v>
      </c>
      <c r="AE72" s="30" t="s">
        <v>483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213</v>
      </c>
      <c r="N73" s="30" t="s">
        <v>220</v>
      </c>
      <c r="O73" s="30" t="s">
        <v>444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483</v>
      </c>
      <c r="AE73" s="30" t="s">
        <v>483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213</v>
      </c>
      <c r="N74" s="30" t="s">
        <v>34</v>
      </c>
      <c r="O74" s="30" t="s">
        <v>237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483</v>
      </c>
      <c r="AE74" s="30" t="s">
        <v>483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213</v>
      </c>
      <c r="N75" s="30" t="s">
        <v>35</v>
      </c>
      <c r="O75" s="30" t="s">
        <v>237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483</v>
      </c>
      <c r="AE75" s="30" t="s">
        <v>483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213</v>
      </c>
      <c r="N76" s="30" t="s">
        <v>221</v>
      </c>
      <c r="O76" s="30" t="s">
        <v>445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483</v>
      </c>
      <c r="AE76" s="30" t="s">
        <v>483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213</v>
      </c>
      <c r="N77" s="30" t="s">
        <v>222</v>
      </c>
      <c r="O77" s="30" t="s">
        <v>204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483</v>
      </c>
      <c r="AE77" s="30" t="s">
        <v>483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213</v>
      </c>
      <c r="N78" s="30" t="s">
        <v>223</v>
      </c>
      <c r="O78" s="30" t="s">
        <v>446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483</v>
      </c>
      <c r="AE78" s="30" t="s">
        <v>483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213</v>
      </c>
      <c r="N79" s="30" t="s">
        <v>224</v>
      </c>
      <c r="O79" s="30" t="s">
        <v>447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483</v>
      </c>
      <c r="AE79" s="30" t="s">
        <v>483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213</v>
      </c>
      <c r="N80" s="30" t="s">
        <v>225</v>
      </c>
      <c r="O80" s="30" t="s">
        <v>204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483</v>
      </c>
      <c r="AE80" s="30" t="s">
        <v>483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226</v>
      </c>
      <c r="N81" s="30" t="s">
        <v>12</v>
      </c>
      <c r="O81" s="30" t="s">
        <v>238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483</v>
      </c>
      <c r="AE81" s="30" t="s">
        <v>483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226</v>
      </c>
      <c r="N82" s="30" t="s">
        <v>25</v>
      </c>
      <c r="O82" s="30" t="s">
        <v>238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483</v>
      </c>
      <c r="AE82" s="30" t="s">
        <v>483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226</v>
      </c>
      <c r="N83" s="30" t="s">
        <v>26</v>
      </c>
      <c r="O83" s="30" t="s">
        <v>239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483</v>
      </c>
      <c r="AE83" s="30" t="s">
        <v>483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226</v>
      </c>
      <c r="N84" s="30" t="s">
        <v>207</v>
      </c>
      <c r="O84" s="30" t="s">
        <v>239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483</v>
      </c>
      <c r="AE84" s="30" t="s">
        <v>483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227</v>
      </c>
      <c r="N85" s="30" t="s">
        <v>227</v>
      </c>
      <c r="O85" s="30" t="s">
        <v>240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483</v>
      </c>
      <c r="AE85" s="30" t="s">
        <v>483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228</v>
      </c>
      <c r="N86" s="30" t="s">
        <v>228</v>
      </c>
      <c r="O86" s="30" t="s">
        <v>241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483</v>
      </c>
      <c r="AE86" s="30" t="s">
        <v>483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229</v>
      </c>
      <c r="N87" s="30" t="s">
        <v>229</v>
      </c>
      <c r="O87" s="30" t="s">
        <v>204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483</v>
      </c>
      <c r="AE87" s="30" t="s">
        <v>483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opLeftCell="A28" workbookViewId="0">
      <selection activeCell="B34" sqref="B34"/>
    </sheetView>
  </sheetViews>
  <sheetFormatPr defaultRowHeight="13.5" x14ac:dyDescent="0.15"/>
  <cols>
    <col min="1" max="1" width="14.75" style="50" customWidth="1"/>
    <col min="2" max="2" width="17.25" style="52" customWidth="1"/>
    <col min="3" max="3" width="17.25" style="50" bestFit="1" customWidth="1"/>
    <col min="4" max="4" width="13.625" style="50" bestFit="1" customWidth="1"/>
    <col min="5" max="5" width="11.375" style="50" customWidth="1"/>
    <col min="6" max="6" width="16" style="50" customWidth="1"/>
    <col min="7" max="7" width="18.5" style="50" customWidth="1"/>
    <col min="8" max="9" width="13.625" style="50" customWidth="1"/>
    <col min="10" max="10" width="15.125" style="50" customWidth="1"/>
    <col min="11" max="11" width="97.125" style="50" bestFit="1" customWidth="1"/>
    <col min="12" max="12" width="14.75" style="50" bestFit="1" customWidth="1"/>
    <col min="13" max="13" width="17.25" style="50" bestFit="1" customWidth="1"/>
    <col min="14" max="14" width="13.625" style="50" bestFit="1" customWidth="1"/>
    <col min="15" max="15" width="12.5" style="50" bestFit="1" customWidth="1"/>
    <col min="16" max="16" width="11.375" style="50" bestFit="1" customWidth="1"/>
    <col min="17" max="17" width="16" style="50" bestFit="1" customWidth="1"/>
    <col min="18" max="18" width="18.5" style="50" bestFit="1" customWidth="1"/>
    <col min="19" max="19" width="13.625" style="50" bestFit="1" customWidth="1"/>
    <col min="20" max="16384" width="9" style="50"/>
  </cols>
  <sheetData>
    <row r="1" spans="1:11" x14ac:dyDescent="0.15">
      <c r="A1" s="50" t="s">
        <v>532</v>
      </c>
      <c r="B1" s="50" t="s">
        <v>533</v>
      </c>
      <c r="C1" s="50" t="s">
        <v>534</v>
      </c>
      <c r="D1" s="50" t="s">
        <v>528</v>
      </c>
      <c r="E1" s="50" t="s">
        <v>529</v>
      </c>
      <c r="F1" s="50" t="s">
        <v>530</v>
      </c>
      <c r="G1" s="50" t="s">
        <v>531</v>
      </c>
      <c r="H1" s="51" t="s">
        <v>536</v>
      </c>
      <c r="I1" s="50" t="s">
        <v>535</v>
      </c>
    </row>
    <row r="2" spans="1:11" x14ac:dyDescent="0.15">
      <c r="A2" s="53" t="s">
        <v>4</v>
      </c>
      <c r="B2" s="53" t="s">
        <v>5</v>
      </c>
      <c r="C2" s="53" t="s">
        <v>235</v>
      </c>
      <c r="D2" s="53">
        <v>2</v>
      </c>
      <c r="E2" s="53">
        <v>1</v>
      </c>
      <c r="F2" s="53">
        <v>52</v>
      </c>
      <c r="G2" s="53">
        <v>89610</v>
      </c>
      <c r="H2" s="53">
        <v>0</v>
      </c>
      <c r="I2" s="53">
        <v>999948</v>
      </c>
      <c r="J2" s="51"/>
      <c r="K2" s="51"/>
    </row>
    <row r="3" spans="1:11" x14ac:dyDescent="0.15">
      <c r="A3" s="53" t="s">
        <v>12</v>
      </c>
      <c r="B3" s="53" t="s">
        <v>13</v>
      </c>
      <c r="C3" s="53" t="s">
        <v>387</v>
      </c>
      <c r="D3" s="53">
        <v>3</v>
      </c>
      <c r="E3" s="53">
        <v>1</v>
      </c>
      <c r="F3" s="53">
        <v>120</v>
      </c>
      <c r="G3" s="53">
        <v>89610</v>
      </c>
      <c r="H3" s="53">
        <v>0</v>
      </c>
      <c r="I3" s="53">
        <v>999828</v>
      </c>
      <c r="J3" s="51"/>
      <c r="K3" s="51"/>
    </row>
    <row r="4" spans="1:11" x14ac:dyDescent="0.15">
      <c r="A4" s="53" t="s">
        <v>12</v>
      </c>
      <c r="B4" s="53" t="s">
        <v>14</v>
      </c>
      <c r="C4" s="53" t="s">
        <v>516</v>
      </c>
      <c r="D4" s="53">
        <v>4</v>
      </c>
      <c r="E4" s="53">
        <v>1</v>
      </c>
      <c r="F4" s="53">
        <v>32</v>
      </c>
      <c r="G4" s="53">
        <v>89610</v>
      </c>
      <c r="H4" s="53">
        <v>0</v>
      </c>
      <c r="I4" s="53">
        <v>999796</v>
      </c>
      <c r="J4" s="51"/>
      <c r="K4" s="51"/>
    </row>
    <row r="5" spans="1:11" x14ac:dyDescent="0.15">
      <c r="A5" s="53" t="s">
        <v>12</v>
      </c>
      <c r="B5" s="53" t="s">
        <v>16</v>
      </c>
      <c r="C5" s="53" t="s">
        <v>527</v>
      </c>
      <c r="D5" s="53">
        <v>2</v>
      </c>
      <c r="E5" s="53">
        <v>1</v>
      </c>
      <c r="F5" s="53">
        <v>148</v>
      </c>
      <c r="G5" s="53">
        <v>89610</v>
      </c>
      <c r="H5" s="53">
        <v>0</v>
      </c>
      <c r="I5" s="53">
        <v>999648</v>
      </c>
      <c r="J5" s="51"/>
    </row>
    <row r="6" spans="1:11" x14ac:dyDescent="0.15">
      <c r="A6" s="53" t="s">
        <v>12</v>
      </c>
      <c r="B6" s="53" t="s">
        <v>18</v>
      </c>
      <c r="C6" s="53" t="s">
        <v>230</v>
      </c>
      <c r="D6" s="53">
        <v>1</v>
      </c>
      <c r="E6" s="53">
        <v>1</v>
      </c>
      <c r="F6" s="53">
        <v>112</v>
      </c>
      <c r="G6" s="53">
        <v>89610</v>
      </c>
      <c r="H6" s="53">
        <v>193</v>
      </c>
      <c r="I6" s="53">
        <v>999729</v>
      </c>
      <c r="J6" s="51"/>
    </row>
    <row r="7" spans="1:11" x14ac:dyDescent="0.15">
      <c r="A7" s="53" t="s">
        <v>12</v>
      </c>
      <c r="B7" s="53" t="s">
        <v>20</v>
      </c>
      <c r="C7" s="53" t="s">
        <v>230</v>
      </c>
      <c r="D7" s="53">
        <v>5</v>
      </c>
      <c r="E7" s="53">
        <v>1</v>
      </c>
      <c r="F7" s="53">
        <v>150</v>
      </c>
      <c r="G7" s="53">
        <v>89610</v>
      </c>
      <c r="H7" s="53">
        <v>482.5</v>
      </c>
      <c r="I7" s="53">
        <v>1000061.5</v>
      </c>
      <c r="J7" s="51"/>
    </row>
    <row r="8" spans="1:11" x14ac:dyDescent="0.15">
      <c r="A8" s="53" t="s">
        <v>12</v>
      </c>
      <c r="B8" s="53" t="s">
        <v>21</v>
      </c>
      <c r="C8" s="53" t="s">
        <v>517</v>
      </c>
      <c r="D8" s="53">
        <v>2</v>
      </c>
      <c r="E8" s="53">
        <v>1</v>
      </c>
      <c r="F8" s="53">
        <v>16</v>
      </c>
      <c r="G8" s="53">
        <v>89610</v>
      </c>
      <c r="H8" s="53">
        <v>0</v>
      </c>
      <c r="I8" s="53">
        <v>1000045.5</v>
      </c>
      <c r="J8" s="51"/>
    </row>
    <row r="9" spans="1:11" x14ac:dyDescent="0.15">
      <c r="A9" s="53" t="s">
        <v>12</v>
      </c>
      <c r="B9" s="53" t="s">
        <v>22</v>
      </c>
      <c r="C9" s="53" t="s">
        <v>391</v>
      </c>
      <c r="D9" s="53">
        <v>3</v>
      </c>
      <c r="E9" s="53">
        <v>1</v>
      </c>
      <c r="F9" s="53">
        <v>102</v>
      </c>
      <c r="G9" s="53">
        <v>89610</v>
      </c>
      <c r="H9" s="53">
        <v>0</v>
      </c>
      <c r="I9" s="53">
        <v>999943.5</v>
      </c>
      <c r="J9" s="51"/>
    </row>
    <row r="10" spans="1:11" x14ac:dyDescent="0.15">
      <c r="A10" s="53" t="s">
        <v>12</v>
      </c>
      <c r="B10" s="53" t="s">
        <v>23</v>
      </c>
      <c r="C10" s="53" t="s">
        <v>392</v>
      </c>
      <c r="D10" s="53">
        <v>4</v>
      </c>
      <c r="E10" s="53">
        <v>1</v>
      </c>
      <c r="F10" s="53">
        <v>72</v>
      </c>
      <c r="G10" s="53">
        <v>89610</v>
      </c>
      <c r="H10" s="53">
        <v>0</v>
      </c>
      <c r="I10" s="53">
        <v>999871.5</v>
      </c>
      <c r="J10" s="51"/>
    </row>
    <row r="11" spans="1:11" x14ac:dyDescent="0.15">
      <c r="A11" s="53" t="s">
        <v>25</v>
      </c>
      <c r="B11" s="53" t="s">
        <v>13</v>
      </c>
      <c r="C11" s="53" t="s">
        <v>393</v>
      </c>
      <c r="D11" s="53">
        <v>5</v>
      </c>
      <c r="E11" s="53">
        <v>1</v>
      </c>
      <c r="F11" s="53">
        <v>160</v>
      </c>
      <c r="G11" s="53">
        <v>89610</v>
      </c>
      <c r="H11" s="53">
        <v>0</v>
      </c>
      <c r="I11" s="53">
        <v>999711.5</v>
      </c>
      <c r="J11" s="51"/>
    </row>
    <row r="12" spans="1:11" x14ac:dyDescent="0.15">
      <c r="A12" s="53" t="s">
        <v>25</v>
      </c>
      <c r="B12" s="53" t="s">
        <v>14</v>
      </c>
      <c r="C12" s="53" t="s">
        <v>518</v>
      </c>
      <c r="D12" s="53">
        <v>2</v>
      </c>
      <c r="E12" s="53">
        <v>1</v>
      </c>
      <c r="F12" s="53">
        <v>16</v>
      </c>
      <c r="G12" s="53">
        <v>89610</v>
      </c>
      <c r="H12" s="53">
        <v>0</v>
      </c>
      <c r="I12" s="53">
        <v>999695.5</v>
      </c>
      <c r="J12" s="51"/>
    </row>
    <row r="13" spans="1:11" x14ac:dyDescent="0.15">
      <c r="A13" s="53" t="s">
        <v>25</v>
      </c>
      <c r="B13" s="53" t="s">
        <v>16</v>
      </c>
      <c r="C13" s="53" t="s">
        <v>395</v>
      </c>
      <c r="D13" s="53">
        <v>1</v>
      </c>
      <c r="E13" s="53">
        <v>1</v>
      </c>
      <c r="F13" s="53">
        <v>94</v>
      </c>
      <c r="G13" s="53">
        <v>89610</v>
      </c>
      <c r="H13" s="53">
        <v>193</v>
      </c>
      <c r="I13" s="53">
        <v>999794.5</v>
      </c>
      <c r="J13" s="51"/>
    </row>
    <row r="14" spans="1:11" x14ac:dyDescent="0.15">
      <c r="A14" s="53" t="s">
        <v>25</v>
      </c>
      <c r="B14" s="53" t="s">
        <v>18</v>
      </c>
      <c r="C14" s="53" t="s">
        <v>231</v>
      </c>
      <c r="D14" s="53">
        <v>3</v>
      </c>
      <c r="E14" s="53">
        <v>1</v>
      </c>
      <c r="F14" s="53">
        <v>396</v>
      </c>
      <c r="G14" s="53">
        <v>89610</v>
      </c>
      <c r="H14" s="53">
        <v>0</v>
      </c>
      <c r="I14" s="53">
        <v>999398.5</v>
      </c>
      <c r="J14" s="51"/>
    </row>
    <row r="15" spans="1:11" x14ac:dyDescent="0.15">
      <c r="A15" s="53" t="s">
        <v>25</v>
      </c>
      <c r="B15" s="53" t="s">
        <v>20</v>
      </c>
      <c r="C15" s="53" t="s">
        <v>230</v>
      </c>
      <c r="D15" s="53">
        <v>2</v>
      </c>
      <c r="E15" s="53">
        <v>1</v>
      </c>
      <c r="F15" s="53">
        <v>60</v>
      </c>
      <c r="G15" s="53">
        <v>89610</v>
      </c>
      <c r="H15" s="53">
        <v>193</v>
      </c>
      <c r="I15" s="53">
        <v>999531.5</v>
      </c>
      <c r="J15" s="51"/>
    </row>
    <row r="16" spans="1:11" x14ac:dyDescent="0.15">
      <c r="A16" s="53" t="s">
        <v>25</v>
      </c>
      <c r="B16" s="53" t="s">
        <v>21</v>
      </c>
      <c r="C16" s="53" t="s">
        <v>519</v>
      </c>
      <c r="D16" s="53">
        <v>4</v>
      </c>
      <c r="E16" s="53">
        <v>1</v>
      </c>
      <c r="F16" s="53">
        <v>40</v>
      </c>
      <c r="G16" s="53">
        <v>89610</v>
      </c>
      <c r="H16" s="53">
        <v>0</v>
      </c>
      <c r="I16" s="53">
        <v>999491.5</v>
      </c>
      <c r="J16" s="51"/>
    </row>
    <row r="17" spans="1:11" x14ac:dyDescent="0.15">
      <c r="A17" s="53" t="s">
        <v>25</v>
      </c>
      <c r="B17" s="53" t="s">
        <v>22</v>
      </c>
      <c r="C17" s="53" t="s">
        <v>232</v>
      </c>
      <c r="D17" s="53">
        <v>5</v>
      </c>
      <c r="E17" s="53">
        <v>1</v>
      </c>
      <c r="F17" s="53">
        <v>180</v>
      </c>
      <c r="G17" s="53">
        <v>89610</v>
      </c>
      <c r="H17" s="53">
        <v>482.5</v>
      </c>
      <c r="I17" s="53">
        <v>999794</v>
      </c>
      <c r="J17" s="51"/>
    </row>
    <row r="18" spans="1:11" x14ac:dyDescent="0.15">
      <c r="A18" s="53" t="s">
        <v>25</v>
      </c>
      <c r="B18" s="53" t="s">
        <v>23</v>
      </c>
      <c r="C18" s="53" t="s">
        <v>403</v>
      </c>
      <c r="D18" s="53">
        <v>3</v>
      </c>
      <c r="E18" s="53">
        <v>1</v>
      </c>
      <c r="F18" s="53">
        <v>54</v>
      </c>
      <c r="G18" s="53">
        <v>89610</v>
      </c>
      <c r="H18" s="53">
        <v>0</v>
      </c>
      <c r="I18" s="53">
        <v>999740</v>
      </c>
      <c r="J18" s="51"/>
    </row>
    <row r="19" spans="1:11" x14ac:dyDescent="0.15">
      <c r="A19" s="53" t="s">
        <v>26</v>
      </c>
      <c r="B19" s="53" t="s">
        <v>5</v>
      </c>
      <c r="C19" s="53" t="s">
        <v>397</v>
      </c>
      <c r="D19" s="53">
        <v>3</v>
      </c>
      <c r="E19" s="53">
        <v>1</v>
      </c>
      <c r="F19" s="53">
        <v>1080</v>
      </c>
      <c r="G19" s="53">
        <v>89610</v>
      </c>
      <c r="H19" s="53">
        <v>0</v>
      </c>
      <c r="I19" s="53">
        <v>998660</v>
      </c>
      <c r="J19" s="51"/>
      <c r="K19" s="51"/>
    </row>
    <row r="20" spans="1:11" x14ac:dyDescent="0.15">
      <c r="A20" s="53" t="s">
        <v>26</v>
      </c>
      <c r="B20" s="53" t="s">
        <v>27</v>
      </c>
      <c r="C20" s="53" t="s">
        <v>520</v>
      </c>
      <c r="D20" s="53">
        <v>1</v>
      </c>
      <c r="E20" s="53">
        <v>1</v>
      </c>
      <c r="F20" s="53">
        <v>10</v>
      </c>
      <c r="G20" s="53">
        <v>89610</v>
      </c>
      <c r="H20" s="53">
        <v>0</v>
      </c>
      <c r="I20" s="53">
        <v>998650</v>
      </c>
      <c r="J20" s="51"/>
    </row>
    <row r="21" spans="1:11" x14ac:dyDescent="0.15">
      <c r="A21" s="53" t="s">
        <v>26</v>
      </c>
      <c r="B21" s="53" t="s">
        <v>16</v>
      </c>
      <c r="C21" s="53" t="s">
        <v>234</v>
      </c>
      <c r="D21" s="53">
        <v>1</v>
      </c>
      <c r="E21" s="53">
        <v>1</v>
      </c>
      <c r="F21" s="53">
        <v>762</v>
      </c>
      <c r="G21" s="53">
        <v>89610</v>
      </c>
      <c r="H21" s="53">
        <v>0</v>
      </c>
      <c r="I21" s="53">
        <v>997888</v>
      </c>
      <c r="J21" s="51"/>
    </row>
    <row r="22" spans="1:11" x14ac:dyDescent="0.15">
      <c r="A22" s="53" t="s">
        <v>26</v>
      </c>
      <c r="B22" s="53" t="s">
        <v>18</v>
      </c>
      <c r="C22" s="53" t="s">
        <v>399</v>
      </c>
      <c r="D22" s="53">
        <v>1</v>
      </c>
      <c r="E22" s="53">
        <v>1</v>
      </c>
      <c r="F22" s="53">
        <v>1508</v>
      </c>
      <c r="G22" s="53">
        <v>89610</v>
      </c>
      <c r="H22" s="53">
        <v>1930</v>
      </c>
      <c r="I22" s="53">
        <v>998310</v>
      </c>
      <c r="J22" s="51"/>
    </row>
    <row r="23" spans="1:11" x14ac:dyDescent="0.15">
      <c r="A23" s="53" t="s">
        <v>26</v>
      </c>
      <c r="B23" s="53" t="s">
        <v>22</v>
      </c>
      <c r="C23" s="53" t="s">
        <v>400</v>
      </c>
      <c r="D23" s="53">
        <v>5</v>
      </c>
      <c r="E23" s="53">
        <v>1</v>
      </c>
      <c r="F23" s="53">
        <v>590</v>
      </c>
      <c r="G23" s="53">
        <v>89610</v>
      </c>
      <c r="H23" s="53">
        <v>0</v>
      </c>
      <c r="I23" s="53">
        <v>997720</v>
      </c>
      <c r="J23" s="51"/>
    </row>
    <row r="24" spans="1:11" x14ac:dyDescent="0.15">
      <c r="A24" s="53" t="s">
        <v>26</v>
      </c>
      <c r="B24" s="53" t="s">
        <v>28</v>
      </c>
      <c r="C24" s="53" t="s">
        <v>401</v>
      </c>
      <c r="D24" s="53">
        <v>4</v>
      </c>
      <c r="E24" s="53">
        <v>1</v>
      </c>
      <c r="F24" s="53">
        <v>448</v>
      </c>
      <c r="G24" s="53">
        <v>89610</v>
      </c>
      <c r="H24" s="53">
        <v>0</v>
      </c>
      <c r="I24" s="53">
        <v>997272</v>
      </c>
      <c r="J24" s="51"/>
    </row>
    <row r="25" spans="1:11" x14ac:dyDescent="0.15">
      <c r="A25" s="53" t="s">
        <v>26</v>
      </c>
      <c r="B25" s="53" t="s">
        <v>29</v>
      </c>
      <c r="C25" s="53" t="s">
        <v>230</v>
      </c>
      <c r="D25" s="53">
        <v>2</v>
      </c>
      <c r="E25" s="53">
        <v>1</v>
      </c>
      <c r="F25" s="53">
        <v>80</v>
      </c>
      <c r="G25" s="53">
        <v>89610</v>
      </c>
      <c r="H25" s="53">
        <v>0</v>
      </c>
      <c r="I25" s="53">
        <v>997192</v>
      </c>
      <c r="J25" s="51"/>
    </row>
    <row r="26" spans="1:11" x14ac:dyDescent="0.15">
      <c r="A26" s="53" t="s">
        <v>26</v>
      </c>
      <c r="B26" s="53" t="s">
        <v>30</v>
      </c>
      <c r="C26" s="53" t="s">
        <v>521</v>
      </c>
      <c r="D26" s="53">
        <v>3</v>
      </c>
      <c r="E26" s="53">
        <v>1</v>
      </c>
      <c r="F26" s="53">
        <v>30</v>
      </c>
      <c r="G26" s="53">
        <v>89610</v>
      </c>
      <c r="H26" s="53">
        <v>0</v>
      </c>
      <c r="I26" s="53">
        <v>997162</v>
      </c>
      <c r="J26" s="51"/>
    </row>
    <row r="27" spans="1:11" x14ac:dyDescent="0.15">
      <c r="A27" s="53" t="s">
        <v>26</v>
      </c>
      <c r="B27" s="53" t="s">
        <v>23</v>
      </c>
      <c r="C27" s="53" t="s">
        <v>403</v>
      </c>
      <c r="D27" s="53">
        <v>4</v>
      </c>
      <c r="E27" s="53">
        <v>1</v>
      </c>
      <c r="F27" s="53">
        <v>432</v>
      </c>
      <c r="G27" s="53">
        <v>89610</v>
      </c>
      <c r="H27" s="53">
        <v>1286.58</v>
      </c>
      <c r="I27" s="53">
        <v>998016.58</v>
      </c>
      <c r="J27" s="51"/>
    </row>
    <row r="28" spans="1:11" x14ac:dyDescent="0.15">
      <c r="A28" s="53" t="s">
        <v>26</v>
      </c>
      <c r="B28" s="53" t="s">
        <v>31</v>
      </c>
      <c r="C28" s="53" t="s">
        <v>404</v>
      </c>
      <c r="D28" s="53">
        <v>3</v>
      </c>
      <c r="E28" s="53">
        <v>1</v>
      </c>
      <c r="F28" s="53">
        <v>6</v>
      </c>
      <c r="G28" s="53">
        <v>89610</v>
      </c>
      <c r="H28" s="53">
        <v>0</v>
      </c>
      <c r="I28" s="53">
        <v>998010.58</v>
      </c>
      <c r="J28" s="51"/>
    </row>
    <row r="29" spans="1:11" x14ac:dyDescent="0.15">
      <c r="A29" s="53" t="s">
        <v>26</v>
      </c>
      <c r="B29" s="53" t="s">
        <v>32</v>
      </c>
      <c r="C29" s="53" t="s">
        <v>405</v>
      </c>
      <c r="D29" s="53">
        <v>2</v>
      </c>
      <c r="E29" s="53">
        <v>1</v>
      </c>
      <c r="F29" s="53">
        <v>4</v>
      </c>
      <c r="G29" s="53">
        <v>89610</v>
      </c>
      <c r="H29" s="53">
        <v>0</v>
      </c>
      <c r="I29" s="53">
        <v>998006.58</v>
      </c>
      <c r="J29" s="51"/>
    </row>
    <row r="30" spans="1:11" x14ac:dyDescent="0.15">
      <c r="A30" s="53" t="s">
        <v>26</v>
      </c>
      <c r="B30" s="53" t="s">
        <v>34</v>
      </c>
      <c r="C30" s="53" t="s">
        <v>406</v>
      </c>
      <c r="D30" s="53">
        <v>1</v>
      </c>
      <c r="E30" s="53">
        <v>1</v>
      </c>
      <c r="F30" s="53">
        <v>14</v>
      </c>
      <c r="G30" s="53">
        <v>89610</v>
      </c>
      <c r="H30" s="53">
        <v>14.19</v>
      </c>
      <c r="I30" s="53">
        <v>998006.7699999999</v>
      </c>
      <c r="J30" s="51"/>
    </row>
    <row r="31" spans="1:11" x14ac:dyDescent="0.15">
      <c r="A31" s="53" t="s">
        <v>26</v>
      </c>
      <c r="B31" s="53" t="s">
        <v>35</v>
      </c>
      <c r="C31" s="53" t="s">
        <v>407</v>
      </c>
      <c r="D31" s="53">
        <v>4</v>
      </c>
      <c r="E31" s="53">
        <v>1</v>
      </c>
      <c r="F31" s="53">
        <v>168</v>
      </c>
      <c r="G31" s="53">
        <v>89610</v>
      </c>
      <c r="H31" s="53">
        <v>142.94</v>
      </c>
      <c r="I31" s="53">
        <v>997981.70999999985</v>
      </c>
      <c r="J31" s="51"/>
    </row>
    <row r="32" spans="1:11" x14ac:dyDescent="0.15">
      <c r="A32" s="53" t="s">
        <v>205</v>
      </c>
      <c r="B32" s="53" t="s">
        <v>5</v>
      </c>
      <c r="C32" s="53" t="s">
        <v>408</v>
      </c>
      <c r="D32" s="53">
        <v>5</v>
      </c>
      <c r="E32" s="53">
        <v>1</v>
      </c>
      <c r="F32" s="53">
        <v>2160</v>
      </c>
      <c r="G32" s="53">
        <v>89610</v>
      </c>
      <c r="H32" s="53">
        <v>0</v>
      </c>
      <c r="I32" s="53">
        <v>995821.70999999985</v>
      </c>
      <c r="J32" s="51"/>
      <c r="K32" s="51"/>
    </row>
    <row r="33" spans="1:10" x14ac:dyDescent="0.15">
      <c r="A33" s="53" t="s">
        <v>205</v>
      </c>
      <c r="B33" s="53" t="s">
        <v>27</v>
      </c>
      <c r="C33" s="53" t="s">
        <v>522</v>
      </c>
      <c r="D33" s="53">
        <v>2</v>
      </c>
      <c r="E33" s="53">
        <v>1</v>
      </c>
      <c r="F33" s="53">
        <v>8</v>
      </c>
      <c r="G33" s="53">
        <v>89610</v>
      </c>
      <c r="H33" s="53">
        <v>0</v>
      </c>
      <c r="I33" s="53">
        <v>995813.70999999985</v>
      </c>
      <c r="J33" s="51"/>
    </row>
    <row r="34" spans="1:10" x14ac:dyDescent="0.15">
      <c r="A34" s="53" t="s">
        <v>205</v>
      </c>
      <c r="B34" s="53" t="s">
        <v>16</v>
      </c>
      <c r="C34" s="53" t="s">
        <v>410</v>
      </c>
      <c r="D34" s="53">
        <v>3</v>
      </c>
      <c r="E34" s="53">
        <v>1</v>
      </c>
      <c r="F34" s="53">
        <v>2058</v>
      </c>
      <c r="G34" s="53">
        <v>89610</v>
      </c>
      <c r="H34" s="53">
        <v>0</v>
      </c>
      <c r="I34" s="53">
        <v>993755.70999999985</v>
      </c>
      <c r="J34" s="51"/>
    </row>
    <row r="35" spans="1:10" x14ac:dyDescent="0.15">
      <c r="A35" s="53" t="s">
        <v>205</v>
      </c>
      <c r="B35" s="53" t="s">
        <v>18</v>
      </c>
      <c r="C35" s="53" t="s">
        <v>411</v>
      </c>
      <c r="D35" s="53">
        <v>5</v>
      </c>
      <c r="E35" s="53">
        <v>1</v>
      </c>
      <c r="F35" s="53">
        <v>5800</v>
      </c>
      <c r="G35" s="53">
        <v>89610</v>
      </c>
      <c r="H35" s="53">
        <v>9650</v>
      </c>
      <c r="I35" s="53">
        <v>997605.70999999985</v>
      </c>
      <c r="J35" s="51"/>
    </row>
    <row r="36" spans="1:10" x14ac:dyDescent="0.15">
      <c r="A36" s="53" t="s">
        <v>205</v>
      </c>
      <c r="B36" s="53" t="s">
        <v>22</v>
      </c>
      <c r="C36" s="53" t="s">
        <v>412</v>
      </c>
      <c r="D36" s="53">
        <v>4</v>
      </c>
      <c r="E36" s="53">
        <v>1</v>
      </c>
      <c r="F36" s="53">
        <v>432</v>
      </c>
      <c r="G36" s="53">
        <v>89610</v>
      </c>
      <c r="H36" s="53">
        <v>0</v>
      </c>
      <c r="I36" s="53">
        <v>997173.70999999985</v>
      </c>
      <c r="J36" s="51"/>
    </row>
    <row r="37" spans="1:10" x14ac:dyDescent="0.15">
      <c r="A37" s="53" t="s">
        <v>205</v>
      </c>
      <c r="B37" s="53" t="s">
        <v>28</v>
      </c>
      <c r="C37" s="53" t="s">
        <v>413</v>
      </c>
      <c r="D37" s="53">
        <v>2</v>
      </c>
      <c r="E37" s="53">
        <v>1</v>
      </c>
      <c r="F37" s="53">
        <v>120</v>
      </c>
      <c r="G37" s="53">
        <v>89610</v>
      </c>
      <c r="H37" s="53">
        <v>0</v>
      </c>
      <c r="I37" s="53">
        <v>997053.70999999985</v>
      </c>
      <c r="J37" s="51"/>
    </row>
    <row r="38" spans="1:10" x14ac:dyDescent="0.15">
      <c r="A38" s="53" t="s">
        <v>205</v>
      </c>
      <c r="B38" s="53" t="s">
        <v>29</v>
      </c>
      <c r="C38" s="53" t="s">
        <v>414</v>
      </c>
      <c r="D38" s="53">
        <v>1</v>
      </c>
      <c r="E38" s="53">
        <v>1</v>
      </c>
      <c r="F38" s="53">
        <v>70</v>
      </c>
      <c r="G38" s="53">
        <v>89610</v>
      </c>
      <c r="H38" s="53">
        <v>0</v>
      </c>
      <c r="I38" s="53">
        <v>996983.70999999985</v>
      </c>
      <c r="J38" s="51"/>
    </row>
    <row r="39" spans="1:10" x14ac:dyDescent="0.15">
      <c r="A39" s="53" t="s">
        <v>205</v>
      </c>
      <c r="B39" s="53" t="s">
        <v>30</v>
      </c>
      <c r="C39" s="53" t="s">
        <v>415</v>
      </c>
      <c r="D39" s="53">
        <v>3</v>
      </c>
      <c r="E39" s="53">
        <v>1</v>
      </c>
      <c r="F39" s="53">
        <v>6</v>
      </c>
      <c r="G39" s="53">
        <v>89610</v>
      </c>
      <c r="H39" s="53">
        <v>0</v>
      </c>
      <c r="I39" s="53">
        <v>996977.70999999985</v>
      </c>
      <c r="J39" s="51"/>
    </row>
    <row r="40" spans="1:10" x14ac:dyDescent="0.15">
      <c r="A40" s="53" t="s">
        <v>205</v>
      </c>
      <c r="B40" s="53" t="s">
        <v>23</v>
      </c>
      <c r="C40" s="53" t="s">
        <v>416</v>
      </c>
      <c r="D40" s="53">
        <v>5</v>
      </c>
      <c r="E40" s="53">
        <v>1</v>
      </c>
      <c r="F40" s="53">
        <v>540</v>
      </c>
      <c r="G40" s="53">
        <v>89610</v>
      </c>
      <c r="H40" s="53">
        <v>0</v>
      </c>
      <c r="I40" s="53">
        <v>996437.70999999985</v>
      </c>
      <c r="J40" s="51"/>
    </row>
    <row r="41" spans="1:10" x14ac:dyDescent="0.15">
      <c r="A41" s="53" t="s">
        <v>205</v>
      </c>
      <c r="B41" s="53" t="s">
        <v>31</v>
      </c>
      <c r="C41" s="53" t="s">
        <v>415</v>
      </c>
      <c r="D41" s="53">
        <v>4</v>
      </c>
      <c r="E41" s="53">
        <v>1</v>
      </c>
      <c r="F41" s="53">
        <v>8</v>
      </c>
      <c r="G41" s="53">
        <v>89610</v>
      </c>
      <c r="H41" s="53">
        <v>0</v>
      </c>
      <c r="I41" s="53">
        <v>996429.70999999985</v>
      </c>
      <c r="J41" s="51"/>
    </row>
    <row r="42" spans="1:10" x14ac:dyDescent="0.15">
      <c r="A42" s="53" t="s">
        <v>205</v>
      </c>
      <c r="B42" s="53" t="s">
        <v>32</v>
      </c>
      <c r="C42" s="53" t="s">
        <v>417</v>
      </c>
      <c r="D42" s="53">
        <v>5</v>
      </c>
      <c r="E42" s="53">
        <v>1</v>
      </c>
      <c r="F42" s="53">
        <v>10</v>
      </c>
      <c r="G42" s="53">
        <v>89610</v>
      </c>
      <c r="H42" s="53">
        <v>0</v>
      </c>
      <c r="I42" s="53">
        <v>996419.70999999985</v>
      </c>
      <c r="J42" s="51"/>
    </row>
    <row r="43" spans="1:10" x14ac:dyDescent="0.15">
      <c r="A43" s="53" t="s">
        <v>205</v>
      </c>
      <c r="B43" s="53" t="s">
        <v>34</v>
      </c>
      <c r="C43" s="53" t="s">
        <v>206</v>
      </c>
      <c r="D43" s="53">
        <v>4</v>
      </c>
      <c r="E43" s="53">
        <v>1</v>
      </c>
      <c r="F43" s="53">
        <v>40</v>
      </c>
      <c r="G43" s="53">
        <v>89610</v>
      </c>
      <c r="H43" s="53">
        <v>56.76</v>
      </c>
      <c r="I43" s="53">
        <v>996436.46999999986</v>
      </c>
      <c r="J43" s="51"/>
    </row>
    <row r="44" spans="1:10" x14ac:dyDescent="0.15">
      <c r="A44" s="53" t="s">
        <v>205</v>
      </c>
      <c r="B44" s="53" t="s">
        <v>35</v>
      </c>
      <c r="C44" s="53" t="s">
        <v>418</v>
      </c>
      <c r="D44" s="53">
        <v>2</v>
      </c>
      <c r="E44" s="53">
        <v>1</v>
      </c>
      <c r="F44" s="53">
        <v>24</v>
      </c>
      <c r="G44" s="53">
        <v>89610</v>
      </c>
      <c r="H44" s="53">
        <v>71.47</v>
      </c>
      <c r="I44" s="53">
        <v>996483.93999999983</v>
      </c>
      <c r="J44" s="51"/>
    </row>
    <row r="45" spans="1:10" x14ac:dyDescent="0.15">
      <c r="A45" s="53" t="s">
        <v>207</v>
      </c>
      <c r="B45" s="53" t="s">
        <v>5</v>
      </c>
      <c r="C45" s="53" t="s">
        <v>419</v>
      </c>
      <c r="D45" s="53">
        <v>3</v>
      </c>
      <c r="E45" s="53">
        <v>1</v>
      </c>
      <c r="F45" s="53">
        <v>1440</v>
      </c>
      <c r="G45" s="53">
        <v>89610</v>
      </c>
      <c r="H45" s="53">
        <v>5790</v>
      </c>
      <c r="I45" s="53">
        <v>1000833.9399999998</v>
      </c>
      <c r="J45" s="51"/>
    </row>
    <row r="46" spans="1:10" x14ac:dyDescent="0.15">
      <c r="A46" s="53" t="s">
        <v>207</v>
      </c>
      <c r="B46" s="53" t="s">
        <v>27</v>
      </c>
      <c r="C46" s="53" t="s">
        <v>420</v>
      </c>
      <c r="D46" s="53">
        <v>1</v>
      </c>
      <c r="E46" s="53">
        <v>1</v>
      </c>
      <c r="F46" s="53">
        <v>2</v>
      </c>
      <c r="G46" s="53">
        <v>89610</v>
      </c>
      <c r="H46" s="53">
        <v>0</v>
      </c>
      <c r="I46" s="53">
        <v>1000831.9399999998</v>
      </c>
      <c r="J46" s="51"/>
    </row>
    <row r="47" spans="1:10" x14ac:dyDescent="0.15">
      <c r="A47" s="53" t="s">
        <v>207</v>
      </c>
      <c r="B47" s="53" t="s">
        <v>16</v>
      </c>
      <c r="C47" s="53" t="s">
        <v>421</v>
      </c>
      <c r="D47" s="53">
        <v>2</v>
      </c>
      <c r="E47" s="53">
        <v>1</v>
      </c>
      <c r="F47" s="53">
        <v>1124</v>
      </c>
      <c r="G47" s="53">
        <v>89610</v>
      </c>
      <c r="H47" s="53">
        <v>0</v>
      </c>
      <c r="I47" s="53">
        <v>999707.93999999983</v>
      </c>
      <c r="J47" s="51"/>
    </row>
    <row r="48" spans="1:10" x14ac:dyDescent="0.15">
      <c r="A48" s="53" t="s">
        <v>207</v>
      </c>
      <c r="B48" s="53" t="s">
        <v>18</v>
      </c>
      <c r="C48" s="53" t="s">
        <v>422</v>
      </c>
      <c r="D48" s="53">
        <v>1</v>
      </c>
      <c r="E48" s="53">
        <v>1</v>
      </c>
      <c r="F48" s="53">
        <v>1328</v>
      </c>
      <c r="G48" s="53">
        <v>89610</v>
      </c>
      <c r="H48" s="53">
        <v>1930</v>
      </c>
      <c r="I48" s="53">
        <v>1000309.9399999998</v>
      </c>
      <c r="J48" s="51"/>
    </row>
    <row r="49" spans="1:10" x14ac:dyDescent="0.15">
      <c r="A49" s="53" t="s">
        <v>207</v>
      </c>
      <c r="B49" s="53" t="s">
        <v>22</v>
      </c>
      <c r="C49" s="53" t="s">
        <v>423</v>
      </c>
      <c r="D49" s="53">
        <v>2</v>
      </c>
      <c r="E49" s="53">
        <v>1</v>
      </c>
      <c r="F49" s="53">
        <v>108</v>
      </c>
      <c r="G49" s="64" t="s">
        <v>552</v>
      </c>
      <c r="H49" s="53">
        <v>0</v>
      </c>
      <c r="I49" s="53">
        <v>1000201.9399999998</v>
      </c>
      <c r="J49" s="51"/>
    </row>
    <row r="50" spans="1:10" x14ac:dyDescent="0.15">
      <c r="A50" s="53" t="s">
        <v>207</v>
      </c>
      <c r="B50" s="53" t="s">
        <v>28</v>
      </c>
      <c r="C50" s="53" t="s">
        <v>424</v>
      </c>
      <c r="D50" s="53">
        <v>1</v>
      </c>
      <c r="E50" s="53">
        <v>1</v>
      </c>
      <c r="F50" s="53">
        <v>112</v>
      </c>
      <c r="G50" s="53">
        <v>89610</v>
      </c>
      <c r="H50" s="53">
        <v>0</v>
      </c>
      <c r="I50" s="53">
        <v>1000089.9399999998</v>
      </c>
      <c r="J50" s="51"/>
    </row>
    <row r="51" spans="1:10" x14ac:dyDescent="0.15">
      <c r="A51" s="53" t="s">
        <v>207</v>
      </c>
      <c r="B51" s="53" t="s">
        <v>29</v>
      </c>
      <c r="C51" s="53" t="s">
        <v>424</v>
      </c>
      <c r="D51" s="53">
        <v>2</v>
      </c>
      <c r="E51" s="53">
        <v>1</v>
      </c>
      <c r="F51" s="53">
        <v>224</v>
      </c>
      <c r="G51" s="53">
        <v>89610</v>
      </c>
      <c r="H51" s="53">
        <v>0</v>
      </c>
      <c r="I51" s="53">
        <v>999865.93999999983</v>
      </c>
      <c r="J51" s="51"/>
    </row>
    <row r="52" spans="1:10" x14ac:dyDescent="0.15">
      <c r="A52" s="53" t="s">
        <v>207</v>
      </c>
      <c r="B52" s="53" t="s">
        <v>30</v>
      </c>
      <c r="C52" s="53" t="s">
        <v>425</v>
      </c>
      <c r="D52" s="53">
        <v>3</v>
      </c>
      <c r="E52" s="53">
        <v>1</v>
      </c>
      <c r="F52" s="53">
        <v>6</v>
      </c>
      <c r="G52" s="53">
        <v>89610</v>
      </c>
      <c r="H52" s="53">
        <v>0</v>
      </c>
      <c r="I52" s="53">
        <v>999859.93999999983</v>
      </c>
      <c r="J52" s="51"/>
    </row>
    <row r="53" spans="1:10" x14ac:dyDescent="0.15">
      <c r="A53" s="53" t="s">
        <v>207</v>
      </c>
      <c r="B53" s="53" t="s">
        <v>23</v>
      </c>
      <c r="C53" s="53" t="s">
        <v>403</v>
      </c>
      <c r="D53" s="53">
        <v>1</v>
      </c>
      <c r="E53" s="53">
        <v>1</v>
      </c>
      <c r="F53" s="53">
        <v>108</v>
      </c>
      <c r="G53" s="53">
        <v>89610</v>
      </c>
      <c r="H53" s="53">
        <v>0</v>
      </c>
      <c r="I53" s="53">
        <v>999751.93999999983</v>
      </c>
      <c r="J53" s="51"/>
    </row>
    <row r="54" spans="1:10" x14ac:dyDescent="0.15">
      <c r="A54" s="53" t="s">
        <v>207</v>
      </c>
      <c r="B54" s="53" t="s">
        <v>31</v>
      </c>
      <c r="C54" s="53" t="s">
        <v>426</v>
      </c>
      <c r="D54" s="53">
        <v>2</v>
      </c>
      <c r="E54" s="53">
        <v>1</v>
      </c>
      <c r="F54" s="53">
        <v>4</v>
      </c>
      <c r="G54" s="53">
        <v>89610</v>
      </c>
      <c r="H54" s="53">
        <v>0</v>
      </c>
      <c r="I54" s="53">
        <v>999747.93999999983</v>
      </c>
      <c r="J54" s="51"/>
    </row>
    <row r="55" spans="1:10" x14ac:dyDescent="0.15">
      <c r="A55" s="53" t="s">
        <v>207</v>
      </c>
      <c r="B55" s="53" t="s">
        <v>32</v>
      </c>
      <c r="C55" s="53" t="s">
        <v>427</v>
      </c>
      <c r="D55" s="53">
        <v>3</v>
      </c>
      <c r="E55" s="53">
        <v>1</v>
      </c>
      <c r="F55" s="53">
        <v>6</v>
      </c>
      <c r="G55" s="53">
        <v>89610</v>
      </c>
      <c r="H55" s="53">
        <v>0</v>
      </c>
      <c r="I55" s="53">
        <v>999741.93999999983</v>
      </c>
      <c r="J55" s="51"/>
    </row>
    <row r="56" spans="1:10" x14ac:dyDescent="0.15">
      <c r="A56" s="53" t="s">
        <v>207</v>
      </c>
      <c r="B56" s="53" t="s">
        <v>34</v>
      </c>
      <c r="C56" s="53" t="s">
        <v>428</v>
      </c>
      <c r="D56" s="53">
        <v>3</v>
      </c>
      <c r="E56" s="53">
        <v>1</v>
      </c>
      <c r="F56" s="53">
        <v>42</v>
      </c>
      <c r="G56" s="53">
        <v>89610</v>
      </c>
      <c r="H56" s="53">
        <v>63.854999999999997</v>
      </c>
      <c r="I56" s="53">
        <v>999763.79499999981</v>
      </c>
      <c r="J56" s="51"/>
    </row>
    <row r="57" spans="1:10" x14ac:dyDescent="0.15">
      <c r="A57" s="53" t="s">
        <v>207</v>
      </c>
      <c r="B57" s="53" t="s">
        <v>35</v>
      </c>
      <c r="C57" s="53" t="s">
        <v>429</v>
      </c>
      <c r="D57" s="53">
        <v>3</v>
      </c>
      <c r="E57" s="53">
        <v>1</v>
      </c>
      <c r="F57" s="53">
        <v>126</v>
      </c>
      <c r="G57" s="53">
        <v>89610</v>
      </c>
      <c r="H57" s="53">
        <v>0</v>
      </c>
      <c r="I57" s="53">
        <v>999637.79499999981</v>
      </c>
      <c r="J57" s="51"/>
    </row>
    <row r="58" spans="1:10" x14ac:dyDescent="0.15">
      <c r="A58" s="53" t="s">
        <v>208</v>
      </c>
      <c r="B58" s="53" t="s">
        <v>5</v>
      </c>
      <c r="C58" s="53" t="s">
        <v>430</v>
      </c>
      <c r="D58" s="53">
        <v>1</v>
      </c>
      <c r="E58" s="53">
        <v>1</v>
      </c>
      <c r="F58" s="53">
        <v>1800</v>
      </c>
      <c r="G58" s="53">
        <v>89610</v>
      </c>
      <c r="H58" s="53">
        <v>0</v>
      </c>
      <c r="I58" s="53">
        <v>997837.79499999981</v>
      </c>
      <c r="J58" s="51"/>
    </row>
    <row r="59" spans="1:10" x14ac:dyDescent="0.15">
      <c r="A59" s="53" t="s">
        <v>208</v>
      </c>
      <c r="B59" s="53" t="s">
        <v>27</v>
      </c>
      <c r="C59" s="53" t="s">
        <v>431</v>
      </c>
      <c r="D59" s="53">
        <v>2</v>
      </c>
      <c r="E59" s="53">
        <v>1</v>
      </c>
      <c r="F59" s="53">
        <v>4</v>
      </c>
      <c r="G59" s="53">
        <v>89610</v>
      </c>
      <c r="H59" s="53">
        <v>0</v>
      </c>
      <c r="I59" s="53">
        <v>997833.79499999981</v>
      </c>
      <c r="J59" s="51"/>
    </row>
    <row r="60" spans="1:10" x14ac:dyDescent="0.15">
      <c r="A60" s="53" t="s">
        <v>208</v>
      </c>
      <c r="B60" s="53" t="s">
        <v>209</v>
      </c>
      <c r="C60" s="53" t="s">
        <v>214</v>
      </c>
      <c r="D60" s="53">
        <v>5</v>
      </c>
      <c r="E60" s="53">
        <v>1</v>
      </c>
      <c r="F60" s="53">
        <v>700</v>
      </c>
      <c r="G60" s="53">
        <v>89610</v>
      </c>
      <c r="H60" s="53">
        <v>0</v>
      </c>
      <c r="I60" s="53">
        <v>997133.79499999981</v>
      </c>
      <c r="J60" s="51"/>
    </row>
    <row r="61" spans="1:10" x14ac:dyDescent="0.15">
      <c r="A61" s="53" t="s">
        <v>208</v>
      </c>
      <c r="B61" s="53" t="s">
        <v>210</v>
      </c>
      <c r="C61" s="53" t="s">
        <v>432</v>
      </c>
      <c r="D61" s="53">
        <v>4</v>
      </c>
      <c r="E61" s="53">
        <v>1</v>
      </c>
      <c r="F61" s="53">
        <v>1288</v>
      </c>
      <c r="G61" s="53">
        <v>89610</v>
      </c>
      <c r="H61" s="53">
        <v>0</v>
      </c>
      <c r="I61" s="53">
        <v>995845.79499999981</v>
      </c>
      <c r="J61" s="51"/>
    </row>
    <row r="62" spans="1:10" x14ac:dyDescent="0.15">
      <c r="A62" s="53" t="s">
        <v>208</v>
      </c>
      <c r="B62" s="53" t="s">
        <v>211</v>
      </c>
      <c r="C62" s="53" t="s">
        <v>433</v>
      </c>
      <c r="D62" s="53">
        <v>1</v>
      </c>
      <c r="E62" s="53">
        <v>1</v>
      </c>
      <c r="F62" s="53">
        <v>42</v>
      </c>
      <c r="G62" s="53">
        <v>89610</v>
      </c>
      <c r="H62" s="53">
        <v>0</v>
      </c>
      <c r="I62" s="53">
        <v>995803.79499999981</v>
      </c>
      <c r="J62" s="51"/>
    </row>
    <row r="63" spans="1:10" x14ac:dyDescent="0.15">
      <c r="A63" s="53" t="s">
        <v>208</v>
      </c>
      <c r="B63" s="53" t="s">
        <v>212</v>
      </c>
      <c r="C63" s="53" t="s">
        <v>434</v>
      </c>
      <c r="D63" s="53">
        <v>2</v>
      </c>
      <c r="E63" s="53">
        <v>1</v>
      </c>
      <c r="F63" s="53">
        <v>148</v>
      </c>
      <c r="G63" s="53">
        <v>89610</v>
      </c>
      <c r="H63" s="53">
        <v>0</v>
      </c>
      <c r="I63" s="53">
        <v>995655.79499999981</v>
      </c>
      <c r="J63" s="51"/>
    </row>
    <row r="64" spans="1:10" x14ac:dyDescent="0.15">
      <c r="A64" s="53" t="s">
        <v>208</v>
      </c>
      <c r="B64" s="53" t="s">
        <v>34</v>
      </c>
      <c r="C64" s="53" t="s">
        <v>435</v>
      </c>
      <c r="D64" s="53">
        <v>3</v>
      </c>
      <c r="E64" s="53">
        <v>1</v>
      </c>
      <c r="F64" s="53">
        <v>48</v>
      </c>
      <c r="G64" s="53">
        <v>89610</v>
      </c>
      <c r="H64" s="53">
        <v>66.66</v>
      </c>
      <c r="I64" s="53">
        <v>995674.45499999984</v>
      </c>
      <c r="J64" s="51"/>
    </row>
    <row r="65" spans="1:11" x14ac:dyDescent="0.15">
      <c r="A65" s="53" t="s">
        <v>208</v>
      </c>
      <c r="B65" s="53" t="s">
        <v>35</v>
      </c>
      <c r="C65" s="53" t="s">
        <v>436</v>
      </c>
      <c r="D65" s="53">
        <v>1</v>
      </c>
      <c r="E65" s="53">
        <v>1</v>
      </c>
      <c r="F65" s="53">
        <v>42</v>
      </c>
      <c r="G65" s="53">
        <v>89610</v>
      </c>
      <c r="H65" s="53">
        <v>118.68</v>
      </c>
      <c r="I65" s="53">
        <v>995751.13499999989</v>
      </c>
      <c r="J65" s="51"/>
    </row>
    <row r="66" spans="1:11" x14ac:dyDescent="0.15">
      <c r="A66" s="53" t="s">
        <v>213</v>
      </c>
      <c r="B66" s="53" t="s">
        <v>5</v>
      </c>
      <c r="C66" s="53" t="s">
        <v>437</v>
      </c>
      <c r="D66" s="53">
        <v>2</v>
      </c>
      <c r="E66" s="53">
        <v>1</v>
      </c>
      <c r="F66" s="53">
        <v>31104</v>
      </c>
      <c r="G66" s="53">
        <v>89610</v>
      </c>
      <c r="H66" s="53">
        <v>0</v>
      </c>
      <c r="I66" s="53">
        <v>964647.13499999989</v>
      </c>
      <c r="J66" s="51"/>
    </row>
    <row r="67" spans="1:11" x14ac:dyDescent="0.15">
      <c r="A67" s="53" t="s">
        <v>213</v>
      </c>
      <c r="B67" s="53" t="s">
        <v>27</v>
      </c>
      <c r="C67" s="53" t="s">
        <v>523</v>
      </c>
      <c r="D67" s="53">
        <v>3</v>
      </c>
      <c r="E67" s="53">
        <v>1</v>
      </c>
      <c r="F67" s="53">
        <v>18</v>
      </c>
      <c r="G67" s="53">
        <v>89610</v>
      </c>
      <c r="H67" s="53">
        <v>0</v>
      </c>
      <c r="I67" s="53">
        <v>964629.13499999989</v>
      </c>
      <c r="J67" s="51"/>
    </row>
    <row r="68" spans="1:11" x14ac:dyDescent="0.15">
      <c r="A68" s="53" t="s">
        <v>213</v>
      </c>
      <c r="B68" s="53" t="s">
        <v>215</v>
      </c>
      <c r="C68" s="53" t="s">
        <v>439</v>
      </c>
      <c r="D68" s="53">
        <v>1</v>
      </c>
      <c r="E68" s="53">
        <v>1</v>
      </c>
      <c r="F68" s="53">
        <v>252</v>
      </c>
      <c r="G68" s="53">
        <v>89610</v>
      </c>
      <c r="H68" s="53">
        <v>1608.29</v>
      </c>
      <c r="I68" s="53">
        <v>965985.42499999993</v>
      </c>
      <c r="J68" s="51"/>
    </row>
    <row r="69" spans="1:11" x14ac:dyDescent="0.15">
      <c r="A69" s="53" t="s">
        <v>213</v>
      </c>
      <c r="B69" s="53" t="s">
        <v>216</v>
      </c>
      <c r="C69" s="53" t="s">
        <v>440</v>
      </c>
      <c r="D69" s="53">
        <v>2</v>
      </c>
      <c r="E69" s="53">
        <v>1</v>
      </c>
      <c r="F69" s="53">
        <v>540</v>
      </c>
      <c r="G69" s="53">
        <v>89610</v>
      </c>
      <c r="H69" s="53">
        <v>0</v>
      </c>
      <c r="I69" s="53">
        <v>965445.42499999993</v>
      </c>
      <c r="J69" s="51"/>
    </row>
    <row r="70" spans="1:11" x14ac:dyDescent="0.15">
      <c r="A70" s="53" t="s">
        <v>213</v>
      </c>
      <c r="B70" s="53" t="s">
        <v>217</v>
      </c>
      <c r="C70" s="53" t="s">
        <v>441</v>
      </c>
      <c r="D70" s="53">
        <v>1</v>
      </c>
      <c r="E70" s="53">
        <v>1</v>
      </c>
      <c r="F70" s="53">
        <v>104</v>
      </c>
      <c r="G70" s="53">
        <v>89610</v>
      </c>
      <c r="H70" s="53">
        <v>0</v>
      </c>
      <c r="I70" s="53">
        <v>965341.42499999993</v>
      </c>
      <c r="J70" s="51"/>
    </row>
    <row r="71" spans="1:11" x14ac:dyDescent="0.15">
      <c r="A71" s="53" t="s">
        <v>213</v>
      </c>
      <c r="B71" s="53" t="s">
        <v>218</v>
      </c>
      <c r="C71" s="53" t="s">
        <v>442</v>
      </c>
      <c r="D71" s="53">
        <v>3</v>
      </c>
      <c r="E71" s="53">
        <v>1</v>
      </c>
      <c r="F71" s="53">
        <v>108</v>
      </c>
      <c r="G71" s="53">
        <v>89610</v>
      </c>
      <c r="H71" s="53">
        <v>0</v>
      </c>
      <c r="I71" s="53">
        <v>965233.42499999993</v>
      </c>
      <c r="J71" s="51"/>
      <c r="K71" s="51"/>
    </row>
    <row r="72" spans="1:11" x14ac:dyDescent="0.15">
      <c r="A72" s="53" t="s">
        <v>213</v>
      </c>
      <c r="B72" s="53" t="s">
        <v>219</v>
      </c>
      <c r="C72" s="53" t="s">
        <v>443</v>
      </c>
      <c r="D72" s="53">
        <v>2</v>
      </c>
      <c r="E72" s="53">
        <v>1</v>
      </c>
      <c r="F72" s="53">
        <v>28</v>
      </c>
      <c r="G72" s="53">
        <v>89610</v>
      </c>
      <c r="H72" s="53">
        <v>0</v>
      </c>
      <c r="I72" s="53">
        <v>965205.42499999993</v>
      </c>
      <c r="J72" s="51"/>
      <c r="K72" s="51"/>
    </row>
    <row r="73" spans="1:11" x14ac:dyDescent="0.15">
      <c r="A73" s="53" t="s">
        <v>213</v>
      </c>
      <c r="B73" s="53" t="s">
        <v>220</v>
      </c>
      <c r="C73" s="53" t="s">
        <v>444</v>
      </c>
      <c r="D73" s="53">
        <v>3</v>
      </c>
      <c r="E73" s="53">
        <v>1</v>
      </c>
      <c r="F73" s="53">
        <v>48</v>
      </c>
      <c r="G73" s="53">
        <v>89610</v>
      </c>
      <c r="H73" s="53">
        <v>0</v>
      </c>
      <c r="I73" s="53">
        <v>965157.42499999993</v>
      </c>
      <c r="J73" s="51"/>
      <c r="K73" s="18"/>
    </row>
    <row r="74" spans="1:11" x14ac:dyDescent="0.15">
      <c r="A74" s="53" t="s">
        <v>213</v>
      </c>
      <c r="B74" s="53" t="s">
        <v>34</v>
      </c>
      <c r="C74" s="53" t="s">
        <v>237</v>
      </c>
      <c r="D74" s="53">
        <v>2</v>
      </c>
      <c r="E74" s="53">
        <v>1</v>
      </c>
      <c r="F74" s="53">
        <v>28</v>
      </c>
      <c r="G74" s="53">
        <v>89610</v>
      </c>
      <c r="H74" s="53">
        <v>27.900000000000002</v>
      </c>
      <c r="I74" s="53">
        <v>965157.32499999995</v>
      </c>
      <c r="J74" s="51"/>
    </row>
    <row r="75" spans="1:11" x14ac:dyDescent="0.15">
      <c r="A75" s="53" t="s">
        <v>213</v>
      </c>
      <c r="B75" s="53" t="s">
        <v>35</v>
      </c>
      <c r="C75" s="53" t="s">
        <v>237</v>
      </c>
      <c r="D75" s="53">
        <v>4</v>
      </c>
      <c r="E75" s="53">
        <v>1</v>
      </c>
      <c r="F75" s="53">
        <v>168</v>
      </c>
      <c r="G75" s="53">
        <v>89610</v>
      </c>
      <c r="H75" s="53">
        <v>157.26</v>
      </c>
      <c r="I75" s="53">
        <v>965146.58499999996</v>
      </c>
      <c r="J75" s="51"/>
    </row>
    <row r="76" spans="1:11" x14ac:dyDescent="0.15">
      <c r="A76" s="53" t="s">
        <v>213</v>
      </c>
      <c r="B76" s="53" t="s">
        <v>221</v>
      </c>
      <c r="C76" s="53" t="s">
        <v>445</v>
      </c>
      <c r="D76" s="53">
        <v>3</v>
      </c>
      <c r="E76" s="53">
        <v>1</v>
      </c>
      <c r="F76" s="53">
        <v>120</v>
      </c>
      <c r="G76" s="53">
        <v>89610</v>
      </c>
      <c r="H76" s="53">
        <v>532.31999999999994</v>
      </c>
      <c r="I76" s="53">
        <v>965558.90499999991</v>
      </c>
      <c r="J76" s="51"/>
    </row>
    <row r="77" spans="1:11" x14ac:dyDescent="0.15">
      <c r="A77" s="53" t="s">
        <v>213</v>
      </c>
      <c r="B77" s="53" t="s">
        <v>222</v>
      </c>
      <c r="C77" s="53" t="s">
        <v>204</v>
      </c>
      <c r="D77" s="53">
        <v>4</v>
      </c>
      <c r="E77" s="53">
        <v>1</v>
      </c>
      <c r="F77" s="53">
        <v>80</v>
      </c>
      <c r="G77" s="53">
        <v>89610</v>
      </c>
      <c r="H77" s="53">
        <v>93</v>
      </c>
      <c r="I77" s="53">
        <v>965571.90499999991</v>
      </c>
      <c r="J77" s="51"/>
    </row>
    <row r="78" spans="1:11" x14ac:dyDescent="0.15">
      <c r="A78" s="53" t="s">
        <v>213</v>
      </c>
      <c r="B78" s="53" t="s">
        <v>223</v>
      </c>
      <c r="C78" s="53" t="s">
        <v>446</v>
      </c>
      <c r="D78" s="53">
        <v>2</v>
      </c>
      <c r="E78" s="53">
        <v>1</v>
      </c>
      <c r="F78" s="53">
        <v>24</v>
      </c>
      <c r="G78" s="53">
        <v>89610</v>
      </c>
      <c r="H78" s="53">
        <v>0</v>
      </c>
      <c r="I78" s="53">
        <v>965547.90499999991</v>
      </c>
      <c r="J78" s="51"/>
    </row>
    <row r="79" spans="1:11" x14ac:dyDescent="0.15">
      <c r="A79" s="53" t="s">
        <v>213</v>
      </c>
      <c r="B79" s="53" t="s">
        <v>224</v>
      </c>
      <c r="C79" s="53" t="s">
        <v>447</v>
      </c>
      <c r="D79" s="53">
        <v>4</v>
      </c>
      <c r="E79" s="53">
        <v>1</v>
      </c>
      <c r="F79" s="53">
        <v>16</v>
      </c>
      <c r="G79" s="53">
        <v>89610</v>
      </c>
      <c r="H79" s="53">
        <v>0</v>
      </c>
      <c r="I79" s="53">
        <v>965531.90499999991</v>
      </c>
      <c r="J79" s="51"/>
    </row>
    <row r="80" spans="1:11" x14ac:dyDescent="0.15">
      <c r="A80" s="53" t="s">
        <v>213</v>
      </c>
      <c r="B80" s="53" t="s">
        <v>225</v>
      </c>
      <c r="C80" s="53" t="s">
        <v>204</v>
      </c>
      <c r="D80" s="53">
        <v>3</v>
      </c>
      <c r="E80" s="53">
        <v>1</v>
      </c>
      <c r="F80" s="53">
        <v>60</v>
      </c>
      <c r="G80" s="53">
        <v>89610</v>
      </c>
      <c r="H80" s="53">
        <v>0</v>
      </c>
      <c r="I80" s="53">
        <v>965471.90499999991</v>
      </c>
      <c r="J80" s="51"/>
    </row>
    <row r="81" spans="1:11" x14ac:dyDescent="0.15">
      <c r="A81" s="53" t="s">
        <v>226</v>
      </c>
      <c r="B81" s="53" t="s">
        <v>12</v>
      </c>
      <c r="C81" s="53" t="s">
        <v>238</v>
      </c>
      <c r="D81" s="53">
        <v>5</v>
      </c>
      <c r="E81" s="53">
        <v>1</v>
      </c>
      <c r="F81" s="53">
        <v>160</v>
      </c>
      <c r="G81" s="53">
        <v>89610</v>
      </c>
      <c r="H81" s="53">
        <v>154.4</v>
      </c>
      <c r="I81" s="53">
        <v>965466.30499999993</v>
      </c>
      <c r="J81" s="51"/>
      <c r="K81" s="51"/>
    </row>
    <row r="82" spans="1:11" x14ac:dyDescent="0.15">
      <c r="A82" s="53" t="s">
        <v>226</v>
      </c>
      <c r="B82" s="53" t="s">
        <v>25</v>
      </c>
      <c r="C82" s="53" t="s">
        <v>238</v>
      </c>
      <c r="D82" s="53">
        <v>1</v>
      </c>
      <c r="E82" s="53">
        <v>1</v>
      </c>
      <c r="F82" s="53">
        <v>32</v>
      </c>
      <c r="G82" s="53">
        <v>89610</v>
      </c>
      <c r="H82" s="53">
        <v>30.88</v>
      </c>
      <c r="I82" s="53">
        <v>965465.18499999994</v>
      </c>
      <c r="J82" s="51"/>
      <c r="K82" s="51"/>
    </row>
    <row r="83" spans="1:11" x14ac:dyDescent="0.15">
      <c r="A83" s="53" t="s">
        <v>226</v>
      </c>
      <c r="B83" s="53" t="s">
        <v>26</v>
      </c>
      <c r="C83" s="53" t="s">
        <v>239</v>
      </c>
      <c r="D83" s="53">
        <v>2</v>
      </c>
      <c r="E83" s="53">
        <v>1</v>
      </c>
      <c r="F83" s="53">
        <v>256</v>
      </c>
      <c r="G83" s="53">
        <v>89610</v>
      </c>
      <c r="H83" s="53">
        <v>247.04</v>
      </c>
      <c r="I83" s="53">
        <v>965456.22499999998</v>
      </c>
      <c r="J83" s="51"/>
      <c r="K83" s="51"/>
    </row>
    <row r="84" spans="1:11" x14ac:dyDescent="0.15">
      <c r="A84" s="53" t="s">
        <v>226</v>
      </c>
      <c r="B84" s="53" t="s">
        <v>207</v>
      </c>
      <c r="C84" s="53" t="s">
        <v>239</v>
      </c>
      <c r="D84" s="53">
        <v>3</v>
      </c>
      <c r="E84" s="53">
        <v>1</v>
      </c>
      <c r="F84" s="53">
        <v>384</v>
      </c>
      <c r="G84" s="53">
        <v>89610</v>
      </c>
      <c r="H84" s="53">
        <v>370.56</v>
      </c>
      <c r="I84" s="53">
        <v>965442.78500000003</v>
      </c>
      <c r="J84" s="51"/>
      <c r="K84" s="51"/>
    </row>
    <row r="85" spans="1:11" x14ac:dyDescent="0.15">
      <c r="A85" s="53" t="s">
        <v>227</v>
      </c>
      <c r="B85" s="53" t="s">
        <v>227</v>
      </c>
      <c r="C85" s="53" t="s">
        <v>240</v>
      </c>
      <c r="D85" s="53">
        <v>1</v>
      </c>
      <c r="E85" s="53">
        <v>1</v>
      </c>
      <c r="F85" s="53">
        <v>34</v>
      </c>
      <c r="G85" s="53">
        <v>89610</v>
      </c>
      <c r="H85" s="53">
        <v>32.81</v>
      </c>
      <c r="I85" s="53">
        <v>965441.59500000009</v>
      </c>
      <c r="J85" s="51"/>
      <c r="K85" s="51"/>
    </row>
    <row r="86" spans="1:11" x14ac:dyDescent="0.15">
      <c r="A86" s="53" t="s">
        <v>228</v>
      </c>
      <c r="B86" s="53" t="s">
        <v>228</v>
      </c>
      <c r="C86" s="53" t="s">
        <v>241</v>
      </c>
      <c r="D86" s="53">
        <v>1</v>
      </c>
      <c r="E86" s="53">
        <v>2</v>
      </c>
      <c r="F86" s="53">
        <v>60</v>
      </c>
      <c r="G86" s="53">
        <v>89610</v>
      </c>
      <c r="H86" s="53">
        <v>42.599999999999994</v>
      </c>
      <c r="I86" s="53">
        <v>965424.19500000007</v>
      </c>
      <c r="J86" s="51"/>
      <c r="K86" s="51"/>
    </row>
    <row r="87" spans="1:11" x14ac:dyDescent="0.15">
      <c r="A87" s="53" t="s">
        <v>229</v>
      </c>
      <c r="B87" s="53" t="s">
        <v>229</v>
      </c>
      <c r="C87" s="53" t="s">
        <v>204</v>
      </c>
      <c r="D87" s="53">
        <v>3</v>
      </c>
      <c r="E87" s="53">
        <v>1</v>
      </c>
      <c r="F87" s="53">
        <v>60</v>
      </c>
      <c r="G87" s="53">
        <v>89610</v>
      </c>
      <c r="H87" s="53">
        <v>0</v>
      </c>
      <c r="I87" s="53">
        <v>965364.19500000007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478</v>
      </c>
      <c r="H1" t="s">
        <v>479</v>
      </c>
      <c r="I1" t="s">
        <v>480</v>
      </c>
      <c r="J1" t="s">
        <v>481</v>
      </c>
      <c r="K1" t="s">
        <v>482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2018-06-30T17:16:12Z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