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K3" sheetId="1" r:id="rId1"/>
    <sheet name="K3Source" sheetId="2" r:id="rId2"/>
    <sheet name="ExportXML" sheetId="4" r:id="rId3"/>
    <sheet name="Agent" sheetId="5" r:id="rId4"/>
  </sheets>
  <functionGroups builtInGroupCount="18"/>
  <definedNames>
    <definedName name="_xlnm._FilterDatabase" localSheetId="3" hidden="1">Agent!$O$1:$P$30</definedName>
    <definedName name="_xlnm._FilterDatabase" localSheetId="0" hidden="1">'K3'!$A$1:$O$26</definedName>
  </definedNames>
  <calcPr calcId="162913"/>
</workbook>
</file>

<file path=xl/calcChain.xml><?xml version="1.0" encoding="utf-8"?>
<calcChain xmlns="http://schemas.openxmlformats.org/spreadsheetml/2006/main">
  <c r="AB9" i="1" l="1"/>
  <c r="I9" i="1" s="1"/>
  <c r="I3" i="1"/>
  <c r="I4" i="1"/>
  <c r="I5" i="1"/>
  <c r="I6" i="1"/>
  <c r="I7" i="1"/>
  <c r="I8" i="1"/>
  <c r="I2" i="1"/>
  <c r="Y3" i="1" l="1"/>
  <c r="Y4" i="1"/>
  <c r="Y5" i="1"/>
  <c r="Y6" i="1"/>
  <c r="Y7" i="1"/>
  <c r="Y8" i="1"/>
  <c r="Y9" i="1"/>
  <c r="Y2" i="1"/>
  <c r="O48" i="5" l="1"/>
  <c r="O45" i="5"/>
  <c r="O42" i="5"/>
  <c r="O39" i="5"/>
  <c r="O36" i="5"/>
  <c r="O33" i="5"/>
  <c r="O30" i="5"/>
  <c r="O27" i="5"/>
  <c r="O24" i="5"/>
  <c r="O21" i="5"/>
  <c r="O18" i="5"/>
  <c r="O15" i="5"/>
  <c r="O12" i="5"/>
  <c r="O9" i="5"/>
  <c r="O6" i="5"/>
  <c r="C22" i="2" l="1"/>
  <c r="C21" i="2"/>
  <c r="C20" i="2"/>
  <c r="C19" i="2"/>
  <c r="K6" i="2"/>
  <c r="Z6" i="1" s="1"/>
  <c r="Z4" i="1"/>
  <c r="Z5" i="1"/>
  <c r="Z7" i="1"/>
  <c r="Z8" i="1"/>
  <c r="Z9" i="1"/>
  <c r="Z3" i="1"/>
  <c r="AA4" i="1"/>
  <c r="AA5" i="1"/>
  <c r="AA6" i="1"/>
  <c r="AA7" i="1"/>
  <c r="AA8" i="1"/>
  <c r="AA9" i="1"/>
  <c r="AA3" i="1"/>
  <c r="M4" i="1"/>
  <c r="M5" i="1"/>
  <c r="M6" i="1"/>
  <c r="M7" i="1"/>
  <c r="M8" i="1"/>
  <c r="M9" i="1"/>
  <c r="M3" i="1"/>
  <c r="R14" i="5" l="1"/>
  <c r="R13" i="5"/>
  <c r="R12" i="5"/>
  <c r="R11" i="5"/>
  <c r="R10" i="5"/>
  <c r="R9" i="5"/>
  <c r="R8" i="5"/>
  <c r="R7" i="5"/>
  <c r="R6" i="5"/>
  <c r="R5" i="5"/>
  <c r="R4" i="5"/>
  <c r="R3" i="5"/>
  <c r="Y2" i="5"/>
  <c r="W2" i="5"/>
  <c r="S3" i="5" s="1"/>
  <c r="U3" i="5" s="1"/>
  <c r="U2" i="5"/>
  <c r="Y3" i="5" l="1"/>
  <c r="W3" i="5"/>
  <c r="S4" i="5" s="1"/>
  <c r="U4" i="5" s="1"/>
  <c r="Y4" i="5" l="1"/>
  <c r="W4" i="5"/>
  <c r="S5" i="5" s="1"/>
  <c r="U5" i="5" s="1"/>
  <c r="Y5" i="5" l="1"/>
  <c r="W5" i="5"/>
  <c r="S6" i="5" s="1"/>
  <c r="U6" i="5" s="1"/>
  <c r="Y6" i="5" l="1"/>
  <c r="W6" i="5"/>
  <c r="S7" i="5" s="1"/>
  <c r="U7" i="5" s="1"/>
  <c r="W7" i="5" l="1"/>
  <c r="S8" i="5" s="1"/>
  <c r="U8" i="5" s="1"/>
  <c r="Y7" i="5"/>
  <c r="Y8" i="5" l="1"/>
  <c r="W8" i="5"/>
  <c r="S9" i="5" s="1"/>
  <c r="U9" i="5" s="1"/>
  <c r="W9" i="5" l="1"/>
  <c r="S10" i="5" s="1"/>
  <c r="U10" i="5" s="1"/>
  <c r="Y9" i="5"/>
  <c r="W10" i="5" l="1"/>
  <c r="S11" i="5" s="1"/>
  <c r="U11" i="5" s="1"/>
  <c r="Y10" i="5"/>
  <c r="Y11" i="5" l="1"/>
  <c r="W11" i="5"/>
  <c r="S12" i="5" s="1"/>
  <c r="U12" i="5" s="1"/>
  <c r="Y12" i="5" l="1"/>
  <c r="W12" i="5"/>
  <c r="S13" i="5" s="1"/>
  <c r="U13" i="5" s="1"/>
  <c r="Y13" i="5" l="1"/>
  <c r="W13" i="5"/>
  <c r="S14" i="5" s="1"/>
  <c r="U14" i="5" s="1"/>
  <c r="Y14" i="5" l="1"/>
  <c r="W14" i="5"/>
  <c r="B22" i="2" l="1"/>
  <c r="E22" i="2"/>
  <c r="E22" i="1" l="1"/>
  <c r="E21" i="1"/>
  <c r="E20" i="1"/>
  <c r="E19" i="1"/>
  <c r="E18" i="1"/>
  <c r="E17" i="1"/>
  <c r="E16" i="1"/>
  <c r="E15" i="1"/>
  <c r="E14" i="1"/>
  <c r="I10" i="2" l="1"/>
  <c r="H8" i="2"/>
  <c r="H7" i="2"/>
  <c r="H3" i="2"/>
  <c r="J9" i="2"/>
  <c r="L9" i="2"/>
  <c r="J8" i="2"/>
  <c r="L8" i="2"/>
  <c r="J7" i="2"/>
  <c r="L7" i="2"/>
  <c r="J6" i="2"/>
  <c r="L6" i="2"/>
  <c r="J5" i="2"/>
  <c r="J4" i="2"/>
  <c r="L4" i="2"/>
  <c r="J3" i="2"/>
  <c r="L3" i="2"/>
  <c r="L5" i="2"/>
  <c r="B12" i="2"/>
  <c r="E13" i="2"/>
  <c r="E14" i="2"/>
  <c r="E15" i="2"/>
  <c r="E12" i="2"/>
  <c r="B30" i="2"/>
  <c r="B23" i="2"/>
  <c r="B24" i="2" s="1"/>
  <c r="E23" i="2"/>
  <c r="E21" i="2"/>
  <c r="E20" i="2"/>
  <c r="E19" i="2"/>
  <c r="I17" i="2" s="1"/>
  <c r="E18" i="2"/>
  <c r="E17" i="2"/>
  <c r="E16" i="2"/>
  <c r="B25" i="2"/>
  <c r="B21" i="2"/>
  <c r="B26" i="2" s="1"/>
  <c r="B20" i="2"/>
  <c r="B27" i="2" s="1"/>
  <c r="B19" i="2"/>
  <c r="B28" i="2" s="1"/>
  <c r="B18" i="2"/>
  <c r="B29" i="2" s="1"/>
  <c r="B17" i="2"/>
  <c r="B16" i="2"/>
  <c r="B31" i="2" s="1"/>
  <c r="B13" i="2"/>
  <c r="B14" i="2"/>
  <c r="B15" i="2"/>
  <c r="L6" i="5" l="1"/>
  <c r="M6" i="5" s="1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Y29" i="5"/>
  <c r="S39" i="5" s="1"/>
  <c r="U29" i="5"/>
  <c r="W29" i="5" s="1"/>
  <c r="S30" i="5" s="1"/>
  <c r="U30" i="5" s="1"/>
  <c r="S27" i="5"/>
  <c r="R27" i="5"/>
  <c r="S26" i="5"/>
  <c r="R26" i="5"/>
  <c r="S25" i="5"/>
  <c r="R25" i="5"/>
  <c r="S24" i="5"/>
  <c r="R24" i="5"/>
  <c r="S23" i="5"/>
  <c r="R23" i="5"/>
  <c r="S22" i="5"/>
  <c r="R22" i="5"/>
  <c r="S21" i="5"/>
  <c r="R21" i="5"/>
  <c r="S20" i="5"/>
  <c r="R20" i="5"/>
  <c r="S19" i="5"/>
  <c r="R19" i="5"/>
  <c r="S18" i="5"/>
  <c r="R18" i="5"/>
  <c r="S17" i="5"/>
  <c r="R17" i="5"/>
  <c r="S16" i="5"/>
  <c r="R16" i="5"/>
  <c r="S15" i="5"/>
  <c r="R15" i="5"/>
  <c r="L9" i="5" l="1"/>
  <c r="M9" i="5" s="1"/>
  <c r="W30" i="5"/>
  <c r="S31" i="5" s="1"/>
  <c r="U31" i="5" s="1"/>
  <c r="Y30" i="5"/>
  <c r="S40" i="5" s="1"/>
  <c r="L12" i="5" l="1"/>
  <c r="M12" i="5" s="1"/>
  <c r="W31" i="5"/>
  <c r="S32" i="5" s="1"/>
  <c r="U32" i="5" s="1"/>
  <c r="Y31" i="5"/>
  <c r="S41" i="5" s="1"/>
  <c r="L15" i="5" l="1"/>
  <c r="M15" i="5" s="1"/>
  <c r="Y32" i="5"/>
  <c r="S42" i="5" s="1"/>
  <c r="W32" i="5"/>
  <c r="S33" i="5" s="1"/>
  <c r="U33" i="5" s="1"/>
  <c r="L18" i="5" l="1"/>
  <c r="M18" i="5" s="1"/>
  <c r="Y33" i="5"/>
  <c r="S43" i="5" s="1"/>
  <c r="W33" i="5"/>
  <c r="S34" i="5" s="1"/>
  <c r="U34" i="5" s="1"/>
  <c r="N18" i="5" l="1"/>
  <c r="L21" i="5"/>
  <c r="M21" i="5" s="1"/>
  <c r="W34" i="5"/>
  <c r="S35" i="5" s="1"/>
  <c r="Y34" i="5"/>
  <c r="S44" i="5" s="1"/>
  <c r="U35" i="5" l="1"/>
  <c r="N15" i="5"/>
  <c r="L24" i="5"/>
  <c r="M24" i="5" s="1"/>
  <c r="N21" i="5"/>
  <c r="Y35" i="5"/>
  <c r="S45" i="5" s="1"/>
  <c r="W35" i="5"/>
  <c r="S36" i="5" s="1"/>
  <c r="U36" i="5" l="1"/>
  <c r="N12" i="5"/>
  <c r="N24" i="5"/>
  <c r="L27" i="5"/>
  <c r="M27" i="5" s="1"/>
  <c r="Y36" i="5"/>
  <c r="S46" i="5" s="1"/>
  <c r="W36" i="5"/>
  <c r="S37" i="5" s="1"/>
  <c r="U37" i="5" l="1"/>
  <c r="N9" i="5"/>
  <c r="L30" i="5"/>
  <c r="M30" i="5" s="1"/>
  <c r="N27" i="5"/>
  <c r="Y37" i="5"/>
  <c r="S47" i="5" s="1"/>
  <c r="W37" i="5"/>
  <c r="S38" i="5" s="1"/>
  <c r="U38" i="5" l="1"/>
  <c r="N6" i="5"/>
  <c r="N30" i="5"/>
  <c r="L33" i="5"/>
  <c r="M33" i="5" s="1"/>
  <c r="W38" i="5"/>
  <c r="Y38" i="5"/>
  <c r="S48" i="5" s="1"/>
  <c r="L3" i="5" s="1"/>
  <c r="K9" i="2" l="1"/>
  <c r="H9" i="2" s="1"/>
  <c r="C16" i="2"/>
  <c r="K4" i="2"/>
  <c r="H4" i="2" s="1"/>
  <c r="C14" i="2"/>
  <c r="C18" i="2"/>
  <c r="K8" i="2"/>
  <c r="C13" i="2"/>
  <c r="C17" i="2"/>
  <c r="K5" i="2"/>
  <c r="H5" i="2" s="1"/>
  <c r="I21" i="2"/>
  <c r="J21" i="2" s="1"/>
  <c r="C15" i="2"/>
  <c r="K7" i="2"/>
  <c r="C23" i="2"/>
  <c r="K3" i="2"/>
  <c r="C12" i="2"/>
  <c r="I12" i="2" s="1"/>
  <c r="L36" i="5"/>
  <c r="M36" i="5" s="1"/>
  <c r="N33" i="5"/>
  <c r="N36" i="5" l="1"/>
  <c r="L39" i="5"/>
  <c r="M39" i="5" s="1"/>
  <c r="N39" i="5" l="1"/>
  <c r="L42" i="5"/>
  <c r="M42" i="5" s="1"/>
  <c r="N42" i="5" l="1"/>
  <c r="L45" i="5"/>
  <c r="M45" i="5" s="1"/>
  <c r="L48" i="5" l="1"/>
  <c r="N45" i="5"/>
  <c r="M48" i="5" l="1"/>
  <c r="N48" i="5" s="1"/>
  <c r="G15" i="1"/>
  <c r="G16" i="1"/>
  <c r="G17" i="1"/>
  <c r="G18" i="1"/>
  <c r="G19" i="1"/>
  <c r="G20" i="1"/>
  <c r="G21" i="1"/>
  <c r="G22" i="1"/>
  <c r="G14" i="1"/>
  <c r="E31" i="2"/>
  <c r="C31" i="2" s="1"/>
  <c r="E30" i="2"/>
  <c r="C30" i="2" s="1"/>
  <c r="E29" i="2"/>
  <c r="C29" i="2" s="1"/>
  <c r="E28" i="2"/>
  <c r="C28" i="2" s="1"/>
  <c r="E27" i="2"/>
  <c r="C27" i="2" s="1"/>
  <c r="E26" i="2"/>
  <c r="C26" i="2" s="1"/>
  <c r="E25" i="2"/>
  <c r="C25" i="2" s="1"/>
  <c r="E24" i="2"/>
  <c r="C24" i="2" s="1"/>
  <c r="G5" i="2" l="1"/>
  <c r="N5" i="1" s="1"/>
  <c r="G8" i="2"/>
  <c r="N8" i="1" s="1"/>
  <c r="G7" i="2"/>
  <c r="N7" i="1" s="1"/>
  <c r="G4" i="2"/>
  <c r="N4" i="1" s="1"/>
  <c r="E3" i="2"/>
  <c r="G3" i="2" s="1"/>
  <c r="N3" i="1" s="1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E2" i="5"/>
  <c r="I2" i="5" s="1"/>
  <c r="C4" i="5" s="1"/>
  <c r="E4" i="5" s="1"/>
  <c r="G4" i="5" l="1"/>
  <c r="C7" i="5" s="1"/>
  <c r="E7" i="5" s="1"/>
  <c r="I4" i="5"/>
  <c r="G2" i="5"/>
  <c r="C3" i="5" s="1"/>
  <c r="E3" i="5" s="1"/>
  <c r="G3" i="5" l="1"/>
  <c r="C5" i="5" s="1"/>
  <c r="E5" i="5" s="1"/>
  <c r="I3" i="5"/>
  <c r="C6" i="5" s="1"/>
  <c r="E6" i="5" s="1"/>
  <c r="C11" i="5"/>
  <c r="E11" i="5" s="1"/>
  <c r="G7" i="5"/>
  <c r="C12" i="5" s="1"/>
  <c r="E12" i="5" s="1"/>
  <c r="I7" i="5"/>
  <c r="C13" i="5" s="1"/>
  <c r="E13" i="5" s="1"/>
  <c r="I13" i="5" l="1"/>
  <c r="C24" i="5" s="1"/>
  <c r="E24" i="5" s="1"/>
  <c r="G13" i="5"/>
  <c r="C23" i="5" s="1"/>
  <c r="E23" i="5" s="1"/>
  <c r="I12" i="5"/>
  <c r="C22" i="5" s="1"/>
  <c r="E22" i="5" s="1"/>
  <c r="G12" i="5"/>
  <c r="G11" i="5"/>
  <c r="C20" i="5" s="1"/>
  <c r="E20" i="5" s="1"/>
  <c r="I11" i="5"/>
  <c r="C21" i="5" s="1"/>
  <c r="E21" i="5" s="1"/>
  <c r="G6" i="5"/>
  <c r="C10" i="5" s="1"/>
  <c r="E10" i="5" s="1"/>
  <c r="I6" i="5"/>
  <c r="I5" i="5"/>
  <c r="C9" i="5" s="1"/>
  <c r="E9" i="5" s="1"/>
  <c r="G5" i="5"/>
  <c r="C8" i="5" s="1"/>
  <c r="E8" i="5" s="1"/>
  <c r="C36" i="5" l="1"/>
  <c r="E36" i="5" s="1"/>
  <c r="I20" i="5"/>
  <c r="C37" i="5" s="1"/>
  <c r="E37" i="5" s="1"/>
  <c r="G20" i="5"/>
  <c r="I8" i="5"/>
  <c r="C15" i="5" s="1"/>
  <c r="E15" i="5" s="1"/>
  <c r="G8" i="5"/>
  <c r="C14" i="5" s="1"/>
  <c r="E14" i="5" s="1"/>
  <c r="I23" i="5"/>
  <c r="G23" i="5"/>
  <c r="C40" i="5" s="1"/>
  <c r="E40" i="5" s="1"/>
  <c r="C17" i="5"/>
  <c r="E17" i="5" s="1"/>
  <c r="I10" i="5"/>
  <c r="C19" i="5" s="1"/>
  <c r="E19" i="5" s="1"/>
  <c r="G10" i="5"/>
  <c r="C18" i="5" s="1"/>
  <c r="E18" i="5" s="1"/>
  <c r="I9" i="5"/>
  <c r="G9" i="5"/>
  <c r="C16" i="5" s="1"/>
  <c r="E16" i="5" s="1"/>
  <c r="I24" i="5"/>
  <c r="G24" i="5"/>
  <c r="I21" i="5"/>
  <c r="G21" i="5"/>
  <c r="G22" i="5"/>
  <c r="C38" i="5" s="1"/>
  <c r="E38" i="5" s="1"/>
  <c r="I22" i="5"/>
  <c r="C39" i="5" s="1"/>
  <c r="E39" i="5" s="1"/>
  <c r="I17" i="5" l="1"/>
  <c r="C31" i="5"/>
  <c r="E31" i="5" s="1"/>
  <c r="G17" i="5"/>
  <c r="G40" i="5"/>
  <c r="I40" i="5"/>
  <c r="C59" i="5" s="1"/>
  <c r="E59" i="5" s="1"/>
  <c r="G18" i="5"/>
  <c r="C32" i="5" s="1"/>
  <c r="E32" i="5" s="1"/>
  <c r="I18" i="5"/>
  <c r="C33" i="5" s="1"/>
  <c r="E33" i="5" s="1"/>
  <c r="G14" i="5"/>
  <c r="C25" i="5" s="1"/>
  <c r="E25" i="5" s="1"/>
  <c r="I14" i="5"/>
  <c r="C26" i="5" s="1"/>
  <c r="E26" i="5" s="1"/>
  <c r="I16" i="5"/>
  <c r="C29" i="5" s="1"/>
  <c r="G16" i="5"/>
  <c r="C30" i="5" s="1"/>
  <c r="E30" i="5" s="1"/>
  <c r="G15" i="5"/>
  <c r="C27" i="5" s="1"/>
  <c r="E27" i="5" s="1"/>
  <c r="I15" i="5"/>
  <c r="C28" i="5" s="1"/>
  <c r="E28" i="5" s="1"/>
  <c r="I39" i="5"/>
  <c r="C58" i="5" s="1"/>
  <c r="E58" i="5" s="1"/>
  <c r="G39" i="5"/>
  <c r="I37" i="5"/>
  <c r="G37" i="5"/>
  <c r="I38" i="5"/>
  <c r="G38" i="5"/>
  <c r="I19" i="5"/>
  <c r="C35" i="5" s="1"/>
  <c r="E35" i="5" s="1"/>
  <c r="G19" i="5"/>
  <c r="C34" i="5" s="1"/>
  <c r="E34" i="5" s="1"/>
  <c r="I36" i="5"/>
  <c r="G36" i="5"/>
  <c r="I33" i="5" l="1"/>
  <c r="C54" i="5" s="1"/>
  <c r="E54" i="5" s="1"/>
  <c r="G33" i="5"/>
  <c r="C53" i="5" s="1"/>
  <c r="E53" i="5" s="1"/>
  <c r="I28" i="5"/>
  <c r="C46" i="5" s="1"/>
  <c r="E46" i="5" s="1"/>
  <c r="G28" i="5"/>
  <c r="E29" i="5"/>
  <c r="I32" i="5"/>
  <c r="C51" i="5" s="1"/>
  <c r="E51" i="5" s="1"/>
  <c r="G32" i="5"/>
  <c r="C52" i="5" s="1"/>
  <c r="E52" i="5" s="1"/>
  <c r="C45" i="5"/>
  <c r="E45" i="5" s="1"/>
  <c r="I27" i="5"/>
  <c r="G27" i="5"/>
  <c r="G30" i="5"/>
  <c r="C49" i="5" s="1"/>
  <c r="E49" i="5" s="1"/>
  <c r="I30" i="5"/>
  <c r="I58" i="5"/>
  <c r="C86" i="5" s="1"/>
  <c r="E86" i="5" s="1"/>
  <c r="C84" i="5"/>
  <c r="E84" i="5" s="1"/>
  <c r="G58" i="5"/>
  <c r="C85" i="5" s="1"/>
  <c r="E85" i="5" s="1"/>
  <c r="G34" i="5"/>
  <c r="C55" i="5" s="1"/>
  <c r="E55" i="5" s="1"/>
  <c r="I34" i="5"/>
  <c r="C56" i="5" s="1"/>
  <c r="E56" i="5" s="1"/>
  <c r="I35" i="5"/>
  <c r="C57" i="5" s="1"/>
  <c r="E57" i="5" s="1"/>
  <c r="G35" i="5"/>
  <c r="I59" i="5"/>
  <c r="C88" i="5" s="1"/>
  <c r="E88" i="5" s="1"/>
  <c r="G59" i="5"/>
  <c r="C87" i="5" s="1"/>
  <c r="E87" i="5" s="1"/>
  <c r="G26" i="5"/>
  <c r="C44" i="5" s="1"/>
  <c r="E44" i="5" s="1"/>
  <c r="I26" i="5"/>
  <c r="C43" i="5" s="1"/>
  <c r="E43" i="5" s="1"/>
  <c r="I25" i="5"/>
  <c r="C42" i="5" s="1"/>
  <c r="E42" i="5" s="1"/>
  <c r="G25" i="5"/>
  <c r="C41" i="5" s="1"/>
  <c r="E41" i="5" s="1"/>
  <c r="G31" i="5"/>
  <c r="I31" i="5"/>
  <c r="C50" i="5" s="1"/>
  <c r="E50" i="5" s="1"/>
  <c r="G88" i="5" l="1"/>
  <c r="I88" i="5"/>
  <c r="I29" i="5"/>
  <c r="C47" i="5" s="1"/>
  <c r="G29" i="5"/>
  <c r="C48" i="5" s="1"/>
  <c r="E48" i="5" s="1"/>
  <c r="I50" i="5"/>
  <c r="C75" i="5" s="1"/>
  <c r="E75" i="5" s="1"/>
  <c r="G50" i="5"/>
  <c r="C76" i="5" s="1"/>
  <c r="E76" i="5" s="1"/>
  <c r="I49" i="5"/>
  <c r="C74" i="5" s="1"/>
  <c r="E74" i="5" s="1"/>
  <c r="G49" i="5"/>
  <c r="C73" i="5" s="1"/>
  <c r="E73" i="5" s="1"/>
  <c r="I44" i="5"/>
  <c r="C66" i="5" s="1"/>
  <c r="E66" i="5" s="1"/>
  <c r="G44" i="5"/>
  <c r="C67" i="5" s="1"/>
  <c r="E67" i="5" s="1"/>
  <c r="I84" i="5"/>
  <c r="G84" i="5"/>
  <c r="I51" i="5"/>
  <c r="C77" i="5" s="1"/>
  <c r="E77" i="5" s="1"/>
  <c r="G51" i="5"/>
  <c r="C78" i="5" s="1"/>
  <c r="E78" i="5" s="1"/>
  <c r="I87" i="5"/>
  <c r="C123" i="5" s="1"/>
  <c r="E123" i="5" s="1"/>
  <c r="G87" i="5"/>
  <c r="I57" i="5"/>
  <c r="C83" i="5"/>
  <c r="E83" i="5" s="1"/>
  <c r="G57" i="5"/>
  <c r="I42" i="5"/>
  <c r="C62" i="5" s="1"/>
  <c r="E62" i="5" s="1"/>
  <c r="G42" i="5"/>
  <c r="C63" i="5" s="1"/>
  <c r="E63" i="5" s="1"/>
  <c r="I54" i="5"/>
  <c r="G54" i="5"/>
  <c r="I86" i="5"/>
  <c r="G86" i="5"/>
  <c r="I46" i="5"/>
  <c r="C71" i="5" s="1"/>
  <c r="E71" i="5" s="1"/>
  <c r="G46" i="5"/>
  <c r="C70" i="5" s="1"/>
  <c r="E70" i="5" s="1"/>
  <c r="G41" i="5"/>
  <c r="C60" i="5" s="1"/>
  <c r="E60" i="5" s="1"/>
  <c r="I41" i="5"/>
  <c r="C61" i="5" s="1"/>
  <c r="E61" i="5" s="1"/>
  <c r="G56" i="5"/>
  <c r="C81" i="5" s="1"/>
  <c r="E81" i="5" s="1"/>
  <c r="I56" i="5"/>
  <c r="C82" i="5" s="1"/>
  <c r="E82" i="5" s="1"/>
  <c r="I53" i="5"/>
  <c r="C80" i="5" s="1"/>
  <c r="E80" i="5" s="1"/>
  <c r="G53" i="5"/>
  <c r="C79" i="5" s="1"/>
  <c r="E79" i="5" s="1"/>
  <c r="I55" i="5"/>
  <c r="G55" i="5"/>
  <c r="I45" i="5"/>
  <c r="C69" i="5" s="1"/>
  <c r="E69" i="5" s="1"/>
  <c r="G45" i="5"/>
  <c r="C68" i="5" s="1"/>
  <c r="E68" i="5" s="1"/>
  <c r="I43" i="5"/>
  <c r="C65" i="5" s="1"/>
  <c r="E65" i="5" s="1"/>
  <c r="G43" i="5"/>
  <c r="C64" i="5" s="1"/>
  <c r="E64" i="5" s="1"/>
  <c r="I85" i="5"/>
  <c r="G85" i="5"/>
  <c r="I52" i="5"/>
  <c r="G52" i="5"/>
  <c r="I123" i="5" l="1"/>
  <c r="C162" i="5" s="1"/>
  <c r="E162" i="5" s="1"/>
  <c r="G123" i="5"/>
  <c r="C163" i="5" s="1"/>
  <c r="E163" i="5" s="1"/>
  <c r="I81" i="5"/>
  <c r="G81" i="5"/>
  <c r="C120" i="5" s="1"/>
  <c r="E120" i="5" s="1"/>
  <c r="I78" i="5"/>
  <c r="G78" i="5"/>
  <c r="I76" i="5"/>
  <c r="C119" i="5" s="1"/>
  <c r="E119" i="5" s="1"/>
  <c r="G76" i="5"/>
  <c r="C118" i="5" s="1"/>
  <c r="E118" i="5" s="1"/>
  <c r="I68" i="5"/>
  <c r="C102" i="5" s="1"/>
  <c r="E102" i="5" s="1"/>
  <c r="G68" i="5"/>
  <c r="C101" i="5" s="1"/>
  <c r="E101" i="5" s="1"/>
  <c r="I61" i="5"/>
  <c r="C92" i="5" s="1"/>
  <c r="E92" i="5" s="1"/>
  <c r="G61" i="5"/>
  <c r="C91" i="5" s="1"/>
  <c r="E91" i="5" s="1"/>
  <c r="I63" i="5"/>
  <c r="C95" i="5" s="1"/>
  <c r="E95" i="5" s="1"/>
  <c r="G63" i="5"/>
  <c r="C96" i="5" s="1"/>
  <c r="E96" i="5" s="1"/>
  <c r="I77" i="5"/>
  <c r="G77" i="5"/>
  <c r="I75" i="5"/>
  <c r="C116" i="5" s="1"/>
  <c r="E116" i="5" s="1"/>
  <c r="G75" i="5"/>
  <c r="C117" i="5" s="1"/>
  <c r="E117" i="5" s="1"/>
  <c r="I69" i="5"/>
  <c r="C104" i="5" s="1"/>
  <c r="E104" i="5" s="1"/>
  <c r="G69" i="5"/>
  <c r="C103" i="5" s="1"/>
  <c r="E103" i="5" s="1"/>
  <c r="I60" i="5"/>
  <c r="C89" i="5" s="1"/>
  <c r="E89" i="5" s="1"/>
  <c r="G60" i="5"/>
  <c r="C90" i="5" s="1"/>
  <c r="E90" i="5" s="1"/>
  <c r="I62" i="5"/>
  <c r="C94" i="5" s="1"/>
  <c r="E94" i="5" s="1"/>
  <c r="G62" i="5"/>
  <c r="C93" i="5" s="1"/>
  <c r="E93" i="5" s="1"/>
  <c r="G48" i="5"/>
  <c r="I48" i="5"/>
  <c r="C111" i="5" s="1"/>
  <c r="E111" i="5" s="1"/>
  <c r="I82" i="5"/>
  <c r="G82" i="5"/>
  <c r="I70" i="5"/>
  <c r="C106" i="5" s="1"/>
  <c r="E106" i="5" s="1"/>
  <c r="G70" i="5"/>
  <c r="C105" i="5"/>
  <c r="E105" i="5" s="1"/>
  <c r="E47" i="5"/>
  <c r="I74" i="5"/>
  <c r="C115" i="5" s="1"/>
  <c r="E115" i="5" s="1"/>
  <c r="G74" i="5"/>
  <c r="C114" i="5" s="1"/>
  <c r="E114" i="5" s="1"/>
  <c r="G64" i="5"/>
  <c r="C97" i="5" s="1"/>
  <c r="E97" i="5" s="1"/>
  <c r="I64" i="5"/>
  <c r="C98" i="5" s="1"/>
  <c r="E98" i="5" s="1"/>
  <c r="I65" i="5"/>
  <c r="C99" i="5" s="1"/>
  <c r="E99" i="5" s="1"/>
  <c r="G65" i="5"/>
  <c r="C100" i="5" s="1"/>
  <c r="E100" i="5" s="1"/>
  <c r="I71" i="5"/>
  <c r="C107" i="5" s="1"/>
  <c r="E107" i="5" s="1"/>
  <c r="G71" i="5"/>
  <c r="C108" i="5" s="1"/>
  <c r="E108" i="5" s="1"/>
  <c r="I83" i="5"/>
  <c r="C121" i="5" s="1"/>
  <c r="E121" i="5" s="1"/>
  <c r="G83" i="5"/>
  <c r="C122" i="5" s="1"/>
  <c r="E122" i="5" s="1"/>
  <c r="I67" i="5"/>
  <c r="G67" i="5"/>
  <c r="I79" i="5"/>
  <c r="G79" i="5"/>
  <c r="I66" i="5"/>
  <c r="G66" i="5"/>
  <c r="G80" i="5"/>
  <c r="C202" i="5" s="1"/>
  <c r="E202" i="5" s="1"/>
  <c r="I80" i="5"/>
  <c r="C203" i="5" s="1"/>
  <c r="E203" i="5" s="1"/>
  <c r="C112" i="5"/>
  <c r="E112" i="5" s="1"/>
  <c r="I73" i="5"/>
  <c r="C113" i="5" s="1"/>
  <c r="E113" i="5" s="1"/>
  <c r="G73" i="5"/>
  <c r="I118" i="5" l="1"/>
  <c r="C159" i="5" s="1"/>
  <c r="E159" i="5" s="1"/>
  <c r="G118" i="5"/>
  <c r="C158" i="5" s="1"/>
  <c r="E158" i="5" s="1"/>
  <c r="G96" i="5"/>
  <c r="I96" i="5"/>
  <c r="C128" i="5"/>
  <c r="E128" i="5" s="1"/>
  <c r="I93" i="5"/>
  <c r="G93" i="5"/>
  <c r="C129" i="5" s="1"/>
  <c r="E129" i="5" s="1"/>
  <c r="I105" i="5"/>
  <c r="G105" i="5"/>
  <c r="I119" i="5"/>
  <c r="G119" i="5"/>
  <c r="I90" i="5"/>
  <c r="G90" i="5"/>
  <c r="I113" i="5"/>
  <c r="G113" i="5"/>
  <c r="I98" i="5"/>
  <c r="G98" i="5"/>
  <c r="I106" i="5"/>
  <c r="G106" i="5"/>
  <c r="I89" i="5"/>
  <c r="C124" i="5" s="1"/>
  <c r="E124" i="5" s="1"/>
  <c r="G89" i="5"/>
  <c r="C125" i="5" s="1"/>
  <c r="E125" i="5" s="1"/>
  <c r="I95" i="5"/>
  <c r="C132" i="5" s="1"/>
  <c r="E132" i="5" s="1"/>
  <c r="G95" i="5"/>
  <c r="C133" i="5" s="1"/>
  <c r="E133" i="5" s="1"/>
  <c r="I47" i="5"/>
  <c r="C72" i="5" s="1"/>
  <c r="G47" i="5"/>
  <c r="I100" i="5"/>
  <c r="C138" i="5" s="1"/>
  <c r="E138" i="5" s="1"/>
  <c r="G100" i="5"/>
  <c r="C139" i="5" s="1"/>
  <c r="E139" i="5" s="1"/>
  <c r="I94" i="5"/>
  <c r="G94" i="5"/>
  <c r="I99" i="5"/>
  <c r="C137" i="5" s="1"/>
  <c r="E137" i="5" s="1"/>
  <c r="G99" i="5"/>
  <c r="C136" i="5" s="1"/>
  <c r="E136" i="5" s="1"/>
  <c r="G112" i="5"/>
  <c r="C152" i="5" s="1"/>
  <c r="E152" i="5" s="1"/>
  <c r="I112" i="5"/>
  <c r="C153" i="5" s="1"/>
  <c r="E153" i="5" s="1"/>
  <c r="I97" i="5"/>
  <c r="C135" i="5" s="1"/>
  <c r="E135" i="5" s="1"/>
  <c r="G97" i="5"/>
  <c r="C134" i="5" s="1"/>
  <c r="E134" i="5" s="1"/>
  <c r="I103" i="5"/>
  <c r="G103" i="5"/>
  <c r="I91" i="5"/>
  <c r="G91" i="5"/>
  <c r="G120" i="5"/>
  <c r="C161" i="5" s="1"/>
  <c r="E161" i="5" s="1"/>
  <c r="I120" i="5"/>
  <c r="C160" i="5" s="1"/>
  <c r="E160" i="5" s="1"/>
  <c r="I203" i="5"/>
  <c r="G203" i="5"/>
  <c r="I122" i="5"/>
  <c r="G122" i="5"/>
  <c r="I114" i="5"/>
  <c r="C154" i="5" s="1"/>
  <c r="E154" i="5" s="1"/>
  <c r="G114" i="5"/>
  <c r="C155" i="5" s="1"/>
  <c r="E155" i="5" s="1"/>
  <c r="G104" i="5"/>
  <c r="C142" i="5" s="1"/>
  <c r="E142" i="5" s="1"/>
  <c r="I104" i="5"/>
  <c r="C143" i="5" s="1"/>
  <c r="E143" i="5" s="1"/>
  <c r="I92" i="5"/>
  <c r="C127" i="5" s="1"/>
  <c r="E127" i="5" s="1"/>
  <c r="G92" i="5"/>
  <c r="C126" i="5" s="1"/>
  <c r="E126" i="5" s="1"/>
  <c r="I202" i="5"/>
  <c r="G202" i="5"/>
  <c r="I121" i="5"/>
  <c r="G121" i="5"/>
  <c r="I115" i="5"/>
  <c r="G115" i="5"/>
  <c r="I111" i="5"/>
  <c r="G111" i="5"/>
  <c r="I117" i="5"/>
  <c r="G117" i="5"/>
  <c r="I101" i="5"/>
  <c r="C141" i="5" s="1"/>
  <c r="E141" i="5" s="1"/>
  <c r="G101" i="5"/>
  <c r="C140" i="5" s="1"/>
  <c r="E140" i="5" s="1"/>
  <c r="I163" i="5"/>
  <c r="G163" i="5"/>
  <c r="I107" i="5"/>
  <c r="C149" i="5" s="1"/>
  <c r="E149" i="5" s="1"/>
  <c r="G107" i="5"/>
  <c r="C148" i="5" s="1"/>
  <c r="E148" i="5" s="1"/>
  <c r="I108" i="5"/>
  <c r="G108" i="5"/>
  <c r="I116" i="5"/>
  <c r="C157" i="5" s="1"/>
  <c r="E157" i="5" s="1"/>
  <c r="G116" i="5"/>
  <c r="C156" i="5" s="1"/>
  <c r="E156" i="5" s="1"/>
  <c r="I102" i="5"/>
  <c r="G102" i="5"/>
  <c r="I162" i="5"/>
  <c r="G162" i="5"/>
  <c r="I154" i="5" l="1"/>
  <c r="G154" i="5"/>
  <c r="C144" i="5"/>
  <c r="E144" i="5" s="1"/>
  <c r="C147" i="5"/>
  <c r="E147" i="5" s="1"/>
  <c r="I133" i="5"/>
  <c r="C177" i="5" s="1"/>
  <c r="E177" i="5" s="1"/>
  <c r="G133" i="5"/>
  <c r="C178" i="5" s="1"/>
  <c r="E178" i="5" s="1"/>
  <c r="I129" i="5"/>
  <c r="C172" i="5" s="1"/>
  <c r="E172" i="5" s="1"/>
  <c r="G129" i="5"/>
  <c r="C173" i="5" s="1"/>
  <c r="E173" i="5" s="1"/>
  <c r="I132" i="5"/>
  <c r="G132" i="5"/>
  <c r="C130" i="5"/>
  <c r="E130" i="5" s="1"/>
  <c r="C131" i="5"/>
  <c r="E131" i="5" s="1"/>
  <c r="I148" i="5"/>
  <c r="G148" i="5"/>
  <c r="I126" i="5"/>
  <c r="G126" i="5"/>
  <c r="I134" i="5"/>
  <c r="G134" i="5"/>
  <c r="I139" i="5"/>
  <c r="G139" i="5"/>
  <c r="I125" i="5"/>
  <c r="C168" i="5" s="1"/>
  <c r="E168" i="5" s="1"/>
  <c r="G125" i="5"/>
  <c r="C167" i="5" s="1"/>
  <c r="E167" i="5" s="1"/>
  <c r="G128" i="5"/>
  <c r="C170" i="5" s="1"/>
  <c r="E170" i="5" s="1"/>
  <c r="C169" i="5"/>
  <c r="E169" i="5" s="1"/>
  <c r="I128" i="5"/>
  <c r="C171" i="5" s="1"/>
  <c r="E171" i="5" s="1"/>
  <c r="I149" i="5"/>
  <c r="C196" i="5" s="1"/>
  <c r="E196" i="5" s="1"/>
  <c r="G149" i="5"/>
  <c r="C197" i="5" s="1"/>
  <c r="E197" i="5" s="1"/>
  <c r="I135" i="5"/>
  <c r="C180" i="5" s="1"/>
  <c r="E180" i="5" s="1"/>
  <c r="G135" i="5"/>
  <c r="C179" i="5" s="1"/>
  <c r="E179" i="5" s="1"/>
  <c r="I156" i="5"/>
  <c r="G156" i="5"/>
  <c r="I143" i="5"/>
  <c r="G143" i="5"/>
  <c r="G160" i="5"/>
  <c r="I160" i="5"/>
  <c r="I153" i="5"/>
  <c r="G153" i="5"/>
  <c r="I141" i="5"/>
  <c r="C186" i="5" s="1"/>
  <c r="E186" i="5" s="1"/>
  <c r="G141" i="5"/>
  <c r="C187" i="5" s="1"/>
  <c r="E187" i="5" s="1"/>
  <c r="I137" i="5"/>
  <c r="G137" i="5"/>
  <c r="I127" i="5"/>
  <c r="G127" i="5"/>
  <c r="I138" i="5"/>
  <c r="G138" i="5"/>
  <c r="I157" i="5"/>
  <c r="G157" i="5"/>
  <c r="I142" i="5"/>
  <c r="G142" i="5"/>
  <c r="I161" i="5"/>
  <c r="G161" i="5"/>
  <c r="G152" i="5"/>
  <c r="I152" i="5"/>
  <c r="E72" i="5"/>
  <c r="I158" i="5"/>
  <c r="G158" i="5"/>
  <c r="I124" i="5"/>
  <c r="C166" i="5" s="1"/>
  <c r="E166" i="5" s="1"/>
  <c r="G124" i="5"/>
  <c r="C165" i="5" s="1"/>
  <c r="E165" i="5" s="1"/>
  <c r="C164" i="5"/>
  <c r="E164" i="5" s="1"/>
  <c r="I140" i="5"/>
  <c r="C185" i="5" s="1"/>
  <c r="E185" i="5" s="1"/>
  <c r="G140" i="5"/>
  <c r="C184" i="5" s="1"/>
  <c r="E184" i="5" s="1"/>
  <c r="C183" i="5"/>
  <c r="E183" i="5" s="1"/>
  <c r="I155" i="5"/>
  <c r="C198" i="5" s="1"/>
  <c r="E198" i="5" s="1"/>
  <c r="G155" i="5"/>
  <c r="C199" i="5" s="1"/>
  <c r="E199" i="5" s="1"/>
  <c r="G136" i="5"/>
  <c r="C181" i="5" s="1"/>
  <c r="E181" i="5" s="1"/>
  <c r="I136" i="5"/>
  <c r="C182" i="5" s="1"/>
  <c r="E182" i="5" s="1"/>
  <c r="C146" i="5"/>
  <c r="E146" i="5" s="1"/>
  <c r="C145" i="5"/>
  <c r="E145" i="5" s="1"/>
  <c r="I159" i="5"/>
  <c r="C200" i="5" s="1"/>
  <c r="E200" i="5" s="1"/>
  <c r="G159" i="5"/>
  <c r="C201" i="5" s="1"/>
  <c r="E201" i="5" s="1"/>
  <c r="I164" i="5" l="1"/>
  <c r="G164" i="5"/>
  <c r="I180" i="5"/>
  <c r="G180" i="5"/>
  <c r="G200" i="5"/>
  <c r="I200" i="5"/>
  <c r="G184" i="5"/>
  <c r="I184" i="5"/>
  <c r="G72" i="5"/>
  <c r="C109" i="5" s="1"/>
  <c r="I72" i="5"/>
  <c r="C110" i="5" s="1"/>
  <c r="E110" i="5" s="1"/>
  <c r="I186" i="5"/>
  <c r="G186" i="5"/>
  <c r="I167" i="5"/>
  <c r="G167" i="5"/>
  <c r="I173" i="5"/>
  <c r="G173" i="5"/>
  <c r="I145" i="5"/>
  <c r="C191" i="5" s="1"/>
  <c r="E191" i="5" s="1"/>
  <c r="G145" i="5"/>
  <c r="C192" i="5" s="1"/>
  <c r="E192" i="5" s="1"/>
  <c r="I185" i="5"/>
  <c r="G185" i="5"/>
  <c r="I179" i="5"/>
  <c r="G179" i="5"/>
  <c r="G168" i="5"/>
  <c r="I168" i="5"/>
  <c r="I172" i="5"/>
  <c r="G172" i="5"/>
  <c r="I178" i="5"/>
  <c r="G178" i="5"/>
  <c r="I177" i="5"/>
  <c r="G177" i="5"/>
  <c r="C193" i="5"/>
  <c r="E193" i="5" s="1"/>
  <c r="I146" i="5"/>
  <c r="C195" i="5" s="1"/>
  <c r="E195" i="5" s="1"/>
  <c r="G146" i="5"/>
  <c r="C194" i="5" s="1"/>
  <c r="E194" i="5" s="1"/>
  <c r="I165" i="5"/>
  <c r="G165" i="5"/>
  <c r="I181" i="5"/>
  <c r="G181" i="5"/>
  <c r="I196" i="5"/>
  <c r="G196" i="5"/>
  <c r="I131" i="5"/>
  <c r="G131" i="5"/>
  <c r="I147" i="5"/>
  <c r="G147" i="5"/>
  <c r="I199" i="5"/>
  <c r="G199" i="5"/>
  <c r="I171" i="5"/>
  <c r="G171" i="5"/>
  <c r="C174" i="5"/>
  <c r="E174" i="5" s="1"/>
  <c r="I130" i="5"/>
  <c r="C176" i="5" s="1"/>
  <c r="E176" i="5" s="1"/>
  <c r="G130" i="5"/>
  <c r="C175" i="5" s="1"/>
  <c r="E175" i="5" s="1"/>
  <c r="G144" i="5"/>
  <c r="C189" i="5" s="1"/>
  <c r="E189" i="5" s="1"/>
  <c r="C188" i="5"/>
  <c r="E188" i="5" s="1"/>
  <c r="I144" i="5"/>
  <c r="C190" i="5" s="1"/>
  <c r="E190" i="5" s="1"/>
  <c r="I182" i="5"/>
  <c r="G182" i="5"/>
  <c r="I197" i="5"/>
  <c r="G197" i="5"/>
  <c r="I166" i="5"/>
  <c r="G166" i="5"/>
  <c r="I198" i="5"/>
  <c r="G198" i="5"/>
  <c r="I169" i="5"/>
  <c r="G169" i="5"/>
  <c r="I201" i="5"/>
  <c r="G201" i="5"/>
  <c r="I183" i="5"/>
  <c r="G183" i="5"/>
  <c r="I187" i="5"/>
  <c r="G187" i="5"/>
  <c r="I170" i="5"/>
  <c r="G170" i="5"/>
  <c r="I193" i="5" l="1"/>
  <c r="G193" i="5"/>
  <c r="I175" i="5"/>
  <c r="G175" i="5"/>
  <c r="G192" i="5"/>
  <c r="I192" i="5"/>
  <c r="I110" i="5"/>
  <c r="G110" i="5"/>
  <c r="G176" i="5"/>
  <c r="I176" i="5"/>
  <c r="I194" i="5"/>
  <c r="G194" i="5"/>
  <c r="I191" i="5"/>
  <c r="G191" i="5"/>
  <c r="E109" i="5"/>
  <c r="I174" i="5"/>
  <c r="G174" i="5"/>
  <c r="I195" i="5"/>
  <c r="G195" i="5"/>
  <c r="I190" i="5"/>
  <c r="G190" i="5"/>
  <c r="I188" i="5"/>
  <c r="G188" i="5"/>
  <c r="I189" i="5"/>
  <c r="G189" i="5"/>
  <c r="I109" i="5" l="1"/>
  <c r="C150" i="5" s="1"/>
  <c r="E150" i="5" s="1"/>
  <c r="G109" i="5"/>
  <c r="C151" i="5" s="1"/>
  <c r="E151" i="5" l="1"/>
  <c r="I150" i="5"/>
  <c r="G150" i="5"/>
  <c r="I151" i="5" l="1"/>
  <c r="G151" i="5"/>
  <c r="F2" i="1" l="1"/>
  <c r="AB4" i="1"/>
  <c r="AB7" i="1"/>
  <c r="AB5" i="1"/>
  <c r="I8" i="2"/>
  <c r="I9" i="2"/>
  <c r="I5" i="2"/>
  <c r="I6" i="2"/>
  <c r="I7" i="2"/>
  <c r="I4" i="2"/>
  <c r="I3" i="2"/>
  <c r="I2" i="2"/>
  <c r="Q8" i="1" l="1"/>
  <c r="R8" i="1"/>
  <c r="S8" i="1"/>
  <c r="T8" i="1"/>
  <c r="U8" i="1"/>
  <c r="W8" i="1"/>
  <c r="X8" i="1"/>
  <c r="V8" i="1"/>
  <c r="O8" i="1"/>
  <c r="P8" i="1"/>
  <c r="O5" i="1"/>
  <c r="W5" i="1"/>
  <c r="P5" i="1"/>
  <c r="X5" i="1"/>
  <c r="Q5" i="1"/>
  <c r="R5" i="1"/>
  <c r="S5" i="1"/>
  <c r="U5" i="1"/>
  <c r="T5" i="1"/>
  <c r="V5" i="1"/>
  <c r="S7" i="1"/>
  <c r="T7" i="1"/>
  <c r="U7" i="1"/>
  <c r="V7" i="1"/>
  <c r="O7" i="1"/>
  <c r="W7" i="1"/>
  <c r="Q7" i="1"/>
  <c r="R7" i="1"/>
  <c r="P7" i="1"/>
  <c r="X7" i="1"/>
  <c r="Q4" i="1"/>
  <c r="R4" i="1"/>
  <c r="S4" i="1"/>
  <c r="T4" i="1"/>
  <c r="U4" i="1"/>
  <c r="O4" i="1"/>
  <c r="X4" i="1"/>
  <c r="V4" i="1"/>
  <c r="W4" i="1"/>
  <c r="P4" i="1"/>
  <c r="W3" i="1"/>
  <c r="X3" i="1"/>
  <c r="U3" i="1"/>
  <c r="V3" i="1"/>
  <c r="S3" i="1"/>
  <c r="T3" i="1"/>
  <c r="Q3" i="1"/>
  <c r="R3" i="1"/>
  <c r="O3" i="1"/>
  <c r="P3" i="1"/>
  <c r="E4" i="2"/>
  <c r="E5" i="2" s="1"/>
  <c r="E6" i="2" s="1"/>
  <c r="K3" i="1"/>
  <c r="N2" i="2"/>
  <c r="G9" i="2"/>
  <c r="N9" i="1" s="1"/>
  <c r="Q9" i="1" s="1"/>
  <c r="N4" i="2"/>
  <c r="N3" i="2"/>
  <c r="M2" i="1" l="1"/>
  <c r="G2" i="2"/>
  <c r="N2" i="1" s="1"/>
  <c r="D12" i="2"/>
  <c r="D13" i="2"/>
  <c r="D15" i="2"/>
  <c r="D14" i="2"/>
  <c r="D17" i="2"/>
  <c r="D16" i="2"/>
  <c r="AD8" i="1"/>
  <c r="AD7" i="1"/>
  <c r="AD3" i="1"/>
  <c r="AD4" i="1"/>
  <c r="H6" i="2"/>
  <c r="K6" i="1" s="1"/>
  <c r="AD5" i="1"/>
  <c r="D26" i="2"/>
  <c r="D18" i="2"/>
  <c r="D27" i="2"/>
  <c r="D20" i="2"/>
  <c r="D28" i="2"/>
  <c r="D21" i="2"/>
  <c r="D29" i="2"/>
  <c r="D25" i="2"/>
  <c r="D22" i="2"/>
  <c r="D30" i="2"/>
  <c r="D23" i="2"/>
  <c r="D31" i="2"/>
  <c r="D24" i="2"/>
  <c r="D19" i="2"/>
  <c r="U9" i="1"/>
  <c r="W9" i="1"/>
  <c r="X9" i="1"/>
  <c r="P9" i="1"/>
  <c r="T9" i="1"/>
  <c r="O9" i="1"/>
  <c r="S9" i="1"/>
  <c r="V9" i="1"/>
  <c r="R9" i="1"/>
  <c r="F19" i="2"/>
  <c r="F27" i="2"/>
  <c r="F20" i="2"/>
  <c r="F28" i="2"/>
  <c r="F21" i="2"/>
  <c r="F29" i="2"/>
  <c r="F22" i="2"/>
  <c r="F30" i="2"/>
  <c r="F17" i="2"/>
  <c r="F25" i="2"/>
  <c r="F18" i="2"/>
  <c r="F26" i="2"/>
  <c r="F23" i="2"/>
  <c r="F31" i="2"/>
  <c r="F24" i="2"/>
  <c r="F16" i="2"/>
  <c r="O17" i="1" s="1"/>
  <c r="E7" i="2"/>
  <c r="E8" i="2" s="1"/>
  <c r="E9" i="2" s="1"/>
  <c r="K4" i="1"/>
  <c r="K5" i="1"/>
  <c r="K8" i="1"/>
  <c r="K9" i="1"/>
  <c r="K7" i="1"/>
  <c r="J2" i="1"/>
  <c r="J4" i="1"/>
  <c r="J5" i="1"/>
  <c r="J3" i="1"/>
  <c r="J9" i="1"/>
  <c r="J7" i="1"/>
  <c r="J8" i="1"/>
  <c r="J6" i="1"/>
  <c r="O2" i="1" l="1"/>
  <c r="P2" i="1"/>
  <c r="X2" i="1"/>
  <c r="Q2" i="1"/>
  <c r="S2" i="1"/>
  <c r="T2" i="1"/>
  <c r="V2" i="1"/>
  <c r="R2" i="1"/>
  <c r="W2" i="1"/>
  <c r="U2" i="1"/>
  <c r="H2" i="2"/>
  <c r="G6" i="2"/>
  <c r="N6" i="1" s="1"/>
  <c r="AD9" i="1"/>
  <c r="O6" i="1" l="1"/>
  <c r="R6" i="1"/>
  <c r="W6" i="1"/>
  <c r="P6" i="1"/>
  <c r="Q6" i="1"/>
  <c r="S6" i="1"/>
  <c r="V6" i="1"/>
  <c r="X6" i="1"/>
  <c r="U6" i="1"/>
  <c r="U11" i="1" s="1"/>
  <c r="T6" i="1"/>
  <c r="T11" i="1"/>
  <c r="K2" i="1"/>
  <c r="L2" i="1" s="1"/>
  <c r="W11" i="1" l="1"/>
  <c r="V11" i="1"/>
  <c r="R11" i="1"/>
  <c r="P11" i="1"/>
  <c r="O11" i="1"/>
  <c r="Q11" i="1"/>
  <c r="X11" i="1"/>
  <c r="S11" i="1"/>
  <c r="AD6" i="1"/>
  <c r="AD2" i="1"/>
  <c r="L3" i="1"/>
  <c r="L4" i="1" s="1"/>
  <c r="L5" i="1" s="1"/>
  <c r="L6" i="1" s="1"/>
  <c r="L7" i="1" s="1"/>
  <c r="L8" i="1" s="1"/>
  <c r="L9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AB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Z2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<sst xmlns="http://schemas.openxmlformats.org/spreadsheetml/2006/main" count="244" uniqueCount="201">
  <si>
    <t>BetRange</t>
  </si>
  <si>
    <t>PlayType</t>
  </si>
  <si>
    <t>Clomun</t>
  </si>
  <si>
    <t>Option</t>
  </si>
  <si>
    <t>Issue</t>
  </si>
  <si>
    <t>Multiple</t>
  </si>
  <si>
    <t>时时彩</t>
  </si>
  <si>
    <t>Principal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</si>
  <si>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</si>
  <si>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</si>
  <si>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</si>
  <si>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</si>
  <si>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</si>
  <si>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</si>
  <si>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</si>
  <si>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</si>
  <si>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</si>
  <si>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spend</t>
    <phoneticPr fontId="1" type="noConversion"/>
  </si>
  <si>
    <t>三码</t>
    <phoneticPr fontId="1" type="noConversion"/>
  </si>
  <si>
    <t>二码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</si>
  <si>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</si>
  <si>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和值</t>
  </si>
  <si>
    <t>和值</t>
    <phoneticPr fontId="1" type="noConversion"/>
  </si>
  <si>
    <t>三同号通选</t>
  </si>
  <si>
    <t>三同号通选</t>
    <phoneticPr fontId="1" type="noConversion"/>
  </si>
  <si>
    <t>三同号单选</t>
  </si>
  <si>
    <t>三同号单选</t>
    <phoneticPr fontId="1" type="noConversion"/>
  </si>
  <si>
    <t>三不同号</t>
  </si>
  <si>
    <t>三不同号</t>
    <phoneticPr fontId="1" type="noConversion"/>
  </si>
  <si>
    <t>三连号通选</t>
  </si>
  <si>
    <t>三连号通选</t>
    <phoneticPr fontId="1" type="noConversion"/>
  </si>
  <si>
    <t>二同号复选</t>
  </si>
  <si>
    <t>二同号复选</t>
    <phoneticPr fontId="1" type="noConversion"/>
  </si>
  <si>
    <t>二同号单选</t>
  </si>
  <si>
    <t>二同号单选</t>
    <phoneticPr fontId="1" type="noConversion"/>
  </si>
  <si>
    <t>二不同号</t>
  </si>
  <si>
    <t>二不同号</t>
    <phoneticPr fontId="1" type="noConversion"/>
  </si>
  <si>
    <t>大 小 单 双 3 4 5 6 7 8 9 10 11 12 13 14 15 16 17 18</t>
  </si>
  <si>
    <t>三同号通选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</si>
  <si>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11 222 333 444 555 666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</si>
  <si>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</si>
  <si>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三连号通选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</si>
  <si>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1 22 33 44 55 66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</si>
  <si>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</si>
  <si>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resultNumber</t>
    <phoneticPr fontId="1" type="noConversion"/>
  </si>
  <si>
    <t>11 22 33 4 5 6</t>
  </si>
  <si>
    <t>11 22 33 4 5 6</t>
    <phoneticPr fontId="1" type="noConversion"/>
  </si>
  <si>
    <t>,大,小,单,双,3,4,5,6,7,8,9,10,11,12,13,14,15,16,17,18,</t>
    <phoneticPr fontId="1" type="noConversion"/>
  </si>
  <si>
    <t>中奖金额</t>
    <phoneticPr fontId="1" type="noConversion"/>
  </si>
  <si>
    <t>amount</t>
    <phoneticPr fontId="1" type="noConversion"/>
  </si>
  <si>
    <r>
      <t>,3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</si>
  <si>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</si>
  <si>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</si>
  <si>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</si>
  <si>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</si>
  <si>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</si>
  <si>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</si>
  <si>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</si>
  <si>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</si>
  <si>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</si>
  <si>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</si>
  <si>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</si>
  <si>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</si>
  <si>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</si>
  <si>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</si>
  <si>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</si>
  <si>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1 2 3 4 5 6</t>
  </si>
  <si>
    <t>1 2 3 4 5 6</t>
    <phoneticPr fontId="1" type="noConversion"/>
  </si>
  <si>
    <t>,11,22,33,4,5,6,</t>
    <phoneticPr fontId="1" type="noConversion"/>
  </si>
  <si>
    <t>111 222 333 444 555 666</t>
  </si>
  <si>
    <t>11 22 33 44 55 66</t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</si>
  <si>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</si>
  <si>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</si>
  <si>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</si>
  <si>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</si>
  <si>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</si>
  <si>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</si>
  <si>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t>betUserId</t>
    <phoneticPr fontId="1" type="noConversion"/>
  </si>
  <si>
    <t>上级1Code</t>
    <phoneticPr fontId="1" type="noConversion"/>
  </si>
  <si>
    <t>上级2Code</t>
    <phoneticPr fontId="1" type="noConversion"/>
  </si>
  <si>
    <t>上级4UserId</t>
    <phoneticPr fontId="1" type="noConversion"/>
  </si>
  <si>
    <t>上级5level</t>
    <phoneticPr fontId="1" type="noConversion"/>
  </si>
  <si>
    <t>上级7level</t>
    <phoneticPr fontId="1" type="noConversion"/>
  </si>
  <si>
    <t>中奖注数</t>
    <phoneticPr fontId="1" type="noConversion"/>
  </si>
  <si>
    <t>辅助计算</t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</si>
  <si>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inNumber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</si>
  <si>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</si>
  <si>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</si>
  <si>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</si>
  <si>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</si>
  <si>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</si>
  <si>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</si>
  <si>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</si>
  <si>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</si>
  <si>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</si>
  <si>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</si>
  <si>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betContent</t>
    <phoneticPr fontId="1" type="noConversion"/>
  </si>
  <si>
    <t>spend</t>
    <phoneticPr fontId="1" type="noConversion"/>
  </si>
  <si>
    <t>resultNumber</t>
    <phoneticPr fontId="1" type="noConversion"/>
  </si>
  <si>
    <t>DrawnAmount</t>
    <phoneticPr fontId="1" type="noConversion"/>
  </si>
  <si>
    <t>balance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</si>
  <si>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</si>
  <si>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reward</t>
    <phoneticPr fontId="1" type="noConversion"/>
  </si>
  <si>
    <t>和值dataValue</t>
    <phoneticPr fontId="1" type="noConversion"/>
  </si>
  <si>
    <t>大小单双</t>
    <phoneticPr fontId="1" type="noConversion"/>
  </si>
  <si>
    <r>
      <t>和值3</t>
    </r>
    <r>
      <rPr>
        <sz val="11"/>
        <color theme="1"/>
        <rFont val="宋体"/>
        <family val="3"/>
        <charset val="134"/>
        <scheme val="minor"/>
      </rPr>
      <t>/18</t>
    </r>
    <phoneticPr fontId="1" type="noConversion"/>
  </si>
  <si>
    <r>
      <t>和值4</t>
    </r>
    <r>
      <rPr>
        <sz val="11"/>
        <color theme="1"/>
        <rFont val="宋体"/>
        <family val="3"/>
        <charset val="134"/>
        <scheme val="minor"/>
      </rPr>
      <t>/17</t>
    </r>
    <phoneticPr fontId="1" type="noConversion"/>
  </si>
  <si>
    <r>
      <t>和值5</t>
    </r>
    <r>
      <rPr>
        <sz val="11"/>
        <color theme="1"/>
        <rFont val="宋体"/>
        <family val="3"/>
        <charset val="134"/>
        <scheme val="minor"/>
      </rPr>
      <t>/16</t>
    </r>
    <phoneticPr fontId="1" type="noConversion"/>
  </si>
  <si>
    <r>
      <t>和值6</t>
    </r>
    <r>
      <rPr>
        <sz val="11"/>
        <color theme="1"/>
        <rFont val="宋体"/>
        <family val="3"/>
        <charset val="134"/>
        <scheme val="minor"/>
      </rPr>
      <t>/15</t>
    </r>
    <phoneticPr fontId="1" type="noConversion"/>
  </si>
  <si>
    <r>
      <t>和值7</t>
    </r>
    <r>
      <rPr>
        <sz val="11"/>
        <color theme="1"/>
        <rFont val="宋体"/>
        <family val="3"/>
        <charset val="134"/>
        <scheme val="minor"/>
      </rPr>
      <t>/14</t>
    </r>
    <phoneticPr fontId="1" type="noConversion"/>
  </si>
  <si>
    <r>
      <t>和值8</t>
    </r>
    <r>
      <rPr>
        <sz val="11"/>
        <color theme="1"/>
        <rFont val="宋体"/>
        <family val="3"/>
        <charset val="134"/>
        <scheme val="minor"/>
      </rPr>
      <t>/13</t>
    </r>
    <phoneticPr fontId="1" type="noConversion"/>
  </si>
  <si>
    <r>
      <t>和值9</t>
    </r>
    <r>
      <rPr>
        <sz val="11"/>
        <color theme="1"/>
        <rFont val="宋体"/>
        <family val="3"/>
        <charset val="134"/>
        <scheme val="minor"/>
      </rPr>
      <t>/12</t>
    </r>
    <phoneticPr fontId="1" type="noConversion"/>
  </si>
  <si>
    <r>
      <t>和值1</t>
    </r>
    <r>
      <rPr>
        <sz val="11"/>
        <color theme="1"/>
        <rFont val="宋体"/>
        <family val="3"/>
        <charset val="134"/>
        <scheme val="minor"/>
      </rPr>
      <t>0/11</t>
    </r>
    <phoneticPr fontId="1" type="noConversion"/>
  </si>
  <si>
    <t>9.9reward</t>
    <phoneticPr fontId="1" type="noConversion"/>
  </si>
  <si>
    <t>dataValue</t>
    <phoneticPr fontId="1" type="noConversion"/>
  </si>
  <si>
    <t>9.9reward</t>
    <phoneticPr fontId="1" type="noConversion"/>
  </si>
  <si>
    <t>reward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</si>
  <si>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</si>
  <si>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</si>
  <si>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</si>
  <si>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</si>
  <si>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  <phoneticPr fontId="1" type="noConversion"/>
  </si>
  <si>
    <t>黄金分割线</t>
    <phoneticPr fontId="1" type="noConversion"/>
  </si>
  <si>
    <t>自身level</t>
    <phoneticPr fontId="1" type="noConversion"/>
  </si>
  <si>
    <t>上级1level</t>
    <phoneticPr fontId="1" type="noConversion"/>
  </si>
  <si>
    <t>上级2level</t>
    <phoneticPr fontId="1" type="noConversion"/>
  </si>
  <si>
    <t>上级3Code</t>
    <phoneticPr fontId="1" type="noConversion"/>
  </si>
  <si>
    <t>上级3level</t>
    <phoneticPr fontId="1" type="noConversion"/>
  </si>
  <si>
    <t>上级4Code</t>
    <phoneticPr fontId="1" type="noConversion"/>
  </si>
  <si>
    <t>上级4level</t>
    <phoneticPr fontId="1" type="noConversion"/>
  </si>
  <si>
    <t>上级5Code</t>
    <phoneticPr fontId="1" type="noConversion"/>
  </si>
  <si>
    <t>上级6Code</t>
    <phoneticPr fontId="1" type="noConversion"/>
  </si>
  <si>
    <t>上级6level</t>
    <phoneticPr fontId="1" type="noConversion"/>
  </si>
  <si>
    <t>上级7Code</t>
    <phoneticPr fontId="1" type="noConversion"/>
  </si>
  <si>
    <t>上级8Code</t>
    <phoneticPr fontId="1" type="noConversion"/>
  </si>
  <si>
    <t>上级8level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</si>
  <si>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</si>
  <si>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</si>
  <si>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</si>
  <si>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上级10Code</t>
    <phoneticPr fontId="1" type="noConversion"/>
  </si>
  <si>
    <t>上级10level</t>
    <phoneticPr fontId="1" type="noConversion"/>
  </si>
  <si>
    <t>上级11Code</t>
    <phoneticPr fontId="1" type="noConversion"/>
  </si>
  <si>
    <t>上级11userId</t>
    <phoneticPr fontId="1" type="noConversion"/>
  </si>
  <si>
    <t>上级11level</t>
    <phoneticPr fontId="1" type="noConversion"/>
  </si>
  <si>
    <t>上级12Code</t>
    <phoneticPr fontId="1" type="noConversion"/>
  </si>
  <si>
    <t>上级12level</t>
    <phoneticPr fontId="1" type="noConversion"/>
  </si>
  <si>
    <t>上级12返利</t>
    <phoneticPr fontId="1" type="noConversion"/>
  </si>
  <si>
    <t>上级13Code</t>
    <phoneticPr fontId="1" type="noConversion"/>
  </si>
  <si>
    <t>上级13level</t>
    <phoneticPr fontId="1" type="noConversion"/>
  </si>
  <si>
    <t>上级13返利</t>
    <phoneticPr fontId="1" type="noConversion"/>
  </si>
  <si>
    <t>上级14Code</t>
    <phoneticPr fontId="1" type="noConversion"/>
  </si>
  <si>
    <t>上级14userId</t>
    <phoneticPr fontId="1" type="noConversion"/>
  </si>
  <si>
    <t>上级14level</t>
    <phoneticPr fontId="1" type="noConversion"/>
  </si>
  <si>
    <t>上级15Code</t>
    <phoneticPr fontId="1" type="noConversion"/>
  </si>
  <si>
    <t>上级15level</t>
    <phoneticPr fontId="1" type="noConversion"/>
  </si>
  <si>
    <r>
      <t>9.9</t>
    </r>
    <r>
      <rPr>
        <sz val="11"/>
        <color theme="1"/>
        <rFont val="宋体"/>
        <family val="3"/>
        <charset val="134"/>
        <scheme val="minor"/>
      </rPr>
      <t>odds</t>
    </r>
    <phoneticPr fontId="1" type="noConversion"/>
  </si>
  <si>
    <t>自身</t>
    <phoneticPr fontId="1" type="noConversion"/>
  </si>
  <si>
    <t>自身odds</t>
    <phoneticPr fontId="1" type="noConversion"/>
  </si>
  <si>
    <t>9.9odds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</si>
  <si>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</si>
  <si>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1 2 3 4 5 6</t>
    <phoneticPr fontId="1" type="noConversion"/>
  </si>
  <si>
    <t>,双,</t>
    <phoneticPr fontId="1" type="noConversion"/>
  </si>
  <si>
    <t>,单,</t>
    <phoneticPr fontId="1" type="noConversion"/>
  </si>
  <si>
    <t>,小,</t>
    <phoneticPr fontId="1" type="noConversion"/>
  </si>
  <si>
    <t>,大,</t>
    <phoneticPr fontId="1" type="noConversion"/>
  </si>
  <si>
    <t>null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</si>
  <si>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</si>
  <si>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</si>
  <si>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</si>
  <si>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</si>
  <si>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</si>
  <si>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</si>
  <si>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</si>
  <si>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</si>
  <si>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</si>
  <si>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</si>
  <si>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上级1userId</t>
    <phoneticPr fontId="1" type="noConversion"/>
  </si>
  <si>
    <t>上级2UserId</t>
    <phoneticPr fontId="1" type="noConversion"/>
  </si>
  <si>
    <t>上级3userId</t>
    <phoneticPr fontId="1" type="noConversion"/>
  </si>
  <si>
    <t>上级5userId</t>
    <phoneticPr fontId="1" type="noConversion"/>
  </si>
  <si>
    <t>上级6UserId</t>
    <phoneticPr fontId="1" type="noConversion"/>
  </si>
  <si>
    <t>上级7userId</t>
    <phoneticPr fontId="1" type="noConversion"/>
  </si>
  <si>
    <t>上级8UserId</t>
    <phoneticPr fontId="1" type="noConversion"/>
  </si>
  <si>
    <t>上级10userId</t>
    <phoneticPr fontId="1" type="noConversion"/>
  </si>
  <si>
    <t>上级12userId</t>
    <phoneticPr fontId="1" type="noConversion"/>
  </si>
  <si>
    <t>上级13userId</t>
    <phoneticPr fontId="1" type="noConversion"/>
  </si>
  <si>
    <t>上级15userId</t>
    <phoneticPr fontId="1" type="noConversion"/>
  </si>
  <si>
    <t>上级1返利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</si>
  <si>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</si>
  <si>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</si>
  <si>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</si>
  <si>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</si>
  <si>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</si>
  <si>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</si>
  <si>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</si>
  <si>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</si>
  <si>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</si>
  <si>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上级11返利</t>
    <phoneticPr fontId="1" type="noConversion"/>
  </si>
  <si>
    <t>上级14返利</t>
    <phoneticPr fontId="1" type="noConversion"/>
  </si>
  <si>
    <t>上级15返利</t>
    <phoneticPr fontId="1" type="noConversion"/>
  </si>
  <si>
    <t>返利总和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</si>
</sst>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58" fontId="4" fillId="0" borderId="0" xfId="0" applyNumberFormat="1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</cellXfs>
  <cellStyles count="2">
    <cellStyle name="常规" xfId="0" builtinId="0"/>
    <cellStyle name="常规 2" xfId="1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表1" displayName="表1" ref="A1:I9" tableType="xml" totalsRowShown="0" headerRowDxfId="10" dataDxfId="9" connectionId="6">
  <autoFilter ref="A1:I9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7"/>
  <sheetViews>
    <sheetView tabSelected="1" topLeftCell="D1" zoomScaleNormal="100" workbookViewId="0">
      <pane xSplit="2" ySplit="1" topLeftCell="F2" activePane="bottomRight" state="frozen"/>
      <selection activeCell="D1" sqref="D1"/>
      <selection pane="topRight" activeCell="F1" sqref="F1"/>
      <selection pane="bottomLeft" activeCell="D2" sqref="D2"/>
      <selection pane="bottomRight" activeCell="K14" sqref="K14"/>
    </sheetView>
  </sheetViews>
  <sheetFormatPr defaultColWidth="9" defaultRowHeight="13.5" x14ac:dyDescent="0.15"/>
  <cols>
    <col min="1" max="1" width="4.5" style="17" hidden="1" customWidth="1"/>
    <col min="2" max="2" width="12.75" style="17" hidden="1" customWidth="1"/>
    <col min="3" max="3" width="0.125" style="17" hidden="1" customWidth="1"/>
    <col min="4" max="4" width="12.75" style="17" customWidth="1"/>
    <col min="5" max="5" width="12.125" style="17" customWidth="1"/>
    <col min="6" max="6" width="21.75" style="18" customWidth="1"/>
    <col min="7" max="7" width="7.75" style="17" customWidth="1"/>
    <col min="8" max="8" width="9" style="17" customWidth="1"/>
    <col min="9" max="9" width="6.25" style="17" customWidth="1"/>
    <col min="10" max="10" width="14.75" style="17" customWidth="1"/>
    <col min="11" max="11" width="10.375" style="17" customWidth="1"/>
    <col min="12" max="12" width="9.75" style="17" customWidth="1"/>
    <col min="13" max="13" width="9.625" style="17" customWidth="1"/>
    <col min="14" max="14" width="11.75" style="20" customWidth="1"/>
    <col min="15" max="24" width="13.75" style="20" hidden="1" customWidth="1"/>
    <col min="25" max="25" width="13.75" style="20" customWidth="1"/>
    <col min="26" max="26" width="8.5" style="17" bestFit="1" customWidth="1"/>
    <col min="27" max="27" width="10.125" style="20" customWidth="1"/>
    <col min="28" max="28" width="10.75" style="17" customWidth="1"/>
    <col min="29" max="29" width="10.25" style="17" customWidth="1"/>
    <col min="30" max="16384" width="9" style="17"/>
  </cols>
  <sheetData>
    <row r="1" spans="1:30" x14ac:dyDescent="0.15">
      <c r="A1" s="17">
        <v>1</v>
      </c>
      <c r="B1" s="17">
        <v>5050</v>
      </c>
      <c r="C1" s="17" t="s">
        <v>4</v>
      </c>
      <c r="D1" s="20" t="s">
        <v>0</v>
      </c>
      <c r="E1" s="20" t="s">
        <v>1</v>
      </c>
      <c r="F1" s="20" t="s">
        <v>96</v>
      </c>
      <c r="G1" s="20" t="s">
        <v>5</v>
      </c>
      <c r="H1" s="20" t="s">
        <v>49</v>
      </c>
      <c r="I1" s="20" t="s">
        <v>97</v>
      </c>
      <c r="J1" s="20" t="s">
        <v>98</v>
      </c>
      <c r="K1" s="20" t="s">
        <v>99</v>
      </c>
      <c r="L1" s="20" t="s">
        <v>100</v>
      </c>
      <c r="M1" s="15" t="s">
        <v>101</v>
      </c>
      <c r="N1" s="15" t="s">
        <v>85</v>
      </c>
      <c r="O1" s="15" t="s">
        <v>86</v>
      </c>
      <c r="P1" s="15" t="s">
        <v>87</v>
      </c>
      <c r="Q1" s="15" t="s">
        <v>88</v>
      </c>
      <c r="R1" s="15" t="s">
        <v>89</v>
      </c>
      <c r="S1" s="15" t="s">
        <v>90</v>
      </c>
      <c r="T1" s="15" t="s">
        <v>91</v>
      </c>
      <c r="U1" s="15" t="s">
        <v>92</v>
      </c>
      <c r="V1" s="15" t="s">
        <v>93</v>
      </c>
      <c r="W1" s="15" t="s">
        <v>94</v>
      </c>
      <c r="X1" s="15" t="s">
        <v>95</v>
      </c>
      <c r="Y1" s="15" t="s">
        <v>200</v>
      </c>
      <c r="Z1" s="15" t="s">
        <v>102</v>
      </c>
      <c r="AA1" s="15" t="s">
        <v>113</v>
      </c>
      <c r="AB1" s="17" t="s">
        <v>20</v>
      </c>
      <c r="AC1" s="17" t="s">
        <v>7</v>
      </c>
    </row>
    <row r="2" spans="1:30" ht="40.5" x14ac:dyDescent="0.15">
      <c r="A2" s="1">
        <v>2</v>
      </c>
      <c r="B2" s="17" t="s">
        <v>6</v>
      </c>
      <c r="C2" s="17">
        <v>20180517001</v>
      </c>
      <c r="D2" s="17" t="s">
        <v>18</v>
      </c>
      <c r="E2" s="15" t="s">
        <v>22</v>
      </c>
      <c r="F2" s="16" t="str">
        <f>TRIM(SUBSTITUTE(K3Source!D2,","," "))</f>
        <v>大 小 单 双 3 4 5 6 7 8 9 10 11 12 13 14 15 16 17 18</v>
      </c>
      <c r="G2" s="17">
        <v>1</v>
      </c>
      <c r="H2" s="17">
        <v>2</v>
      </c>
      <c r="I2" s="17">
        <f>AB2*H2</f>
        <v>40</v>
      </c>
      <c r="J2" s="17">
        <f>K3Source!E$2</f>
        <v>145</v>
      </c>
      <c r="K2" s="17">
        <f>K3Source!$H2</f>
        <v>21.56</v>
      </c>
      <c r="L2" s="17">
        <f>AC2-I2+K2</f>
        <v>999981.56</v>
      </c>
      <c r="M2" s="17">
        <f>N(ISNUMBER(FIND(K3Source!N2,K3Source!D2,1)))*E14+N(ISNUMBER(FIND(K3Source!N3,K3Source!D2,1)))*E14+N(ISNUMBER(FIND(K3Source!N$4,K3Source!$D2,1)))*SUM(K3Source!F16:F31)</f>
        <v>1.2E-2</v>
      </c>
      <c r="N2" s="20">
        <f>K3Source!$G2</f>
        <v>3</v>
      </c>
      <c r="O2" s="20">
        <f>IF(ISNUMBER(Agent!$O$6*M2*H2),TRUNC(Agent!$O$6*M2*H2,3),"没有上级")</f>
        <v>2.4E-2</v>
      </c>
      <c r="P2" s="20">
        <f>IF(ISNUMBER(Agent!$O$9*H2*M2),TRUNC(Agent!$O$9*H2*M2,3),"没有上级")</f>
        <v>0.14399999999999999</v>
      </c>
      <c r="Q2" s="20">
        <f>IF(ISNUMBER(Agent!$O$12*H2*M2),TRUNC(Agent!$O$12*H2*M2,3),"没有上级")</f>
        <v>4.8000000000000001E-2</v>
      </c>
      <c r="R2" s="20">
        <f>IF(ISNUMBER(Agent!$O$15*H2*M2),TRUNC(Agent!$O$15*H2*M2,3),"没有上级")</f>
        <v>9.6000000000000002E-2</v>
      </c>
      <c r="S2" s="20">
        <f>IF(ISNUMBER(Agent!$O$18*H2*M2),TRUNC(Agent!$O$18*H2*M2,3),"没有上级")</f>
        <v>7.1999999999999995E-2</v>
      </c>
      <c r="T2" s="20">
        <f>IF(ISNUMBER(Agent!$O$21*H2*M2),TRUNC(Agent!$O$21*H2*M2,3),"没有上级")</f>
        <v>2.4E-2</v>
      </c>
      <c r="U2" s="20">
        <f>IF(ISNUMBER(Agent!$O$24*H2*M2),TRUNC(Agent!$O$24*H2*M2,3),"没有上级")</f>
        <v>0.16800000000000001</v>
      </c>
      <c r="V2" s="20">
        <f>IF(ISNUMBER(Agent!$O$27*H2*M2),TRUNC(Agent!$O$27*H2*M2,3),"没有上级")</f>
        <v>7.1999999999999995E-2</v>
      </c>
      <c r="W2" s="20">
        <f>IF(ISNUMBER(Agent!$O$30*H2*M2),TRUNC(Agent!$O$30*H2*M2,3),"没有上级")</f>
        <v>9.6000000000000002E-2</v>
      </c>
      <c r="X2" s="20">
        <f>IF(ISNUMBER(Agent!$O$33*H2*M2),TRUNC(Agent!$O$33*H2*M2,3),"没有上级")</f>
        <v>7.1999999999999995E-2</v>
      </c>
      <c r="Y2" s="20">
        <f>SUM(O2:X2)</f>
        <v>0.81599999999999984</v>
      </c>
      <c r="AB2" s="17">
        <v>20</v>
      </c>
      <c r="AC2" s="17">
        <v>1000000</v>
      </c>
      <c r="AD2" s="15">
        <f>SUM(O2:X2)</f>
        <v>0.81599999999999984</v>
      </c>
    </row>
    <row r="3" spans="1:30" ht="19.5" customHeight="1" x14ac:dyDescent="0.15">
      <c r="A3" s="17">
        <v>7</v>
      </c>
      <c r="D3" s="17" t="s">
        <v>18</v>
      </c>
      <c r="E3" s="15" t="s">
        <v>24</v>
      </c>
      <c r="F3" s="16" t="s">
        <v>38</v>
      </c>
      <c r="G3" s="20">
        <v>1</v>
      </c>
      <c r="H3" s="20">
        <v>4</v>
      </c>
      <c r="I3" s="20">
        <f t="shared" ref="I3:I9" si="0">AB3*H3</f>
        <v>4</v>
      </c>
      <c r="J3" s="17">
        <f>K3Source!E$2</f>
        <v>145</v>
      </c>
      <c r="K3" s="20">
        <f>K3Source!$H3</f>
        <v>0</v>
      </c>
      <c r="L3" s="17">
        <f t="shared" ref="L3:L9" si="1">$L2-$I3+$K3</f>
        <v>999977.56</v>
      </c>
      <c r="M3" s="20">
        <f>K3Source!J3</f>
        <v>3.5999999999999997E-2</v>
      </c>
      <c r="N3" s="20">
        <f>K3Source!$G3</f>
        <v>0</v>
      </c>
      <c r="O3" s="20">
        <f>IF(ISNUMBER(Agent!$O$6*M3*H3*N3),TRUNC(Agent!$O$6*M3*H3*N3,3),"没有上级")</f>
        <v>0</v>
      </c>
      <c r="P3" s="20">
        <f>IF(ISNUMBER(Agent!$O$9*H3*M3*N3),TRUNC(Agent!$O$9*H3*M3*N3,3),"没有上级")</f>
        <v>0</v>
      </c>
      <c r="Q3" s="20">
        <f>IF(ISNUMBER(Agent!$O$12*H3*M3*N3),TRUNC(Agent!$O$12*H3*M3*N3,3),"没有上级")</f>
        <v>0</v>
      </c>
      <c r="R3" s="20">
        <f>IF(ISNUMBER(Agent!$O$15*H3*M3*N3),TRUNC(Agent!$O$15*H3*M3*N3,3),"没有上级")</f>
        <v>0</v>
      </c>
      <c r="S3" s="20">
        <f>IF(ISNUMBER(Agent!$O$18*H3*M3*N3),TRUNC(Agent!$O$18*H3*M3*N3,3),"没有上级")</f>
        <v>0</v>
      </c>
      <c r="T3" s="20">
        <f>IF(ISNUMBER(Agent!$O$21*H3*M3*N3),TRUNC(Agent!$O$21*H3*M3*N3,3),"没有上级")</f>
        <v>0</v>
      </c>
      <c r="U3" s="20">
        <f>IF(ISNUMBER(Agent!$O$24*H3*M3*N3),TRUNC(Agent!$O$24*H3*M3*N3,3),"没有上级")</f>
        <v>0</v>
      </c>
      <c r="V3" s="20">
        <f>IF(ISNUMBER(Agent!$O$27*H3*M3*N3),TRUNC(Agent!$O$27*H3*M3*N3,3),"没有上级")</f>
        <v>0</v>
      </c>
      <c r="W3" s="20">
        <f>IF(ISNUMBER(Agent!$O$30*H3*M3*N3),TRUNC(Agent!$O$30*H3*M3*N3,3),"没有上级")</f>
        <v>0</v>
      </c>
      <c r="X3" s="20">
        <f>IF(ISNUMBER(Agent!$O$33*H3*M3*N3),TRUNC(Agent!$O$33*H3*M3*N3,3),"没有上级")</f>
        <v>0</v>
      </c>
      <c r="Y3" s="20">
        <f t="shared" ref="Y3:Y9" si="2">SUM(O3:X3)</f>
        <v>0</v>
      </c>
      <c r="Z3" s="19">
        <f>K3Source!K3</f>
        <v>31.14</v>
      </c>
      <c r="AA3" s="19">
        <f>K3Source!L3</f>
        <v>32.363999999999997</v>
      </c>
      <c r="AB3" s="17">
        <v>1</v>
      </c>
      <c r="AD3" s="15">
        <f t="shared" ref="AD3:AD9" si="3">SUM(O3:X3)</f>
        <v>0</v>
      </c>
    </row>
    <row r="4" spans="1:30" ht="27" x14ac:dyDescent="0.15">
      <c r="A4" s="17">
        <v>9</v>
      </c>
      <c r="D4" s="17" t="s">
        <v>18</v>
      </c>
      <c r="E4" s="15" t="s">
        <v>26</v>
      </c>
      <c r="F4" s="16" t="s">
        <v>39</v>
      </c>
      <c r="G4" s="20">
        <v>1</v>
      </c>
      <c r="H4" s="20">
        <v>7</v>
      </c>
      <c r="I4" s="20">
        <f t="shared" si="0"/>
        <v>42</v>
      </c>
      <c r="J4" s="17">
        <f>K3Source!E$2</f>
        <v>145</v>
      </c>
      <c r="K4" s="20">
        <f>K3Source!$H4</f>
        <v>0</v>
      </c>
      <c r="L4" s="20">
        <f t="shared" si="1"/>
        <v>999935.56</v>
      </c>
      <c r="M4" s="20">
        <f>K3Source!J4</f>
        <v>0.216</v>
      </c>
      <c r="N4" s="20">
        <f>K3Source!$G4</f>
        <v>0</v>
      </c>
      <c r="O4" s="20">
        <f>IF(ISNUMBER(Agent!$O$6*M4*H4*N4),TRUNC(Agent!$O$6*M4*H4*N4,3),"没有上级")</f>
        <v>0</v>
      </c>
      <c r="P4" s="20">
        <f>IF(ISNUMBER(Agent!$O$9*H4*M4*N4),TRUNC(Agent!$O$9*H4*M4*N4,3),"没有上级")</f>
        <v>0</v>
      </c>
      <c r="Q4" s="20">
        <f>IF(ISNUMBER(Agent!$O$12*H4*M4*N4),TRUNC(Agent!$O$12*H4*M4*N4,3),"没有上级")</f>
        <v>0</v>
      </c>
      <c r="R4" s="20">
        <f>IF(ISNUMBER(Agent!$O$15*H4*M4*N4),TRUNC(Agent!$O$15*H4*M4*N4,3),"没有上级")</f>
        <v>0</v>
      </c>
      <c r="S4" s="20">
        <f>IF(ISNUMBER(Agent!$O$18*H4*M4*N4),TRUNC(Agent!$O$18*H4*M4*N4,3),"没有上级")</f>
        <v>0</v>
      </c>
      <c r="T4" s="20">
        <f>IF(ISNUMBER(Agent!$O$21*H4*M4*N4),TRUNC(Agent!$O$21*H4*M4*N4,3),"没有上级")</f>
        <v>0</v>
      </c>
      <c r="U4" s="20">
        <f>IF(ISNUMBER(Agent!$O$24*H4*M4*N4),TRUNC(Agent!$O$24*H4*M4*N4,3),"没有上级")</f>
        <v>0</v>
      </c>
      <c r="V4" s="20">
        <f>IF(ISNUMBER(Agent!$O$27*H4*M4*N4),TRUNC(Agent!$O$27*H4*M4*N4,3),"没有上级")</f>
        <v>0</v>
      </c>
      <c r="W4" s="20">
        <f>IF(ISNUMBER(Agent!$O$30*H4*M4*N4),TRUNC(Agent!$O$30*H4*M4*N4,3),"没有上级")</f>
        <v>0</v>
      </c>
      <c r="X4" s="20">
        <f>IF(ISNUMBER(Agent!$O$33*H4*M4*N4),TRUNC(Agent!$O$33*H4*M4*N4,3),"没有上级")</f>
        <v>0</v>
      </c>
      <c r="Y4" s="20">
        <f t="shared" si="2"/>
        <v>0</v>
      </c>
      <c r="Z4" s="19">
        <f>K3Source!K4</f>
        <v>186.84</v>
      </c>
      <c r="AA4" s="19">
        <f>K3Source!L4</f>
        <v>194.184</v>
      </c>
      <c r="AB4" s="20">
        <f>LEN(SUBSTITUTE(F4," ",))/3</f>
        <v>6</v>
      </c>
      <c r="AD4" s="15">
        <f t="shared" si="3"/>
        <v>0</v>
      </c>
    </row>
    <row r="5" spans="1:30" x14ac:dyDescent="0.15">
      <c r="A5" s="17">
        <v>10</v>
      </c>
      <c r="D5" s="17" t="s">
        <v>18</v>
      </c>
      <c r="E5" s="15" t="s">
        <v>28</v>
      </c>
      <c r="F5" s="16" t="s">
        <v>40</v>
      </c>
      <c r="G5" s="20">
        <v>1</v>
      </c>
      <c r="H5" s="20">
        <v>3</v>
      </c>
      <c r="I5" s="20">
        <f t="shared" si="0"/>
        <v>60</v>
      </c>
      <c r="J5" s="17">
        <f>K3Source!E$2</f>
        <v>145</v>
      </c>
      <c r="K5" s="20">
        <f>K3Source!$H5</f>
        <v>93.42</v>
      </c>
      <c r="L5" s="20">
        <f t="shared" si="1"/>
        <v>999968.9800000001</v>
      </c>
      <c r="M5" s="20">
        <f>K3Source!J5</f>
        <v>3.5999999999999997E-2</v>
      </c>
      <c r="N5" s="20">
        <f>K3Source!$G5</f>
        <v>1</v>
      </c>
      <c r="O5" s="20">
        <f>IF(ISNUMBER(Agent!$O$6*M5*H5*N5),TRUNC(Agent!$O$6*M5*H5*N5,3),"没有上级")</f>
        <v>0.108</v>
      </c>
      <c r="P5" s="20">
        <f>IF(ISNUMBER(Agent!$O$9*H5*M5*N5),TRUNC(Agent!$O$9*H5*M5*N5,3),"没有上级")</f>
        <v>0.64800000000000002</v>
      </c>
      <c r="Q5" s="20">
        <f>IF(ISNUMBER(Agent!$O$12*H5*M5*N5),TRUNC(Agent!$O$12*H5*M5*N5,3),"没有上级")</f>
        <v>0.216</v>
      </c>
      <c r="R5" s="20">
        <f>IF(ISNUMBER(Agent!$O$15*H5*M5*N5),TRUNC(Agent!$O$15*H5*M5*N5,3),"没有上级")</f>
        <v>0.432</v>
      </c>
      <c r="S5" s="20">
        <f>IF(ISNUMBER(Agent!$O$18*H5*M5*N5),TRUNC(Agent!$O$18*H5*M5*N5,3),"没有上级")</f>
        <v>0.32400000000000001</v>
      </c>
      <c r="T5" s="20">
        <f>IF(ISNUMBER(Agent!$O$21*H5*M5*N5),TRUNC(Agent!$O$21*H5*M5*N5,3),"没有上级")</f>
        <v>0.108</v>
      </c>
      <c r="U5" s="20">
        <f>IF(ISNUMBER(Agent!$O$24*H5*M5*N5),TRUNC(Agent!$O$24*H5*M5*N5,3),"没有上级")</f>
        <v>0.75600000000000001</v>
      </c>
      <c r="V5" s="20">
        <f>IF(ISNUMBER(Agent!$O$27*H5*M5*N5),TRUNC(Agent!$O$27*H5*M5*N5,3),"没有上级")</f>
        <v>0.32400000000000001</v>
      </c>
      <c r="W5" s="20">
        <f>IF(ISNUMBER(Agent!$O$30*H5*M5*N5),TRUNC(Agent!$O$30*H5*M5*N5,3),"没有上级")</f>
        <v>0.432</v>
      </c>
      <c r="X5" s="20">
        <f>IF(ISNUMBER(Agent!$O$33*H5*M5*N5),TRUNC(Agent!$O$33*H5*M5*N5,3),"没有上级")</f>
        <v>0.32400000000000001</v>
      </c>
      <c r="Y5" s="20">
        <f t="shared" si="2"/>
        <v>3.6719999999999997</v>
      </c>
      <c r="Z5" s="19">
        <f>K3Source!K5</f>
        <v>31.14</v>
      </c>
      <c r="AA5" s="19">
        <f>K3Source!L5</f>
        <v>32.363999999999997</v>
      </c>
      <c r="AB5" s="17">
        <f>COMBIN(LEN(SUBSTITUTE(F5," ",)),3)</f>
        <v>20</v>
      </c>
      <c r="AD5" s="15">
        <f t="shared" si="3"/>
        <v>3.6719999999999997</v>
      </c>
    </row>
    <row r="6" spans="1:30" x14ac:dyDescent="0.15">
      <c r="A6" s="17">
        <v>11</v>
      </c>
      <c r="D6" s="17" t="s">
        <v>18</v>
      </c>
      <c r="E6" s="15" t="s">
        <v>30</v>
      </c>
      <c r="F6" s="16" t="s">
        <v>41</v>
      </c>
      <c r="G6" s="20">
        <v>1</v>
      </c>
      <c r="H6" s="20">
        <v>6</v>
      </c>
      <c r="I6" s="20">
        <f t="shared" si="0"/>
        <v>6</v>
      </c>
      <c r="J6" s="17">
        <f>K3Source!E$2</f>
        <v>145</v>
      </c>
      <c r="K6" s="20">
        <f>K3Source!$H6</f>
        <v>0</v>
      </c>
      <c r="L6" s="20">
        <f t="shared" si="1"/>
        <v>999962.9800000001</v>
      </c>
      <c r="M6" s="20">
        <f>K3Source!J6</f>
        <v>8.0000000000000002E-3</v>
      </c>
      <c r="N6" s="20">
        <f>K3Source!$G6</f>
        <v>0</v>
      </c>
      <c r="O6" s="20">
        <f>IF(ISNUMBER(Agent!$O$6*M6*H6*N6),TRUNC(Agent!$O$6*M6*H6*N6,3),"没有上级")</f>
        <v>0</v>
      </c>
      <c r="P6" s="20">
        <f>IF(ISNUMBER(Agent!$O$9*H6*M6*N6),TRUNC(Agent!$O$9*H6*M6*N6,3),"没有上级")</f>
        <v>0</v>
      </c>
      <c r="Q6" s="20">
        <f>IF(ISNUMBER(Agent!$O$12*H6*M6*N6),TRUNC(Agent!$O$12*H6*M6*N6,3),"没有上级")</f>
        <v>0</v>
      </c>
      <c r="R6" s="20">
        <f>IF(ISNUMBER(Agent!$O$15*H6*M6*N6),TRUNC(Agent!$O$15*H6*M6*N6,3),"没有上级")</f>
        <v>0</v>
      </c>
      <c r="S6" s="20">
        <f>IF(ISNUMBER(Agent!$O$18*H6*M6*N6),TRUNC(Agent!$O$18*H6*M6*N6,3),"没有上级")</f>
        <v>0</v>
      </c>
      <c r="T6" s="20">
        <f>IF(ISNUMBER(Agent!$O$21*H6*M6*N6),TRUNC(Agent!$O$21*H6*M6*N6,3),"没有上级")</f>
        <v>0</v>
      </c>
      <c r="U6" s="20">
        <f>IF(ISNUMBER(Agent!$O$24*H6*M6*N6),TRUNC(Agent!$O$24*H6*M6*N6,3),"没有上级")</f>
        <v>0</v>
      </c>
      <c r="V6" s="20">
        <f>IF(ISNUMBER(Agent!$O$27*H6*M6*N6),TRUNC(Agent!$O$27*H6*M6*N6,3),"没有上级")</f>
        <v>0</v>
      </c>
      <c r="W6" s="20">
        <f>IF(ISNUMBER(Agent!$O$30*H6*M6*N6),TRUNC(Agent!$O$30*H6*M6*N6,3),"没有上级")</f>
        <v>0</v>
      </c>
      <c r="X6" s="20">
        <f>IF(ISNUMBER(Agent!$O$33*H6*M6*N6),TRUNC(Agent!$O$33*H6*M6*N6,3),"没有上级")</f>
        <v>0</v>
      </c>
      <c r="Y6" s="20">
        <f t="shared" si="2"/>
        <v>0</v>
      </c>
      <c r="Z6" s="19">
        <f>K3Source!K6</f>
        <v>7.806</v>
      </c>
      <c r="AA6" s="19">
        <f>K3Source!L6</f>
        <v>8.0779999999999994</v>
      </c>
      <c r="AB6" s="17">
        <v>1</v>
      </c>
      <c r="AD6" s="15">
        <f t="shared" si="3"/>
        <v>0</v>
      </c>
    </row>
    <row r="7" spans="1:30" x14ac:dyDescent="0.15">
      <c r="A7" s="17">
        <v>12</v>
      </c>
      <c r="D7" s="17" t="s">
        <v>19</v>
      </c>
      <c r="E7" s="15" t="s">
        <v>32</v>
      </c>
      <c r="F7" s="16" t="s">
        <v>42</v>
      </c>
      <c r="G7" s="20">
        <v>1</v>
      </c>
      <c r="H7" s="20">
        <v>1</v>
      </c>
      <c r="I7" s="20">
        <f t="shared" si="0"/>
        <v>6</v>
      </c>
      <c r="J7" s="17">
        <f>K3Source!E$2</f>
        <v>145</v>
      </c>
      <c r="K7" s="20">
        <f>K3Source!$H7</f>
        <v>0</v>
      </c>
      <c r="L7" s="20">
        <f t="shared" si="1"/>
        <v>999956.9800000001</v>
      </c>
      <c r="M7" s="20">
        <f>K3Source!J7</f>
        <v>1.4E-2</v>
      </c>
      <c r="N7" s="20">
        <f>K3Source!$G7</f>
        <v>0</v>
      </c>
      <c r="O7" s="20">
        <f>IF(ISNUMBER(Agent!$O$6*M7*H7*N7),TRUNC(Agent!$O$6*M7*H7*N7,3),"没有上级")</f>
        <v>0</v>
      </c>
      <c r="P7" s="20">
        <f>IF(ISNUMBER(Agent!$O$9*H7*M7*N7),TRUNC(Agent!$O$9*H7*M7*N7,3),"没有上级")</f>
        <v>0</v>
      </c>
      <c r="Q7" s="20">
        <f>IF(ISNUMBER(Agent!$O$12*H7*M7*N7),TRUNC(Agent!$O$12*H7*M7*N7,3),"没有上级")</f>
        <v>0</v>
      </c>
      <c r="R7" s="20">
        <f>IF(ISNUMBER(Agent!$O$15*H7*M7*N7),TRUNC(Agent!$O$15*H7*M7*N7,3),"没有上级")</f>
        <v>0</v>
      </c>
      <c r="S7" s="20">
        <f>IF(ISNUMBER(Agent!$O$18*H7*M7*N7),TRUNC(Agent!$O$18*H7*M7*N7,3),"没有上级")</f>
        <v>0</v>
      </c>
      <c r="T7" s="20">
        <f>IF(ISNUMBER(Agent!$O$21*H7*M7*N7),TRUNC(Agent!$O$21*H7*M7*N7,3),"没有上级")</f>
        <v>0</v>
      </c>
      <c r="U7" s="20">
        <f>IF(ISNUMBER(Agent!$O$24*H7*M7*N7),TRUNC(Agent!$O$24*H7*M7*N7,3),"没有上级")</f>
        <v>0</v>
      </c>
      <c r="V7" s="20">
        <f>IF(ISNUMBER(Agent!$O$27*H7*M7*N7),TRUNC(Agent!$O$27*H7*M7*N7,3),"没有上级")</f>
        <v>0</v>
      </c>
      <c r="W7" s="20">
        <f>IF(ISNUMBER(Agent!$O$30*H7*M7*N7),TRUNC(Agent!$O$30*H7*M7*N7,3),"没有上级")</f>
        <v>0</v>
      </c>
      <c r="X7" s="20">
        <f>IF(ISNUMBER(Agent!$O$33*H7*M7*N7),TRUNC(Agent!$O$33*H7*M7*N7,3),"没有上级")</f>
        <v>0</v>
      </c>
      <c r="Y7" s="20">
        <f t="shared" si="2"/>
        <v>0</v>
      </c>
      <c r="Z7" s="19">
        <f>K3Source!K7</f>
        <v>12.454000000000001</v>
      </c>
      <c r="AA7" s="19">
        <f>K3Source!L7</f>
        <v>12.93</v>
      </c>
      <c r="AB7" s="17">
        <f>LEN(SUBSTITUTE(F7," ",))/2</f>
        <v>6</v>
      </c>
      <c r="AD7" s="15">
        <f t="shared" si="3"/>
        <v>0</v>
      </c>
    </row>
    <row r="8" spans="1:30" x14ac:dyDescent="0.15">
      <c r="A8" s="17">
        <v>13</v>
      </c>
      <c r="D8" s="17" t="s">
        <v>19</v>
      </c>
      <c r="E8" s="15" t="s">
        <v>34</v>
      </c>
      <c r="F8" s="16" t="s">
        <v>46</v>
      </c>
      <c r="G8" s="20">
        <v>1</v>
      </c>
      <c r="H8" s="20">
        <v>5</v>
      </c>
      <c r="I8" s="20">
        <f t="shared" si="0"/>
        <v>45</v>
      </c>
      <c r="J8" s="17">
        <f>K3Source!E$2</f>
        <v>145</v>
      </c>
      <c r="K8" s="20">
        <f>K3Source!$H8</f>
        <v>0</v>
      </c>
      <c r="L8" s="20">
        <f t="shared" si="1"/>
        <v>999911.9800000001</v>
      </c>
      <c r="M8" s="20">
        <f>K3Source!J8</f>
        <v>7.1999999999999995E-2</v>
      </c>
      <c r="N8" s="20">
        <f>K3Source!$G8</f>
        <v>0</v>
      </c>
      <c r="O8" s="20">
        <f>IF(ISNUMBER(Agent!$O$6*M8*H8*N8),TRUNC(Agent!$O$6*M8*H8*N8,3),"没有上级")</f>
        <v>0</v>
      </c>
      <c r="P8" s="20">
        <f>IF(ISNUMBER(Agent!$O$9*H8*M8*N8),TRUNC(Agent!$O$9*H8*M8*N8,3),"没有上级")</f>
        <v>0</v>
      </c>
      <c r="Q8" s="20">
        <f>IF(ISNUMBER(Agent!$O$12*H8*M8*N8),TRUNC(Agent!$O$12*H8*M8*N8,3),"没有上级")</f>
        <v>0</v>
      </c>
      <c r="R8" s="20">
        <f>IF(ISNUMBER(Agent!$O$15*H8*M8*N8),TRUNC(Agent!$O$15*H8*M8*N8,3),"没有上级")</f>
        <v>0</v>
      </c>
      <c r="S8" s="20">
        <f>IF(ISNUMBER(Agent!$O$18*H8*M8*N8),TRUNC(Agent!$O$18*H8*M8*N8,3),"没有上级")</f>
        <v>0</v>
      </c>
      <c r="T8" s="20">
        <f>IF(ISNUMBER(Agent!$O$21*H8*M8*N8),TRUNC(Agent!$O$21*H8*M8*N8,3),"没有上级")</f>
        <v>0</v>
      </c>
      <c r="U8" s="20">
        <f>IF(ISNUMBER(Agent!$O$24*H8*M8*N8),TRUNC(Agent!$O$24*H8*M8*N8,3),"没有上级")</f>
        <v>0</v>
      </c>
      <c r="V8" s="20">
        <f>IF(ISNUMBER(Agent!$O$27*H8*M8*N8),TRUNC(Agent!$O$27*H8*M8*N8,3),"没有上级")</f>
        <v>0</v>
      </c>
      <c r="W8" s="20">
        <f>IF(ISNUMBER(Agent!$O$30*H8*M8*N8),TRUNC(Agent!$O$30*H8*M8*N8,3),"没有上级")</f>
        <v>0</v>
      </c>
      <c r="X8" s="20">
        <f>IF(ISNUMBER(Agent!$O$33*H8*M8*N8),TRUNC(Agent!$O$33*H8*M8*N8,3),"没有上级")</f>
        <v>0</v>
      </c>
      <c r="Y8" s="20">
        <f t="shared" si="2"/>
        <v>0</v>
      </c>
      <c r="Z8" s="19">
        <f>K3Source!K8</f>
        <v>62.28</v>
      </c>
      <c r="AA8" s="19">
        <f>K3Source!L8</f>
        <v>64.727999999999994</v>
      </c>
      <c r="AB8" s="15">
        <v>9</v>
      </c>
      <c r="AD8" s="15">
        <f t="shared" si="3"/>
        <v>0</v>
      </c>
    </row>
    <row r="9" spans="1:30" x14ac:dyDescent="0.15">
      <c r="A9" s="17">
        <v>15</v>
      </c>
      <c r="D9" s="17" t="s">
        <v>19</v>
      </c>
      <c r="E9" s="15" t="s">
        <v>36</v>
      </c>
      <c r="F9" s="16" t="s">
        <v>43</v>
      </c>
      <c r="G9" s="20">
        <v>1</v>
      </c>
      <c r="H9" s="20">
        <v>6</v>
      </c>
      <c r="I9" s="20">
        <f t="shared" si="0"/>
        <v>90</v>
      </c>
      <c r="J9" s="17">
        <f>K3Source!E$2</f>
        <v>145</v>
      </c>
      <c r="K9" s="20">
        <f>K3Source!$H9</f>
        <v>112.08600000000001</v>
      </c>
      <c r="L9" s="20">
        <f t="shared" si="1"/>
        <v>999934.06600000011</v>
      </c>
      <c r="M9" s="20">
        <f>K3Source!J9</f>
        <v>7.0000000000000001E-3</v>
      </c>
      <c r="N9" s="20">
        <f>K3Source!$G9</f>
        <v>3</v>
      </c>
      <c r="O9" s="20">
        <f>IF(ISNUMBER(Agent!$O$6*M9*H9*N9),TRUNC(Agent!$O$6*M9*H9*N9,3),"没有上级")</f>
        <v>0.126</v>
      </c>
      <c r="P9" s="20">
        <f>IF(ISNUMBER(Agent!$O$9*H9*M9*N9),TRUNC(Agent!$O$9*H9*M9*N9,3),"没有上级")</f>
        <v>0.75600000000000001</v>
      </c>
      <c r="Q9" s="20">
        <f>IF(ISNUMBER(Agent!$O$12*H9*M9*N9),TRUNC(Agent!$O$12*H9*M9*N9,3),"没有上级")</f>
        <v>0.252</v>
      </c>
      <c r="R9" s="20">
        <f>IF(ISNUMBER(Agent!$O$15*H9*M9*N9),TRUNC(Agent!$O$15*H9*M9*N9,3),"没有上级")</f>
        <v>0.504</v>
      </c>
      <c r="S9" s="20">
        <f>IF(ISNUMBER(Agent!$O$18*H9*M9*N9),TRUNC(Agent!$O$18*H9*M9*N9,3),"没有上级")</f>
        <v>0.378</v>
      </c>
      <c r="T9" s="20">
        <f>IF(ISNUMBER(Agent!$O$21*H9*M9*N9),TRUNC(Agent!$O$21*H9*M9*N9,3),"没有上级")</f>
        <v>0.126</v>
      </c>
      <c r="U9" s="20">
        <f>IF(ISNUMBER(Agent!$O$24*H9*M9*N9),TRUNC(Agent!$O$24*H9*M9*N9,3),"没有上级")</f>
        <v>0.88200000000000001</v>
      </c>
      <c r="V9" s="20">
        <f>IF(ISNUMBER(Agent!$O$27*H9*M9*N9),TRUNC(Agent!$O$27*H9*M9*N9,3),"没有上级")</f>
        <v>0.378</v>
      </c>
      <c r="W9" s="20">
        <f>IF(ISNUMBER(Agent!$O$30*H9*M9*N9),TRUNC(Agent!$O$30*H9*M9*N9,3),"没有上级")</f>
        <v>0.504</v>
      </c>
      <c r="X9" s="20">
        <f>IF(ISNUMBER(Agent!$O$33*H9*M9*N9),TRUNC(Agent!$O$33*H9*M9*N9,3),"没有上级")</f>
        <v>0.378</v>
      </c>
      <c r="Y9" s="20">
        <f t="shared" si="2"/>
        <v>4.2839999999999998</v>
      </c>
      <c r="Z9" s="19">
        <f>K3Source!K9</f>
        <v>6.2270000000000003</v>
      </c>
      <c r="AA9" s="19">
        <f>K3Source!L9</f>
        <v>6.4649999999999999</v>
      </c>
      <c r="AB9" s="20">
        <f>COMBIN(LEN(SUBSTITUTE(F9," ",)),2)</f>
        <v>15</v>
      </c>
      <c r="AD9" s="15">
        <f t="shared" si="3"/>
        <v>4.2839999999999998</v>
      </c>
    </row>
    <row r="11" spans="1:30" x14ac:dyDescent="0.15">
      <c r="K11" s="20"/>
      <c r="O11" s="20">
        <f>SUM(O2:O9)</f>
        <v>0.25800000000000001</v>
      </c>
      <c r="P11" s="20">
        <f>SUM(P2:P9)</f>
        <v>1.548</v>
      </c>
      <c r="Q11" s="20">
        <f t="shared" ref="Q11:X11" si="4">SUM(Q2:Q9)</f>
        <v>0.51600000000000001</v>
      </c>
      <c r="R11" s="20">
        <f t="shared" si="4"/>
        <v>1.032</v>
      </c>
      <c r="S11" s="20">
        <f t="shared" si="4"/>
        <v>0.77400000000000002</v>
      </c>
      <c r="T11" s="20">
        <f t="shared" si="4"/>
        <v>0.25800000000000001</v>
      </c>
      <c r="U11" s="20">
        <f t="shared" si="4"/>
        <v>1.806</v>
      </c>
      <c r="V11" s="20">
        <f t="shared" si="4"/>
        <v>0.77400000000000002</v>
      </c>
      <c r="W11" s="20">
        <f t="shared" si="4"/>
        <v>1.032</v>
      </c>
      <c r="X11" s="20">
        <f t="shared" si="4"/>
        <v>0.77400000000000002</v>
      </c>
    </row>
    <row r="13" spans="1:30" ht="27" x14ac:dyDescent="0.15">
      <c r="D13" s="16" t="s">
        <v>103</v>
      </c>
      <c r="F13" s="16" t="s">
        <v>116</v>
      </c>
      <c r="G13" s="16" t="s">
        <v>115</v>
      </c>
    </row>
    <row r="14" spans="1:30" x14ac:dyDescent="0.15">
      <c r="D14" s="15" t="s">
        <v>104</v>
      </c>
      <c r="E14" s="17">
        <f>TRUNC(0.002,3)</f>
        <v>2E-3</v>
      </c>
      <c r="F14" s="18">
        <v>1.96</v>
      </c>
      <c r="G14" s="17">
        <f>TRUNC(F14+E14*19,3)</f>
        <v>1.998</v>
      </c>
    </row>
    <row r="15" spans="1:30" x14ac:dyDescent="0.15">
      <c r="D15" s="27" t="s">
        <v>105</v>
      </c>
      <c r="E15" s="17">
        <f>TRUNC(0.216,3)</f>
        <v>0.216</v>
      </c>
      <c r="F15" s="20">
        <v>190.08</v>
      </c>
      <c r="G15" s="20">
        <f t="shared" ref="G15:G22" si="5">TRUNC(F15+E15*19,3)</f>
        <v>194.184</v>
      </c>
    </row>
    <row r="16" spans="1:30" x14ac:dyDescent="0.15">
      <c r="D16" s="15" t="s">
        <v>106</v>
      </c>
      <c r="E16" s="17">
        <f>TRUNC(0.072,3)</f>
        <v>7.1999999999999995E-2</v>
      </c>
      <c r="F16" s="20">
        <v>63.36</v>
      </c>
      <c r="G16" s="20">
        <f t="shared" si="5"/>
        <v>64.727999999999994</v>
      </c>
    </row>
    <row r="17" spans="4:26" x14ac:dyDescent="0.15">
      <c r="D17" s="15" t="s">
        <v>107</v>
      </c>
      <c r="E17" s="15">
        <f>TRUNC(0.036,3)</f>
        <v>3.5999999999999997E-2</v>
      </c>
      <c r="F17" s="20">
        <v>31.68</v>
      </c>
      <c r="G17" s="20">
        <f t="shared" si="5"/>
        <v>32.363999999999997</v>
      </c>
      <c r="O17" s="20">
        <f>N(ISNUMBER(FIND(K3Source!N2,K3Source!D2,1)))*E14+N(ISNUMBER(FIND(K3Source!N3,K3Source!D2,1)))*E14+N(ISNUMBER(FIND(K3Source!N$4,K3Source!$D2,1)))*SUM(K3Source!F16:F31)</f>
        <v>1.2E-2</v>
      </c>
    </row>
    <row r="18" spans="4:26" x14ac:dyDescent="0.15">
      <c r="D18" s="15" t="s">
        <v>108</v>
      </c>
      <c r="E18" s="17">
        <f>TRUNC(0.0215,3)</f>
        <v>2.1000000000000001E-2</v>
      </c>
      <c r="F18" s="20">
        <v>19</v>
      </c>
      <c r="G18" s="20">
        <f t="shared" si="5"/>
        <v>19.399000000000001</v>
      </c>
    </row>
    <row r="19" spans="4:26" x14ac:dyDescent="0.15">
      <c r="D19" s="15" t="s">
        <v>109</v>
      </c>
      <c r="E19" s="17">
        <f>TRUNC(0.01425,3)</f>
        <v>1.4E-2</v>
      </c>
      <c r="F19" s="20">
        <v>12.67</v>
      </c>
      <c r="G19" s="20">
        <f t="shared" si="5"/>
        <v>12.936</v>
      </c>
    </row>
    <row r="20" spans="4:26" x14ac:dyDescent="0.15">
      <c r="D20" s="15" t="s">
        <v>110</v>
      </c>
      <c r="E20" s="17">
        <f>TRUNC(0.01025,3)</f>
        <v>0.01</v>
      </c>
      <c r="F20" s="20">
        <v>9.0500000000000007</v>
      </c>
      <c r="G20" s="20">
        <f t="shared" si="5"/>
        <v>9.24</v>
      </c>
    </row>
    <row r="21" spans="4:26" x14ac:dyDescent="0.15">
      <c r="D21" s="15" t="s">
        <v>111</v>
      </c>
      <c r="E21" s="17">
        <f>TRUNC(0.0085,3)</f>
        <v>8.0000000000000002E-3</v>
      </c>
      <c r="F21" s="20">
        <v>7.6</v>
      </c>
      <c r="G21" s="20">
        <f t="shared" si="5"/>
        <v>7.7519999999999998</v>
      </c>
    </row>
    <row r="22" spans="4:26" x14ac:dyDescent="0.15">
      <c r="D22" s="15" t="s">
        <v>112</v>
      </c>
      <c r="E22" s="17">
        <f>TRUNC(0.008,3)</f>
        <v>8.0000000000000002E-3</v>
      </c>
      <c r="F22" s="20">
        <v>7.04</v>
      </c>
      <c r="G22" s="20">
        <f t="shared" si="5"/>
        <v>7.1920000000000002</v>
      </c>
    </row>
    <row r="25" spans="4:26" x14ac:dyDescent="0.15"/>
    <row r="27" spans="4:26" x14ac:dyDescent="0.15">
      <c r="F27" s="16"/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31"/>
  <sheetViews>
    <sheetView workbookViewId="0">
      <pane ySplit="1" topLeftCell="A2" activePane="bottomLeft" state="frozen"/>
      <selection pane="bottomLeft" activeCell="E3" sqref="E3"/>
    </sheetView>
  </sheetViews>
  <sheetFormatPr defaultRowHeight="20.100000000000001" customHeight="1" x14ac:dyDescent="0.15"/>
  <cols>
    <col min="1" max="1" width="9.5" style="13" bestFit="1" customWidth="1"/>
    <col min="2" max="2" width="12" style="13" customWidth="1"/>
    <col min="3" max="3" width="9.25" style="13" customWidth="1"/>
    <col min="4" max="4" width="29.875" style="3" customWidth="1"/>
    <col min="5" max="5" width="14.375" style="13" customWidth="1"/>
    <col min="6" max="6" width="8" style="5" customWidth="1"/>
    <col min="7" max="7" width="8" style="20" customWidth="1"/>
    <col min="8" max="8" width="10" style="20" customWidth="1"/>
    <col min="9" max="9" width="39.125" style="14" customWidth="1"/>
    <col min="10" max="11" width="9.125" style="19" customWidth="1"/>
    <col min="12" max="16384" width="9" style="2"/>
  </cols>
  <sheetData>
    <row r="1" spans="1:14" ht="20.100000000000001" customHeight="1" x14ac:dyDescent="0.15">
      <c r="A1" s="13" t="s">
        <v>0</v>
      </c>
      <c r="B1" s="13" t="s">
        <v>1</v>
      </c>
      <c r="C1" s="13" t="s">
        <v>2</v>
      </c>
      <c r="D1" s="7" t="s">
        <v>3</v>
      </c>
      <c r="E1" s="15" t="s">
        <v>44</v>
      </c>
      <c r="F1" s="15" t="s">
        <v>49</v>
      </c>
      <c r="G1" s="15" t="s">
        <v>83</v>
      </c>
      <c r="H1" s="15" t="s">
        <v>48</v>
      </c>
      <c r="J1" s="15" t="s">
        <v>159</v>
      </c>
      <c r="K1" s="16" t="s">
        <v>157</v>
      </c>
      <c r="L1" s="16" t="s">
        <v>158</v>
      </c>
      <c r="M1" s="2" t="s">
        <v>17</v>
      </c>
    </row>
    <row r="2" spans="1:14" ht="63" customHeight="1" x14ac:dyDescent="0.15">
      <c r="A2" s="20" t="s">
        <v>18</v>
      </c>
      <c r="B2" s="15" t="s">
        <v>22</v>
      </c>
      <c r="C2" s="15"/>
      <c r="D2" s="16" t="s">
        <v>47</v>
      </c>
      <c r="E2" s="13">
        <v>145</v>
      </c>
      <c r="F2" s="6">
        <v>2</v>
      </c>
      <c r="G2" s="15">
        <f>N(ISNUMBER(FIND(N2,D2,1)))+N(ISNUMBER(FIND(N3,D2,1)))+N(ISNUMBER(FIND(N$4,$D2,1)))</f>
        <v>3</v>
      </c>
      <c r="H2" s="20">
        <f>SUM(D12:D31)</f>
        <v>21.56</v>
      </c>
      <c r="I2" s="21" t="str">
        <f>TRIM(IF(LEN(D2)=0,"-",SUBSTITUTE(D2,","," ")))&amp;","&amp;TRIM(IF(LEN(D3)=0,"-",SUBSTITUTE(D3,","," ")))&amp;","&amp;TRIM(IF(LEN(D4)=0,"-",SUBSTITUTE(D4,","," ")))</f>
        <v>大 小 单 双 3 4 5 6 7 8 9 10 11 12 13 14 15 16 17 18,三同号通选,111 222 333 444 555 666</v>
      </c>
      <c r="J2" s="2"/>
      <c r="K2" s="21"/>
      <c r="L2" s="21"/>
      <c r="N2" s="2" t="str">
        <f>IF(MOD(SUM(LEFT(E$2,1),MID(E$2,2,1),MID(E$2,3,1)),2)=1,",单,",",双,")</f>
        <v>,双,</v>
      </c>
    </row>
    <row r="3" spans="1:14" ht="20.100000000000001" customHeight="1" x14ac:dyDescent="0.15">
      <c r="A3" s="20" t="s">
        <v>18</v>
      </c>
      <c r="B3" s="15" t="s">
        <v>24</v>
      </c>
      <c r="C3" s="15"/>
      <c r="D3" s="16" t="s">
        <v>38</v>
      </c>
      <c r="E3" s="20">
        <f>E2</f>
        <v>145</v>
      </c>
      <c r="F3" s="15">
        <v>4</v>
      </c>
      <c r="G3" s="15">
        <f>N(AND(LEFT(E3,1)=MID(E3,2,1),LEFT(E3,1)=RIGHT(E3,1)))</f>
        <v>0</v>
      </c>
      <c r="H3" s="20">
        <f>IF(AND(LEFT(E2,1)=MID(E2,2,1),LEFT(E2,1)=RIGHT(E2,1)),K3*F3,0)</f>
        <v>0</v>
      </c>
      <c r="I3" s="14" t="str">
        <f>TRIM(IF(LEN(D5)=0,"-",SUBSTITUTE(D3," "," ")))</f>
        <v>三同号通选</v>
      </c>
      <c r="J3" s="2">
        <f>TRUNC(((31.68-28.8)/80),3)</f>
        <v>3.5999999999999997E-2</v>
      </c>
      <c r="K3" s="19">
        <f>TRUNC(L3-(9.9-Agent!L$3)*10*J3,3)</f>
        <v>31.14</v>
      </c>
      <c r="L3" s="20">
        <f>TRUNC(28.8+99*((31.68-28.8)/80),3)</f>
        <v>32.363999999999997</v>
      </c>
      <c r="N3" s="2" t="str">
        <f>IF(SUM(LEFT(E$2,1),MID(E$2,2,1),MID(E$2,3,1))&lt;11,",小,",",大,")</f>
        <v>,小,</v>
      </c>
    </row>
    <row r="4" spans="1:14" ht="20.100000000000001" customHeight="1" x14ac:dyDescent="0.15">
      <c r="A4" s="20" t="s">
        <v>18</v>
      </c>
      <c r="B4" s="15" t="s">
        <v>26</v>
      </c>
      <c r="C4" s="15"/>
      <c r="D4" s="16" t="s">
        <v>39</v>
      </c>
      <c r="E4" s="20">
        <f t="shared" ref="E4:E9" si="0">E3</f>
        <v>145</v>
      </c>
      <c r="F4" s="15">
        <v>7</v>
      </c>
      <c r="G4" s="15">
        <f t="shared" ref="G4:G9" si="1">H4/F4/K4</f>
        <v>0</v>
      </c>
      <c r="H4" s="20">
        <f>N(ISNUMBER(FIND(E2,D4,1)))*F4*K4</f>
        <v>0</v>
      </c>
      <c r="I4" s="14" t="str">
        <f>TRIM(IF(LEN(K3Source!D4)=0,"-",SUBSTITUTE(K3Source!D4,","," ")))</f>
        <v>111 222 333 444 555 666</v>
      </c>
      <c r="J4" s="20">
        <f>TRUNC(((190.08-172.8)/80),3)</f>
        <v>0.216</v>
      </c>
      <c r="K4" s="19">
        <f>TRUNC(L4-(9.9-Agent!L$3)*10*J4,3)</f>
        <v>186.84</v>
      </c>
      <c r="L4" s="20">
        <f>TRUNC(172.8+99*((190.08-172.8)/80),3)</f>
        <v>194.184</v>
      </c>
      <c r="N4" s="2" t="str">
        <f>","&amp;SUM(LEFT(E$2,1),MID(E$2,2,1),MID(E$2,3,1))&amp;","</f>
        <v>,10,</v>
      </c>
    </row>
    <row r="5" spans="1:14" ht="20.100000000000001" customHeight="1" x14ac:dyDescent="0.15">
      <c r="A5" s="20" t="s">
        <v>18</v>
      </c>
      <c r="B5" s="15" t="s">
        <v>28</v>
      </c>
      <c r="D5" s="16" t="s">
        <v>67</v>
      </c>
      <c r="E5" s="20">
        <f t="shared" si="0"/>
        <v>145</v>
      </c>
      <c r="F5" s="15">
        <v>3</v>
      </c>
      <c r="G5" s="15">
        <f t="shared" si="1"/>
        <v>1</v>
      </c>
      <c r="H5" s="20">
        <f>IF(AND(LEFT(E2,1)&lt;&gt;MID(E2,2,1),LEFT(E2,1)&lt;&gt;RIGHT(E2,1),MID(E2,2,1)&lt;&gt;RIGHT(E2,1),ISNUMBER(FIND(LEFT(E2,1),D5,1)),ISNUMBER(FIND(MID(E2,2,1),D5,1)),ISNUMBER(FIND(RIGHT(E2,1),D5,1))),F5*K5,0)</f>
        <v>93.42</v>
      </c>
      <c r="I5" s="19" t="str">
        <f>TRIM(IF(LEN(K3Source!D5)=0,"-",SUBSTITUTE(K3Source!D5,","," ")))</f>
        <v>1 2 3 4 5 6</v>
      </c>
      <c r="J5" s="20">
        <f>TRUNC(((31.68-28.8)/80),3)</f>
        <v>3.5999999999999997E-2</v>
      </c>
      <c r="K5" s="19">
        <f>TRUNC(L5-(9.9-Agent!L$3)*10*J5,3)</f>
        <v>31.14</v>
      </c>
      <c r="L5" s="20">
        <f>TRUNC(28.8+99*((31.68-28.8)/80),3)</f>
        <v>32.363999999999997</v>
      </c>
    </row>
    <row r="6" spans="1:14" s="13" customFormat="1" ht="20.100000000000001" customHeight="1" x14ac:dyDescent="0.15">
      <c r="A6" s="20" t="s">
        <v>18</v>
      </c>
      <c r="B6" s="15" t="s">
        <v>30</v>
      </c>
      <c r="C6" s="15"/>
      <c r="D6" s="16" t="s">
        <v>41</v>
      </c>
      <c r="E6" s="20">
        <f t="shared" si="0"/>
        <v>145</v>
      </c>
      <c r="F6" s="15">
        <v>6</v>
      </c>
      <c r="G6" s="15">
        <f t="shared" si="1"/>
        <v>0</v>
      </c>
      <c r="H6" s="20">
        <f>IF(AND(INT(RIGHT(E6,1))=MID(E6,2,1)+1,INT(RIGHT(E6,1))=LEFT(E6,1)+2),F6*K6,0)</f>
        <v>0</v>
      </c>
      <c r="I6" s="19" t="str">
        <f>TRIM(IF(LEN(K3Source!D6)=0,"-",SUBSTITUTE(K3Source!D6,","," ")))</f>
        <v>三连号通选</v>
      </c>
      <c r="J6" s="20">
        <f>TRUNC(((7.91-7.2)/80),3)</f>
        <v>8.0000000000000002E-3</v>
      </c>
      <c r="K6" s="19">
        <f>TRUNC(L6-(9.9-Agent!L$3)*10*J6,3)</f>
        <v>7.806</v>
      </c>
      <c r="L6" s="20">
        <f>TRUNC(7.2+99*((7.91-7.2)/80),3)</f>
        <v>8.0779999999999994</v>
      </c>
    </row>
    <row r="7" spans="1:14" s="13" customFormat="1" ht="20.100000000000001" customHeight="1" x14ac:dyDescent="0.15">
      <c r="A7" s="20" t="s">
        <v>19</v>
      </c>
      <c r="B7" s="15" t="s">
        <v>32</v>
      </c>
      <c r="D7" s="16" t="s">
        <v>42</v>
      </c>
      <c r="E7" s="20">
        <f t="shared" si="0"/>
        <v>145</v>
      </c>
      <c r="F7" s="15">
        <v>1</v>
      </c>
      <c r="G7" s="15">
        <f t="shared" si="1"/>
        <v>0</v>
      </c>
      <c r="H7" s="20">
        <f>IF(AND(MID(E2,2,1)=LEFT(E2,1),LEFT(E2,1)=RIGHT(E2,1)),0,IF(ISNUMBER(FIND(_xlfn.MODE.SNGL(INT(MID(E2,2,1)),INT(LEFT(E2,1)),INT(RIGHT(E2,1))),D7,1)),F7*K7,0))</f>
        <v>0</v>
      </c>
      <c r="I7" s="19" t="str">
        <f>TRIM(IF(LEN(K3Source!D7)=0,"-",SUBSTITUTE(K3Source!D7,","," ")))</f>
        <v>11 22 33 44 55 66</v>
      </c>
      <c r="J7" s="20">
        <f>TRUNC(((12.66-11.52)/80),3)</f>
        <v>1.4E-2</v>
      </c>
      <c r="K7" s="19">
        <f>TRUNC(L7-(9.9-Agent!L$3)*10*J7,3)</f>
        <v>12.454000000000001</v>
      </c>
      <c r="L7" s="20">
        <f>TRUNC(11.52+99*((12.66-11.52)/80),3)</f>
        <v>12.93</v>
      </c>
    </row>
    <row r="8" spans="1:14" s="13" customFormat="1" ht="20.100000000000001" customHeight="1" x14ac:dyDescent="0.15">
      <c r="A8" s="20" t="s">
        <v>19</v>
      </c>
      <c r="B8" s="15" t="s">
        <v>34</v>
      </c>
      <c r="C8" s="15"/>
      <c r="D8" s="16" t="s">
        <v>68</v>
      </c>
      <c r="E8" s="20">
        <f t="shared" si="0"/>
        <v>145</v>
      </c>
      <c r="F8" s="15">
        <v>5</v>
      </c>
      <c r="G8" s="15">
        <f t="shared" si="1"/>
        <v>0</v>
      </c>
      <c r="H8" s="20">
        <f>IF(AND(MID(E2,2,1)=LEFT(E2,1),LEFT(E2,1)=RIGHT(E2,1)),0,
 IF(AND(ISNUMBER(FIND(","&amp;SUBSTITUTE(E2,_xlfn.MODE.SNGL(INT(MID(E2,2,1)),INT(LEFT(E2,1)),INT(RIGHT(E2,1))),)&amp;",",D8,1)),
   ISNUMBER(FIND(","&amp;_xlfn.MODE.SNGL(INT(MID(E2,2,1)),INT(LEFT(E2,1)),INT(RIGHT(E2,1)))&amp;_xlfn.MODE.SNGL(INT(MID(E2,2,1)),INT(LEFT(E2,1)),INT(RIGHT(E2,1)))&amp;",",D8,1))),F8*K8,0))</f>
        <v>0</v>
      </c>
      <c r="I8" s="19" t="str">
        <f>TRIM(IF(LEN(D8)=0,"-",SUBSTITUTE(D8,","," ")))</f>
        <v>11 22 33 4 5 6</v>
      </c>
      <c r="J8" s="20">
        <f>TRUNC(((63.36-57.6)/80),3)</f>
        <v>7.1999999999999995E-2</v>
      </c>
      <c r="K8" s="19">
        <f>TRUNC(L8-(9.9-Agent!L$3)*10*J8,3)</f>
        <v>62.28</v>
      </c>
      <c r="L8" s="20">
        <f>TRUNC(57.6+99*((63.36-57.6)/80),3)</f>
        <v>64.727999999999994</v>
      </c>
    </row>
    <row r="9" spans="1:14" s="13" customFormat="1" ht="20.100000000000001" customHeight="1" x14ac:dyDescent="0.15">
      <c r="A9" s="20" t="s">
        <v>19</v>
      </c>
      <c r="B9" s="15" t="s">
        <v>36</v>
      </c>
      <c r="C9" s="15"/>
      <c r="D9" s="16" t="s">
        <v>160</v>
      </c>
      <c r="E9" s="20">
        <f t="shared" si="0"/>
        <v>145</v>
      </c>
      <c r="F9" s="15">
        <v>6</v>
      </c>
      <c r="G9" s="15">
        <f t="shared" si="1"/>
        <v>3</v>
      </c>
      <c r="H9" s="15">
        <f>IF(AND(LEFT(E2,1)=MID(E2,2,1),LEFT(E2,1)=RIGHT(E2,1)),0,
 IF(ISNUMBER(_xlfn.MODE.SNGL(INT(MID(E2,2,1)),INT(LEFT(E2,1)),INT(RIGHT(E2,1)))),
  IF(AND(ISNUMBER(FIND(_xlfn.MODE.SNGL(INT(MID(E2,2,1)),INT(LEFT(E2,1)),INT(RIGHT(E2,1))),D9,1)),ISNUMBER(FIND(SUBSTITUTE(E2,_xlfn.MODE.SNGL(INT(MID(E2,2,1)),INT(LEFT(E2,1)),INT(RIGHT(E2,1))),),D9,1))),F9*K9,0),
  IF(SUM(ISNUMBER(FIND(LEFT(E2,1),D9,1)),ISNUMBER(FIND(MID(E2,2,1),D9,1)),ISNUMBER(FIND(RIGHT(E2,1),D9,1)))=2,F9*K9,IF(SUM(ISNUMBER(FIND(LEFT(E2,1),D9,1)),ISNUMBER(FIND(MID(E2,2,1),D9,1)),ISNUMBER(FIND(RIGHT(E2,1),D9,1)))=3,F9*K9*3,0))))</f>
        <v>112.08600000000001</v>
      </c>
      <c r="I9" s="19" t="str">
        <f>TRIM(IF(LEN(K3Source!D9)=0,"-",SUBSTITUTE(K3Source!D9,","," ")))</f>
        <v>1 2 3 4 5 6</v>
      </c>
      <c r="J9" s="20">
        <f>TRUNC(((6.33-5.76)/80),3)</f>
        <v>7.0000000000000001E-3</v>
      </c>
      <c r="K9" s="19">
        <f>TRUNC(L9-(9.9-Agent!L$3)*10*J9,3)</f>
        <v>6.2270000000000003</v>
      </c>
      <c r="L9" s="20">
        <f>TRUNC(5.76+99*((6.33-5.76)/80),3)</f>
        <v>6.4649999999999999</v>
      </c>
    </row>
    <row r="10" spans="1:14" s="20" customFormat="1" ht="20.100000000000001" customHeight="1" x14ac:dyDescent="0.15">
      <c r="B10" s="15"/>
      <c r="C10" s="15"/>
      <c r="D10" s="16"/>
      <c r="F10" s="15"/>
      <c r="G10" s="15"/>
      <c r="H10" s="15"/>
      <c r="I10" s="19">
        <f>LEN(SUBSTITUTE(D9," ",))</f>
        <v>6</v>
      </c>
      <c r="J10" s="19"/>
      <c r="K10" s="19"/>
    </row>
    <row r="11" spans="1:14" s="20" customFormat="1" ht="20.100000000000001" customHeight="1" x14ac:dyDescent="0.15">
      <c r="A11" s="15" t="s">
        <v>84</v>
      </c>
      <c r="B11" s="15" t="s">
        <v>155</v>
      </c>
      <c r="C11" s="15" t="s">
        <v>156</v>
      </c>
      <c r="D11" s="16"/>
      <c r="E11" s="15" t="s">
        <v>114</v>
      </c>
      <c r="F11" s="15"/>
      <c r="G11" s="15"/>
      <c r="H11" s="15"/>
      <c r="I11" s="19"/>
      <c r="J11" s="19"/>
      <c r="K11" s="19"/>
    </row>
    <row r="12" spans="1:14" ht="20.100000000000001" customHeight="1" x14ac:dyDescent="0.15">
      <c r="A12" s="15" t="s">
        <v>164</v>
      </c>
      <c r="B12" s="13">
        <f>TRUNC(1.8+99*((1.96-1.8)/80),3)</f>
        <v>1.998</v>
      </c>
      <c r="C12" s="13">
        <f>TRUNC(B12-(9.9-Agent!$L$3)*E12*10,3)</f>
        <v>1.93</v>
      </c>
      <c r="D12" s="20">
        <f>IF(ISNUMBER(FIND(N$3,$A12,1)),$C12*F$2,0)</f>
        <v>0</v>
      </c>
      <c r="E12" s="20">
        <f>TRUNC((1.96-1.8)/80,3)</f>
        <v>2E-3</v>
      </c>
      <c r="H12" s="15"/>
      <c r="I12" s="14">
        <f>C12*2</f>
        <v>3.86</v>
      </c>
    </row>
    <row r="13" spans="1:14" ht="20.100000000000001" customHeight="1" x14ac:dyDescent="0.15">
      <c r="A13" s="15" t="s">
        <v>163</v>
      </c>
      <c r="B13" s="20">
        <f>TRUNC(1.8+99*((1.96-1.8)/80),3)</f>
        <v>1.998</v>
      </c>
      <c r="C13" s="20">
        <f>TRUNC(B13-(9.9-Agent!$L$3)*E13*10,3)</f>
        <v>1.93</v>
      </c>
      <c r="D13" s="20">
        <f>IF(ISNUMBER(FIND(N$3,$A13,1)),$C13*F$2,0)</f>
        <v>3.86</v>
      </c>
      <c r="E13" s="20">
        <f>TRUNC((1.96-1.8)/80,3)</f>
        <v>2E-3</v>
      </c>
    </row>
    <row r="14" spans="1:14" ht="20.100000000000001" customHeight="1" x14ac:dyDescent="0.15">
      <c r="A14" s="15" t="s">
        <v>162</v>
      </c>
      <c r="B14" s="20">
        <f>TRUNC(1.8+99*((1.96-1.8)/80),3)</f>
        <v>1.998</v>
      </c>
      <c r="C14" s="20">
        <f>TRUNC(B14-(9.9-Agent!$L$3)*E14*10,3)</f>
        <v>1.93</v>
      </c>
      <c r="D14" s="20">
        <f>IF(ISNUMBER(FIND(N$2,$A14,1)),$C14*F$2,0)</f>
        <v>0</v>
      </c>
      <c r="E14" s="20">
        <f>TRUNC((1.96-1.8)/80,3)</f>
        <v>2E-3</v>
      </c>
      <c r="H14" s="15"/>
    </row>
    <row r="15" spans="1:14" ht="20.100000000000001" customHeight="1" x14ac:dyDescent="0.15">
      <c r="A15" s="15" t="s">
        <v>161</v>
      </c>
      <c r="B15" s="20">
        <f>TRUNC(1.8+99*((1.96-1.8)/80),3)</f>
        <v>1.998</v>
      </c>
      <c r="C15" s="20">
        <f>TRUNC(B15-(9.9-Agent!$L$3)*E15*10,3)</f>
        <v>1.93</v>
      </c>
      <c r="D15" s="20">
        <f>IF(ISNUMBER(FIND(N$2,$A15,1)),$C15*F$2,0)</f>
        <v>3.86</v>
      </c>
      <c r="E15" s="20">
        <f>TRUNC((1.96-1.8)/80,3)</f>
        <v>2E-3</v>
      </c>
      <c r="F15" s="20"/>
    </row>
    <row r="16" spans="1:14" ht="20.100000000000001" customHeight="1" x14ac:dyDescent="0.15">
      <c r="A16" s="15" t="s">
        <v>50</v>
      </c>
      <c r="B16" s="20">
        <f>TRUNC(172.8+99*((190.08-172.8)/80),3)</f>
        <v>194.184</v>
      </c>
      <c r="C16" s="20">
        <f>TRUNC(B16-(9.9-Agent!$L$3)*E16*10,3)</f>
        <v>186.84</v>
      </c>
      <c r="D16" s="13">
        <f>IF(ISNUMBER(FIND(N$4,$A16,1)),$C16*F$2,0)</f>
        <v>0</v>
      </c>
      <c r="E16" s="20">
        <f>TRUNC(0.216,3)</f>
        <v>0.216</v>
      </c>
      <c r="F16" s="20">
        <f t="shared" ref="F16:F31" si="2">IF(ISNUMBER(FIND(N$4,$A16,1)),$E16,0)</f>
        <v>0</v>
      </c>
    </row>
    <row r="17" spans="1:10" ht="20.100000000000001" customHeight="1" x14ac:dyDescent="0.15">
      <c r="A17" s="15" t="s">
        <v>51</v>
      </c>
      <c r="B17" s="20">
        <f>TRUNC(57.6+99*((63.36-57.6)/80),3)</f>
        <v>64.727999999999994</v>
      </c>
      <c r="C17" s="20">
        <f>TRUNC(B17-(9.9-Agent!$L$3)*E17*10,3)</f>
        <v>62.28</v>
      </c>
      <c r="D17" s="20">
        <f>IF(ISNUMBER(FIND(N$4,$A17,1)),$C17*F$2,0)</f>
        <v>0</v>
      </c>
      <c r="E17" s="20">
        <f>TRUNC(0.072,3)</f>
        <v>7.1999999999999995E-2</v>
      </c>
      <c r="F17" s="20">
        <f t="shared" si="2"/>
        <v>0</v>
      </c>
      <c r="I17" s="16">
        <f>42*(E19+E15*2)*2</f>
        <v>2.1</v>
      </c>
    </row>
    <row r="18" spans="1:10" ht="20.100000000000001" customHeight="1" x14ac:dyDescent="0.15">
      <c r="A18" s="15" t="s">
        <v>52</v>
      </c>
      <c r="B18" s="20">
        <f>TRUNC(28.8+99*((31.68-28.8)/80),3)</f>
        <v>32.363999999999997</v>
      </c>
      <c r="C18" s="20">
        <f>TRUNC(B18-(9.9-Agent!$L$3)*E18*10,3)</f>
        <v>31.14</v>
      </c>
      <c r="D18" s="20">
        <f t="shared" ref="D18:D31" si="3">IF(ISNUMBER(FIND(N$4,$A18,1)),$C18*F$2,0)</f>
        <v>0</v>
      </c>
      <c r="E18" s="15">
        <f>TRUNC(0.036,3)</f>
        <v>3.5999999999999997E-2</v>
      </c>
      <c r="F18" s="20">
        <f t="shared" si="2"/>
        <v>0</v>
      </c>
    </row>
    <row r="19" spans="1:10" ht="20.100000000000001" customHeight="1" x14ac:dyDescent="0.15">
      <c r="A19" s="15" t="s">
        <v>53</v>
      </c>
      <c r="B19" s="20">
        <f>TRUNC(17.28+99*((19-17.28)/80),3)</f>
        <v>19.408000000000001</v>
      </c>
      <c r="C19" s="20">
        <f>TRUNC(B19-(9.9-Agent!$L$3)*E19*10,3)</f>
        <v>18.693999999999999</v>
      </c>
      <c r="D19" s="20">
        <f t="shared" si="3"/>
        <v>0</v>
      </c>
      <c r="E19" s="20">
        <f>TRUNC(0.0215,3)</f>
        <v>2.1000000000000001E-2</v>
      </c>
      <c r="F19" s="20">
        <f t="shared" si="2"/>
        <v>0</v>
      </c>
    </row>
    <row r="20" spans="1:10" ht="20.100000000000001" customHeight="1" x14ac:dyDescent="0.15">
      <c r="A20" s="15" t="s">
        <v>54</v>
      </c>
      <c r="B20" s="20">
        <f>TRUNC(11.52+99*((12.66-11.52)/80),3)</f>
        <v>12.93</v>
      </c>
      <c r="C20" s="20">
        <f>TRUNC(B20-(9.9-Agent!$L$3)*E20*10,3)</f>
        <v>12.454000000000001</v>
      </c>
      <c r="D20" s="20">
        <f t="shared" si="3"/>
        <v>0</v>
      </c>
      <c r="E20" s="20">
        <f>TRUNC(0.01425,3)</f>
        <v>1.4E-2</v>
      </c>
      <c r="F20" s="20">
        <f t="shared" si="2"/>
        <v>0</v>
      </c>
    </row>
    <row r="21" spans="1:10" ht="20.100000000000001" customHeight="1" x14ac:dyDescent="0.15">
      <c r="A21" s="15" t="s">
        <v>55</v>
      </c>
      <c r="B21" s="20">
        <f>TRUNC(8.22+99*((9.04-8.22)/80),3)</f>
        <v>9.234</v>
      </c>
      <c r="C21" s="20">
        <f>TRUNC(B21-(9.9-Agent!$L$3)*E21*10,3)</f>
        <v>8.8940000000000001</v>
      </c>
      <c r="D21" s="20">
        <f t="shared" si="3"/>
        <v>0</v>
      </c>
      <c r="E21" s="20">
        <f>TRUNC(0.01025,3)</f>
        <v>0.01</v>
      </c>
      <c r="F21" s="20">
        <f t="shared" si="2"/>
        <v>0</v>
      </c>
      <c r="I21" s="14">
        <f>C21*2</f>
        <v>17.788</v>
      </c>
      <c r="J21" s="19">
        <f>2*TRUNC(I21-(9.9-Agent!$L$3)*E21*10,3)</f>
        <v>34.896000000000001</v>
      </c>
    </row>
    <row r="22" spans="1:10" ht="20.100000000000001" customHeight="1" x14ac:dyDescent="0.15">
      <c r="A22" s="15" t="s">
        <v>56</v>
      </c>
      <c r="B22" s="20">
        <f>TRUNC(6.91+99*((7.59-6.91)/80),3)</f>
        <v>7.7510000000000003</v>
      </c>
      <c r="C22" s="20">
        <f>TRUNC(B22-(9.9-Agent!$L$3)*E22*10,3)</f>
        <v>7.4790000000000001</v>
      </c>
      <c r="D22" s="20">
        <f t="shared" si="3"/>
        <v>0</v>
      </c>
      <c r="E22" s="20">
        <f>TRUNC(0.0085,3)</f>
        <v>8.0000000000000002E-3</v>
      </c>
      <c r="F22" s="20">
        <f t="shared" si="2"/>
        <v>0</v>
      </c>
    </row>
    <row r="23" spans="1:10" ht="20.100000000000001" customHeight="1" x14ac:dyDescent="0.15">
      <c r="A23" s="15" t="s">
        <v>57</v>
      </c>
      <c r="B23" s="20">
        <f>TRUNC(6.4+99*((7.04-6.4)/80),3)</f>
        <v>7.1920000000000002</v>
      </c>
      <c r="C23" s="20">
        <f>TRUNC(B23-(9.9-Agent!$L$3)*E23*10,3)</f>
        <v>6.92</v>
      </c>
      <c r="D23" s="20">
        <f t="shared" si="3"/>
        <v>13.84</v>
      </c>
      <c r="E23" s="20">
        <f>TRUNC(0.008,3)</f>
        <v>8.0000000000000002E-3</v>
      </c>
      <c r="F23" s="20">
        <f t="shared" si="2"/>
        <v>8.0000000000000002E-3</v>
      </c>
    </row>
    <row r="24" spans="1:10" ht="20.100000000000001" customHeight="1" x14ac:dyDescent="0.15">
      <c r="A24" s="15" t="s">
        <v>58</v>
      </c>
      <c r="B24" s="20">
        <f>B23</f>
        <v>7.1920000000000002</v>
      </c>
      <c r="C24" s="20">
        <f>TRUNC(B24-(9.9-Agent!$L$3)*E24*10,3)</f>
        <v>6.92</v>
      </c>
      <c r="D24" s="20">
        <f t="shared" si="3"/>
        <v>0</v>
      </c>
      <c r="E24" s="20">
        <f>E23</f>
        <v>8.0000000000000002E-3</v>
      </c>
      <c r="F24" s="20">
        <f t="shared" si="2"/>
        <v>0</v>
      </c>
    </row>
    <row r="25" spans="1:10" ht="20.100000000000001" customHeight="1" x14ac:dyDescent="0.15">
      <c r="A25" s="15" t="s">
        <v>59</v>
      </c>
      <c r="B25" s="20">
        <f>B22</f>
        <v>7.7510000000000003</v>
      </c>
      <c r="C25" s="20">
        <f>TRUNC(B25-(9.9-Agent!$L$3)*E25*10,3)</f>
        <v>7.4790000000000001</v>
      </c>
      <c r="D25" s="20">
        <f t="shared" si="3"/>
        <v>0</v>
      </c>
      <c r="E25" s="20">
        <f>E22</f>
        <v>8.0000000000000002E-3</v>
      </c>
      <c r="F25" s="20">
        <f t="shared" si="2"/>
        <v>0</v>
      </c>
    </row>
    <row r="26" spans="1:10" ht="20.100000000000001" customHeight="1" x14ac:dyDescent="0.15">
      <c r="A26" s="15" t="s">
        <v>60</v>
      </c>
      <c r="B26" s="20">
        <f>B21</f>
        <v>9.234</v>
      </c>
      <c r="C26" s="20">
        <f>TRUNC(B26-(9.9-Agent!$L$3)*E26*10,3)</f>
        <v>8.8940000000000001</v>
      </c>
      <c r="D26" s="20">
        <f t="shared" si="3"/>
        <v>0</v>
      </c>
      <c r="E26" s="20">
        <f>E21</f>
        <v>0.01</v>
      </c>
      <c r="F26" s="20">
        <f t="shared" si="2"/>
        <v>0</v>
      </c>
    </row>
    <row r="27" spans="1:10" ht="20.100000000000001" customHeight="1" x14ac:dyDescent="0.15">
      <c r="A27" s="15" t="s">
        <v>61</v>
      </c>
      <c r="B27" s="20">
        <f>B20</f>
        <v>12.93</v>
      </c>
      <c r="C27" s="20">
        <f>TRUNC(B27-(9.9-Agent!$L$3)*E27*10,3)</f>
        <v>12.454000000000001</v>
      </c>
      <c r="D27" s="20">
        <f t="shared" si="3"/>
        <v>0</v>
      </c>
      <c r="E27" s="20">
        <f>E20</f>
        <v>1.4E-2</v>
      </c>
      <c r="F27" s="20">
        <f t="shared" si="2"/>
        <v>0</v>
      </c>
    </row>
    <row r="28" spans="1:10" ht="20.100000000000001" customHeight="1" x14ac:dyDescent="0.15">
      <c r="A28" s="15" t="s">
        <v>62</v>
      </c>
      <c r="B28" s="20">
        <f>B19</f>
        <v>19.408000000000001</v>
      </c>
      <c r="C28" s="20">
        <f>TRUNC(B28-(9.9-Agent!$L$3)*E28*10,3)</f>
        <v>18.693999999999999</v>
      </c>
      <c r="D28" s="20">
        <f t="shared" si="3"/>
        <v>0</v>
      </c>
      <c r="E28" s="20">
        <f>E19</f>
        <v>2.1000000000000001E-2</v>
      </c>
      <c r="F28" s="20">
        <f t="shared" si="2"/>
        <v>0</v>
      </c>
    </row>
    <row r="29" spans="1:10" ht="20.100000000000001" customHeight="1" x14ac:dyDescent="0.15">
      <c r="A29" s="15" t="s">
        <v>63</v>
      </c>
      <c r="B29" s="20">
        <f>B18</f>
        <v>32.363999999999997</v>
      </c>
      <c r="C29" s="20">
        <f>TRUNC(B29-(9.9-Agent!$L$3)*E29*10,3)</f>
        <v>31.14</v>
      </c>
      <c r="D29" s="20">
        <f t="shared" si="3"/>
        <v>0</v>
      </c>
      <c r="E29" s="20">
        <f>E18</f>
        <v>3.5999999999999997E-2</v>
      </c>
      <c r="F29" s="20">
        <f t="shared" si="2"/>
        <v>0</v>
      </c>
    </row>
    <row r="30" spans="1:10" ht="20.100000000000001" customHeight="1" x14ac:dyDescent="0.15">
      <c r="A30" s="15" t="s">
        <v>64</v>
      </c>
      <c r="B30" s="20">
        <f>B17</f>
        <v>64.727999999999994</v>
      </c>
      <c r="C30" s="20">
        <f>TRUNC(B30-(9.9-Agent!$L$3)*E30*10,3)</f>
        <v>62.28</v>
      </c>
      <c r="D30" s="20">
        <f t="shared" si="3"/>
        <v>0</v>
      </c>
      <c r="E30" s="20">
        <f>E17</f>
        <v>7.1999999999999995E-2</v>
      </c>
      <c r="F30" s="20">
        <f t="shared" si="2"/>
        <v>0</v>
      </c>
    </row>
    <row r="31" spans="1:10" ht="20.100000000000001" customHeight="1" x14ac:dyDescent="0.15">
      <c r="A31" s="15" t="s">
        <v>65</v>
      </c>
      <c r="B31" s="20">
        <f>B16</f>
        <v>194.184</v>
      </c>
      <c r="C31" s="20">
        <f>TRUNC(B31-(9.9-Agent!$L$3)*E31*10,3)</f>
        <v>186.84</v>
      </c>
      <c r="D31" s="20">
        <f t="shared" si="3"/>
        <v>0</v>
      </c>
      <c r="E31" s="20">
        <f>E16</f>
        <v>0.216</v>
      </c>
      <c r="F31" s="20">
        <f t="shared" si="2"/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workbookViewId="0">
      <selection activeCell="D28" sqref="D28"/>
    </sheetView>
  </sheetViews>
  <sheetFormatPr defaultRowHeight="13.5" x14ac:dyDescent="0.15"/>
  <cols>
    <col min="1" max="1" width="14.75" style="4" bestFit="1" customWidth="1"/>
    <col min="2" max="2" width="14.75" style="4" customWidth="1"/>
    <col min="3" max="3" width="26.875" style="7" customWidth="1"/>
    <col min="4" max="4" width="8.25" style="4" customWidth="1"/>
    <col min="5" max="5" width="6.125" style="4" customWidth="1"/>
    <col min="6" max="6" width="9.375" style="4" customWidth="1"/>
    <col min="7" max="7" width="18.5" style="4" bestFit="1" customWidth="1"/>
    <col min="8" max="8" width="13.625" style="4" bestFit="1" customWidth="1"/>
    <col min="9" max="9" width="13.2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15</v>
      </c>
      <c r="I1" s="4" t="s">
        <v>16</v>
      </c>
    </row>
    <row r="2" spans="1:12" x14ac:dyDescent="0.15">
      <c r="A2" s="9"/>
      <c r="B2" s="9" t="s">
        <v>21</v>
      </c>
      <c r="C2" s="8" t="s">
        <v>37</v>
      </c>
      <c r="D2" s="9">
        <v>1</v>
      </c>
      <c r="E2" s="9">
        <v>2</v>
      </c>
      <c r="F2" s="9">
        <v>40</v>
      </c>
      <c r="G2" s="8">
        <v>145</v>
      </c>
      <c r="H2" s="9">
        <v>21.56</v>
      </c>
      <c r="I2" s="9">
        <v>999981.56</v>
      </c>
      <c r="K2" s="12"/>
      <c r="L2" s="12"/>
    </row>
    <row r="3" spans="1:12" x14ac:dyDescent="0.15">
      <c r="A3" s="9"/>
      <c r="B3" s="9" t="s">
        <v>23</v>
      </c>
      <c r="C3" s="8" t="s">
        <v>23</v>
      </c>
      <c r="D3" s="9">
        <v>1</v>
      </c>
      <c r="E3" s="9">
        <v>4</v>
      </c>
      <c r="F3" s="9">
        <v>2</v>
      </c>
      <c r="G3" s="9">
        <v>145</v>
      </c>
      <c r="H3" s="9">
        <v>0</v>
      </c>
      <c r="I3" s="9">
        <v>999979.56</v>
      </c>
      <c r="K3" s="12"/>
      <c r="L3" s="12"/>
    </row>
    <row r="4" spans="1:12" x14ac:dyDescent="0.15">
      <c r="A4" s="9"/>
      <c r="B4" s="9" t="s">
        <v>25</v>
      </c>
      <c r="C4" s="8" t="s">
        <v>69</v>
      </c>
      <c r="D4" s="9">
        <v>1</v>
      </c>
      <c r="E4" s="9">
        <v>7</v>
      </c>
      <c r="F4" s="9">
        <v>12</v>
      </c>
      <c r="G4" s="9">
        <v>145</v>
      </c>
      <c r="H4" s="9">
        <v>0</v>
      </c>
      <c r="I4" s="9">
        <v>999967.56</v>
      </c>
      <c r="K4" s="12"/>
      <c r="L4" s="12"/>
    </row>
    <row r="5" spans="1:12" x14ac:dyDescent="0.15">
      <c r="A5" s="9"/>
      <c r="B5" s="9" t="s">
        <v>27</v>
      </c>
      <c r="C5" s="8" t="s">
        <v>66</v>
      </c>
      <c r="D5" s="9">
        <v>1</v>
      </c>
      <c r="E5" s="9">
        <v>3</v>
      </c>
      <c r="F5" s="9">
        <v>40</v>
      </c>
      <c r="G5" s="9">
        <v>145</v>
      </c>
      <c r="H5" s="9">
        <v>93.42</v>
      </c>
      <c r="I5" s="9">
        <v>1000020.9800000001</v>
      </c>
      <c r="K5" s="12"/>
      <c r="L5" s="11"/>
    </row>
    <row r="6" spans="1:12" x14ac:dyDescent="0.15">
      <c r="A6" s="9"/>
      <c r="B6" s="9" t="s">
        <v>29</v>
      </c>
      <c r="C6" s="8" t="s">
        <v>29</v>
      </c>
      <c r="D6" s="9">
        <v>1</v>
      </c>
      <c r="E6" s="9">
        <v>6</v>
      </c>
      <c r="F6" s="9">
        <v>2</v>
      </c>
      <c r="G6" s="9">
        <v>145</v>
      </c>
      <c r="H6" s="9">
        <v>0</v>
      </c>
      <c r="I6" s="9">
        <v>1000018.9800000001</v>
      </c>
      <c r="K6" s="12"/>
      <c r="L6" s="11"/>
    </row>
    <row r="7" spans="1:12" x14ac:dyDescent="0.15">
      <c r="A7" s="8"/>
      <c r="B7" s="8" t="s">
        <v>31</v>
      </c>
      <c r="C7" s="8" t="s">
        <v>70</v>
      </c>
      <c r="D7" s="9">
        <v>1</v>
      </c>
      <c r="E7" s="9">
        <v>1</v>
      </c>
      <c r="F7" s="9">
        <v>12</v>
      </c>
      <c r="G7" s="9">
        <v>145</v>
      </c>
      <c r="H7" s="9">
        <v>0</v>
      </c>
      <c r="I7" s="10">
        <v>1000006.9800000001</v>
      </c>
      <c r="K7" s="12"/>
      <c r="L7" s="11"/>
    </row>
    <row r="8" spans="1:12" x14ac:dyDescent="0.15">
      <c r="A8" s="8"/>
      <c r="B8" s="8" t="s">
        <v>33</v>
      </c>
      <c r="C8" s="8" t="s">
        <v>45</v>
      </c>
      <c r="D8" s="11">
        <v>1</v>
      </c>
      <c r="E8" s="11">
        <v>5</v>
      </c>
      <c r="F8" s="11">
        <v>18</v>
      </c>
      <c r="G8" s="11">
        <v>145</v>
      </c>
      <c r="H8" s="11">
        <v>0</v>
      </c>
      <c r="I8" s="10">
        <v>999988.9800000001</v>
      </c>
      <c r="K8" s="12"/>
      <c r="L8" s="11"/>
    </row>
    <row r="9" spans="1:12" x14ac:dyDescent="0.15">
      <c r="A9" s="8"/>
      <c r="B9" s="8" t="s">
        <v>35</v>
      </c>
      <c r="C9" s="8" t="s">
        <v>66</v>
      </c>
      <c r="D9" s="11">
        <v>1</v>
      </c>
      <c r="E9" s="11">
        <v>6</v>
      </c>
      <c r="F9" s="11">
        <v>12</v>
      </c>
      <c r="G9" s="11">
        <v>145</v>
      </c>
      <c r="H9" s="11">
        <v>112.08600000000001</v>
      </c>
      <c r="I9" s="10">
        <v>1000089.0660000001</v>
      </c>
      <c r="K9" s="12"/>
      <c r="L9" s="1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03"/>
  <sheetViews>
    <sheetView zoomScaleNormal="100" workbookViewId="0">
      <selection activeCell="O9" sqref="O9"/>
    </sheetView>
  </sheetViews>
  <sheetFormatPr defaultColWidth="9" defaultRowHeight="13.5" x14ac:dyDescent="0.15"/>
  <cols>
    <col min="1" max="1" width="6.375" style="24" customWidth="1"/>
    <col min="2" max="2" width="6.125" style="24" customWidth="1"/>
    <col min="3" max="3" width="6.5" style="25" customWidth="1"/>
    <col min="4" max="4" width="6.875" style="24" customWidth="1"/>
    <col min="5" max="6" width="7.25" style="24" customWidth="1"/>
    <col min="7" max="7" width="7" style="24" customWidth="1"/>
    <col min="8" max="8" width="7.125" style="24" customWidth="1"/>
    <col min="9" max="9" width="5.375" style="24" customWidth="1"/>
    <col min="10" max="10" width="10.375" style="24" customWidth="1"/>
    <col min="11" max="11" width="4.75" style="24" customWidth="1"/>
    <col min="12" max="12" width="17.875" style="24" customWidth="1"/>
    <col min="13" max="13" width="12.875" style="24" customWidth="1"/>
    <col min="14" max="14" width="13.25" style="24" customWidth="1"/>
    <col min="15" max="15" width="14.625" style="24" customWidth="1"/>
    <col min="16" max="16" width="12.875" style="24" customWidth="1"/>
    <col min="17" max="17" width="14.5" style="24" customWidth="1"/>
    <col min="18" max="16384" width="9" style="24"/>
  </cols>
  <sheetData>
    <row r="1" spans="1:25" x14ac:dyDescent="0.15">
      <c r="A1" s="22" t="s">
        <v>71</v>
      </c>
      <c r="B1" s="23" t="s">
        <v>72</v>
      </c>
      <c r="C1" s="23" t="s">
        <v>73</v>
      </c>
      <c r="D1" s="28" t="s">
        <v>74</v>
      </c>
      <c r="E1" s="28"/>
      <c r="F1" s="28" t="s">
        <v>75</v>
      </c>
      <c r="G1" s="28"/>
      <c r="H1" s="28" t="s">
        <v>76</v>
      </c>
      <c r="I1" s="28"/>
      <c r="J1" s="22" t="s">
        <v>77</v>
      </c>
      <c r="K1" s="22"/>
      <c r="Q1" s="22" t="s">
        <v>71</v>
      </c>
      <c r="R1" s="23" t="s">
        <v>117</v>
      </c>
      <c r="S1" s="23" t="s">
        <v>118</v>
      </c>
      <c r="T1" s="28" t="s">
        <v>119</v>
      </c>
      <c r="U1" s="28"/>
      <c r="V1" s="28" t="s">
        <v>120</v>
      </c>
      <c r="W1" s="28"/>
      <c r="X1" s="28" t="s">
        <v>121</v>
      </c>
      <c r="Y1" s="28"/>
    </row>
    <row r="2" spans="1:25" x14ac:dyDescent="0.15">
      <c r="A2" s="24">
        <v>1</v>
      </c>
      <c r="B2" s="24">
        <v>9.9</v>
      </c>
      <c r="C2" s="25">
        <v>9.9</v>
      </c>
      <c r="D2" s="22">
        <v>7001</v>
      </c>
      <c r="E2" s="24">
        <f t="shared" ref="E2:E65" si="0">C2</f>
        <v>9.9</v>
      </c>
      <c r="F2" s="22">
        <v>8001</v>
      </c>
      <c r="G2" s="24">
        <f t="shared" ref="G2:G65" si="1">$E2-0.1</f>
        <v>9.8000000000000007</v>
      </c>
      <c r="H2" s="22">
        <v>9001</v>
      </c>
      <c r="I2" s="24">
        <f t="shared" ref="I2:I65" si="2">$E2-0.2</f>
        <v>9.7000000000000011</v>
      </c>
      <c r="J2" s="24">
        <v>151</v>
      </c>
      <c r="L2" s="22" t="s">
        <v>123</v>
      </c>
      <c r="P2" s="24">
        <v>15196685175</v>
      </c>
      <c r="Q2" s="24">
        <v>82</v>
      </c>
      <c r="R2" s="24" t="s">
        <v>165</v>
      </c>
      <c r="S2" s="24">
        <v>9.9</v>
      </c>
      <c r="T2" s="26">
        <v>1697265</v>
      </c>
      <c r="U2" s="24">
        <f>S2</f>
        <v>9.9</v>
      </c>
      <c r="V2" s="26">
        <v>1170912</v>
      </c>
      <c r="W2" s="24">
        <f>U2-0.3</f>
        <v>9.6</v>
      </c>
      <c r="X2" s="26">
        <v>1171951</v>
      </c>
      <c r="Y2" s="24">
        <f>U2-0.5</f>
        <v>9.4</v>
      </c>
    </row>
    <row r="3" spans="1:25" x14ac:dyDescent="0.15">
      <c r="A3" s="24">
        <v>2</v>
      </c>
      <c r="B3" s="24">
        <f>F2</f>
        <v>8001</v>
      </c>
      <c r="C3" s="25">
        <f>G2</f>
        <v>9.8000000000000007</v>
      </c>
      <c r="D3" s="22">
        <v>7002</v>
      </c>
      <c r="E3" s="24">
        <f t="shared" si="0"/>
        <v>9.8000000000000007</v>
      </c>
      <c r="F3" s="22">
        <v>8002</v>
      </c>
      <c r="G3" s="24">
        <f t="shared" si="1"/>
        <v>9.7000000000000011</v>
      </c>
      <c r="H3" s="22">
        <v>9002</v>
      </c>
      <c r="I3" s="24">
        <f t="shared" si="2"/>
        <v>9.6000000000000014</v>
      </c>
      <c r="L3" s="22">
        <f>INDEX(Q$2:Y$48,MATCH(J2,Q:Q)-1,3)</f>
        <v>6.5</v>
      </c>
      <c r="P3" s="24" t="s">
        <v>166</v>
      </c>
      <c r="Q3" s="24">
        <v>140</v>
      </c>
      <c r="R3" s="24">
        <f>V2</f>
        <v>1170912</v>
      </c>
      <c r="S3" s="24">
        <f>W2</f>
        <v>9.6</v>
      </c>
      <c r="T3" s="26">
        <v>1172987</v>
      </c>
      <c r="U3" s="24">
        <f>S3</f>
        <v>9.6</v>
      </c>
      <c r="V3" s="26">
        <v>1176952</v>
      </c>
      <c r="W3" s="24">
        <f>U3-0.4</f>
        <v>9.1999999999999993</v>
      </c>
      <c r="X3" s="26"/>
      <c r="Y3" s="24">
        <f>U3-0.3</f>
        <v>9.2999999999999989</v>
      </c>
    </row>
    <row r="4" spans="1:25" x14ac:dyDescent="0.15">
      <c r="A4" s="24">
        <v>3</v>
      </c>
      <c r="B4" s="24">
        <f>H2</f>
        <v>9001</v>
      </c>
      <c r="C4" s="25">
        <f>I2</f>
        <v>9.7000000000000011</v>
      </c>
      <c r="D4" s="22">
        <v>7003</v>
      </c>
      <c r="E4" s="24">
        <f t="shared" si="0"/>
        <v>9.7000000000000011</v>
      </c>
      <c r="F4" s="22">
        <v>8003</v>
      </c>
      <c r="G4" s="24">
        <f t="shared" si="1"/>
        <v>9.6000000000000014</v>
      </c>
      <c r="H4" s="22">
        <v>9003</v>
      </c>
      <c r="I4" s="24">
        <f t="shared" si="2"/>
        <v>9.5000000000000018</v>
      </c>
      <c r="P4" s="24" t="s">
        <v>167</v>
      </c>
      <c r="Q4" s="24">
        <v>143</v>
      </c>
      <c r="R4" s="24">
        <f t="shared" ref="R4:S14" si="3">V3</f>
        <v>1176952</v>
      </c>
      <c r="S4" s="24">
        <f t="shared" si="3"/>
        <v>9.1999999999999993</v>
      </c>
      <c r="T4" s="26"/>
      <c r="U4" s="24">
        <f>S4</f>
        <v>9.1999999999999993</v>
      </c>
      <c r="V4" s="26">
        <v>1200960</v>
      </c>
      <c r="W4" s="24">
        <f>U4-0.3</f>
        <v>8.8999999999999986</v>
      </c>
      <c r="X4" s="26"/>
      <c r="Y4" s="24">
        <f>U4-0.3</f>
        <v>8.8999999999999986</v>
      </c>
    </row>
    <row r="5" spans="1:25" x14ac:dyDescent="0.15">
      <c r="A5" s="24">
        <v>4</v>
      </c>
      <c r="B5" s="24">
        <f>F3</f>
        <v>8002</v>
      </c>
      <c r="C5" s="25">
        <f>G3</f>
        <v>9.7000000000000011</v>
      </c>
      <c r="D5" s="22">
        <v>7004</v>
      </c>
      <c r="E5" s="24">
        <f t="shared" si="0"/>
        <v>9.7000000000000011</v>
      </c>
      <c r="F5" s="22">
        <v>8004</v>
      </c>
      <c r="G5" s="24">
        <f t="shared" si="1"/>
        <v>9.6000000000000014</v>
      </c>
      <c r="H5" s="22">
        <v>9004</v>
      </c>
      <c r="I5" s="24">
        <f t="shared" si="2"/>
        <v>9.5000000000000018</v>
      </c>
      <c r="L5" s="22" t="s">
        <v>78</v>
      </c>
      <c r="M5" s="22" t="s">
        <v>176</v>
      </c>
      <c r="N5" s="22" t="s">
        <v>124</v>
      </c>
      <c r="O5" s="22" t="s">
        <v>187</v>
      </c>
      <c r="P5" s="24" t="s">
        <v>168</v>
      </c>
      <c r="Q5" s="24">
        <v>144</v>
      </c>
      <c r="R5" s="24">
        <f t="shared" si="3"/>
        <v>1200960</v>
      </c>
      <c r="S5" s="24">
        <f t="shared" si="3"/>
        <v>8.8999999999999986</v>
      </c>
      <c r="T5" s="26"/>
      <c r="U5" s="24">
        <f t="shared" ref="U5:U14" si="4">S5</f>
        <v>8.8999999999999986</v>
      </c>
      <c r="V5" s="26">
        <v>1202928</v>
      </c>
      <c r="W5" s="24">
        <f>U5-0.7</f>
        <v>8.1999999999999993</v>
      </c>
      <c r="X5" s="26"/>
      <c r="Y5" s="24">
        <f>U5-0.5</f>
        <v>8.3999999999999986</v>
      </c>
    </row>
    <row r="6" spans="1:25" x14ac:dyDescent="0.15">
      <c r="A6" s="24">
        <v>5</v>
      </c>
      <c r="B6" s="24">
        <f>H3</f>
        <v>9002</v>
      </c>
      <c r="C6" s="25">
        <f>I3</f>
        <v>9.6000000000000014</v>
      </c>
      <c r="D6" s="22">
        <v>7005</v>
      </c>
      <c r="E6" s="24">
        <f t="shared" si="0"/>
        <v>9.6000000000000014</v>
      </c>
      <c r="F6" s="22">
        <v>8005</v>
      </c>
      <c r="G6" s="24">
        <f t="shared" si="1"/>
        <v>9.5000000000000018</v>
      </c>
      <c r="H6" s="22">
        <v>9005</v>
      </c>
      <c r="I6" s="24">
        <f t="shared" si="2"/>
        <v>9.4000000000000021</v>
      </c>
      <c r="L6" s="24">
        <f>IF(ISNUMBER(INDEX(Q$2:Y$48,MATCH(J2,Q:Q)-1,2)),INDEX(Q$2:Y$48,MATCH(J2,Q:Q)-1,2),"没有上级")</f>
        <v>1216992</v>
      </c>
      <c r="M6" s="26">
        <f>IF(ISNUMBER(INT(L6)),IF(OR(AND(J2&lt;=151,J2&gt;82),AND(J2&lt;375,J2&gt;361)),INDEX(Q$2:Y$48,MATCH(L6,V:V,0)-1,1),IF(OR(J2=82,J2=361),"没有上级",INDEX(Q$2:Y$48,MATCH(L6,X:X,0)-1,1))),"没有上级")</f>
        <v>150</v>
      </c>
      <c r="N6" s="24">
        <f>IF(ISNUMBER(INDEX(Q$2:Y$48,MATCH(M6,$Q:$Q)-1,3)),INDEX(Q$2:Y$48,MATCH(M6,$Q:$Q)-1,3),"没有上级")</f>
        <v>6.6</v>
      </c>
      <c r="O6" s="24">
        <f>IF(ISNUMBER(N6-L3),ROUND((N6-L3)*10,0),"没有上级")</f>
        <v>1</v>
      </c>
      <c r="P6" s="24" t="s">
        <v>169</v>
      </c>
      <c r="Q6" s="24">
        <v>145</v>
      </c>
      <c r="R6" s="24">
        <f t="shared" si="3"/>
        <v>1202928</v>
      </c>
      <c r="S6" s="24">
        <f t="shared" si="3"/>
        <v>8.1999999999999993</v>
      </c>
      <c r="T6" s="26"/>
      <c r="U6" s="24">
        <f t="shared" si="4"/>
        <v>8.1999999999999993</v>
      </c>
      <c r="V6" s="26">
        <v>1204995</v>
      </c>
      <c r="W6" s="24">
        <f>U6-0.1</f>
        <v>8.1</v>
      </c>
      <c r="X6" s="26"/>
      <c r="Y6" s="24">
        <f>U6-0.3</f>
        <v>7.8999999999999995</v>
      </c>
    </row>
    <row r="7" spans="1:25" x14ac:dyDescent="0.15">
      <c r="A7" s="24">
        <v>6</v>
      </c>
      <c r="B7" s="24">
        <f>F4</f>
        <v>8003</v>
      </c>
      <c r="C7" s="25">
        <f>G4</f>
        <v>9.6000000000000014</v>
      </c>
      <c r="D7" s="22">
        <v>7006</v>
      </c>
      <c r="E7" s="24">
        <f t="shared" si="0"/>
        <v>9.6000000000000014</v>
      </c>
      <c r="F7" s="22">
        <v>8006</v>
      </c>
      <c r="G7" s="24">
        <f t="shared" si="1"/>
        <v>9.5000000000000018</v>
      </c>
      <c r="H7" s="22">
        <v>9006</v>
      </c>
      <c r="I7" s="24">
        <f t="shared" si="2"/>
        <v>9.4000000000000021</v>
      </c>
      <c r="P7" s="24" t="s">
        <v>170</v>
      </c>
      <c r="Q7" s="24">
        <v>146</v>
      </c>
      <c r="R7" s="24">
        <f t="shared" si="3"/>
        <v>1204995</v>
      </c>
      <c r="S7" s="24">
        <f t="shared" si="3"/>
        <v>8.1</v>
      </c>
      <c r="T7" s="26"/>
      <c r="U7" s="24">
        <f t="shared" si="4"/>
        <v>8.1</v>
      </c>
      <c r="V7" s="26">
        <v>1206981</v>
      </c>
      <c r="W7" s="24">
        <f>U7-0.3</f>
        <v>7.8</v>
      </c>
      <c r="X7" s="26"/>
      <c r="Y7" s="24">
        <f>U7-0.4</f>
        <v>7.6999999999999993</v>
      </c>
    </row>
    <row r="8" spans="1:25" x14ac:dyDescent="0.15">
      <c r="A8" s="24">
        <v>7</v>
      </c>
      <c r="B8" s="24">
        <f>F5</f>
        <v>8004</v>
      </c>
      <c r="C8" s="25">
        <f>G5</f>
        <v>9.6000000000000014</v>
      </c>
      <c r="D8" s="22">
        <v>7007</v>
      </c>
      <c r="E8" s="24">
        <f t="shared" si="0"/>
        <v>9.6000000000000014</v>
      </c>
      <c r="F8" s="22">
        <v>8007</v>
      </c>
      <c r="G8" s="24">
        <f t="shared" si="1"/>
        <v>9.5000000000000018</v>
      </c>
      <c r="H8" s="22">
        <v>9007</v>
      </c>
      <c r="I8" s="24">
        <f t="shared" si="2"/>
        <v>9.4000000000000021</v>
      </c>
      <c r="L8" s="22" t="s">
        <v>79</v>
      </c>
      <c r="M8" s="22" t="s">
        <v>177</v>
      </c>
      <c r="N8" s="22" t="s">
        <v>125</v>
      </c>
      <c r="O8" s="24" t="s">
        <v>188</v>
      </c>
      <c r="P8" s="24" t="s">
        <v>171</v>
      </c>
      <c r="Q8" s="24">
        <v>147</v>
      </c>
      <c r="R8" s="24">
        <f t="shared" si="3"/>
        <v>1206981</v>
      </c>
      <c r="S8" s="24">
        <f t="shared" si="3"/>
        <v>7.8</v>
      </c>
      <c r="T8" s="26"/>
      <c r="U8" s="24">
        <f t="shared" si="4"/>
        <v>7.8</v>
      </c>
      <c r="V8" s="26">
        <v>1210988</v>
      </c>
      <c r="W8" s="24">
        <f>U8-0.4</f>
        <v>7.3999999999999995</v>
      </c>
      <c r="X8" s="26"/>
      <c r="Y8" s="24">
        <f>U8-0.2</f>
        <v>7.6</v>
      </c>
    </row>
    <row r="9" spans="1:25" x14ac:dyDescent="0.15">
      <c r="A9" s="24">
        <v>8</v>
      </c>
      <c r="B9" s="24">
        <f>H5</f>
        <v>9004</v>
      </c>
      <c r="C9" s="25">
        <f>I5</f>
        <v>9.5000000000000018</v>
      </c>
      <c r="D9" s="22">
        <v>7008</v>
      </c>
      <c r="E9" s="24">
        <f t="shared" si="0"/>
        <v>9.5000000000000018</v>
      </c>
      <c r="F9" s="22">
        <v>8008</v>
      </c>
      <c r="G9" s="24">
        <f t="shared" si="1"/>
        <v>9.4000000000000021</v>
      </c>
      <c r="H9" s="22">
        <v>9008</v>
      </c>
      <c r="I9" s="24">
        <f t="shared" si="2"/>
        <v>9.3000000000000025</v>
      </c>
      <c r="L9" s="24">
        <f>IF(ISNUMBER(INDEX(Q$2:Y$48,MATCH(M6,Q:Q)-1,2)),INDEX(Q$2:Y$48,MATCH(M6,Q:Q)-1,2),"没有上级")</f>
        <v>1214993</v>
      </c>
      <c r="M9" s="26">
        <f>IF(ISNUMBER(INT(L9)),IF(OR(AND(M6&lt;=151,M6&gt;82),AND(M6&lt;375,M6&gt;361)),INDEX(Q$2:Y$48,MATCH(L9,V:V,0)-1,1),IF(OR(M6=82,M6=361),"没有上级",INDEX(Q$2:Y$48,MATCH(L9,X:X,0)-1,1))),"没有上级")</f>
        <v>149</v>
      </c>
      <c r="N9" s="24">
        <f>IF(ISNUMBER(INDEX(Q$2:Y$48,MATCH(M9,$Q:$Q)-1,3)),INDEX(Q$2:Y$48,MATCH(M9,$Q:$Q)-1,3),"没有上级")</f>
        <v>7.1999999999999993</v>
      </c>
      <c r="O9" s="24">
        <f>IF(ISNUMBER(N9-N6),ROUND((N9-N6)*10,0),"没有上级")</f>
        <v>6</v>
      </c>
      <c r="P9" s="24" t="s">
        <v>172</v>
      </c>
      <c r="Q9" s="24">
        <v>148</v>
      </c>
      <c r="R9" s="24">
        <f t="shared" si="3"/>
        <v>1210988</v>
      </c>
      <c r="S9" s="24">
        <f t="shared" si="3"/>
        <v>7.3999999999999995</v>
      </c>
      <c r="T9" s="26"/>
      <c r="U9" s="24">
        <f t="shared" si="4"/>
        <v>7.3999999999999995</v>
      </c>
      <c r="V9" s="26">
        <v>1212942</v>
      </c>
      <c r="W9" s="24">
        <f>U9-0.2</f>
        <v>7.1999999999999993</v>
      </c>
      <c r="X9" s="26"/>
      <c r="Y9" s="24">
        <f>U9-0.1</f>
        <v>7.3</v>
      </c>
    </row>
    <row r="10" spans="1:25" x14ac:dyDescent="0.15">
      <c r="A10" s="24">
        <v>9</v>
      </c>
      <c r="B10" s="24">
        <f>F6</f>
        <v>8005</v>
      </c>
      <c r="C10" s="25">
        <f>G6</f>
        <v>9.5000000000000018</v>
      </c>
      <c r="D10" s="22">
        <v>7009</v>
      </c>
      <c r="E10" s="24">
        <f t="shared" si="0"/>
        <v>9.5000000000000018</v>
      </c>
      <c r="F10" s="22">
        <v>8009</v>
      </c>
      <c r="G10" s="24">
        <f t="shared" si="1"/>
        <v>9.4000000000000021</v>
      </c>
      <c r="H10" s="22">
        <v>9009</v>
      </c>
      <c r="I10" s="24">
        <f t="shared" si="2"/>
        <v>9.3000000000000025</v>
      </c>
      <c r="P10" s="24" t="s">
        <v>173</v>
      </c>
      <c r="Q10" s="24">
        <v>149</v>
      </c>
      <c r="R10" s="24">
        <f t="shared" si="3"/>
        <v>1212942</v>
      </c>
      <c r="S10" s="24">
        <f t="shared" si="3"/>
        <v>7.1999999999999993</v>
      </c>
      <c r="T10" s="26"/>
      <c r="U10" s="24">
        <f t="shared" si="4"/>
        <v>7.1999999999999993</v>
      </c>
      <c r="V10" s="26">
        <v>1214993</v>
      </c>
      <c r="W10" s="24">
        <f>U10-0.6</f>
        <v>6.6</v>
      </c>
      <c r="X10" s="26"/>
      <c r="Y10" s="24">
        <f>U10-0.2</f>
        <v>6.9999999999999991</v>
      </c>
    </row>
    <row r="11" spans="1:25" x14ac:dyDescent="0.15">
      <c r="A11" s="24">
        <v>10</v>
      </c>
      <c r="B11" s="24">
        <f>D7</f>
        <v>7006</v>
      </c>
      <c r="C11" s="25">
        <f>E7</f>
        <v>9.6000000000000014</v>
      </c>
      <c r="D11" s="22">
        <v>7010</v>
      </c>
      <c r="E11" s="24">
        <f t="shared" si="0"/>
        <v>9.6000000000000014</v>
      </c>
      <c r="F11" s="22">
        <v>8010</v>
      </c>
      <c r="G11" s="24">
        <f t="shared" si="1"/>
        <v>9.5000000000000018</v>
      </c>
      <c r="H11" s="22">
        <v>9010</v>
      </c>
      <c r="I11" s="24">
        <f t="shared" si="2"/>
        <v>9.4000000000000021</v>
      </c>
      <c r="L11" s="22" t="s">
        <v>126</v>
      </c>
      <c r="M11" s="22" t="s">
        <v>178</v>
      </c>
      <c r="N11" s="22" t="s">
        <v>127</v>
      </c>
      <c r="O11" s="24" t="s">
        <v>189</v>
      </c>
      <c r="P11" s="24" t="s">
        <v>174</v>
      </c>
      <c r="Q11" s="24">
        <v>150</v>
      </c>
      <c r="R11" s="24">
        <f t="shared" si="3"/>
        <v>1214993</v>
      </c>
      <c r="S11" s="24">
        <f t="shared" si="3"/>
        <v>6.6</v>
      </c>
      <c r="T11" s="26"/>
      <c r="U11" s="24">
        <f t="shared" si="4"/>
        <v>6.6</v>
      </c>
      <c r="V11" s="26">
        <v>1216992</v>
      </c>
      <c r="W11" s="24">
        <f>U11-0.1</f>
        <v>6.5</v>
      </c>
      <c r="X11" s="26"/>
      <c r="Y11" s="24">
        <f>U11-0.3</f>
        <v>6.3</v>
      </c>
    </row>
    <row r="12" spans="1:25" x14ac:dyDescent="0.15">
      <c r="A12" s="24">
        <v>11</v>
      </c>
      <c r="B12" s="24">
        <f>F7</f>
        <v>8006</v>
      </c>
      <c r="C12" s="25">
        <f>G7</f>
        <v>9.5000000000000018</v>
      </c>
      <c r="D12" s="22">
        <v>7011</v>
      </c>
      <c r="E12" s="24">
        <f t="shared" si="0"/>
        <v>9.5000000000000018</v>
      </c>
      <c r="F12" s="22">
        <v>8011</v>
      </c>
      <c r="G12" s="24">
        <f t="shared" si="1"/>
        <v>9.4000000000000021</v>
      </c>
      <c r="H12" s="22">
        <v>9011</v>
      </c>
      <c r="I12" s="24">
        <f t="shared" si="2"/>
        <v>9.3000000000000025</v>
      </c>
      <c r="L12" s="24">
        <f>IF(ISNUMBER(INDEX(Q$2:Y$48,MATCH(M9,Q:Q)-1,2)),INDEX(Q$2:Y$48,MATCH(M9,Q:Q)-1,2),"没有上级")</f>
        <v>1212942</v>
      </c>
      <c r="M12" s="26">
        <f>IF(ISNUMBER(INT(L12)),IF(OR(AND(M9&lt;=151,M9&gt;82),AND(M9&lt;375,M9&gt;361)),INDEX(Q$2:Y$48,MATCH(L12,V:V,0)-1,1),IF(OR(M9=82,M9=361),"没有上级",INDEX(Q$2:Y$48,MATCH(L12,X:X,0)-1,1))),"没有上级")</f>
        <v>148</v>
      </c>
      <c r="N12" s="24">
        <f>IF(ISNUMBER(INDEX(Q$2:Y$48,MATCH(M12,$Q:$Q)-1,3)),INDEX(Q$2:Y$48,MATCH(M12,$Q:$Q)-1,3),"没有上级")</f>
        <v>7.3999999999999995</v>
      </c>
      <c r="O12" s="24">
        <f>IF(ISNUMBER(N12-N9),ROUND((N12-N9)*10,0),"没有上级")</f>
        <v>2</v>
      </c>
      <c r="P12" s="24" t="s">
        <v>175</v>
      </c>
      <c r="Q12" s="24">
        <v>151</v>
      </c>
      <c r="R12" s="24">
        <f t="shared" si="3"/>
        <v>1216992</v>
      </c>
      <c r="S12" s="24">
        <f t="shared" si="3"/>
        <v>6.5</v>
      </c>
      <c r="T12" s="26"/>
      <c r="U12" s="24">
        <f t="shared" si="4"/>
        <v>6.5</v>
      </c>
      <c r="V12" s="26"/>
      <c r="W12" s="24">
        <f>U12-0.4</f>
        <v>6.1</v>
      </c>
      <c r="X12" s="26"/>
      <c r="Y12" s="24">
        <f>U12-0.4</f>
        <v>6.1</v>
      </c>
    </row>
    <row r="13" spans="1:25" x14ac:dyDescent="0.15">
      <c r="A13" s="24">
        <v>12</v>
      </c>
      <c r="B13" s="24">
        <f>H7</f>
        <v>9006</v>
      </c>
      <c r="C13" s="25">
        <f>I7</f>
        <v>9.4000000000000021</v>
      </c>
      <c r="D13" s="22">
        <v>7012</v>
      </c>
      <c r="E13" s="24">
        <f t="shared" si="0"/>
        <v>9.4000000000000021</v>
      </c>
      <c r="F13" s="22">
        <v>8012</v>
      </c>
      <c r="G13" s="24">
        <f t="shared" si="1"/>
        <v>9.3000000000000025</v>
      </c>
      <c r="H13" s="22">
        <v>9012</v>
      </c>
      <c r="I13" s="24">
        <f t="shared" si="2"/>
        <v>9.2000000000000028</v>
      </c>
      <c r="P13" s="24">
        <v>15196685186</v>
      </c>
      <c r="R13" s="24">
        <f t="shared" si="3"/>
        <v>0</v>
      </c>
      <c r="S13" s="24">
        <f t="shared" si="3"/>
        <v>6.1</v>
      </c>
      <c r="T13" s="26"/>
      <c r="U13" s="24">
        <f t="shared" si="4"/>
        <v>6.1</v>
      </c>
      <c r="V13" s="26"/>
      <c r="W13" s="24">
        <f>U13-0.3</f>
        <v>5.8</v>
      </c>
      <c r="X13" s="26"/>
      <c r="Y13" s="24">
        <f>U13-0.2</f>
        <v>5.8999999999999995</v>
      </c>
    </row>
    <row r="14" spans="1:25" x14ac:dyDescent="0.15">
      <c r="A14" s="24">
        <v>13</v>
      </c>
      <c r="B14" s="24">
        <f>F8</f>
        <v>8007</v>
      </c>
      <c r="C14" s="25">
        <f>G8</f>
        <v>9.5000000000000018</v>
      </c>
      <c r="D14" s="22">
        <v>7013</v>
      </c>
      <c r="E14" s="24">
        <f t="shared" si="0"/>
        <v>9.5000000000000018</v>
      </c>
      <c r="F14" s="22">
        <v>8013</v>
      </c>
      <c r="G14" s="24">
        <f t="shared" si="1"/>
        <v>9.4000000000000021</v>
      </c>
      <c r="H14" s="22">
        <v>9013</v>
      </c>
      <c r="I14" s="24">
        <f t="shared" si="2"/>
        <v>9.3000000000000025</v>
      </c>
      <c r="L14" s="22" t="s">
        <v>128</v>
      </c>
      <c r="M14" s="22" t="s">
        <v>80</v>
      </c>
      <c r="N14" s="22" t="s">
        <v>129</v>
      </c>
      <c r="O14" s="24" t="s">
        <v>190</v>
      </c>
      <c r="P14" s="24">
        <v>15196685187</v>
      </c>
      <c r="R14" s="24">
        <f t="shared" si="3"/>
        <v>0</v>
      </c>
      <c r="S14" s="24">
        <f t="shared" si="3"/>
        <v>5.8</v>
      </c>
      <c r="T14" s="26"/>
      <c r="U14" s="24">
        <f t="shared" si="4"/>
        <v>5.8</v>
      </c>
      <c r="V14" s="26"/>
      <c r="W14" s="24">
        <f>U14-0.2</f>
        <v>5.6</v>
      </c>
      <c r="X14" s="26"/>
      <c r="Y14" s="24">
        <f>U14-0.1</f>
        <v>5.7</v>
      </c>
    </row>
    <row r="15" spans="1:25" x14ac:dyDescent="0.15">
      <c r="A15" s="24">
        <v>14</v>
      </c>
      <c r="B15" s="24">
        <f>H8</f>
        <v>9007</v>
      </c>
      <c r="C15" s="25">
        <f>I8</f>
        <v>9.4000000000000021</v>
      </c>
      <c r="D15" s="22">
        <v>7014</v>
      </c>
      <c r="E15" s="24">
        <f t="shared" si="0"/>
        <v>9.4000000000000021</v>
      </c>
      <c r="F15" s="22">
        <v>8014</v>
      </c>
      <c r="G15" s="24">
        <f t="shared" si="1"/>
        <v>9.3000000000000025</v>
      </c>
      <c r="H15" s="22">
        <v>9014</v>
      </c>
      <c r="I15" s="24">
        <f t="shared" si="2"/>
        <v>9.2000000000000028</v>
      </c>
      <c r="L15" s="24">
        <f>IF(ISNUMBER(INDEX(Q$2:Y$48,MATCH(M12,Q:Q)-1,2)),INDEX(Q$2:Y$48,MATCH(M12,Q:Q)-1,2),"没有上级")</f>
        <v>1210988</v>
      </c>
      <c r="M15" s="26">
        <f>IF(ISNUMBER(INT(L15)),IF(OR(AND(M12&lt;=151,M12&gt;82),AND(M12&lt;375,M12&gt;361)),INDEX(Q$2:Y$48,MATCH(L15,V:V,0)-1,1),IF(OR(M12=82,M12=361),"没有上级",INDEX(Q$2:Y$48,MATCH(L15,X:X,0)-1,1))),"没有上级")</f>
        <v>147</v>
      </c>
      <c r="N15" s="24">
        <f>IF(ISNUMBER(INDEX(Q$2:Y$48,MATCH(M15,$Q:$Q)-1,3)),INDEX(Q$2:Y$48,MATCH(M15,$Q:$Q)-1,3),"没有上级")</f>
        <v>7.8</v>
      </c>
      <c r="O15" s="24">
        <f>IF(ISNUMBER(N15-N12),ROUND((N15-N12)*10,0),"没有上级")</f>
        <v>4</v>
      </c>
      <c r="P15" s="24">
        <v>15196685188</v>
      </c>
      <c r="R15" s="24">
        <f>X2</f>
        <v>1171951</v>
      </c>
      <c r="S15" s="24">
        <f>Y2</f>
        <v>9.4</v>
      </c>
    </row>
    <row r="16" spans="1:25" x14ac:dyDescent="0.15">
      <c r="A16" s="24">
        <v>15</v>
      </c>
      <c r="B16" s="24">
        <f>F9</f>
        <v>8008</v>
      </c>
      <c r="C16" s="25">
        <f>G9</f>
        <v>9.4000000000000021</v>
      </c>
      <c r="D16" s="22">
        <v>7015</v>
      </c>
      <c r="E16" s="24">
        <f t="shared" si="0"/>
        <v>9.4000000000000021</v>
      </c>
      <c r="F16" s="22">
        <v>8015</v>
      </c>
      <c r="G16" s="24">
        <f t="shared" si="1"/>
        <v>9.3000000000000025</v>
      </c>
      <c r="H16" s="22">
        <v>9015</v>
      </c>
      <c r="I16" s="24">
        <f t="shared" si="2"/>
        <v>9.2000000000000028</v>
      </c>
      <c r="P16" s="24">
        <v>15196685189</v>
      </c>
      <c r="R16" s="24">
        <f t="shared" ref="R16:S27" si="5">X3</f>
        <v>0</v>
      </c>
      <c r="S16" s="24">
        <f t="shared" si="5"/>
        <v>9.2999999999999989</v>
      </c>
    </row>
    <row r="17" spans="1:26" x14ac:dyDescent="0.15">
      <c r="A17" s="24">
        <v>16</v>
      </c>
      <c r="B17" s="24">
        <f>D10</f>
        <v>7009</v>
      </c>
      <c r="C17" s="25">
        <f>E10</f>
        <v>9.5000000000000018</v>
      </c>
      <c r="D17" s="22">
        <v>7016</v>
      </c>
      <c r="E17" s="24">
        <f t="shared" si="0"/>
        <v>9.5000000000000018</v>
      </c>
      <c r="F17" s="22">
        <v>8016</v>
      </c>
      <c r="G17" s="24">
        <f t="shared" si="1"/>
        <v>9.4000000000000021</v>
      </c>
      <c r="H17" s="22">
        <v>9016</v>
      </c>
      <c r="I17" s="24">
        <f t="shared" si="2"/>
        <v>9.3000000000000025</v>
      </c>
      <c r="L17" s="22" t="s">
        <v>130</v>
      </c>
      <c r="M17" s="22" t="s">
        <v>179</v>
      </c>
      <c r="N17" s="22" t="s">
        <v>81</v>
      </c>
      <c r="O17" s="24" t="s">
        <v>191</v>
      </c>
      <c r="P17" s="24">
        <v>15196685190</v>
      </c>
      <c r="R17" s="24">
        <f t="shared" si="5"/>
        <v>0</v>
      </c>
      <c r="S17" s="24">
        <f t="shared" si="5"/>
        <v>8.8999999999999986</v>
      </c>
    </row>
    <row r="18" spans="1:26" x14ac:dyDescent="0.15">
      <c r="A18" s="24">
        <v>17</v>
      </c>
      <c r="B18" s="24">
        <f>F10</f>
        <v>8009</v>
      </c>
      <c r="C18" s="25">
        <f>G10</f>
        <v>9.4000000000000021</v>
      </c>
      <c r="D18" s="22">
        <v>7017</v>
      </c>
      <c r="E18" s="24">
        <f t="shared" si="0"/>
        <v>9.4000000000000021</v>
      </c>
      <c r="F18" s="22">
        <v>8017</v>
      </c>
      <c r="G18" s="24">
        <f t="shared" si="1"/>
        <v>9.3000000000000025</v>
      </c>
      <c r="H18" s="22">
        <v>9017</v>
      </c>
      <c r="I18" s="24">
        <f t="shared" si="2"/>
        <v>9.2000000000000028</v>
      </c>
      <c r="L18" s="24">
        <f>IF(ISNUMBER(INDEX(Q$2:Y$48,MATCH(M15,Q:Q)-1,2)),INDEX(Q$2:Y$48,MATCH(M15,Q:Q)-1,2),"没有上级")</f>
        <v>1206981</v>
      </c>
      <c r="M18" s="26">
        <f>IF(ISNUMBER(INT(L18)),IF(OR(AND(M15&lt;=151,M15&gt;82),AND(M15&lt;375,M15&gt;361)),INDEX(Q$2:Y$48,MATCH(L18,V:V,0)-1,1),IF(OR(M15=82,M15=361),"没有上级",INDEX(Q$2:Y$48,MATCH(L18,X:X,0)-1,1))),"没有上级")</f>
        <v>146</v>
      </c>
      <c r="N18" s="24">
        <f>IF(ISNUMBER(INDEX(Q$2:Y$48,MATCH(M18,$Q:$Q)-1,3)),INDEX(Q$2:Y$48,MATCH(M18,$Q:$Q)-1,3),"没有上级")</f>
        <v>8.1</v>
      </c>
      <c r="O18" s="24">
        <f>IF(ISNUMBER(N18-N15),ROUND((N18-N15)*10,0),"没有上级")</f>
        <v>3</v>
      </c>
      <c r="P18" s="24">
        <v>15196685191</v>
      </c>
      <c r="R18" s="24">
        <f t="shared" si="5"/>
        <v>0</v>
      </c>
      <c r="S18" s="24">
        <f t="shared" si="5"/>
        <v>8.3999999999999986</v>
      </c>
    </row>
    <row r="19" spans="1:26" x14ac:dyDescent="0.15">
      <c r="A19" s="24">
        <v>18</v>
      </c>
      <c r="B19" s="24">
        <f>H10</f>
        <v>9009</v>
      </c>
      <c r="C19" s="25">
        <f>I10</f>
        <v>9.3000000000000025</v>
      </c>
      <c r="D19" s="22">
        <v>7018</v>
      </c>
      <c r="E19" s="24">
        <f t="shared" si="0"/>
        <v>9.3000000000000025</v>
      </c>
      <c r="F19" s="22">
        <v>8018</v>
      </c>
      <c r="G19" s="24">
        <f t="shared" si="1"/>
        <v>9.2000000000000028</v>
      </c>
      <c r="H19" s="22">
        <v>9018</v>
      </c>
      <c r="I19" s="24">
        <f t="shared" si="2"/>
        <v>9.1000000000000032</v>
      </c>
      <c r="P19" s="24">
        <v>15196685192</v>
      </c>
      <c r="R19" s="24">
        <f t="shared" si="5"/>
        <v>0</v>
      </c>
      <c r="S19" s="24">
        <f t="shared" si="5"/>
        <v>7.8999999999999995</v>
      </c>
    </row>
    <row r="20" spans="1:26" x14ac:dyDescent="0.15">
      <c r="A20" s="24">
        <v>19</v>
      </c>
      <c r="B20" s="24">
        <f>F11</f>
        <v>8010</v>
      </c>
      <c r="C20" s="25">
        <f>G11</f>
        <v>9.5000000000000018</v>
      </c>
      <c r="D20" s="22">
        <v>7019</v>
      </c>
      <c r="E20" s="24">
        <f t="shared" si="0"/>
        <v>9.5000000000000018</v>
      </c>
      <c r="F20" s="22">
        <v>8019</v>
      </c>
      <c r="G20" s="24">
        <f t="shared" si="1"/>
        <v>9.4000000000000021</v>
      </c>
      <c r="H20" s="22">
        <v>9019</v>
      </c>
      <c r="I20" s="24">
        <f t="shared" si="2"/>
        <v>9.3000000000000025</v>
      </c>
      <c r="L20" s="22" t="s">
        <v>131</v>
      </c>
      <c r="M20" s="22" t="s">
        <v>180</v>
      </c>
      <c r="N20" s="22" t="s">
        <v>132</v>
      </c>
      <c r="O20" s="24" t="s">
        <v>192</v>
      </c>
      <c r="P20" s="24">
        <v>15196685193</v>
      </c>
      <c r="R20" s="24">
        <f t="shared" si="5"/>
        <v>0</v>
      </c>
      <c r="S20" s="24">
        <f t="shared" si="5"/>
        <v>7.6999999999999993</v>
      </c>
    </row>
    <row r="21" spans="1:26" x14ac:dyDescent="0.15">
      <c r="A21" s="24">
        <v>20</v>
      </c>
      <c r="B21" s="24">
        <f>H11</f>
        <v>9010</v>
      </c>
      <c r="C21" s="25">
        <f>I11</f>
        <v>9.4000000000000021</v>
      </c>
      <c r="D21" s="22">
        <v>7020</v>
      </c>
      <c r="E21" s="24">
        <f t="shared" si="0"/>
        <v>9.4000000000000021</v>
      </c>
      <c r="F21" s="22">
        <v>8020</v>
      </c>
      <c r="G21" s="24">
        <f t="shared" si="1"/>
        <v>9.3000000000000025</v>
      </c>
      <c r="H21" s="22">
        <v>9020</v>
      </c>
      <c r="I21" s="24">
        <f t="shared" si="2"/>
        <v>9.2000000000000028</v>
      </c>
      <c r="L21" s="24">
        <f>IF(ISNUMBER(INDEX(Q$2:Y$48,MATCH(M18,Q:Q)-1,2)),INDEX(Q$2:Y$48,MATCH(M18,Q:Q)-1,2),"没有上级")</f>
        <v>1204995</v>
      </c>
      <c r="M21" s="26">
        <f>IF(ISNUMBER(INT(L21)),IF(OR(AND(M18&lt;=151,M18&gt;82),AND(M18&lt;375,M18&gt;361)),INDEX(Q$2:Y$48,MATCH(L21,V:V,0)-1,1),IF(OR(M18=82,M18=361),"没有上级",INDEX(Q$2:Y$48,MATCH(L21,X:X,0)-1,1))),"没有上级")</f>
        <v>145</v>
      </c>
      <c r="N21" s="24">
        <f>IF(ISNUMBER(INDEX(Q$2:Y$48,MATCH(M21,$Q:$Q)-1,3)),INDEX(Q$2:Y$48,MATCH(M21,$Q:$Q)-1,3),"没有上级")</f>
        <v>8.1999999999999993</v>
      </c>
      <c r="O21" s="24">
        <f>IF(ISNUMBER(N21-N18),ROUND((N21-N18)*10,0),"没有上级")</f>
        <v>1</v>
      </c>
      <c r="P21" s="24">
        <v>15196685194</v>
      </c>
      <c r="R21" s="24">
        <f t="shared" si="5"/>
        <v>0</v>
      </c>
      <c r="S21" s="24">
        <f t="shared" si="5"/>
        <v>7.6</v>
      </c>
    </row>
    <row r="22" spans="1:26" x14ac:dyDescent="0.15">
      <c r="A22" s="24">
        <v>21</v>
      </c>
      <c r="B22" s="24">
        <f>H12</f>
        <v>9011</v>
      </c>
      <c r="C22" s="25">
        <f>I12</f>
        <v>9.3000000000000025</v>
      </c>
      <c r="D22" s="22">
        <v>7021</v>
      </c>
      <c r="E22" s="24">
        <f t="shared" si="0"/>
        <v>9.3000000000000025</v>
      </c>
      <c r="F22" s="22">
        <v>8021</v>
      </c>
      <c r="G22" s="24">
        <f t="shared" si="1"/>
        <v>9.2000000000000028</v>
      </c>
      <c r="H22" s="22">
        <v>9021</v>
      </c>
      <c r="I22" s="24">
        <f t="shared" si="2"/>
        <v>9.1000000000000032</v>
      </c>
      <c r="P22" s="24">
        <v>15196685195</v>
      </c>
      <c r="R22" s="24">
        <f t="shared" si="5"/>
        <v>0</v>
      </c>
      <c r="S22" s="24">
        <f t="shared" si="5"/>
        <v>7.3</v>
      </c>
    </row>
    <row r="23" spans="1:26" x14ac:dyDescent="0.15">
      <c r="A23" s="24">
        <v>22</v>
      </c>
      <c r="B23" s="24">
        <f>F13</f>
        <v>8012</v>
      </c>
      <c r="C23" s="25">
        <f>G13</f>
        <v>9.3000000000000025</v>
      </c>
      <c r="D23" s="22">
        <v>7022</v>
      </c>
      <c r="E23" s="24">
        <f t="shared" si="0"/>
        <v>9.3000000000000025</v>
      </c>
      <c r="F23" s="22">
        <v>8022</v>
      </c>
      <c r="G23" s="24">
        <f t="shared" si="1"/>
        <v>9.2000000000000028</v>
      </c>
      <c r="H23" s="22">
        <v>9022</v>
      </c>
      <c r="I23" s="24">
        <f t="shared" si="2"/>
        <v>9.1000000000000032</v>
      </c>
      <c r="L23" s="22" t="s">
        <v>133</v>
      </c>
      <c r="M23" s="22" t="s">
        <v>181</v>
      </c>
      <c r="N23" s="22" t="s">
        <v>82</v>
      </c>
      <c r="O23" s="24" t="s">
        <v>193</v>
      </c>
      <c r="P23" s="24">
        <v>15196685196</v>
      </c>
      <c r="R23" s="24">
        <f t="shared" si="5"/>
        <v>0</v>
      </c>
      <c r="S23" s="24">
        <f t="shared" si="5"/>
        <v>6.9999999999999991</v>
      </c>
    </row>
    <row r="24" spans="1:26" x14ac:dyDescent="0.15">
      <c r="A24" s="24">
        <v>23</v>
      </c>
      <c r="B24" s="24">
        <f>H13</f>
        <v>9012</v>
      </c>
      <c r="C24" s="25">
        <f>I13</f>
        <v>9.2000000000000028</v>
      </c>
      <c r="D24" s="22">
        <v>7023</v>
      </c>
      <c r="E24" s="24">
        <f t="shared" si="0"/>
        <v>9.2000000000000028</v>
      </c>
      <c r="F24" s="22">
        <v>8023</v>
      </c>
      <c r="G24" s="24">
        <f t="shared" si="1"/>
        <v>9.1000000000000032</v>
      </c>
      <c r="H24" s="22">
        <v>9023</v>
      </c>
      <c r="I24" s="24">
        <f t="shared" si="2"/>
        <v>9.0000000000000036</v>
      </c>
      <c r="L24" s="24">
        <f>IF(ISNUMBER(INDEX(Q$2:Y$48,MATCH(M21,Q:Q)-1,2)),INDEX(Q$2:Y$48,MATCH(M21,Q:Q)-1,2),"没有上级")</f>
        <v>1202928</v>
      </c>
      <c r="M24" s="26">
        <f>IF(ISNUMBER(INT(L24)),IF(OR(AND(M21&lt;=151,M21&gt;82),AND(M21&lt;375,M21&gt;361)),INDEX(Q$2:Y$48,MATCH(L24,V:V,0)-1,1),IF(OR(M21=82,M21=361),"没有上级",INDEX(Q$2:Y$48,MATCH(L24,X:X,0)-1,1))),"没有上级")</f>
        <v>144</v>
      </c>
      <c r="N24" s="24">
        <f>IF(ISNUMBER(INDEX(Q$2:Y$48,MATCH(M24,$Q:$Q)-1,3)),INDEX(Q$2:Y$48,MATCH(M24,$Q:$Q)-1,3),"没有上级")</f>
        <v>8.8999999999999986</v>
      </c>
      <c r="O24" s="24">
        <f>IF(ISNUMBER(N24-N21),ROUND((N24-N21)*10,0),"没有上级")</f>
        <v>7</v>
      </c>
      <c r="P24" s="24">
        <v>15196685197</v>
      </c>
      <c r="R24" s="24">
        <f t="shared" si="5"/>
        <v>0</v>
      </c>
      <c r="S24" s="24">
        <f t="shared" si="5"/>
        <v>6.3</v>
      </c>
    </row>
    <row r="25" spans="1:26" x14ac:dyDescent="0.15">
      <c r="A25" s="24">
        <v>24</v>
      </c>
      <c r="B25" s="24">
        <f>F14</f>
        <v>8013</v>
      </c>
      <c r="C25" s="25">
        <f>G14</f>
        <v>9.4000000000000021</v>
      </c>
      <c r="D25" s="22">
        <v>7024</v>
      </c>
      <c r="E25" s="24">
        <f t="shared" si="0"/>
        <v>9.4000000000000021</v>
      </c>
      <c r="F25" s="22">
        <v>8024</v>
      </c>
      <c r="G25" s="24">
        <f t="shared" si="1"/>
        <v>9.3000000000000025</v>
      </c>
      <c r="H25" s="22">
        <v>9024</v>
      </c>
      <c r="I25" s="24">
        <f t="shared" si="2"/>
        <v>9.2000000000000028</v>
      </c>
      <c r="P25" s="24">
        <v>15196685198</v>
      </c>
      <c r="R25" s="24">
        <f t="shared" si="5"/>
        <v>0</v>
      </c>
      <c r="S25" s="24">
        <f t="shared" si="5"/>
        <v>6.1</v>
      </c>
    </row>
    <row r="26" spans="1:26" x14ac:dyDescent="0.15">
      <c r="A26" s="24">
        <v>25</v>
      </c>
      <c r="B26" s="24">
        <f>H14</f>
        <v>9013</v>
      </c>
      <c r="C26" s="25">
        <f>I14</f>
        <v>9.3000000000000025</v>
      </c>
      <c r="D26" s="22">
        <v>7025</v>
      </c>
      <c r="E26" s="24">
        <f t="shared" si="0"/>
        <v>9.3000000000000025</v>
      </c>
      <c r="F26" s="22">
        <v>8025</v>
      </c>
      <c r="G26" s="24">
        <f t="shared" si="1"/>
        <v>9.2000000000000028</v>
      </c>
      <c r="H26" s="22">
        <v>9025</v>
      </c>
      <c r="I26" s="24">
        <f t="shared" si="2"/>
        <v>9.1000000000000032</v>
      </c>
      <c r="L26" s="22" t="s">
        <v>134</v>
      </c>
      <c r="M26" s="22" t="s">
        <v>182</v>
      </c>
      <c r="N26" s="22" t="s">
        <v>135</v>
      </c>
      <c r="O26" s="24" t="s">
        <v>194</v>
      </c>
      <c r="P26" s="24">
        <v>15196685199</v>
      </c>
      <c r="R26" s="24">
        <f t="shared" si="5"/>
        <v>0</v>
      </c>
      <c r="S26" s="24">
        <f t="shared" si="5"/>
        <v>5.8999999999999995</v>
      </c>
    </row>
    <row r="27" spans="1:26" x14ac:dyDescent="0.15">
      <c r="A27" s="24">
        <v>26</v>
      </c>
      <c r="B27" s="24">
        <f>F15</f>
        <v>8014</v>
      </c>
      <c r="C27" s="25">
        <f>G15</f>
        <v>9.3000000000000025</v>
      </c>
      <c r="D27" s="22">
        <v>7026</v>
      </c>
      <c r="E27" s="24">
        <f t="shared" si="0"/>
        <v>9.3000000000000025</v>
      </c>
      <c r="F27" s="22">
        <v>8026</v>
      </c>
      <c r="G27" s="24">
        <f t="shared" si="1"/>
        <v>9.2000000000000028</v>
      </c>
      <c r="H27" s="22">
        <v>9026</v>
      </c>
      <c r="I27" s="24">
        <f t="shared" si="2"/>
        <v>9.1000000000000032</v>
      </c>
      <c r="L27" s="24">
        <f>IF(ISNUMBER(INDEX(Q$2:Y$48,MATCH(M24,Q:Q)-1,2)),INDEX(Q$2:Y$48,MATCH(M24,Q:Q)-1,2),"没有上级")</f>
        <v>1200960</v>
      </c>
      <c r="M27" s="26">
        <f>IF(ISNUMBER(INT(L27)),IF(OR(AND(M24&lt;=151,M24&gt;82),AND(M24&lt;375,M24&gt;361)),INDEX(Q$2:Y$48,MATCH(L27,V:V,0)-1,1),IF(OR(M24=82,M24=361),"没有上级",INDEX(Q$2:Y$48,MATCH(L27,X:X,0)-1,1))),"没有上级")</f>
        <v>143</v>
      </c>
      <c r="N27" s="24">
        <f>IF(ISNUMBER(INDEX(Q$2:Y$48,MATCH(M27,$Q:$Q)-1,3)),INDEX(Q$2:Y$48,MATCH(M27,$Q:$Q)-1,3),"没有上级")</f>
        <v>9.1999999999999993</v>
      </c>
      <c r="O27" s="24">
        <f>IF(ISNUMBER(N27-N24),ROUND((N27-N24)*10,0),"没有上级")</f>
        <v>3</v>
      </c>
      <c r="P27" s="24">
        <v>15196685200</v>
      </c>
      <c r="R27" s="24">
        <f t="shared" si="5"/>
        <v>0</v>
      </c>
      <c r="S27" s="24">
        <f t="shared" si="5"/>
        <v>5.7</v>
      </c>
    </row>
    <row r="28" spans="1:26" x14ac:dyDescent="0.15">
      <c r="A28" s="24">
        <v>27</v>
      </c>
      <c r="B28" s="24">
        <f>H15</f>
        <v>9014</v>
      </c>
      <c r="C28" s="25">
        <f>I15</f>
        <v>9.2000000000000028</v>
      </c>
      <c r="D28" s="22">
        <v>7027</v>
      </c>
      <c r="E28" s="24">
        <f t="shared" si="0"/>
        <v>9.2000000000000028</v>
      </c>
      <c r="F28" s="22">
        <v>8027</v>
      </c>
      <c r="G28" s="24">
        <f t="shared" si="1"/>
        <v>9.1000000000000032</v>
      </c>
      <c r="H28" s="22">
        <v>9027</v>
      </c>
      <c r="I28" s="24">
        <f t="shared" si="2"/>
        <v>9.0000000000000036</v>
      </c>
      <c r="P28" s="24" t="s">
        <v>122</v>
      </c>
      <c r="Q28" s="24" t="s">
        <v>122</v>
      </c>
      <c r="R28" s="24" t="s">
        <v>122</v>
      </c>
      <c r="S28" s="24" t="s">
        <v>122</v>
      </c>
      <c r="T28" s="24" t="s">
        <v>122</v>
      </c>
      <c r="U28" s="24" t="s">
        <v>122</v>
      </c>
      <c r="V28" s="24" t="s">
        <v>122</v>
      </c>
      <c r="W28" s="24" t="s">
        <v>122</v>
      </c>
      <c r="X28" s="24" t="s">
        <v>122</v>
      </c>
      <c r="Y28" s="24" t="s">
        <v>122</v>
      </c>
      <c r="Z28" s="24" t="s">
        <v>122</v>
      </c>
    </row>
    <row r="29" spans="1:26" x14ac:dyDescent="0.15">
      <c r="A29" s="24">
        <v>28</v>
      </c>
      <c r="B29" s="24">
        <f>H16</f>
        <v>9015</v>
      </c>
      <c r="C29" s="25">
        <f>I16</f>
        <v>9.2000000000000028</v>
      </c>
      <c r="D29" s="22">
        <v>7028</v>
      </c>
      <c r="E29" s="24">
        <f t="shared" si="0"/>
        <v>9.2000000000000028</v>
      </c>
      <c r="F29" s="22">
        <v>8028</v>
      </c>
      <c r="G29" s="24">
        <f t="shared" si="1"/>
        <v>9.1000000000000032</v>
      </c>
      <c r="H29" s="22">
        <v>9028</v>
      </c>
      <c r="I29" s="24">
        <f t="shared" si="2"/>
        <v>9.0000000000000036</v>
      </c>
      <c r="L29" s="22" t="s">
        <v>136</v>
      </c>
      <c r="M29" s="22" t="s">
        <v>137</v>
      </c>
      <c r="N29" s="22" t="s">
        <v>138</v>
      </c>
      <c r="O29" s="24" t="s">
        <v>195</v>
      </c>
      <c r="P29" s="24">
        <v>15196685175</v>
      </c>
      <c r="Q29" s="24">
        <v>361</v>
      </c>
      <c r="S29" s="24">
        <v>9.9</v>
      </c>
      <c r="T29" s="24">
        <v>7139182</v>
      </c>
      <c r="U29" s="24">
        <f>S29</f>
        <v>9.9</v>
      </c>
      <c r="V29" s="24">
        <v>7209805</v>
      </c>
      <c r="W29" s="24">
        <f>U29-0.4</f>
        <v>9.5</v>
      </c>
      <c r="X29" s="24">
        <v>7219909</v>
      </c>
      <c r="Y29" s="24">
        <f>U29-0.6</f>
        <v>9.3000000000000007</v>
      </c>
    </row>
    <row r="30" spans="1:26" x14ac:dyDescent="0.15">
      <c r="A30" s="24">
        <v>29</v>
      </c>
      <c r="B30" s="24">
        <f>F16</f>
        <v>8015</v>
      </c>
      <c r="C30" s="24">
        <f>G16</f>
        <v>9.3000000000000025</v>
      </c>
      <c r="D30" s="22">
        <v>7029</v>
      </c>
      <c r="E30" s="24">
        <f t="shared" si="0"/>
        <v>9.3000000000000025</v>
      </c>
      <c r="F30" s="22">
        <v>8029</v>
      </c>
      <c r="G30" s="24">
        <f t="shared" si="1"/>
        <v>9.2000000000000028</v>
      </c>
      <c r="H30" s="22">
        <v>9029</v>
      </c>
      <c r="I30" s="24">
        <f t="shared" si="2"/>
        <v>9.1000000000000032</v>
      </c>
      <c r="L30" s="24">
        <f>IF(ISNUMBER(INDEX(Q$2:Y$48,MATCH(M27,Q:Q)-1,2)),INDEX(Q$2:Y$48,MATCH(M27,Q:Q)-1,2),"没有上级")</f>
        <v>1176952</v>
      </c>
      <c r="M30" s="26">
        <f>IF(ISNUMBER(INT(L30)),IF(OR(AND(M27&lt;=151,M27&gt;82),AND(M27&lt;375,M27&gt;361)),INDEX(Q$2:Y$48,MATCH(L30,V:V,0)-1,1),IF(OR(M27=82,M27=361),"没有上级",INDEX(Q$2:Y$48,MATCH(L30,X:X,0)-1,1))),"没有上级")</f>
        <v>140</v>
      </c>
      <c r="N30" s="24">
        <f>IF(ISNUMBER(INDEX(Q$2:Y$48,MATCH(M30,$Q:$Q)-1,3)),INDEX(Q$2:Y$48,MATCH(M30,$Q:$Q)-1,3),"没有上级")</f>
        <v>9.6</v>
      </c>
      <c r="O30" s="24">
        <f>IF(ISNUMBER(N30-N27),ROUND((N30-N27)*10,0),"没有上级")</f>
        <v>4</v>
      </c>
      <c r="P30" s="24">
        <v>15196685176</v>
      </c>
      <c r="Q30" s="24">
        <v>366</v>
      </c>
      <c r="R30" s="24">
        <f>V29</f>
        <v>7209805</v>
      </c>
      <c r="S30" s="24">
        <f>W29</f>
        <v>9.5</v>
      </c>
      <c r="T30" s="24">
        <v>7229270</v>
      </c>
      <c r="U30" s="24">
        <f>S30</f>
        <v>9.5</v>
      </c>
      <c r="V30" s="24">
        <v>7239404</v>
      </c>
      <c r="W30" s="24">
        <f t="shared" ref="W30:W38" si="6">U30-0.4</f>
        <v>9.1</v>
      </c>
      <c r="X30" s="24">
        <v>7249766</v>
      </c>
      <c r="Y30" s="24">
        <f t="shared" ref="Y30:Y38" si="7">U30-0.6</f>
        <v>8.9</v>
      </c>
    </row>
    <row r="31" spans="1:26" x14ac:dyDescent="0.15">
      <c r="A31" s="24">
        <v>30</v>
      </c>
      <c r="B31" s="24">
        <f>D17</f>
        <v>7016</v>
      </c>
      <c r="C31" s="24">
        <f>E17</f>
        <v>9.5000000000000018</v>
      </c>
      <c r="D31" s="22">
        <v>7030</v>
      </c>
      <c r="E31" s="24">
        <f t="shared" si="0"/>
        <v>9.5000000000000018</v>
      </c>
      <c r="F31" s="22">
        <v>8030</v>
      </c>
      <c r="G31" s="24">
        <f t="shared" si="1"/>
        <v>9.4000000000000021</v>
      </c>
      <c r="H31" s="22">
        <v>9030</v>
      </c>
      <c r="I31" s="24">
        <f t="shared" si="2"/>
        <v>9.3000000000000025</v>
      </c>
      <c r="P31" s="24">
        <v>15196685177</v>
      </c>
      <c r="Q31" s="24">
        <v>367</v>
      </c>
      <c r="R31" s="24">
        <f t="shared" ref="R31:S38" si="8">V30</f>
        <v>7239404</v>
      </c>
      <c r="S31" s="24">
        <f t="shared" si="8"/>
        <v>9.1</v>
      </c>
      <c r="T31" s="24">
        <v>7259484</v>
      </c>
      <c r="U31" s="24">
        <f>S31</f>
        <v>9.1</v>
      </c>
      <c r="V31" s="24">
        <v>7269356</v>
      </c>
      <c r="W31" s="24">
        <f t="shared" si="6"/>
        <v>8.6999999999999993</v>
      </c>
      <c r="X31" s="24">
        <v>7279915</v>
      </c>
      <c r="Y31" s="24">
        <f t="shared" si="7"/>
        <v>8.5</v>
      </c>
    </row>
    <row r="32" spans="1:26" x14ac:dyDescent="0.15">
      <c r="A32" s="24">
        <v>31</v>
      </c>
      <c r="B32" s="24">
        <f>F18</f>
        <v>8017</v>
      </c>
      <c r="C32" s="24">
        <f>G18</f>
        <v>9.3000000000000025</v>
      </c>
      <c r="D32" s="22">
        <v>7031</v>
      </c>
      <c r="E32" s="24">
        <f t="shared" si="0"/>
        <v>9.3000000000000025</v>
      </c>
      <c r="F32" s="22">
        <v>8031</v>
      </c>
      <c r="G32" s="24">
        <f t="shared" si="1"/>
        <v>9.2000000000000028</v>
      </c>
      <c r="H32" s="22">
        <v>9031</v>
      </c>
      <c r="I32" s="24">
        <f t="shared" si="2"/>
        <v>9.1000000000000032</v>
      </c>
      <c r="L32" s="22" t="s">
        <v>139</v>
      </c>
      <c r="M32" s="22" t="s">
        <v>183</v>
      </c>
      <c r="N32" s="22" t="s">
        <v>140</v>
      </c>
      <c r="O32" s="24" t="s">
        <v>196</v>
      </c>
      <c r="P32" s="24">
        <v>15196685178</v>
      </c>
      <c r="Q32" s="24">
        <v>368</v>
      </c>
      <c r="R32" s="24">
        <f t="shared" si="8"/>
        <v>7269356</v>
      </c>
      <c r="S32" s="24">
        <f t="shared" si="8"/>
        <v>8.6999999999999993</v>
      </c>
      <c r="T32" s="24">
        <v>7309117</v>
      </c>
      <c r="U32" s="24">
        <f t="shared" ref="U32:U38" si="9">S32</f>
        <v>8.6999999999999993</v>
      </c>
      <c r="V32" s="24">
        <v>7319721</v>
      </c>
      <c r="W32" s="24">
        <f t="shared" si="6"/>
        <v>8.2999999999999989</v>
      </c>
      <c r="X32" s="24">
        <v>7329619</v>
      </c>
      <c r="Y32" s="24">
        <f t="shared" si="7"/>
        <v>8.1</v>
      </c>
    </row>
    <row r="33" spans="1:25" x14ac:dyDescent="0.15">
      <c r="A33" s="24">
        <v>32</v>
      </c>
      <c r="B33" s="24">
        <f>H18</f>
        <v>9017</v>
      </c>
      <c r="C33" s="24">
        <f>I18</f>
        <v>9.2000000000000028</v>
      </c>
      <c r="D33" s="22">
        <v>7032</v>
      </c>
      <c r="E33" s="24">
        <f t="shared" si="0"/>
        <v>9.2000000000000028</v>
      </c>
      <c r="F33" s="22">
        <v>8032</v>
      </c>
      <c r="G33" s="24">
        <f t="shared" si="1"/>
        <v>9.1000000000000032</v>
      </c>
      <c r="H33" s="22">
        <v>9032</v>
      </c>
      <c r="I33" s="24">
        <f t="shared" si="2"/>
        <v>9.0000000000000036</v>
      </c>
      <c r="L33" s="24">
        <f>IF(ISNUMBER(INDEX(Q$2:Y$48,MATCH(M30,Q:Q)-1,2)),INDEX(Q$2:Y$48,MATCH(M30,Q:Q)-1,2),"没有上级")</f>
        <v>1170912</v>
      </c>
      <c r="M33" s="26">
        <f>IF(ISNUMBER(INT(L33)),IF(OR(AND(M30&lt;=151,M30&gt;82),AND(M30&lt;375,M30&gt;361)),INDEX(Q$2:Y$48,MATCH(L33,V:V,0)-1,1),IF(OR(M30=82,M30=361),"没有上级",INDEX(Q$2:Y$48,MATCH(L33,X:X,0)-1,1))),"没有上级")</f>
        <v>82</v>
      </c>
      <c r="N33" s="24">
        <f>IF(ISNUMBER(INDEX(Q$2:Y$48,MATCH(M33,$Q:$Q)-1,3)),INDEX(Q$2:Y$48,MATCH(M33,$Q:$Q)-1,3),"没有上级")</f>
        <v>9.9</v>
      </c>
      <c r="O33" s="24">
        <f>IF(ISNUMBER(N33-N30),ROUND((N33-N30)*10,0),"没有上级")</f>
        <v>3</v>
      </c>
      <c r="P33" s="24">
        <v>15196685179</v>
      </c>
      <c r="Q33" s="24">
        <v>369</v>
      </c>
      <c r="R33" s="24">
        <f t="shared" si="8"/>
        <v>7319721</v>
      </c>
      <c r="S33" s="24">
        <f t="shared" si="8"/>
        <v>8.2999999999999989</v>
      </c>
      <c r="T33" s="24">
        <v>7339621</v>
      </c>
      <c r="U33" s="24">
        <f t="shared" si="9"/>
        <v>8.2999999999999989</v>
      </c>
      <c r="V33" s="24">
        <v>7349227</v>
      </c>
      <c r="W33" s="24">
        <f t="shared" si="6"/>
        <v>7.8999999999999986</v>
      </c>
      <c r="X33" s="24">
        <v>7359997</v>
      </c>
      <c r="Y33" s="24">
        <f t="shared" si="7"/>
        <v>7.6999999999999993</v>
      </c>
    </row>
    <row r="34" spans="1:25" x14ac:dyDescent="0.15">
      <c r="A34" s="24">
        <v>33</v>
      </c>
      <c r="B34" s="24">
        <f>F19</f>
        <v>8018</v>
      </c>
      <c r="C34" s="24">
        <f>G19</f>
        <v>9.2000000000000028</v>
      </c>
      <c r="D34" s="22">
        <v>7033</v>
      </c>
      <c r="E34" s="24">
        <f t="shared" si="0"/>
        <v>9.2000000000000028</v>
      </c>
      <c r="F34" s="22">
        <v>8033</v>
      </c>
      <c r="G34" s="24">
        <f t="shared" si="1"/>
        <v>9.1000000000000032</v>
      </c>
      <c r="H34" s="22">
        <v>9033</v>
      </c>
      <c r="I34" s="24">
        <f t="shared" si="2"/>
        <v>9.0000000000000036</v>
      </c>
      <c r="P34" s="24">
        <v>15196685180</v>
      </c>
      <c r="Q34" s="24">
        <v>370</v>
      </c>
      <c r="R34" s="24">
        <f t="shared" si="8"/>
        <v>7349227</v>
      </c>
      <c r="S34" s="24">
        <f t="shared" si="8"/>
        <v>7.8999999999999986</v>
      </c>
      <c r="T34" s="24">
        <v>7369300</v>
      </c>
      <c r="U34" s="24">
        <f t="shared" si="9"/>
        <v>7.8999999999999986</v>
      </c>
      <c r="V34" s="24">
        <v>7379939</v>
      </c>
      <c r="W34" s="24">
        <f t="shared" si="6"/>
        <v>7.4999999999999982</v>
      </c>
      <c r="X34" s="24">
        <v>7409200</v>
      </c>
      <c r="Y34" s="24">
        <f t="shared" si="7"/>
        <v>7.2999999999999989</v>
      </c>
    </row>
    <row r="35" spans="1:25" x14ac:dyDescent="0.15">
      <c r="A35" s="24">
        <v>34</v>
      </c>
      <c r="B35" s="24">
        <f>H19</f>
        <v>9018</v>
      </c>
      <c r="C35" s="24">
        <f>I19</f>
        <v>9.1000000000000032</v>
      </c>
      <c r="D35" s="22">
        <v>7034</v>
      </c>
      <c r="E35" s="24">
        <f t="shared" si="0"/>
        <v>9.1000000000000032</v>
      </c>
      <c r="F35" s="22">
        <v>8034</v>
      </c>
      <c r="G35" s="24">
        <f t="shared" si="1"/>
        <v>9.0000000000000036</v>
      </c>
      <c r="H35" s="22">
        <v>9034</v>
      </c>
      <c r="I35" s="24">
        <f t="shared" si="2"/>
        <v>8.9000000000000039</v>
      </c>
      <c r="L35" s="22" t="s">
        <v>141</v>
      </c>
      <c r="M35" s="22" t="s">
        <v>142</v>
      </c>
      <c r="N35" s="22" t="s">
        <v>143</v>
      </c>
      <c r="O35" s="24" t="s">
        <v>197</v>
      </c>
      <c r="P35" s="24">
        <v>15196685181</v>
      </c>
      <c r="Q35" s="24">
        <v>371</v>
      </c>
      <c r="R35" s="24">
        <f t="shared" si="8"/>
        <v>7379939</v>
      </c>
      <c r="S35" s="24">
        <f t="shared" si="8"/>
        <v>7.4999999999999982</v>
      </c>
      <c r="T35" s="24">
        <v>7419878</v>
      </c>
      <c r="U35" s="24">
        <f t="shared" si="9"/>
        <v>7.4999999999999982</v>
      </c>
      <c r="V35" s="24">
        <v>7429171</v>
      </c>
      <c r="W35" s="24">
        <f t="shared" si="6"/>
        <v>7.0999999999999979</v>
      </c>
      <c r="X35" s="24">
        <v>7439254</v>
      </c>
      <c r="Y35" s="24">
        <f t="shared" si="7"/>
        <v>6.8999999999999986</v>
      </c>
    </row>
    <row r="36" spans="1:25" x14ac:dyDescent="0.15">
      <c r="A36" s="24">
        <v>35</v>
      </c>
      <c r="B36" s="24">
        <f>D20</f>
        <v>7019</v>
      </c>
      <c r="C36" s="24">
        <f>E20</f>
        <v>9.5000000000000018</v>
      </c>
      <c r="D36" s="22">
        <v>7035</v>
      </c>
      <c r="E36" s="24">
        <f t="shared" si="0"/>
        <v>9.5000000000000018</v>
      </c>
      <c r="F36" s="22">
        <v>8035</v>
      </c>
      <c r="G36" s="24">
        <f t="shared" si="1"/>
        <v>9.4000000000000021</v>
      </c>
      <c r="H36" s="22">
        <v>9035</v>
      </c>
      <c r="I36" s="24">
        <f t="shared" si="2"/>
        <v>9.3000000000000025</v>
      </c>
      <c r="L36" s="24" t="str">
        <f>IF(ISNUMBER(INDEX(Q$2:Y$48,MATCH(M33,Q:Q)-1,2)),INDEX(Q$2:Y$48,MATCH(M33,Q:Q)-1,2),"没有上级")</f>
        <v>没有上级</v>
      </c>
      <c r="M36" s="26" t="str">
        <f>IF(ISNUMBER(INT(L36)),IF(OR(AND(M33&lt;=151,M33&gt;82),AND(M33&lt;375,M33&gt;361)),INDEX(Q$2:Y$48,MATCH(L36,V:V,0)-1,1),IF(OR(M33=82,M33=361),"没有上级",INDEX(Q$2:Y$48,MATCH(L36,X:X,0)-1,1))),"没有上级")</f>
        <v>没有上级</v>
      </c>
      <c r="N36" s="24" t="str">
        <f>IF(ISNUMBER(INDEX(Q$2:Y$48,MATCH(M36,$Q:$Q)-1,3)),INDEX(Q$2:Y$48,MATCH(M36,$Q:$Q)-1,3),"没有上级")</f>
        <v>没有上级</v>
      </c>
      <c r="O36" s="24" t="str">
        <f>IF(ISNUMBER(N36-N33),ROUND((N36-N33)*10,0),"没有上级")</f>
        <v>没有上级</v>
      </c>
      <c r="P36" s="24">
        <v>15196685182</v>
      </c>
      <c r="Q36" s="24">
        <v>372</v>
      </c>
      <c r="R36" s="24">
        <f t="shared" si="8"/>
        <v>7429171</v>
      </c>
      <c r="S36" s="24">
        <f t="shared" si="8"/>
        <v>7.0999999999999979</v>
      </c>
      <c r="T36" s="24">
        <v>7449348</v>
      </c>
      <c r="U36" s="24">
        <f t="shared" si="9"/>
        <v>7.0999999999999979</v>
      </c>
      <c r="V36" s="24">
        <v>7459622</v>
      </c>
      <c r="W36" s="24">
        <f t="shared" si="6"/>
        <v>6.6999999999999975</v>
      </c>
      <c r="X36" s="24">
        <v>7469802</v>
      </c>
      <c r="Y36" s="24">
        <f t="shared" si="7"/>
        <v>6.4999999999999982</v>
      </c>
    </row>
    <row r="37" spans="1:25" x14ac:dyDescent="0.15">
      <c r="A37" s="24">
        <v>36</v>
      </c>
      <c r="B37" s="24">
        <f>H20</f>
        <v>9019</v>
      </c>
      <c r="C37" s="24">
        <f>I20</f>
        <v>9.3000000000000025</v>
      </c>
      <c r="D37" s="22">
        <v>7036</v>
      </c>
      <c r="E37" s="24">
        <f t="shared" si="0"/>
        <v>9.3000000000000025</v>
      </c>
      <c r="F37" s="22">
        <v>8036</v>
      </c>
      <c r="G37" s="24">
        <f t="shared" si="1"/>
        <v>9.2000000000000028</v>
      </c>
      <c r="H37" s="22">
        <v>9036</v>
      </c>
      <c r="I37" s="24">
        <f t="shared" si="2"/>
        <v>9.1000000000000032</v>
      </c>
      <c r="P37" s="24">
        <v>15196685183</v>
      </c>
      <c r="Q37" s="24">
        <v>373</v>
      </c>
      <c r="R37" s="24">
        <f t="shared" si="8"/>
        <v>7459622</v>
      </c>
      <c r="S37" s="24">
        <f t="shared" si="8"/>
        <v>6.6999999999999975</v>
      </c>
      <c r="T37" s="24">
        <v>7479834</v>
      </c>
      <c r="U37" s="24">
        <f t="shared" si="9"/>
        <v>6.6999999999999975</v>
      </c>
      <c r="V37" s="24">
        <v>7509015</v>
      </c>
      <c r="W37" s="24">
        <f t="shared" si="6"/>
        <v>6.2999999999999972</v>
      </c>
      <c r="X37" s="24">
        <v>7519385</v>
      </c>
      <c r="Y37" s="24">
        <f t="shared" si="7"/>
        <v>6.0999999999999979</v>
      </c>
    </row>
    <row r="38" spans="1:25" x14ac:dyDescent="0.15">
      <c r="A38" s="24">
        <v>37</v>
      </c>
      <c r="B38" s="24">
        <f>F22</f>
        <v>8021</v>
      </c>
      <c r="C38" s="24">
        <f>G22</f>
        <v>9.2000000000000028</v>
      </c>
      <c r="D38" s="22">
        <v>7037</v>
      </c>
      <c r="E38" s="24">
        <f t="shared" si="0"/>
        <v>9.2000000000000028</v>
      </c>
      <c r="F38" s="22">
        <v>8037</v>
      </c>
      <c r="G38" s="24">
        <f t="shared" si="1"/>
        <v>9.1000000000000032</v>
      </c>
      <c r="H38" s="22">
        <v>9037</v>
      </c>
      <c r="I38" s="24">
        <f t="shared" si="2"/>
        <v>9.0000000000000036</v>
      </c>
      <c r="L38" s="22" t="s">
        <v>144</v>
      </c>
      <c r="M38" s="22" t="s">
        <v>184</v>
      </c>
      <c r="N38" s="22" t="s">
        <v>145</v>
      </c>
      <c r="O38" s="24" t="s">
        <v>146</v>
      </c>
      <c r="P38" s="24">
        <v>15196685184</v>
      </c>
      <c r="Q38" s="24">
        <v>374</v>
      </c>
      <c r="R38" s="24">
        <f t="shared" si="8"/>
        <v>7509015</v>
      </c>
      <c r="S38" s="24">
        <f t="shared" si="8"/>
        <v>6.2999999999999972</v>
      </c>
      <c r="T38" s="24">
        <v>7529798</v>
      </c>
      <c r="U38" s="24">
        <f t="shared" si="9"/>
        <v>6.2999999999999972</v>
      </c>
      <c r="V38" s="24">
        <v>7539879</v>
      </c>
      <c r="W38" s="24">
        <f t="shared" si="6"/>
        <v>5.8999999999999968</v>
      </c>
      <c r="X38" s="24">
        <v>7549362</v>
      </c>
      <c r="Y38" s="24">
        <f t="shared" si="7"/>
        <v>5.6999999999999975</v>
      </c>
    </row>
    <row r="39" spans="1:25" x14ac:dyDescent="0.15">
      <c r="A39" s="24">
        <v>38</v>
      </c>
      <c r="B39" s="24">
        <f>H22</f>
        <v>9021</v>
      </c>
      <c r="C39" s="24">
        <f>I22</f>
        <v>9.1000000000000032</v>
      </c>
      <c r="D39" s="22">
        <v>7038</v>
      </c>
      <c r="E39" s="24">
        <f t="shared" si="0"/>
        <v>9.1000000000000032</v>
      </c>
      <c r="F39" s="22">
        <v>8038</v>
      </c>
      <c r="G39" s="24">
        <f t="shared" si="1"/>
        <v>9.0000000000000036</v>
      </c>
      <c r="H39" s="22">
        <v>9038</v>
      </c>
      <c r="I39" s="24">
        <f t="shared" si="2"/>
        <v>8.9000000000000039</v>
      </c>
      <c r="L39" s="24" t="str">
        <f>IF(ISNUMBER(INDEX(Q$2:Y$48,MATCH(M36,Q:Q)-1,2)),INDEX(Q$2:Y$48,MATCH(M36,Q:Q)-1,2),"没有上级")</f>
        <v>没有上级</v>
      </c>
      <c r="M39" s="26" t="str">
        <f>IF(ISNUMBER(INT(L39)),IF(OR(AND(M36&lt;=151,M36&gt;82),AND(M36&lt;375,M36&gt;361)),INDEX(Q$2:Y$48,MATCH(L39,V:V,0)-1,1),IF(OR(M36=82,M36=361),"没有上级",INDEX(Q$2:Y$48,MATCH(L39,X:X,0)-1,1))),"没有上级")</f>
        <v>没有上级</v>
      </c>
      <c r="N39" s="24" t="str">
        <f>IF(ISNUMBER(INDEX(Q$2:Y$48,MATCH(M39,$Q:$Q)-1,3)),INDEX(Q$2:Y$48,MATCH(M39,$Q:$Q)-1,3),"没有上级")</f>
        <v>没有上级</v>
      </c>
      <c r="O39" s="24" t="str">
        <f>IF(ISNUMBER(N39-N36),ROUND((N39-N36)*10,0),"没有上级")</f>
        <v>没有上级</v>
      </c>
      <c r="P39" s="24">
        <v>15196685185</v>
      </c>
      <c r="Q39" s="24">
        <v>375</v>
      </c>
      <c r="R39" s="24">
        <f>X29</f>
        <v>7219909</v>
      </c>
      <c r="S39" s="24">
        <f>Y29</f>
        <v>9.3000000000000007</v>
      </c>
    </row>
    <row r="40" spans="1:25" x14ac:dyDescent="0.15">
      <c r="A40" s="24">
        <v>39</v>
      </c>
      <c r="B40" s="24">
        <f>F23</f>
        <v>8022</v>
      </c>
      <c r="C40" s="24">
        <f>G23</f>
        <v>9.2000000000000028</v>
      </c>
      <c r="D40" s="22">
        <v>7039</v>
      </c>
      <c r="E40" s="24">
        <f t="shared" si="0"/>
        <v>9.2000000000000028</v>
      </c>
      <c r="F40" s="22">
        <v>8039</v>
      </c>
      <c r="G40" s="24">
        <f t="shared" si="1"/>
        <v>9.1000000000000032</v>
      </c>
      <c r="H40" s="22">
        <v>9039</v>
      </c>
      <c r="I40" s="24">
        <f t="shared" si="2"/>
        <v>9.0000000000000036</v>
      </c>
      <c r="P40" s="24">
        <v>15196685186</v>
      </c>
      <c r="Q40" s="24">
        <v>376</v>
      </c>
      <c r="R40" s="24">
        <f t="shared" ref="R40:S48" si="10">X30</f>
        <v>7249766</v>
      </c>
      <c r="S40" s="24">
        <f t="shared" si="10"/>
        <v>8.9</v>
      </c>
    </row>
    <row r="41" spans="1:25" x14ac:dyDescent="0.15">
      <c r="A41" s="24">
        <v>40</v>
      </c>
      <c r="B41" s="24">
        <f>F25</f>
        <v>8024</v>
      </c>
      <c r="C41" s="24">
        <f>G25</f>
        <v>9.3000000000000025</v>
      </c>
      <c r="D41" s="22">
        <v>7040</v>
      </c>
      <c r="E41" s="24">
        <f t="shared" si="0"/>
        <v>9.3000000000000025</v>
      </c>
      <c r="F41" s="22">
        <v>8040</v>
      </c>
      <c r="G41" s="24">
        <f t="shared" si="1"/>
        <v>9.2000000000000028</v>
      </c>
      <c r="H41" s="22">
        <v>9040</v>
      </c>
      <c r="I41" s="24">
        <f t="shared" si="2"/>
        <v>9.1000000000000032</v>
      </c>
      <c r="L41" s="22" t="s">
        <v>147</v>
      </c>
      <c r="M41" s="22" t="s">
        <v>185</v>
      </c>
      <c r="N41" s="22" t="s">
        <v>148</v>
      </c>
      <c r="O41" s="24" t="s">
        <v>149</v>
      </c>
      <c r="P41" s="24">
        <v>15196685187</v>
      </c>
      <c r="Q41" s="24">
        <v>377</v>
      </c>
      <c r="R41" s="24">
        <f t="shared" si="10"/>
        <v>7279915</v>
      </c>
      <c r="S41" s="24">
        <f t="shared" si="10"/>
        <v>8.5</v>
      </c>
    </row>
    <row r="42" spans="1:25" x14ac:dyDescent="0.15">
      <c r="A42" s="24">
        <v>41</v>
      </c>
      <c r="B42" s="24">
        <f>H25</f>
        <v>9024</v>
      </c>
      <c r="C42" s="24">
        <f>I25</f>
        <v>9.2000000000000028</v>
      </c>
      <c r="D42" s="22">
        <v>7041</v>
      </c>
      <c r="E42" s="24">
        <f t="shared" si="0"/>
        <v>9.2000000000000028</v>
      </c>
      <c r="F42" s="22">
        <v>8041</v>
      </c>
      <c r="G42" s="24">
        <f t="shared" si="1"/>
        <v>9.1000000000000032</v>
      </c>
      <c r="H42" s="22">
        <v>9041</v>
      </c>
      <c r="I42" s="24">
        <f t="shared" si="2"/>
        <v>9.0000000000000036</v>
      </c>
      <c r="L42" s="24" t="str">
        <f>IF(ISNUMBER(INDEX(Q$2:Y$48,MATCH(M39,Q:Q)-1,2)),INDEX(Q$2:Y$48,MATCH(M39,Q:Q)-1,2),"没有上级")</f>
        <v>没有上级</v>
      </c>
      <c r="M42" s="26" t="str">
        <f>IF(ISNUMBER(INT(L42)),IF(OR(AND(M39&lt;=151,M39&gt;82),AND(M39&lt;375,M39&gt;361)),INDEX(Q$2:Y$48,MATCH(L42,V:V,0)-1,1),IF(OR(M39=82,M39=361),"没有上级",INDEX(Q$2:Y$48,MATCH(L42,X:X,0)-1,1))),"没有上级")</f>
        <v>没有上级</v>
      </c>
      <c r="N42" s="24" t="str">
        <f>IF(ISNUMBER(INDEX(Q$2:Y$48,MATCH(M42,$Q:$Q)-1,3)),INDEX(Q$2:Y$48,MATCH(M42,$Q:$Q)-1,3),"没有上级")</f>
        <v>没有上级</v>
      </c>
      <c r="O42" s="24" t="str">
        <f>IF(ISNUMBER(N42-N39),ROUND((N42-N39)*10,0),"没有上级")</f>
        <v>没有上级</v>
      </c>
      <c r="P42" s="24">
        <v>15196685188</v>
      </c>
      <c r="Q42" s="24">
        <v>378</v>
      </c>
      <c r="R42" s="24">
        <f t="shared" si="10"/>
        <v>7329619</v>
      </c>
      <c r="S42" s="24">
        <f t="shared" si="10"/>
        <v>8.1</v>
      </c>
    </row>
    <row r="43" spans="1:25" x14ac:dyDescent="0.15">
      <c r="A43" s="24">
        <v>42</v>
      </c>
      <c r="B43" s="24">
        <f>H26</f>
        <v>9025</v>
      </c>
      <c r="C43" s="24">
        <f>I26</f>
        <v>9.1000000000000032</v>
      </c>
      <c r="D43" s="22">
        <v>7042</v>
      </c>
      <c r="E43" s="24">
        <f t="shared" si="0"/>
        <v>9.1000000000000032</v>
      </c>
      <c r="F43" s="22">
        <v>8042</v>
      </c>
      <c r="G43" s="24">
        <f t="shared" si="1"/>
        <v>9.0000000000000036</v>
      </c>
      <c r="H43" s="22">
        <v>9042</v>
      </c>
      <c r="I43" s="24">
        <f t="shared" si="2"/>
        <v>8.9000000000000039</v>
      </c>
      <c r="P43" s="24">
        <v>15196685189</v>
      </c>
      <c r="Q43" s="24">
        <v>379</v>
      </c>
      <c r="R43" s="24">
        <f t="shared" si="10"/>
        <v>7359997</v>
      </c>
      <c r="S43" s="24">
        <f t="shared" si="10"/>
        <v>7.6999999999999993</v>
      </c>
    </row>
    <row r="44" spans="1:25" x14ac:dyDescent="0.15">
      <c r="A44" s="24">
        <v>43</v>
      </c>
      <c r="B44" s="24">
        <f>F26</f>
        <v>8025</v>
      </c>
      <c r="C44" s="24">
        <f>G26</f>
        <v>9.2000000000000028</v>
      </c>
      <c r="D44" s="22">
        <v>7043</v>
      </c>
      <c r="E44" s="24">
        <f t="shared" si="0"/>
        <v>9.2000000000000028</v>
      </c>
      <c r="F44" s="22">
        <v>8043</v>
      </c>
      <c r="G44" s="24">
        <f t="shared" si="1"/>
        <v>9.1000000000000032</v>
      </c>
      <c r="H44" s="22">
        <v>9043</v>
      </c>
      <c r="I44" s="24">
        <f t="shared" si="2"/>
        <v>9.0000000000000036</v>
      </c>
      <c r="L44" s="22" t="s">
        <v>150</v>
      </c>
      <c r="M44" s="22" t="s">
        <v>151</v>
      </c>
      <c r="N44" s="22" t="s">
        <v>152</v>
      </c>
      <c r="O44" s="24" t="s">
        <v>198</v>
      </c>
      <c r="P44" s="24">
        <v>15196685190</v>
      </c>
      <c r="Q44" s="24">
        <v>380</v>
      </c>
      <c r="R44" s="24">
        <f t="shared" si="10"/>
        <v>7409200</v>
      </c>
      <c r="S44" s="24">
        <f t="shared" si="10"/>
        <v>7.2999999999999989</v>
      </c>
    </row>
    <row r="45" spans="1:25" x14ac:dyDescent="0.15">
      <c r="A45" s="24">
        <v>44</v>
      </c>
      <c r="B45" s="24">
        <f>D27</f>
        <v>7026</v>
      </c>
      <c r="C45" s="24">
        <f>E27</f>
        <v>9.3000000000000025</v>
      </c>
      <c r="D45" s="22">
        <v>7044</v>
      </c>
      <c r="E45" s="24">
        <f t="shared" si="0"/>
        <v>9.3000000000000025</v>
      </c>
      <c r="F45" s="22">
        <v>8044</v>
      </c>
      <c r="G45" s="24">
        <f t="shared" si="1"/>
        <v>9.2000000000000028</v>
      </c>
      <c r="H45" s="22">
        <v>9044</v>
      </c>
      <c r="I45" s="24">
        <f t="shared" si="2"/>
        <v>9.1000000000000032</v>
      </c>
      <c r="L45" s="24" t="str">
        <f>IF(ISNUMBER(INDEX(Q$2:Y$48,MATCH(M42,Q:Q)-1,2)),INDEX(Q$2:Y$48,MATCH(M42,Q:Q)-1,2),"没有上级")</f>
        <v>没有上级</v>
      </c>
      <c r="M45" s="26" t="str">
        <f>IF(ISNUMBER(INT(L45)),IF(OR(AND(M42&lt;=151,M42&gt;82),AND(M42&lt;375,M42&gt;361)),INDEX(Q$2:Y$48,MATCH(L45,V:V,0)-1,1),IF(OR(M42=82,M42=361),"没有上级",INDEX(Q$2:Y$48,MATCH(L45,X:X,0)-1,1))),"没有上级")</f>
        <v>没有上级</v>
      </c>
      <c r="N45" s="24" t="str">
        <f>IF(ISNUMBER(INDEX(Q$2:Y$48,MATCH(M45,$Q:$Q)-1,3)),INDEX(Q$2:Y$48,MATCH(M45,$Q:$Q)-1,3),"没有上级")</f>
        <v>没有上级</v>
      </c>
      <c r="O45" s="24" t="str">
        <f>IF(ISNUMBER(N45-N42),ROUND((N45-N42)*10,0),"没有上级")</f>
        <v>没有上级</v>
      </c>
      <c r="P45" s="24">
        <v>15196685191</v>
      </c>
      <c r="Q45" s="24">
        <v>381</v>
      </c>
      <c r="R45" s="24">
        <f t="shared" si="10"/>
        <v>7439254</v>
      </c>
      <c r="S45" s="24">
        <f t="shared" si="10"/>
        <v>6.8999999999999986</v>
      </c>
    </row>
    <row r="46" spans="1:25" x14ac:dyDescent="0.15">
      <c r="A46" s="24">
        <v>45</v>
      </c>
      <c r="B46" s="24">
        <f>H28</f>
        <v>9027</v>
      </c>
      <c r="C46" s="24">
        <f>I28</f>
        <v>9.0000000000000036</v>
      </c>
      <c r="D46" s="22">
        <v>7045</v>
      </c>
      <c r="E46" s="24">
        <f t="shared" si="0"/>
        <v>9.0000000000000036</v>
      </c>
      <c r="F46" s="22">
        <v>8045</v>
      </c>
      <c r="G46" s="24">
        <f t="shared" si="1"/>
        <v>8.9000000000000039</v>
      </c>
      <c r="H46" s="22">
        <v>9045</v>
      </c>
      <c r="I46" s="24">
        <f t="shared" si="2"/>
        <v>8.8000000000000043</v>
      </c>
      <c r="P46" s="24">
        <v>15196685192</v>
      </c>
      <c r="Q46" s="24">
        <v>382</v>
      </c>
      <c r="R46" s="24">
        <f t="shared" si="10"/>
        <v>7469802</v>
      </c>
      <c r="S46" s="24">
        <f t="shared" si="10"/>
        <v>6.4999999999999982</v>
      </c>
    </row>
    <row r="47" spans="1:25" x14ac:dyDescent="0.15">
      <c r="A47" s="24">
        <v>46</v>
      </c>
      <c r="B47" s="24">
        <f>H29</f>
        <v>9028</v>
      </c>
      <c r="C47" s="24">
        <f>I29</f>
        <v>9.0000000000000036</v>
      </c>
      <c r="D47" s="22">
        <v>7046</v>
      </c>
      <c r="E47" s="24">
        <f t="shared" si="0"/>
        <v>9.0000000000000036</v>
      </c>
      <c r="F47" s="22">
        <v>8046</v>
      </c>
      <c r="G47" s="24">
        <f t="shared" si="1"/>
        <v>8.9000000000000039</v>
      </c>
      <c r="H47" s="22">
        <v>9046</v>
      </c>
      <c r="I47" s="24">
        <f t="shared" si="2"/>
        <v>8.8000000000000043</v>
      </c>
      <c r="L47" s="22" t="s">
        <v>153</v>
      </c>
      <c r="M47" s="22" t="s">
        <v>186</v>
      </c>
      <c r="N47" s="22" t="s">
        <v>154</v>
      </c>
      <c r="O47" s="24" t="s">
        <v>199</v>
      </c>
      <c r="P47" s="24">
        <v>15196685193</v>
      </c>
      <c r="Q47" s="24">
        <v>383</v>
      </c>
      <c r="R47" s="24">
        <f t="shared" si="10"/>
        <v>7519385</v>
      </c>
      <c r="S47" s="24">
        <f t="shared" si="10"/>
        <v>6.0999999999999979</v>
      </c>
    </row>
    <row r="48" spans="1:25" x14ac:dyDescent="0.15">
      <c r="A48" s="24">
        <v>47</v>
      </c>
      <c r="B48" s="24">
        <f>F29</f>
        <v>8028</v>
      </c>
      <c r="C48" s="24">
        <f>G29</f>
        <v>9.1000000000000032</v>
      </c>
      <c r="D48" s="22">
        <v>7047</v>
      </c>
      <c r="E48" s="24">
        <f t="shared" si="0"/>
        <v>9.1000000000000032</v>
      </c>
      <c r="F48" s="22">
        <v>8047</v>
      </c>
      <c r="G48" s="24">
        <f t="shared" si="1"/>
        <v>9.0000000000000036</v>
      </c>
      <c r="H48" s="22">
        <v>9047</v>
      </c>
      <c r="I48" s="24">
        <f t="shared" si="2"/>
        <v>8.9000000000000039</v>
      </c>
      <c r="L48" s="24" t="str">
        <f>IF(ISNUMBER(INDEX(Q$2:Y$48,MATCH(M45,Q:Q)-1,2)),INDEX(Q$2:Y$48,MATCH(M45,Q:Q)-1,2),"没有上级")</f>
        <v>没有上级</v>
      </c>
      <c r="M48" s="26" t="str">
        <f>IF(ISNUMBER(INT(L48)),IF(OR(AND(M45&lt;=151,M45&gt;82),AND(M45&lt;375,M45&gt;361)),INDEX(Q$2:Y$48,MATCH(L48,V:V,0)-1,1),IF(OR(M45=82,M45=361),"没有上级",INDEX(Q$2:Y$48,MATCH(L48,X:X,0)-1,1))),"没有上级")</f>
        <v>没有上级</v>
      </c>
      <c r="N48" s="24" t="str">
        <f>IF(ISNUMBER(INDEX(Q$2:Y$48,MATCH(M48,$Q:$Q)-1,3)),INDEX(Q$2:Y$48,MATCH(M48,$Q:$Q)-1,3),"没有上级")</f>
        <v>没有上级</v>
      </c>
      <c r="O48" s="24" t="str">
        <f>IF(ISNUMBER(N48-N45),ROUND((N48-N45)*10,0),"没有上级")</f>
        <v>没有上级</v>
      </c>
      <c r="P48" s="24">
        <v>15196685194</v>
      </c>
      <c r="Q48" s="24">
        <v>384</v>
      </c>
      <c r="R48" s="24">
        <f t="shared" si="10"/>
        <v>7549362</v>
      </c>
      <c r="S48" s="24">
        <f t="shared" si="10"/>
        <v>5.6999999999999975</v>
      </c>
    </row>
    <row r="49" spans="1:9" x14ac:dyDescent="0.15">
      <c r="A49" s="24">
        <v>48</v>
      </c>
      <c r="B49" s="24">
        <f>F30</f>
        <v>8029</v>
      </c>
      <c r="C49" s="24">
        <f>G30</f>
        <v>9.2000000000000028</v>
      </c>
      <c r="D49" s="22">
        <v>7048</v>
      </c>
      <c r="E49" s="24">
        <f t="shared" si="0"/>
        <v>9.2000000000000028</v>
      </c>
      <c r="F49" s="22">
        <v>8048</v>
      </c>
      <c r="G49" s="24">
        <f t="shared" si="1"/>
        <v>9.1000000000000032</v>
      </c>
      <c r="H49" s="22">
        <v>9048</v>
      </c>
      <c r="I49" s="24">
        <f t="shared" si="2"/>
        <v>9.0000000000000036</v>
      </c>
    </row>
    <row r="50" spans="1:9" x14ac:dyDescent="0.15">
      <c r="A50" s="24">
        <v>49</v>
      </c>
      <c r="B50" s="24">
        <f>H31</f>
        <v>9030</v>
      </c>
      <c r="C50" s="24">
        <f>I31</f>
        <v>9.3000000000000025</v>
      </c>
      <c r="D50" s="22">
        <v>7049</v>
      </c>
      <c r="E50" s="24">
        <f t="shared" si="0"/>
        <v>9.3000000000000025</v>
      </c>
      <c r="F50" s="22">
        <v>8049</v>
      </c>
      <c r="G50" s="24">
        <f t="shared" si="1"/>
        <v>9.2000000000000028</v>
      </c>
      <c r="H50" s="22">
        <v>9049</v>
      </c>
      <c r="I50" s="24">
        <f t="shared" si="2"/>
        <v>9.1000000000000032</v>
      </c>
    </row>
    <row r="51" spans="1:9" x14ac:dyDescent="0.15">
      <c r="A51" s="24">
        <v>50</v>
      </c>
      <c r="B51" s="24">
        <f>H32</f>
        <v>9031</v>
      </c>
      <c r="C51" s="24">
        <f>I32</f>
        <v>9.1000000000000032</v>
      </c>
      <c r="D51" s="22">
        <v>7050</v>
      </c>
      <c r="E51" s="24">
        <f t="shared" si="0"/>
        <v>9.1000000000000032</v>
      </c>
      <c r="F51" s="22">
        <v>8050</v>
      </c>
      <c r="G51" s="24">
        <f t="shared" si="1"/>
        <v>9.0000000000000036</v>
      </c>
      <c r="H51" s="22">
        <v>9050</v>
      </c>
      <c r="I51" s="24">
        <f t="shared" si="2"/>
        <v>8.9000000000000039</v>
      </c>
    </row>
    <row r="52" spans="1:9" x14ac:dyDescent="0.15">
      <c r="A52" s="24">
        <v>51</v>
      </c>
      <c r="B52" s="24">
        <f>F32</f>
        <v>8031</v>
      </c>
      <c r="C52" s="24">
        <f>G32</f>
        <v>9.2000000000000028</v>
      </c>
      <c r="D52" s="22">
        <v>7051</v>
      </c>
      <c r="E52" s="24">
        <f t="shared" si="0"/>
        <v>9.2000000000000028</v>
      </c>
      <c r="F52" s="22">
        <v>8051</v>
      </c>
      <c r="G52" s="24">
        <f t="shared" si="1"/>
        <v>9.1000000000000032</v>
      </c>
      <c r="H52" s="22">
        <v>9051</v>
      </c>
      <c r="I52" s="24">
        <f t="shared" si="2"/>
        <v>9.0000000000000036</v>
      </c>
    </row>
    <row r="53" spans="1:9" x14ac:dyDescent="0.15">
      <c r="A53" s="24">
        <v>52</v>
      </c>
      <c r="B53" s="24">
        <f>F33</f>
        <v>8032</v>
      </c>
      <c r="C53" s="24">
        <f>G33</f>
        <v>9.1000000000000032</v>
      </c>
      <c r="D53" s="22">
        <v>7052</v>
      </c>
      <c r="E53" s="24">
        <f t="shared" si="0"/>
        <v>9.1000000000000032</v>
      </c>
      <c r="F53" s="22">
        <v>8052</v>
      </c>
      <c r="G53" s="24">
        <f t="shared" si="1"/>
        <v>9.0000000000000036</v>
      </c>
      <c r="H53" s="22">
        <v>9052</v>
      </c>
      <c r="I53" s="24">
        <f t="shared" si="2"/>
        <v>8.9000000000000039</v>
      </c>
    </row>
    <row r="54" spans="1:9" x14ac:dyDescent="0.15">
      <c r="A54" s="24">
        <v>53</v>
      </c>
      <c r="B54" s="24">
        <f>H33</f>
        <v>9032</v>
      </c>
      <c r="C54" s="24">
        <f>I33</f>
        <v>9.0000000000000036</v>
      </c>
      <c r="D54" s="22">
        <v>7053</v>
      </c>
      <c r="E54" s="24">
        <f t="shared" si="0"/>
        <v>9.0000000000000036</v>
      </c>
      <c r="F54" s="22">
        <v>8053</v>
      </c>
      <c r="G54" s="24">
        <f t="shared" si="1"/>
        <v>8.9000000000000039</v>
      </c>
      <c r="H54" s="22">
        <v>9053</v>
      </c>
      <c r="I54" s="24">
        <f t="shared" si="2"/>
        <v>8.8000000000000043</v>
      </c>
    </row>
    <row r="55" spans="1:9" x14ac:dyDescent="0.15">
      <c r="A55" s="24">
        <v>54</v>
      </c>
      <c r="B55" s="24">
        <f>F34</f>
        <v>8033</v>
      </c>
      <c r="C55" s="24">
        <f>G34</f>
        <v>9.1000000000000032</v>
      </c>
      <c r="D55" s="22">
        <v>7054</v>
      </c>
      <c r="E55" s="24">
        <f t="shared" si="0"/>
        <v>9.1000000000000032</v>
      </c>
      <c r="F55" s="22">
        <v>8054</v>
      </c>
      <c r="G55" s="24">
        <f t="shared" si="1"/>
        <v>9.0000000000000036</v>
      </c>
      <c r="H55" s="22">
        <v>9054</v>
      </c>
      <c r="I55" s="24">
        <f t="shared" si="2"/>
        <v>8.9000000000000039</v>
      </c>
    </row>
    <row r="56" spans="1:9" x14ac:dyDescent="0.15">
      <c r="A56" s="24">
        <v>55</v>
      </c>
      <c r="B56" s="24">
        <f>H34</f>
        <v>9033</v>
      </c>
      <c r="C56" s="24">
        <f>I34</f>
        <v>9.0000000000000036</v>
      </c>
      <c r="D56" s="22">
        <v>7055</v>
      </c>
      <c r="E56" s="24">
        <f t="shared" si="0"/>
        <v>9.0000000000000036</v>
      </c>
      <c r="F56" s="22">
        <v>8055</v>
      </c>
      <c r="G56" s="24">
        <f t="shared" si="1"/>
        <v>8.9000000000000039</v>
      </c>
      <c r="H56" s="22">
        <v>9055</v>
      </c>
      <c r="I56" s="24">
        <f t="shared" si="2"/>
        <v>8.8000000000000043</v>
      </c>
    </row>
    <row r="57" spans="1:9" x14ac:dyDescent="0.15">
      <c r="A57" s="24">
        <v>56</v>
      </c>
      <c r="B57" s="24">
        <f>H35</f>
        <v>9034</v>
      </c>
      <c r="C57" s="24">
        <f>I35</f>
        <v>8.9000000000000039</v>
      </c>
      <c r="D57" s="22">
        <v>7056</v>
      </c>
      <c r="E57" s="24">
        <f t="shared" si="0"/>
        <v>8.9000000000000039</v>
      </c>
      <c r="F57" s="22">
        <v>8056</v>
      </c>
      <c r="G57" s="24">
        <f t="shared" si="1"/>
        <v>8.8000000000000043</v>
      </c>
      <c r="H57" s="22">
        <v>9056</v>
      </c>
      <c r="I57" s="24">
        <f t="shared" si="2"/>
        <v>8.7000000000000046</v>
      </c>
    </row>
    <row r="58" spans="1:9" x14ac:dyDescent="0.15">
      <c r="A58" s="24">
        <v>57</v>
      </c>
      <c r="B58" s="24">
        <f>H39</f>
        <v>9038</v>
      </c>
      <c r="C58" s="24">
        <f>I39</f>
        <v>8.9000000000000039</v>
      </c>
      <c r="D58" s="22">
        <v>7057</v>
      </c>
      <c r="E58" s="24">
        <f t="shared" si="0"/>
        <v>8.9000000000000039</v>
      </c>
      <c r="F58" s="22">
        <v>8057</v>
      </c>
      <c r="G58" s="24">
        <f t="shared" si="1"/>
        <v>8.8000000000000043</v>
      </c>
      <c r="H58" s="22">
        <v>9057</v>
      </c>
      <c r="I58" s="24">
        <f t="shared" si="2"/>
        <v>8.7000000000000046</v>
      </c>
    </row>
    <row r="59" spans="1:9" x14ac:dyDescent="0.15">
      <c r="A59" s="24">
        <v>58</v>
      </c>
      <c r="B59" s="24">
        <f>H40</f>
        <v>9039</v>
      </c>
      <c r="C59" s="24">
        <f>I40</f>
        <v>9.0000000000000036</v>
      </c>
      <c r="D59" s="22">
        <v>7058</v>
      </c>
      <c r="E59" s="24">
        <f t="shared" si="0"/>
        <v>9.0000000000000036</v>
      </c>
      <c r="F59" s="22">
        <v>8058</v>
      </c>
      <c r="G59" s="24">
        <f t="shared" si="1"/>
        <v>8.9000000000000039</v>
      </c>
      <c r="H59" s="22">
        <v>9058</v>
      </c>
      <c r="I59" s="24">
        <f t="shared" si="2"/>
        <v>8.8000000000000043</v>
      </c>
    </row>
    <row r="60" spans="1:9" x14ac:dyDescent="0.15">
      <c r="A60" s="24">
        <v>59</v>
      </c>
      <c r="B60" s="24">
        <f>F41</f>
        <v>8040</v>
      </c>
      <c r="C60" s="24">
        <f>G41</f>
        <v>9.2000000000000028</v>
      </c>
      <c r="D60" s="22">
        <v>7059</v>
      </c>
      <c r="E60" s="24">
        <f t="shared" si="0"/>
        <v>9.2000000000000028</v>
      </c>
      <c r="F60" s="22">
        <v>8059</v>
      </c>
      <c r="G60" s="24">
        <f t="shared" si="1"/>
        <v>9.1000000000000032</v>
      </c>
      <c r="H60" s="22">
        <v>9059</v>
      </c>
      <c r="I60" s="24">
        <f t="shared" si="2"/>
        <v>9.0000000000000036</v>
      </c>
    </row>
    <row r="61" spans="1:9" x14ac:dyDescent="0.15">
      <c r="A61" s="24">
        <v>60</v>
      </c>
      <c r="B61" s="24">
        <f>H41</f>
        <v>9040</v>
      </c>
      <c r="C61" s="24">
        <f>I41</f>
        <v>9.1000000000000032</v>
      </c>
      <c r="D61" s="22">
        <v>7060</v>
      </c>
      <c r="E61" s="24">
        <f t="shared" si="0"/>
        <v>9.1000000000000032</v>
      </c>
      <c r="F61" s="22">
        <v>8060</v>
      </c>
      <c r="G61" s="24">
        <f t="shared" si="1"/>
        <v>9.0000000000000036</v>
      </c>
      <c r="H61" s="22">
        <v>9060</v>
      </c>
      <c r="I61" s="24">
        <f t="shared" si="2"/>
        <v>8.9000000000000039</v>
      </c>
    </row>
    <row r="62" spans="1:9" x14ac:dyDescent="0.15">
      <c r="A62" s="24">
        <v>61</v>
      </c>
      <c r="B62" s="24">
        <f>H42</f>
        <v>9041</v>
      </c>
      <c r="C62" s="24">
        <f>I42</f>
        <v>9.0000000000000036</v>
      </c>
      <c r="D62" s="22">
        <v>7061</v>
      </c>
      <c r="E62" s="24">
        <f t="shared" si="0"/>
        <v>9.0000000000000036</v>
      </c>
      <c r="F62" s="22">
        <v>8061</v>
      </c>
      <c r="G62" s="24">
        <f t="shared" si="1"/>
        <v>8.9000000000000039</v>
      </c>
      <c r="H62" s="22">
        <v>9061</v>
      </c>
      <c r="I62" s="24">
        <f t="shared" si="2"/>
        <v>8.8000000000000043</v>
      </c>
    </row>
    <row r="63" spans="1:9" x14ac:dyDescent="0.15">
      <c r="A63" s="24">
        <v>62</v>
      </c>
      <c r="B63" s="24">
        <f>F42</f>
        <v>8041</v>
      </c>
      <c r="C63" s="24">
        <f>G42</f>
        <v>9.1000000000000032</v>
      </c>
      <c r="D63" s="22">
        <v>7062</v>
      </c>
      <c r="E63" s="24">
        <f t="shared" si="0"/>
        <v>9.1000000000000032</v>
      </c>
      <c r="F63" s="22">
        <v>8062</v>
      </c>
      <c r="G63" s="24">
        <f t="shared" si="1"/>
        <v>9.0000000000000036</v>
      </c>
      <c r="H63" s="22">
        <v>9062</v>
      </c>
      <c r="I63" s="24">
        <f t="shared" si="2"/>
        <v>8.9000000000000039</v>
      </c>
    </row>
    <row r="64" spans="1:9" x14ac:dyDescent="0.15">
      <c r="A64" s="24">
        <v>63</v>
      </c>
      <c r="B64" s="24">
        <f>F43</f>
        <v>8042</v>
      </c>
      <c r="C64" s="24">
        <f>G43</f>
        <v>9.0000000000000036</v>
      </c>
      <c r="D64" s="22">
        <v>7063</v>
      </c>
      <c r="E64" s="24">
        <f t="shared" si="0"/>
        <v>9.0000000000000036</v>
      </c>
      <c r="F64" s="22">
        <v>8063</v>
      </c>
      <c r="G64" s="24">
        <f t="shared" si="1"/>
        <v>8.9000000000000039</v>
      </c>
      <c r="H64" s="22">
        <v>9063</v>
      </c>
      <c r="I64" s="24">
        <f t="shared" si="2"/>
        <v>8.8000000000000043</v>
      </c>
    </row>
    <row r="65" spans="1:9" x14ac:dyDescent="0.15">
      <c r="A65" s="24">
        <v>64</v>
      </c>
      <c r="B65" s="24">
        <f>H43</f>
        <v>9042</v>
      </c>
      <c r="C65" s="24">
        <f>I43</f>
        <v>8.9000000000000039</v>
      </c>
      <c r="D65" s="22">
        <v>7064</v>
      </c>
      <c r="E65" s="24">
        <f t="shared" si="0"/>
        <v>8.9000000000000039</v>
      </c>
      <c r="F65" s="22">
        <v>8064</v>
      </c>
      <c r="G65" s="24">
        <f t="shared" si="1"/>
        <v>8.8000000000000043</v>
      </c>
      <c r="H65" s="22">
        <v>9064</v>
      </c>
      <c r="I65" s="24">
        <f t="shared" si="2"/>
        <v>8.7000000000000046</v>
      </c>
    </row>
    <row r="66" spans="1:9" x14ac:dyDescent="0.15">
      <c r="A66" s="24">
        <v>65</v>
      </c>
      <c r="B66" s="24">
        <f>H44</f>
        <v>9043</v>
      </c>
      <c r="C66" s="24">
        <f>I44</f>
        <v>9.0000000000000036</v>
      </c>
      <c r="D66" s="22">
        <v>7065</v>
      </c>
      <c r="E66" s="24">
        <f t="shared" ref="E66:E129" si="11">C66</f>
        <v>9.0000000000000036</v>
      </c>
      <c r="F66" s="22">
        <v>8065</v>
      </c>
      <c r="G66" s="24">
        <f t="shared" ref="G66:G129" si="12">$E66-0.1</f>
        <v>8.9000000000000039</v>
      </c>
      <c r="H66" s="22">
        <v>9065</v>
      </c>
      <c r="I66" s="24">
        <f t="shared" ref="I66:I129" si="13">$E66-0.2</f>
        <v>8.8000000000000043</v>
      </c>
    </row>
    <row r="67" spans="1:9" x14ac:dyDescent="0.15">
      <c r="A67" s="24">
        <v>66</v>
      </c>
      <c r="B67" s="24">
        <f>F44</f>
        <v>8043</v>
      </c>
      <c r="C67" s="24">
        <f>G44</f>
        <v>9.1000000000000032</v>
      </c>
      <c r="D67" s="22">
        <v>7066</v>
      </c>
      <c r="E67" s="24">
        <f t="shared" si="11"/>
        <v>9.1000000000000032</v>
      </c>
      <c r="F67" s="22">
        <v>8066</v>
      </c>
      <c r="G67" s="24">
        <f t="shared" si="12"/>
        <v>9.0000000000000036</v>
      </c>
      <c r="H67" s="22">
        <v>9066</v>
      </c>
      <c r="I67" s="24">
        <f t="shared" si="13"/>
        <v>8.9000000000000039</v>
      </c>
    </row>
    <row r="68" spans="1:9" x14ac:dyDescent="0.15">
      <c r="A68" s="24">
        <v>67</v>
      </c>
      <c r="B68" s="24">
        <f>F45</f>
        <v>8044</v>
      </c>
      <c r="C68" s="24">
        <f>G45</f>
        <v>9.2000000000000028</v>
      </c>
      <c r="D68" s="22">
        <v>7067</v>
      </c>
      <c r="E68" s="24">
        <f t="shared" si="11"/>
        <v>9.2000000000000028</v>
      </c>
      <c r="F68" s="22">
        <v>8067</v>
      </c>
      <c r="G68" s="24">
        <f t="shared" si="12"/>
        <v>9.1000000000000032</v>
      </c>
      <c r="H68" s="22">
        <v>9067</v>
      </c>
      <c r="I68" s="24">
        <f t="shared" si="13"/>
        <v>9.0000000000000036</v>
      </c>
    </row>
    <row r="69" spans="1:9" x14ac:dyDescent="0.15">
      <c r="A69" s="24">
        <v>68</v>
      </c>
      <c r="B69" s="24">
        <f>H45</f>
        <v>9044</v>
      </c>
      <c r="C69" s="24">
        <f>I45</f>
        <v>9.1000000000000032</v>
      </c>
      <c r="D69" s="22">
        <v>7068</v>
      </c>
      <c r="E69" s="24">
        <f t="shared" si="11"/>
        <v>9.1000000000000032</v>
      </c>
      <c r="F69" s="22">
        <v>8068</v>
      </c>
      <c r="G69" s="24">
        <f t="shared" si="12"/>
        <v>9.0000000000000036</v>
      </c>
      <c r="H69" s="22">
        <v>9068</v>
      </c>
      <c r="I69" s="24">
        <f t="shared" si="13"/>
        <v>8.9000000000000039</v>
      </c>
    </row>
    <row r="70" spans="1:9" x14ac:dyDescent="0.15">
      <c r="A70" s="24">
        <v>69</v>
      </c>
      <c r="B70" s="24">
        <f>F46</f>
        <v>8045</v>
      </c>
      <c r="C70" s="24">
        <f>G46</f>
        <v>8.9000000000000039</v>
      </c>
      <c r="D70" s="22">
        <v>7069</v>
      </c>
      <c r="E70" s="24">
        <f t="shared" si="11"/>
        <v>8.9000000000000039</v>
      </c>
      <c r="F70" s="22">
        <v>8069</v>
      </c>
      <c r="G70" s="24">
        <f t="shared" si="12"/>
        <v>8.8000000000000043</v>
      </c>
      <c r="H70" s="22">
        <v>9069</v>
      </c>
      <c r="I70" s="24">
        <f t="shared" si="13"/>
        <v>8.7000000000000046</v>
      </c>
    </row>
    <row r="71" spans="1:9" x14ac:dyDescent="0.15">
      <c r="A71" s="24">
        <v>70</v>
      </c>
      <c r="B71" s="24">
        <f>H46</f>
        <v>9045</v>
      </c>
      <c r="C71" s="24">
        <f>I46</f>
        <v>8.8000000000000043</v>
      </c>
      <c r="D71" s="22">
        <v>7070</v>
      </c>
      <c r="E71" s="24">
        <f t="shared" si="11"/>
        <v>8.8000000000000043</v>
      </c>
      <c r="F71" s="22">
        <v>8070</v>
      </c>
      <c r="G71" s="24">
        <f t="shared" si="12"/>
        <v>8.7000000000000046</v>
      </c>
      <c r="H71" s="22">
        <v>9070</v>
      </c>
      <c r="I71" s="24">
        <f t="shared" si="13"/>
        <v>8.600000000000005</v>
      </c>
    </row>
    <row r="72" spans="1:9" x14ac:dyDescent="0.15">
      <c r="A72" s="24">
        <v>71</v>
      </c>
      <c r="B72" s="24">
        <f>H47</f>
        <v>9046</v>
      </c>
      <c r="C72" s="24">
        <f>I47</f>
        <v>8.8000000000000043</v>
      </c>
      <c r="D72" s="22">
        <v>7071</v>
      </c>
      <c r="E72" s="24">
        <f t="shared" si="11"/>
        <v>8.8000000000000043</v>
      </c>
      <c r="F72" s="22">
        <v>8071</v>
      </c>
      <c r="G72" s="24">
        <f t="shared" si="12"/>
        <v>8.7000000000000046</v>
      </c>
      <c r="H72" s="22">
        <v>9071</v>
      </c>
      <c r="I72" s="24">
        <f t="shared" si="13"/>
        <v>8.600000000000005</v>
      </c>
    </row>
    <row r="73" spans="1:9" x14ac:dyDescent="0.15">
      <c r="A73" s="24">
        <v>72</v>
      </c>
      <c r="B73" s="24">
        <f>F49</f>
        <v>8048</v>
      </c>
      <c r="C73" s="24">
        <f>G49</f>
        <v>9.1000000000000032</v>
      </c>
      <c r="D73" s="22">
        <v>7072</v>
      </c>
      <c r="E73" s="24">
        <f t="shared" si="11"/>
        <v>9.1000000000000032</v>
      </c>
      <c r="F73" s="22">
        <v>8072</v>
      </c>
      <c r="G73" s="24">
        <f t="shared" si="12"/>
        <v>9.0000000000000036</v>
      </c>
      <c r="H73" s="22">
        <v>9072</v>
      </c>
      <c r="I73" s="24">
        <f t="shared" si="13"/>
        <v>8.9000000000000039</v>
      </c>
    </row>
    <row r="74" spans="1:9" x14ac:dyDescent="0.15">
      <c r="A74" s="24">
        <v>73</v>
      </c>
      <c r="B74" s="24">
        <f>H49</f>
        <v>9048</v>
      </c>
      <c r="C74" s="24">
        <f>I49</f>
        <v>9.0000000000000036</v>
      </c>
      <c r="D74" s="22">
        <v>7073</v>
      </c>
      <c r="E74" s="24">
        <f t="shared" si="11"/>
        <v>9.0000000000000036</v>
      </c>
      <c r="F74" s="22">
        <v>8073</v>
      </c>
      <c r="G74" s="24">
        <f t="shared" si="12"/>
        <v>8.9000000000000039</v>
      </c>
      <c r="H74" s="22">
        <v>9073</v>
      </c>
      <c r="I74" s="24">
        <f t="shared" si="13"/>
        <v>8.8000000000000043</v>
      </c>
    </row>
    <row r="75" spans="1:9" x14ac:dyDescent="0.15">
      <c r="A75" s="24">
        <v>74</v>
      </c>
      <c r="B75" s="24">
        <f>H50</f>
        <v>9049</v>
      </c>
      <c r="C75" s="24">
        <f>I50</f>
        <v>9.1000000000000032</v>
      </c>
      <c r="D75" s="22">
        <v>7074</v>
      </c>
      <c r="E75" s="24">
        <f t="shared" si="11"/>
        <v>9.1000000000000032</v>
      </c>
      <c r="F75" s="22">
        <v>8074</v>
      </c>
      <c r="G75" s="24">
        <f t="shared" si="12"/>
        <v>9.0000000000000036</v>
      </c>
      <c r="H75" s="22">
        <v>9074</v>
      </c>
      <c r="I75" s="24">
        <f t="shared" si="13"/>
        <v>8.9000000000000039</v>
      </c>
    </row>
    <row r="76" spans="1:9" x14ac:dyDescent="0.15">
      <c r="A76" s="24">
        <v>75</v>
      </c>
      <c r="B76" s="24">
        <f>F50</f>
        <v>8049</v>
      </c>
      <c r="C76" s="24">
        <f>G50</f>
        <v>9.2000000000000028</v>
      </c>
      <c r="D76" s="22">
        <v>7075</v>
      </c>
      <c r="E76" s="24">
        <f t="shared" si="11"/>
        <v>9.2000000000000028</v>
      </c>
      <c r="F76" s="22">
        <v>8075</v>
      </c>
      <c r="G76" s="24">
        <f t="shared" si="12"/>
        <v>9.1000000000000032</v>
      </c>
      <c r="H76" s="22">
        <v>9075</v>
      </c>
      <c r="I76" s="24">
        <f t="shared" si="13"/>
        <v>9.0000000000000036</v>
      </c>
    </row>
    <row r="77" spans="1:9" x14ac:dyDescent="0.15">
      <c r="A77" s="24">
        <v>76</v>
      </c>
      <c r="B77" s="24">
        <f>H51</f>
        <v>9050</v>
      </c>
      <c r="C77" s="24">
        <f>I51</f>
        <v>8.9000000000000039</v>
      </c>
      <c r="D77" s="22">
        <v>7076</v>
      </c>
      <c r="E77" s="24">
        <f t="shared" si="11"/>
        <v>8.9000000000000039</v>
      </c>
      <c r="F77" s="22">
        <v>8076</v>
      </c>
      <c r="G77" s="24">
        <f t="shared" si="12"/>
        <v>8.8000000000000043</v>
      </c>
      <c r="H77" s="22">
        <v>9076</v>
      </c>
      <c r="I77" s="24">
        <f t="shared" si="13"/>
        <v>8.7000000000000046</v>
      </c>
    </row>
    <row r="78" spans="1:9" x14ac:dyDescent="0.15">
      <c r="A78" s="24">
        <v>77</v>
      </c>
      <c r="B78" s="24">
        <f>F51</f>
        <v>8050</v>
      </c>
      <c r="C78" s="24">
        <f>G51</f>
        <v>9.0000000000000036</v>
      </c>
      <c r="D78" s="22">
        <v>7077</v>
      </c>
      <c r="E78" s="24">
        <f t="shared" si="11"/>
        <v>9.0000000000000036</v>
      </c>
      <c r="F78" s="22">
        <v>8077</v>
      </c>
      <c r="G78" s="24">
        <f t="shared" si="12"/>
        <v>8.9000000000000039</v>
      </c>
      <c r="H78" s="22">
        <v>9077</v>
      </c>
      <c r="I78" s="24">
        <f t="shared" si="13"/>
        <v>8.8000000000000043</v>
      </c>
    </row>
    <row r="79" spans="1:9" x14ac:dyDescent="0.15">
      <c r="A79" s="24">
        <v>78</v>
      </c>
      <c r="B79" s="24">
        <f>F53</f>
        <v>8052</v>
      </c>
      <c r="C79" s="24">
        <f>G53</f>
        <v>9.0000000000000036</v>
      </c>
      <c r="D79" s="22">
        <v>7078</v>
      </c>
      <c r="E79" s="24">
        <f t="shared" si="11"/>
        <v>9.0000000000000036</v>
      </c>
      <c r="F79" s="22">
        <v>8078</v>
      </c>
      <c r="G79" s="24">
        <f t="shared" si="12"/>
        <v>8.9000000000000039</v>
      </c>
      <c r="H79" s="22">
        <v>9078</v>
      </c>
      <c r="I79" s="24">
        <f t="shared" si="13"/>
        <v>8.8000000000000043</v>
      </c>
    </row>
    <row r="80" spans="1:9" x14ac:dyDescent="0.15">
      <c r="A80" s="24">
        <v>79</v>
      </c>
      <c r="B80" s="24">
        <f>H53</f>
        <v>9052</v>
      </c>
      <c r="C80" s="24">
        <f>I53</f>
        <v>8.9000000000000039</v>
      </c>
      <c r="D80" s="22">
        <v>7079</v>
      </c>
      <c r="E80" s="24">
        <f t="shared" si="11"/>
        <v>8.9000000000000039</v>
      </c>
      <c r="F80" s="22">
        <v>8079</v>
      </c>
      <c r="G80" s="24">
        <f t="shared" si="12"/>
        <v>8.8000000000000043</v>
      </c>
      <c r="H80" s="22">
        <v>9079</v>
      </c>
      <c r="I80" s="24">
        <f t="shared" si="13"/>
        <v>8.7000000000000046</v>
      </c>
    </row>
    <row r="81" spans="1:9" x14ac:dyDescent="0.15">
      <c r="A81" s="24">
        <v>80</v>
      </c>
      <c r="B81" s="24">
        <f>F56</f>
        <v>8055</v>
      </c>
      <c r="C81" s="24">
        <f>G56</f>
        <v>8.9000000000000039</v>
      </c>
      <c r="D81" s="22">
        <v>7080</v>
      </c>
      <c r="E81" s="24">
        <f t="shared" si="11"/>
        <v>8.9000000000000039</v>
      </c>
      <c r="F81" s="22">
        <v>8080</v>
      </c>
      <c r="G81" s="24">
        <f t="shared" si="12"/>
        <v>8.8000000000000043</v>
      </c>
      <c r="H81" s="22">
        <v>9080</v>
      </c>
      <c r="I81" s="24">
        <f t="shared" si="13"/>
        <v>8.7000000000000046</v>
      </c>
    </row>
    <row r="82" spans="1:9" x14ac:dyDescent="0.15">
      <c r="A82" s="24">
        <v>81</v>
      </c>
      <c r="B82" s="24">
        <f>H56</f>
        <v>9055</v>
      </c>
      <c r="C82" s="24">
        <f>I56</f>
        <v>8.8000000000000043</v>
      </c>
      <c r="D82" s="22">
        <v>7081</v>
      </c>
      <c r="E82" s="24">
        <f t="shared" si="11"/>
        <v>8.8000000000000043</v>
      </c>
      <c r="F82" s="22">
        <v>8081</v>
      </c>
      <c r="G82" s="24">
        <f t="shared" si="12"/>
        <v>8.7000000000000046</v>
      </c>
      <c r="H82" s="22">
        <v>9081</v>
      </c>
      <c r="I82" s="24">
        <f t="shared" si="13"/>
        <v>8.600000000000005</v>
      </c>
    </row>
    <row r="83" spans="1:9" x14ac:dyDescent="0.15">
      <c r="A83" s="24">
        <v>82</v>
      </c>
      <c r="B83" s="24">
        <f>D57</f>
        <v>7056</v>
      </c>
      <c r="C83" s="24">
        <f>E57</f>
        <v>8.9000000000000039</v>
      </c>
      <c r="D83" s="22">
        <v>7082</v>
      </c>
      <c r="E83" s="24">
        <f t="shared" si="11"/>
        <v>8.9000000000000039</v>
      </c>
      <c r="F83" s="22">
        <v>8082</v>
      </c>
      <c r="G83" s="24">
        <f t="shared" si="12"/>
        <v>8.8000000000000043</v>
      </c>
      <c r="H83" s="22">
        <v>9082</v>
      </c>
      <c r="I83" s="24">
        <f t="shared" si="13"/>
        <v>8.7000000000000046</v>
      </c>
    </row>
    <row r="84" spans="1:9" x14ac:dyDescent="0.15">
      <c r="A84" s="24">
        <v>83</v>
      </c>
      <c r="B84" s="24">
        <f>D58</f>
        <v>7057</v>
      </c>
      <c r="C84" s="24">
        <f>E58</f>
        <v>8.9000000000000039</v>
      </c>
      <c r="D84" s="22">
        <v>7083</v>
      </c>
      <c r="E84" s="24">
        <f t="shared" si="11"/>
        <v>8.9000000000000039</v>
      </c>
      <c r="F84" s="22">
        <v>8083</v>
      </c>
      <c r="G84" s="24">
        <f t="shared" si="12"/>
        <v>8.8000000000000043</v>
      </c>
      <c r="H84" s="22">
        <v>9083</v>
      </c>
      <c r="I84" s="24">
        <f t="shared" si="13"/>
        <v>8.7000000000000046</v>
      </c>
    </row>
    <row r="85" spans="1:9" x14ac:dyDescent="0.15">
      <c r="A85" s="24">
        <v>84</v>
      </c>
      <c r="B85" s="24">
        <f>F58</f>
        <v>8057</v>
      </c>
      <c r="C85" s="24">
        <f>G58</f>
        <v>8.8000000000000043</v>
      </c>
      <c r="D85" s="22">
        <v>7084</v>
      </c>
      <c r="E85" s="24">
        <f t="shared" si="11"/>
        <v>8.8000000000000043</v>
      </c>
      <c r="F85" s="22">
        <v>8084</v>
      </c>
      <c r="G85" s="24">
        <f t="shared" si="12"/>
        <v>8.7000000000000046</v>
      </c>
      <c r="H85" s="22">
        <v>9084</v>
      </c>
      <c r="I85" s="24">
        <f t="shared" si="13"/>
        <v>8.600000000000005</v>
      </c>
    </row>
    <row r="86" spans="1:9" x14ac:dyDescent="0.15">
      <c r="A86" s="24">
        <v>85</v>
      </c>
      <c r="B86" s="24">
        <f>H58</f>
        <v>9057</v>
      </c>
      <c r="C86" s="24">
        <f>I58</f>
        <v>8.7000000000000046</v>
      </c>
      <c r="D86" s="22">
        <v>7085</v>
      </c>
      <c r="E86" s="24">
        <f t="shared" si="11"/>
        <v>8.7000000000000046</v>
      </c>
      <c r="F86" s="22">
        <v>8085</v>
      </c>
      <c r="G86" s="24">
        <f t="shared" si="12"/>
        <v>8.600000000000005</v>
      </c>
      <c r="H86" s="22">
        <v>9085</v>
      </c>
      <c r="I86" s="24">
        <f t="shared" si="13"/>
        <v>8.5000000000000053</v>
      </c>
    </row>
    <row r="87" spans="1:9" x14ac:dyDescent="0.15">
      <c r="A87" s="24">
        <v>86</v>
      </c>
      <c r="B87" s="24">
        <f>F59</f>
        <v>8058</v>
      </c>
      <c r="C87" s="24">
        <f>G59</f>
        <v>8.9000000000000039</v>
      </c>
      <c r="D87" s="22">
        <v>7086</v>
      </c>
      <c r="E87" s="24">
        <f t="shared" si="11"/>
        <v>8.9000000000000039</v>
      </c>
      <c r="F87" s="22">
        <v>8086</v>
      </c>
      <c r="G87" s="24">
        <f t="shared" si="12"/>
        <v>8.8000000000000043</v>
      </c>
      <c r="H87" s="22">
        <v>9086</v>
      </c>
      <c r="I87" s="24">
        <f t="shared" si="13"/>
        <v>8.7000000000000046</v>
      </c>
    </row>
    <row r="88" spans="1:9" x14ac:dyDescent="0.15">
      <c r="A88" s="24">
        <v>87</v>
      </c>
      <c r="B88" s="24">
        <f>H59</f>
        <v>9058</v>
      </c>
      <c r="C88" s="24">
        <f>I59</f>
        <v>8.8000000000000043</v>
      </c>
      <c r="D88" s="22">
        <v>7087</v>
      </c>
      <c r="E88" s="24">
        <f t="shared" si="11"/>
        <v>8.8000000000000043</v>
      </c>
      <c r="F88" s="22">
        <v>8087</v>
      </c>
      <c r="G88" s="24">
        <f t="shared" si="12"/>
        <v>8.7000000000000046</v>
      </c>
      <c r="H88" s="22">
        <v>9087</v>
      </c>
      <c r="I88" s="24">
        <f t="shared" si="13"/>
        <v>8.600000000000005</v>
      </c>
    </row>
    <row r="89" spans="1:9" x14ac:dyDescent="0.15">
      <c r="A89" s="24">
        <v>88</v>
      </c>
      <c r="B89" s="24">
        <f>H60</f>
        <v>9059</v>
      </c>
      <c r="C89" s="24">
        <f>I60</f>
        <v>9.0000000000000036</v>
      </c>
      <c r="D89" s="22">
        <v>7088</v>
      </c>
      <c r="E89" s="24">
        <f t="shared" si="11"/>
        <v>9.0000000000000036</v>
      </c>
      <c r="F89" s="22">
        <v>8088</v>
      </c>
      <c r="G89" s="24">
        <f t="shared" si="12"/>
        <v>8.9000000000000039</v>
      </c>
      <c r="H89" s="22">
        <v>9088</v>
      </c>
      <c r="I89" s="24">
        <f t="shared" si="13"/>
        <v>8.8000000000000043</v>
      </c>
    </row>
    <row r="90" spans="1:9" x14ac:dyDescent="0.15">
      <c r="A90" s="24">
        <v>89</v>
      </c>
      <c r="B90" s="24">
        <f>F60</f>
        <v>8059</v>
      </c>
      <c r="C90" s="24">
        <f>G60</f>
        <v>9.1000000000000032</v>
      </c>
      <c r="D90" s="22">
        <v>7089</v>
      </c>
      <c r="E90" s="24">
        <f t="shared" si="11"/>
        <v>9.1000000000000032</v>
      </c>
      <c r="F90" s="22">
        <v>8089</v>
      </c>
      <c r="G90" s="24">
        <f t="shared" si="12"/>
        <v>9.0000000000000036</v>
      </c>
      <c r="H90" s="22">
        <v>9089</v>
      </c>
      <c r="I90" s="24">
        <f t="shared" si="13"/>
        <v>8.9000000000000039</v>
      </c>
    </row>
    <row r="91" spans="1:9" x14ac:dyDescent="0.15">
      <c r="A91" s="24">
        <v>90</v>
      </c>
      <c r="B91" s="24">
        <f>F61</f>
        <v>8060</v>
      </c>
      <c r="C91" s="24">
        <f>G61</f>
        <v>9.0000000000000036</v>
      </c>
      <c r="D91" s="22">
        <v>7090</v>
      </c>
      <c r="E91" s="24">
        <f t="shared" si="11"/>
        <v>9.0000000000000036</v>
      </c>
      <c r="F91" s="22">
        <v>8090</v>
      </c>
      <c r="G91" s="24">
        <f t="shared" si="12"/>
        <v>8.9000000000000039</v>
      </c>
      <c r="H91" s="22">
        <v>9090</v>
      </c>
      <c r="I91" s="24">
        <f t="shared" si="13"/>
        <v>8.8000000000000043</v>
      </c>
    </row>
    <row r="92" spans="1:9" x14ac:dyDescent="0.15">
      <c r="A92" s="24">
        <v>91</v>
      </c>
      <c r="B92" s="24">
        <f>H61</f>
        <v>9060</v>
      </c>
      <c r="C92" s="24">
        <f>I61</f>
        <v>8.9000000000000039</v>
      </c>
      <c r="D92" s="22">
        <v>7091</v>
      </c>
      <c r="E92" s="24">
        <f t="shared" si="11"/>
        <v>8.9000000000000039</v>
      </c>
      <c r="F92" s="22">
        <v>8091</v>
      </c>
      <c r="G92" s="24">
        <f t="shared" si="12"/>
        <v>8.8000000000000043</v>
      </c>
      <c r="H92" s="22">
        <v>9091</v>
      </c>
      <c r="I92" s="24">
        <f t="shared" si="13"/>
        <v>8.7000000000000046</v>
      </c>
    </row>
    <row r="93" spans="1:9" x14ac:dyDescent="0.15">
      <c r="A93" s="24">
        <v>92</v>
      </c>
      <c r="B93" s="24">
        <f>F62</f>
        <v>8061</v>
      </c>
      <c r="C93" s="24">
        <f>G62</f>
        <v>8.9000000000000039</v>
      </c>
      <c r="D93" s="22">
        <v>7092</v>
      </c>
      <c r="E93" s="24">
        <f t="shared" si="11"/>
        <v>8.9000000000000039</v>
      </c>
      <c r="F93" s="22">
        <v>8092</v>
      </c>
      <c r="G93" s="24">
        <f t="shared" si="12"/>
        <v>8.8000000000000043</v>
      </c>
      <c r="H93" s="22">
        <v>9092</v>
      </c>
      <c r="I93" s="24">
        <f t="shared" si="13"/>
        <v>8.7000000000000046</v>
      </c>
    </row>
    <row r="94" spans="1:9" x14ac:dyDescent="0.15">
      <c r="A94" s="24">
        <v>93</v>
      </c>
      <c r="B94" s="24">
        <f>H62</f>
        <v>9061</v>
      </c>
      <c r="C94" s="24">
        <f>I62</f>
        <v>8.8000000000000043</v>
      </c>
      <c r="D94" s="22">
        <v>7093</v>
      </c>
      <c r="E94" s="24">
        <f t="shared" si="11"/>
        <v>8.8000000000000043</v>
      </c>
      <c r="F94" s="22">
        <v>8093</v>
      </c>
      <c r="G94" s="24">
        <f t="shared" si="12"/>
        <v>8.7000000000000046</v>
      </c>
      <c r="H94" s="22">
        <v>9093</v>
      </c>
      <c r="I94" s="24">
        <f t="shared" si="13"/>
        <v>8.600000000000005</v>
      </c>
    </row>
    <row r="95" spans="1:9" x14ac:dyDescent="0.15">
      <c r="A95" s="24">
        <v>94</v>
      </c>
      <c r="B95" s="24">
        <f>H63</f>
        <v>9062</v>
      </c>
      <c r="C95" s="24">
        <f>I63</f>
        <v>8.9000000000000039</v>
      </c>
      <c r="D95" s="22">
        <v>7094</v>
      </c>
      <c r="E95" s="24">
        <f t="shared" si="11"/>
        <v>8.9000000000000039</v>
      </c>
      <c r="F95" s="22">
        <v>8094</v>
      </c>
      <c r="G95" s="24">
        <f t="shared" si="12"/>
        <v>8.8000000000000043</v>
      </c>
      <c r="H95" s="22">
        <v>9094</v>
      </c>
      <c r="I95" s="24">
        <f t="shared" si="13"/>
        <v>8.7000000000000046</v>
      </c>
    </row>
    <row r="96" spans="1:9" x14ac:dyDescent="0.15">
      <c r="A96" s="24">
        <v>95</v>
      </c>
      <c r="B96" s="24">
        <f>F63</f>
        <v>8062</v>
      </c>
      <c r="C96" s="24">
        <f>G63</f>
        <v>9.0000000000000036</v>
      </c>
      <c r="D96" s="22">
        <v>7095</v>
      </c>
      <c r="E96" s="24">
        <f t="shared" si="11"/>
        <v>9.0000000000000036</v>
      </c>
      <c r="F96" s="22">
        <v>8095</v>
      </c>
      <c r="G96" s="24">
        <f t="shared" si="12"/>
        <v>8.9000000000000039</v>
      </c>
      <c r="H96" s="22">
        <v>9095</v>
      </c>
      <c r="I96" s="24">
        <f t="shared" si="13"/>
        <v>8.8000000000000043</v>
      </c>
    </row>
    <row r="97" spans="1:9" x14ac:dyDescent="0.15">
      <c r="A97" s="24">
        <v>96</v>
      </c>
      <c r="B97" s="24">
        <f>F64</f>
        <v>8063</v>
      </c>
      <c r="C97" s="24">
        <f>G64</f>
        <v>8.9000000000000039</v>
      </c>
      <c r="D97" s="22">
        <v>7096</v>
      </c>
      <c r="E97" s="24">
        <f t="shared" si="11"/>
        <v>8.9000000000000039</v>
      </c>
      <c r="F97" s="22">
        <v>8096</v>
      </c>
      <c r="G97" s="24">
        <f t="shared" si="12"/>
        <v>8.8000000000000043</v>
      </c>
      <c r="H97" s="22">
        <v>9096</v>
      </c>
      <c r="I97" s="24">
        <f t="shared" si="13"/>
        <v>8.7000000000000046</v>
      </c>
    </row>
    <row r="98" spans="1:9" x14ac:dyDescent="0.15">
      <c r="A98" s="24">
        <v>97</v>
      </c>
      <c r="B98" s="24">
        <f>H64</f>
        <v>9063</v>
      </c>
      <c r="C98" s="24">
        <f>I64</f>
        <v>8.8000000000000043</v>
      </c>
      <c r="D98" s="22">
        <v>7097</v>
      </c>
      <c r="E98" s="24">
        <f t="shared" si="11"/>
        <v>8.8000000000000043</v>
      </c>
      <c r="F98" s="22">
        <v>8097</v>
      </c>
      <c r="G98" s="24">
        <f t="shared" si="12"/>
        <v>8.7000000000000046</v>
      </c>
      <c r="H98" s="22">
        <v>9097</v>
      </c>
      <c r="I98" s="24">
        <f t="shared" si="13"/>
        <v>8.600000000000005</v>
      </c>
    </row>
    <row r="99" spans="1:9" x14ac:dyDescent="0.15">
      <c r="A99" s="24">
        <v>98</v>
      </c>
      <c r="B99" s="24">
        <f>H65</f>
        <v>9064</v>
      </c>
      <c r="C99" s="24">
        <f>I65</f>
        <v>8.7000000000000046</v>
      </c>
      <c r="D99" s="22">
        <v>7098</v>
      </c>
      <c r="E99" s="24">
        <f t="shared" si="11"/>
        <v>8.7000000000000046</v>
      </c>
      <c r="F99" s="22">
        <v>8098</v>
      </c>
      <c r="G99" s="24">
        <f t="shared" si="12"/>
        <v>8.600000000000005</v>
      </c>
      <c r="H99" s="22">
        <v>9098</v>
      </c>
      <c r="I99" s="24">
        <f t="shared" si="13"/>
        <v>8.5000000000000053</v>
      </c>
    </row>
    <row r="100" spans="1:9" x14ac:dyDescent="0.15">
      <c r="A100" s="24">
        <v>99</v>
      </c>
      <c r="B100" s="24">
        <f>F65</f>
        <v>8064</v>
      </c>
      <c r="C100" s="24">
        <f>G65</f>
        <v>8.8000000000000043</v>
      </c>
      <c r="D100" s="22">
        <v>7099</v>
      </c>
      <c r="E100" s="24">
        <f t="shared" si="11"/>
        <v>8.8000000000000043</v>
      </c>
      <c r="F100" s="22">
        <v>8099</v>
      </c>
      <c r="G100" s="24">
        <f t="shared" si="12"/>
        <v>8.7000000000000046</v>
      </c>
      <c r="H100" s="22">
        <v>9099</v>
      </c>
      <c r="I100" s="24">
        <f t="shared" si="13"/>
        <v>8.600000000000005</v>
      </c>
    </row>
    <row r="101" spans="1:9" x14ac:dyDescent="0.15">
      <c r="A101" s="24">
        <v>100</v>
      </c>
      <c r="B101" s="24">
        <f>F68</f>
        <v>8067</v>
      </c>
      <c r="C101" s="24">
        <f>G68</f>
        <v>9.1000000000000032</v>
      </c>
      <c r="D101" s="22">
        <v>7100</v>
      </c>
      <c r="E101" s="24">
        <f t="shared" si="11"/>
        <v>9.1000000000000032</v>
      </c>
      <c r="F101" s="22">
        <v>8100</v>
      </c>
      <c r="G101" s="24">
        <f t="shared" si="12"/>
        <v>9.0000000000000036</v>
      </c>
      <c r="H101" s="22">
        <v>9100</v>
      </c>
      <c r="I101" s="24">
        <f t="shared" si="13"/>
        <v>8.9000000000000039</v>
      </c>
    </row>
    <row r="102" spans="1:9" x14ac:dyDescent="0.15">
      <c r="A102" s="24">
        <v>101</v>
      </c>
      <c r="B102" s="24">
        <f>H68</f>
        <v>9067</v>
      </c>
      <c r="C102" s="24">
        <f>I68</f>
        <v>9.0000000000000036</v>
      </c>
      <c r="D102" s="22">
        <v>7101</v>
      </c>
      <c r="E102" s="24">
        <f t="shared" si="11"/>
        <v>9.0000000000000036</v>
      </c>
      <c r="F102" s="22">
        <v>8101</v>
      </c>
      <c r="G102" s="24">
        <f t="shared" si="12"/>
        <v>8.9000000000000039</v>
      </c>
      <c r="H102" s="22">
        <v>9101</v>
      </c>
      <c r="I102" s="24">
        <f t="shared" si="13"/>
        <v>8.8000000000000043</v>
      </c>
    </row>
    <row r="103" spans="1:9" x14ac:dyDescent="0.15">
      <c r="A103" s="24">
        <v>102</v>
      </c>
      <c r="B103" s="24">
        <f>F69</f>
        <v>8068</v>
      </c>
      <c r="C103" s="24">
        <f>G69</f>
        <v>9.0000000000000036</v>
      </c>
      <c r="D103" s="22">
        <v>7102</v>
      </c>
      <c r="E103" s="24">
        <f t="shared" si="11"/>
        <v>9.0000000000000036</v>
      </c>
      <c r="F103" s="22">
        <v>8102</v>
      </c>
      <c r="G103" s="24">
        <f t="shared" si="12"/>
        <v>8.9000000000000039</v>
      </c>
      <c r="H103" s="22">
        <v>9102</v>
      </c>
      <c r="I103" s="24">
        <f t="shared" si="13"/>
        <v>8.8000000000000043</v>
      </c>
    </row>
    <row r="104" spans="1:9" x14ac:dyDescent="0.15">
      <c r="A104" s="24">
        <v>103</v>
      </c>
      <c r="B104" s="24">
        <f>H69</f>
        <v>9068</v>
      </c>
      <c r="C104" s="24">
        <f>I69</f>
        <v>8.9000000000000039</v>
      </c>
      <c r="D104" s="22">
        <v>7103</v>
      </c>
      <c r="E104" s="24">
        <f t="shared" si="11"/>
        <v>8.9000000000000039</v>
      </c>
      <c r="F104" s="22">
        <v>8103</v>
      </c>
      <c r="G104" s="24">
        <f t="shared" si="12"/>
        <v>8.8000000000000043</v>
      </c>
      <c r="H104" s="22">
        <v>9103</v>
      </c>
      <c r="I104" s="24">
        <f t="shared" si="13"/>
        <v>8.7000000000000046</v>
      </c>
    </row>
    <row r="105" spans="1:9" x14ac:dyDescent="0.15">
      <c r="A105" s="24">
        <v>104</v>
      </c>
      <c r="B105" s="24">
        <f>D70</f>
        <v>7069</v>
      </c>
      <c r="C105" s="24">
        <f>E70</f>
        <v>8.9000000000000039</v>
      </c>
      <c r="D105" s="22">
        <v>7104</v>
      </c>
      <c r="E105" s="24">
        <f t="shared" si="11"/>
        <v>8.9000000000000039</v>
      </c>
      <c r="F105" s="22">
        <v>8104</v>
      </c>
      <c r="G105" s="24">
        <f t="shared" si="12"/>
        <v>8.8000000000000043</v>
      </c>
      <c r="H105" s="22">
        <v>9104</v>
      </c>
      <c r="I105" s="24">
        <f t="shared" si="13"/>
        <v>8.7000000000000046</v>
      </c>
    </row>
    <row r="106" spans="1:9" x14ac:dyDescent="0.15">
      <c r="A106" s="24">
        <v>105</v>
      </c>
      <c r="B106" s="24">
        <f>H70</f>
        <v>9069</v>
      </c>
      <c r="C106" s="24">
        <f>I70</f>
        <v>8.7000000000000046</v>
      </c>
      <c r="D106" s="22">
        <v>7105</v>
      </c>
      <c r="E106" s="24">
        <f t="shared" si="11"/>
        <v>8.7000000000000046</v>
      </c>
      <c r="F106" s="22">
        <v>8105</v>
      </c>
      <c r="G106" s="24">
        <f t="shared" si="12"/>
        <v>8.600000000000005</v>
      </c>
      <c r="H106" s="22">
        <v>9105</v>
      </c>
      <c r="I106" s="24">
        <f t="shared" si="13"/>
        <v>8.5000000000000053</v>
      </c>
    </row>
    <row r="107" spans="1:9" x14ac:dyDescent="0.15">
      <c r="A107" s="24">
        <v>106</v>
      </c>
      <c r="B107" s="24">
        <f>H71</f>
        <v>9070</v>
      </c>
      <c r="C107" s="24">
        <f>I71</f>
        <v>8.600000000000005</v>
      </c>
      <c r="D107" s="22">
        <v>7106</v>
      </c>
      <c r="E107" s="24">
        <f t="shared" si="11"/>
        <v>8.600000000000005</v>
      </c>
      <c r="F107" s="22">
        <v>8106</v>
      </c>
      <c r="G107" s="24">
        <f t="shared" si="12"/>
        <v>8.5000000000000053</v>
      </c>
      <c r="H107" s="22">
        <v>9106</v>
      </c>
      <c r="I107" s="24">
        <f t="shared" si="13"/>
        <v>8.4000000000000057</v>
      </c>
    </row>
    <row r="108" spans="1:9" x14ac:dyDescent="0.15">
      <c r="A108" s="24">
        <v>107</v>
      </c>
      <c r="B108" s="24">
        <f>F71</f>
        <v>8070</v>
      </c>
      <c r="C108" s="24">
        <f>G71</f>
        <v>8.7000000000000046</v>
      </c>
      <c r="D108" s="22">
        <v>7107</v>
      </c>
      <c r="E108" s="24">
        <f t="shared" si="11"/>
        <v>8.7000000000000046</v>
      </c>
      <c r="F108" s="22">
        <v>8107</v>
      </c>
      <c r="G108" s="24">
        <f t="shared" si="12"/>
        <v>8.600000000000005</v>
      </c>
      <c r="H108" s="22">
        <v>9107</v>
      </c>
      <c r="I108" s="24">
        <f t="shared" si="13"/>
        <v>8.5000000000000053</v>
      </c>
    </row>
    <row r="109" spans="1:9" x14ac:dyDescent="0.15">
      <c r="A109" s="24">
        <v>108</v>
      </c>
      <c r="B109" s="24">
        <f>F72</f>
        <v>8071</v>
      </c>
      <c r="C109" s="24">
        <f>G72</f>
        <v>8.7000000000000046</v>
      </c>
      <c r="D109" s="22">
        <v>7108</v>
      </c>
      <c r="E109" s="24">
        <f t="shared" si="11"/>
        <v>8.7000000000000046</v>
      </c>
      <c r="F109" s="22">
        <v>8108</v>
      </c>
      <c r="G109" s="24">
        <f t="shared" si="12"/>
        <v>8.600000000000005</v>
      </c>
      <c r="H109" s="22">
        <v>9108</v>
      </c>
      <c r="I109" s="24">
        <f t="shared" si="13"/>
        <v>8.5000000000000053</v>
      </c>
    </row>
    <row r="110" spans="1:9" x14ac:dyDescent="0.15">
      <c r="A110" s="24">
        <v>109</v>
      </c>
      <c r="B110" s="24">
        <f>H72</f>
        <v>9071</v>
      </c>
      <c r="C110" s="24">
        <f>I72</f>
        <v>8.600000000000005</v>
      </c>
      <c r="D110" s="22">
        <v>7109</v>
      </c>
      <c r="E110" s="24">
        <f t="shared" si="11"/>
        <v>8.600000000000005</v>
      </c>
      <c r="F110" s="22">
        <v>8109</v>
      </c>
      <c r="G110" s="24">
        <f t="shared" si="12"/>
        <v>8.5000000000000053</v>
      </c>
      <c r="H110" s="22">
        <v>9109</v>
      </c>
      <c r="I110" s="24">
        <f t="shared" si="13"/>
        <v>8.4000000000000057</v>
      </c>
    </row>
    <row r="111" spans="1:9" x14ac:dyDescent="0.15">
      <c r="A111" s="24">
        <v>110</v>
      </c>
      <c r="B111" s="24">
        <f>H48</f>
        <v>9047</v>
      </c>
      <c r="C111" s="24">
        <f>I48</f>
        <v>8.9000000000000039</v>
      </c>
      <c r="D111" s="22">
        <v>7110</v>
      </c>
      <c r="E111" s="24">
        <f t="shared" si="11"/>
        <v>8.9000000000000039</v>
      </c>
      <c r="F111" s="22">
        <v>8110</v>
      </c>
      <c r="G111" s="24">
        <f t="shared" si="12"/>
        <v>8.8000000000000043</v>
      </c>
      <c r="H111" s="22">
        <v>9110</v>
      </c>
      <c r="I111" s="24">
        <f t="shared" si="13"/>
        <v>8.7000000000000046</v>
      </c>
    </row>
    <row r="112" spans="1:9" x14ac:dyDescent="0.15">
      <c r="A112" s="24">
        <v>111</v>
      </c>
      <c r="B112" s="24">
        <f>D73</f>
        <v>7072</v>
      </c>
      <c r="C112" s="24">
        <f>E73</f>
        <v>9.1000000000000032</v>
      </c>
      <c r="D112" s="22">
        <v>7111</v>
      </c>
      <c r="E112" s="24">
        <f t="shared" si="11"/>
        <v>9.1000000000000032</v>
      </c>
      <c r="F112" s="22">
        <v>8111</v>
      </c>
      <c r="G112" s="24">
        <f t="shared" si="12"/>
        <v>9.0000000000000036</v>
      </c>
      <c r="H112" s="22">
        <v>9111</v>
      </c>
      <c r="I112" s="24">
        <f t="shared" si="13"/>
        <v>8.9000000000000039</v>
      </c>
    </row>
    <row r="113" spans="1:9" x14ac:dyDescent="0.15">
      <c r="A113" s="24">
        <v>112</v>
      </c>
      <c r="B113" s="24">
        <f>H73</f>
        <v>9072</v>
      </c>
      <c r="C113" s="24">
        <f>I73</f>
        <v>8.9000000000000039</v>
      </c>
      <c r="D113" s="22">
        <v>7112</v>
      </c>
      <c r="E113" s="24">
        <f t="shared" si="11"/>
        <v>8.9000000000000039</v>
      </c>
      <c r="F113" s="22">
        <v>8112</v>
      </c>
      <c r="G113" s="24">
        <f t="shared" si="12"/>
        <v>8.8000000000000043</v>
      </c>
      <c r="H113" s="22">
        <v>9112</v>
      </c>
      <c r="I113" s="24">
        <f t="shared" si="13"/>
        <v>8.7000000000000046</v>
      </c>
    </row>
    <row r="114" spans="1:9" x14ac:dyDescent="0.15">
      <c r="A114" s="24">
        <v>113</v>
      </c>
      <c r="B114" s="24">
        <f>F74</f>
        <v>8073</v>
      </c>
      <c r="C114" s="24">
        <f>G74</f>
        <v>8.9000000000000039</v>
      </c>
      <c r="D114" s="22">
        <v>7113</v>
      </c>
      <c r="E114" s="24">
        <f t="shared" si="11"/>
        <v>8.9000000000000039</v>
      </c>
      <c r="F114" s="22">
        <v>8113</v>
      </c>
      <c r="G114" s="24">
        <f t="shared" si="12"/>
        <v>8.8000000000000043</v>
      </c>
      <c r="H114" s="22">
        <v>9113</v>
      </c>
      <c r="I114" s="24">
        <f t="shared" si="13"/>
        <v>8.7000000000000046</v>
      </c>
    </row>
    <row r="115" spans="1:9" x14ac:dyDescent="0.15">
      <c r="A115" s="24">
        <v>114</v>
      </c>
      <c r="B115" s="24">
        <f>H74</f>
        <v>9073</v>
      </c>
      <c r="C115" s="24">
        <f>I74</f>
        <v>8.8000000000000043</v>
      </c>
      <c r="D115" s="22">
        <v>7114</v>
      </c>
      <c r="E115" s="24">
        <f t="shared" si="11"/>
        <v>8.8000000000000043</v>
      </c>
      <c r="F115" s="22">
        <v>8114</v>
      </c>
      <c r="G115" s="24">
        <f t="shared" si="12"/>
        <v>8.7000000000000046</v>
      </c>
      <c r="H115" s="22">
        <v>9114</v>
      </c>
      <c r="I115" s="24">
        <f t="shared" si="13"/>
        <v>8.600000000000005</v>
      </c>
    </row>
    <row r="116" spans="1:9" x14ac:dyDescent="0.15">
      <c r="A116" s="24">
        <v>115</v>
      </c>
      <c r="B116" s="24">
        <f>H75</f>
        <v>9074</v>
      </c>
      <c r="C116" s="24">
        <f>I75</f>
        <v>8.9000000000000039</v>
      </c>
      <c r="D116" s="22">
        <v>7115</v>
      </c>
      <c r="E116" s="24">
        <f t="shared" si="11"/>
        <v>8.9000000000000039</v>
      </c>
      <c r="F116" s="22">
        <v>8115</v>
      </c>
      <c r="G116" s="24">
        <f t="shared" si="12"/>
        <v>8.8000000000000043</v>
      </c>
      <c r="H116" s="22">
        <v>9115</v>
      </c>
      <c r="I116" s="24">
        <f t="shared" si="13"/>
        <v>8.7000000000000046</v>
      </c>
    </row>
    <row r="117" spans="1:9" x14ac:dyDescent="0.15">
      <c r="A117" s="24">
        <v>116</v>
      </c>
      <c r="B117" s="24">
        <f>F75</f>
        <v>8074</v>
      </c>
      <c r="C117" s="24">
        <f>G75</f>
        <v>9.0000000000000036</v>
      </c>
      <c r="D117" s="22">
        <v>7116</v>
      </c>
      <c r="E117" s="24">
        <f t="shared" si="11"/>
        <v>9.0000000000000036</v>
      </c>
      <c r="F117" s="22">
        <v>8116</v>
      </c>
      <c r="G117" s="24">
        <f t="shared" si="12"/>
        <v>8.9000000000000039</v>
      </c>
      <c r="H117" s="22">
        <v>9116</v>
      </c>
      <c r="I117" s="24">
        <f t="shared" si="13"/>
        <v>8.8000000000000043</v>
      </c>
    </row>
    <row r="118" spans="1:9" x14ac:dyDescent="0.15">
      <c r="A118" s="24">
        <v>117</v>
      </c>
      <c r="B118" s="24">
        <f>F76</f>
        <v>8075</v>
      </c>
      <c r="C118" s="24">
        <f>G76</f>
        <v>9.1000000000000032</v>
      </c>
      <c r="D118" s="22">
        <v>7117</v>
      </c>
      <c r="E118" s="24">
        <f t="shared" si="11"/>
        <v>9.1000000000000032</v>
      </c>
      <c r="F118" s="22">
        <v>8117</v>
      </c>
      <c r="G118" s="24">
        <f t="shared" si="12"/>
        <v>9.0000000000000036</v>
      </c>
      <c r="H118" s="22">
        <v>9117</v>
      </c>
      <c r="I118" s="24">
        <f t="shared" si="13"/>
        <v>8.9000000000000039</v>
      </c>
    </row>
    <row r="119" spans="1:9" x14ac:dyDescent="0.15">
      <c r="A119" s="24">
        <v>118</v>
      </c>
      <c r="B119" s="24">
        <f>H76</f>
        <v>9075</v>
      </c>
      <c r="C119" s="24">
        <f>I76</f>
        <v>9.0000000000000036</v>
      </c>
      <c r="D119" s="22">
        <v>7118</v>
      </c>
      <c r="E119" s="24">
        <f t="shared" si="11"/>
        <v>9.0000000000000036</v>
      </c>
      <c r="F119" s="22">
        <v>8118</v>
      </c>
      <c r="G119" s="24">
        <f t="shared" si="12"/>
        <v>8.9000000000000039</v>
      </c>
      <c r="H119" s="22">
        <v>9118</v>
      </c>
      <c r="I119" s="24">
        <f t="shared" si="13"/>
        <v>8.8000000000000043</v>
      </c>
    </row>
    <row r="120" spans="1:9" x14ac:dyDescent="0.15">
      <c r="A120" s="24">
        <v>119</v>
      </c>
      <c r="B120" s="24">
        <f>F81</f>
        <v>8080</v>
      </c>
      <c r="C120" s="24">
        <f>G81</f>
        <v>8.8000000000000043</v>
      </c>
      <c r="D120" s="22">
        <v>7119</v>
      </c>
      <c r="E120" s="24">
        <f t="shared" si="11"/>
        <v>8.8000000000000043</v>
      </c>
      <c r="F120" s="22">
        <v>8119</v>
      </c>
      <c r="G120" s="24">
        <f t="shared" si="12"/>
        <v>8.7000000000000046</v>
      </c>
      <c r="H120" s="22">
        <v>9119</v>
      </c>
      <c r="I120" s="24">
        <f t="shared" si="13"/>
        <v>8.600000000000005</v>
      </c>
    </row>
    <row r="121" spans="1:9" x14ac:dyDescent="0.15">
      <c r="A121" s="24">
        <v>120</v>
      </c>
      <c r="B121" s="24">
        <f>H83</f>
        <v>9082</v>
      </c>
      <c r="C121" s="24">
        <f>I83</f>
        <v>8.7000000000000046</v>
      </c>
      <c r="D121" s="22">
        <v>7120</v>
      </c>
      <c r="E121" s="24">
        <f t="shared" si="11"/>
        <v>8.7000000000000046</v>
      </c>
      <c r="F121" s="22">
        <v>8120</v>
      </c>
      <c r="G121" s="24">
        <f t="shared" si="12"/>
        <v>8.600000000000005</v>
      </c>
      <c r="H121" s="22">
        <v>9120</v>
      </c>
      <c r="I121" s="24">
        <f t="shared" si="13"/>
        <v>8.5000000000000053</v>
      </c>
    </row>
    <row r="122" spans="1:9" x14ac:dyDescent="0.15">
      <c r="A122" s="24">
        <v>121</v>
      </c>
      <c r="B122" s="24">
        <f>F83</f>
        <v>8082</v>
      </c>
      <c r="C122" s="24">
        <f>G83</f>
        <v>8.8000000000000043</v>
      </c>
      <c r="D122" s="22">
        <v>7121</v>
      </c>
      <c r="E122" s="24">
        <f t="shared" si="11"/>
        <v>8.8000000000000043</v>
      </c>
      <c r="F122" s="22">
        <v>8121</v>
      </c>
      <c r="G122" s="24">
        <f t="shared" si="12"/>
        <v>8.7000000000000046</v>
      </c>
      <c r="H122" s="22">
        <v>9121</v>
      </c>
      <c r="I122" s="24">
        <f t="shared" si="13"/>
        <v>8.600000000000005</v>
      </c>
    </row>
    <row r="123" spans="1:9" x14ac:dyDescent="0.15">
      <c r="A123" s="24">
        <v>122</v>
      </c>
      <c r="B123" s="24">
        <f>H87</f>
        <v>9086</v>
      </c>
      <c r="C123" s="24">
        <f>I87</f>
        <v>8.7000000000000046</v>
      </c>
      <c r="D123" s="22">
        <v>7122</v>
      </c>
      <c r="E123" s="24">
        <f t="shared" si="11"/>
        <v>8.7000000000000046</v>
      </c>
      <c r="F123" s="22">
        <v>8122</v>
      </c>
      <c r="G123" s="24">
        <f t="shared" si="12"/>
        <v>8.600000000000005</v>
      </c>
      <c r="H123" s="22">
        <v>9122</v>
      </c>
      <c r="I123" s="24">
        <f t="shared" si="13"/>
        <v>8.5000000000000053</v>
      </c>
    </row>
    <row r="124" spans="1:9" x14ac:dyDescent="0.15">
      <c r="A124" s="24">
        <v>123</v>
      </c>
      <c r="B124" s="24">
        <f>H89</f>
        <v>9088</v>
      </c>
      <c r="C124" s="24">
        <f>I89</f>
        <v>8.8000000000000043</v>
      </c>
      <c r="D124" s="22">
        <v>7123</v>
      </c>
      <c r="E124" s="24">
        <f t="shared" si="11"/>
        <v>8.8000000000000043</v>
      </c>
      <c r="F124" s="22">
        <v>8123</v>
      </c>
      <c r="G124" s="24">
        <f t="shared" si="12"/>
        <v>8.7000000000000046</v>
      </c>
      <c r="H124" s="22">
        <v>9123</v>
      </c>
      <c r="I124" s="24">
        <f t="shared" si="13"/>
        <v>8.600000000000005</v>
      </c>
    </row>
    <row r="125" spans="1:9" x14ac:dyDescent="0.15">
      <c r="A125" s="24">
        <v>124</v>
      </c>
      <c r="B125" s="24">
        <f>F89</f>
        <v>8088</v>
      </c>
      <c r="C125" s="24">
        <f>G89</f>
        <v>8.9000000000000039</v>
      </c>
      <c r="D125" s="22">
        <v>7124</v>
      </c>
      <c r="E125" s="24">
        <f t="shared" si="11"/>
        <v>8.9000000000000039</v>
      </c>
      <c r="F125" s="22">
        <v>8124</v>
      </c>
      <c r="G125" s="24">
        <f t="shared" si="12"/>
        <v>8.8000000000000043</v>
      </c>
      <c r="H125" s="22">
        <v>9124</v>
      </c>
      <c r="I125" s="24">
        <f t="shared" si="13"/>
        <v>8.7000000000000046</v>
      </c>
    </row>
    <row r="126" spans="1:9" x14ac:dyDescent="0.15">
      <c r="A126" s="24">
        <v>125</v>
      </c>
      <c r="B126" s="24">
        <f>F92</f>
        <v>8091</v>
      </c>
      <c r="C126" s="24">
        <f>G92</f>
        <v>8.8000000000000043</v>
      </c>
      <c r="D126" s="22">
        <v>7125</v>
      </c>
      <c r="E126" s="24">
        <f t="shared" si="11"/>
        <v>8.8000000000000043</v>
      </c>
      <c r="F126" s="22">
        <v>8125</v>
      </c>
      <c r="G126" s="24">
        <f t="shared" si="12"/>
        <v>8.7000000000000046</v>
      </c>
      <c r="H126" s="22">
        <v>9125</v>
      </c>
      <c r="I126" s="24">
        <f t="shared" si="13"/>
        <v>8.600000000000005</v>
      </c>
    </row>
    <row r="127" spans="1:9" x14ac:dyDescent="0.15">
      <c r="A127" s="24">
        <v>126</v>
      </c>
      <c r="B127" s="24">
        <f>H92</f>
        <v>9091</v>
      </c>
      <c r="C127" s="24">
        <f>I92</f>
        <v>8.7000000000000046</v>
      </c>
      <c r="D127" s="22">
        <v>7126</v>
      </c>
      <c r="E127" s="24">
        <f t="shared" si="11"/>
        <v>8.7000000000000046</v>
      </c>
      <c r="F127" s="22">
        <v>8126</v>
      </c>
      <c r="G127" s="24">
        <f t="shared" si="12"/>
        <v>8.600000000000005</v>
      </c>
      <c r="H127" s="22">
        <v>9126</v>
      </c>
      <c r="I127" s="24">
        <f t="shared" si="13"/>
        <v>8.5000000000000053</v>
      </c>
    </row>
    <row r="128" spans="1:9" x14ac:dyDescent="0.15">
      <c r="A128" s="24">
        <v>127</v>
      </c>
      <c r="B128" s="24">
        <f>D93</f>
        <v>7092</v>
      </c>
      <c r="C128" s="24">
        <f>E93</f>
        <v>8.9000000000000039</v>
      </c>
      <c r="D128" s="22">
        <v>7127</v>
      </c>
      <c r="E128" s="24">
        <f t="shared" si="11"/>
        <v>8.9000000000000039</v>
      </c>
      <c r="F128" s="22">
        <v>8127</v>
      </c>
      <c r="G128" s="24">
        <f t="shared" si="12"/>
        <v>8.8000000000000043</v>
      </c>
      <c r="H128" s="22">
        <v>9127</v>
      </c>
      <c r="I128" s="24">
        <f t="shared" si="13"/>
        <v>8.7000000000000046</v>
      </c>
    </row>
    <row r="129" spans="1:9" x14ac:dyDescent="0.15">
      <c r="A129" s="24">
        <v>128</v>
      </c>
      <c r="B129" s="24">
        <f>F93</f>
        <v>8092</v>
      </c>
      <c r="C129" s="24">
        <f>G93</f>
        <v>8.8000000000000043</v>
      </c>
      <c r="D129" s="22">
        <v>7128</v>
      </c>
      <c r="E129" s="24">
        <f t="shared" si="11"/>
        <v>8.8000000000000043</v>
      </c>
      <c r="F129" s="22">
        <v>8128</v>
      </c>
      <c r="G129" s="24">
        <f t="shared" si="12"/>
        <v>8.7000000000000046</v>
      </c>
      <c r="H129" s="22">
        <v>9128</v>
      </c>
      <c r="I129" s="24">
        <f t="shared" si="13"/>
        <v>8.600000000000005</v>
      </c>
    </row>
    <row r="130" spans="1:9" x14ac:dyDescent="0.15">
      <c r="A130" s="24">
        <v>129</v>
      </c>
      <c r="B130" s="24">
        <f>H93</f>
        <v>9092</v>
      </c>
      <c r="C130" s="24">
        <f>I93</f>
        <v>8.7000000000000046</v>
      </c>
      <c r="D130" s="22">
        <v>7129</v>
      </c>
      <c r="E130" s="24">
        <f t="shared" ref="E130:E193" si="14">C130</f>
        <v>8.7000000000000046</v>
      </c>
      <c r="F130" s="22">
        <v>8129</v>
      </c>
      <c r="G130" s="24">
        <f t="shared" ref="G130:G193" si="15">$E130-0.1</f>
        <v>8.600000000000005</v>
      </c>
      <c r="H130" s="22">
        <v>9129</v>
      </c>
      <c r="I130" s="24">
        <f t="shared" ref="I130:I193" si="16">$E130-0.2</f>
        <v>8.5000000000000053</v>
      </c>
    </row>
    <row r="131" spans="1:9" x14ac:dyDescent="0.15">
      <c r="A131" s="24">
        <v>130</v>
      </c>
      <c r="B131" s="24">
        <f>H93</f>
        <v>9092</v>
      </c>
      <c r="C131" s="24">
        <f>I93</f>
        <v>8.7000000000000046</v>
      </c>
      <c r="D131" s="22">
        <v>7130</v>
      </c>
      <c r="E131" s="24">
        <f t="shared" si="14"/>
        <v>8.7000000000000046</v>
      </c>
      <c r="F131" s="22">
        <v>8130</v>
      </c>
      <c r="G131" s="24">
        <f t="shared" si="15"/>
        <v>8.600000000000005</v>
      </c>
      <c r="H131" s="22">
        <v>9130</v>
      </c>
      <c r="I131" s="24">
        <f t="shared" si="16"/>
        <v>8.5000000000000053</v>
      </c>
    </row>
    <row r="132" spans="1:9" x14ac:dyDescent="0.15">
      <c r="A132" s="24">
        <v>131</v>
      </c>
      <c r="B132" s="24">
        <f>H95</f>
        <v>9094</v>
      </c>
      <c r="C132" s="24">
        <f>I95</f>
        <v>8.7000000000000046</v>
      </c>
      <c r="D132" s="22">
        <v>7131</v>
      </c>
      <c r="E132" s="24">
        <f t="shared" si="14"/>
        <v>8.7000000000000046</v>
      </c>
      <c r="F132" s="22">
        <v>8131</v>
      </c>
      <c r="G132" s="24">
        <f t="shared" si="15"/>
        <v>8.600000000000005</v>
      </c>
      <c r="H132" s="22">
        <v>9131</v>
      </c>
      <c r="I132" s="24">
        <f t="shared" si="16"/>
        <v>8.5000000000000053</v>
      </c>
    </row>
    <row r="133" spans="1:9" x14ac:dyDescent="0.15">
      <c r="A133" s="24">
        <v>132</v>
      </c>
      <c r="B133" s="24">
        <f>F95</f>
        <v>8094</v>
      </c>
      <c r="C133" s="24">
        <f>G95</f>
        <v>8.8000000000000043</v>
      </c>
      <c r="D133" s="22">
        <v>7132</v>
      </c>
      <c r="E133" s="24">
        <f t="shared" si="14"/>
        <v>8.8000000000000043</v>
      </c>
      <c r="F133" s="22">
        <v>8132</v>
      </c>
      <c r="G133" s="24">
        <f t="shared" si="15"/>
        <v>8.7000000000000046</v>
      </c>
      <c r="H133" s="22">
        <v>9132</v>
      </c>
      <c r="I133" s="24">
        <f t="shared" si="16"/>
        <v>8.600000000000005</v>
      </c>
    </row>
    <row r="134" spans="1:9" x14ac:dyDescent="0.15">
      <c r="A134" s="24">
        <v>133</v>
      </c>
      <c r="B134" s="24">
        <f>F97</f>
        <v>8096</v>
      </c>
      <c r="C134" s="24">
        <f>G97</f>
        <v>8.8000000000000043</v>
      </c>
      <c r="D134" s="22">
        <v>7133</v>
      </c>
      <c r="E134" s="24">
        <f t="shared" si="14"/>
        <v>8.8000000000000043</v>
      </c>
      <c r="F134" s="22">
        <v>8133</v>
      </c>
      <c r="G134" s="24">
        <f t="shared" si="15"/>
        <v>8.7000000000000046</v>
      </c>
      <c r="H134" s="22">
        <v>9133</v>
      </c>
      <c r="I134" s="24">
        <f t="shared" si="16"/>
        <v>8.600000000000005</v>
      </c>
    </row>
    <row r="135" spans="1:9" x14ac:dyDescent="0.15">
      <c r="A135" s="24">
        <v>134</v>
      </c>
      <c r="B135" s="24">
        <f>H97</f>
        <v>9096</v>
      </c>
      <c r="C135" s="24">
        <f>I97</f>
        <v>8.7000000000000046</v>
      </c>
      <c r="D135" s="22">
        <v>7134</v>
      </c>
      <c r="E135" s="24">
        <f t="shared" si="14"/>
        <v>8.7000000000000046</v>
      </c>
      <c r="F135" s="22">
        <v>8134</v>
      </c>
      <c r="G135" s="24">
        <f t="shared" si="15"/>
        <v>8.600000000000005</v>
      </c>
      <c r="H135" s="22">
        <v>9134</v>
      </c>
      <c r="I135" s="24">
        <f t="shared" si="16"/>
        <v>8.5000000000000053</v>
      </c>
    </row>
    <row r="136" spans="1:9" x14ac:dyDescent="0.15">
      <c r="A136" s="24">
        <v>135</v>
      </c>
      <c r="B136" s="24">
        <f>F99</f>
        <v>8098</v>
      </c>
      <c r="C136" s="24">
        <f>G99</f>
        <v>8.600000000000005</v>
      </c>
      <c r="D136" s="22">
        <v>7135</v>
      </c>
      <c r="E136" s="24">
        <f t="shared" si="14"/>
        <v>8.600000000000005</v>
      </c>
      <c r="F136" s="22">
        <v>8135</v>
      </c>
      <c r="G136" s="24">
        <f t="shared" si="15"/>
        <v>8.5000000000000053</v>
      </c>
      <c r="H136" s="22">
        <v>9135</v>
      </c>
      <c r="I136" s="24">
        <f t="shared" si="16"/>
        <v>8.4000000000000057</v>
      </c>
    </row>
    <row r="137" spans="1:9" x14ac:dyDescent="0.15">
      <c r="A137" s="24">
        <v>136</v>
      </c>
      <c r="B137" s="24">
        <f>H99</f>
        <v>9098</v>
      </c>
      <c r="C137" s="24">
        <f>I99</f>
        <v>8.5000000000000053</v>
      </c>
      <c r="D137" s="22">
        <v>7136</v>
      </c>
      <c r="E137" s="24">
        <f t="shared" si="14"/>
        <v>8.5000000000000053</v>
      </c>
      <c r="F137" s="22">
        <v>8136</v>
      </c>
      <c r="G137" s="24">
        <f t="shared" si="15"/>
        <v>8.4000000000000057</v>
      </c>
      <c r="H137" s="22">
        <v>9136</v>
      </c>
      <c r="I137" s="24">
        <f t="shared" si="16"/>
        <v>8.300000000000006</v>
      </c>
    </row>
    <row r="138" spans="1:9" x14ac:dyDescent="0.15">
      <c r="A138" s="24">
        <v>137</v>
      </c>
      <c r="B138" s="24">
        <f>H100</f>
        <v>9099</v>
      </c>
      <c r="C138" s="24">
        <f>I100</f>
        <v>8.600000000000005</v>
      </c>
      <c r="D138" s="22">
        <v>7137</v>
      </c>
      <c r="E138" s="24">
        <f t="shared" si="14"/>
        <v>8.600000000000005</v>
      </c>
      <c r="F138" s="22">
        <v>8137</v>
      </c>
      <c r="G138" s="24">
        <f t="shared" si="15"/>
        <v>8.5000000000000053</v>
      </c>
      <c r="H138" s="22">
        <v>9137</v>
      </c>
      <c r="I138" s="24">
        <f t="shared" si="16"/>
        <v>8.4000000000000057</v>
      </c>
    </row>
    <row r="139" spans="1:9" x14ac:dyDescent="0.15">
      <c r="A139" s="24">
        <v>138</v>
      </c>
      <c r="B139" s="24">
        <f>F100</f>
        <v>8099</v>
      </c>
      <c r="C139" s="24">
        <f>G100</f>
        <v>8.7000000000000046</v>
      </c>
      <c r="D139" s="22">
        <v>7138</v>
      </c>
      <c r="E139" s="24">
        <f t="shared" si="14"/>
        <v>8.7000000000000046</v>
      </c>
      <c r="F139" s="22">
        <v>8138</v>
      </c>
      <c r="G139" s="24">
        <f t="shared" si="15"/>
        <v>8.600000000000005</v>
      </c>
      <c r="H139" s="22">
        <v>9138</v>
      </c>
      <c r="I139" s="24">
        <f t="shared" si="16"/>
        <v>8.5000000000000053</v>
      </c>
    </row>
    <row r="140" spans="1:9" x14ac:dyDescent="0.15">
      <c r="A140" s="24">
        <v>139</v>
      </c>
      <c r="B140" s="24">
        <f>F101</f>
        <v>8100</v>
      </c>
      <c r="C140" s="24">
        <f>G101</f>
        <v>9.0000000000000036</v>
      </c>
      <c r="D140" s="22">
        <v>7139</v>
      </c>
      <c r="E140" s="24">
        <f t="shared" si="14"/>
        <v>9.0000000000000036</v>
      </c>
      <c r="F140" s="22">
        <v>8139</v>
      </c>
      <c r="G140" s="24">
        <f t="shared" si="15"/>
        <v>8.9000000000000039</v>
      </c>
      <c r="H140" s="22">
        <v>9139</v>
      </c>
      <c r="I140" s="24">
        <f t="shared" si="16"/>
        <v>8.8000000000000043</v>
      </c>
    </row>
    <row r="141" spans="1:9" x14ac:dyDescent="0.15">
      <c r="A141" s="24">
        <v>140</v>
      </c>
      <c r="B141" s="24">
        <f>H101</f>
        <v>9100</v>
      </c>
      <c r="C141" s="24">
        <f>I101</f>
        <v>8.9000000000000039</v>
      </c>
      <c r="D141" s="22">
        <v>7140</v>
      </c>
      <c r="E141" s="24">
        <f t="shared" si="14"/>
        <v>8.9000000000000039</v>
      </c>
      <c r="F141" s="22">
        <v>8140</v>
      </c>
      <c r="G141" s="24">
        <f t="shared" si="15"/>
        <v>8.8000000000000043</v>
      </c>
      <c r="H141" s="22">
        <v>9140</v>
      </c>
      <c r="I141" s="24">
        <f t="shared" si="16"/>
        <v>8.7000000000000046</v>
      </c>
    </row>
    <row r="142" spans="1:9" x14ac:dyDescent="0.15">
      <c r="A142" s="24">
        <v>141</v>
      </c>
      <c r="B142" s="24">
        <f>F104</f>
        <v>8103</v>
      </c>
      <c r="C142" s="24">
        <f>G104</f>
        <v>8.8000000000000043</v>
      </c>
      <c r="D142" s="22">
        <v>7141</v>
      </c>
      <c r="E142" s="24">
        <f t="shared" si="14"/>
        <v>8.8000000000000043</v>
      </c>
      <c r="F142" s="22">
        <v>8141</v>
      </c>
      <c r="G142" s="24">
        <f t="shared" si="15"/>
        <v>8.7000000000000046</v>
      </c>
      <c r="H142" s="22">
        <v>9141</v>
      </c>
      <c r="I142" s="24">
        <f t="shared" si="16"/>
        <v>8.600000000000005</v>
      </c>
    </row>
    <row r="143" spans="1:9" x14ac:dyDescent="0.15">
      <c r="A143" s="24">
        <v>142</v>
      </c>
      <c r="B143" s="24">
        <f>H104</f>
        <v>9103</v>
      </c>
      <c r="C143" s="24">
        <f>I104</f>
        <v>8.7000000000000046</v>
      </c>
      <c r="D143" s="22">
        <v>7142</v>
      </c>
      <c r="E143" s="24">
        <f t="shared" si="14"/>
        <v>8.7000000000000046</v>
      </c>
      <c r="F143" s="22">
        <v>8142</v>
      </c>
      <c r="G143" s="24">
        <f t="shared" si="15"/>
        <v>8.600000000000005</v>
      </c>
      <c r="H143" s="22">
        <v>9142</v>
      </c>
      <c r="I143" s="24">
        <f t="shared" si="16"/>
        <v>8.5000000000000053</v>
      </c>
    </row>
    <row r="144" spans="1:9" x14ac:dyDescent="0.15">
      <c r="A144" s="24">
        <v>143</v>
      </c>
      <c r="B144" s="24">
        <f>H105</f>
        <v>9104</v>
      </c>
      <c r="C144" s="24">
        <f>I105</f>
        <v>8.7000000000000046</v>
      </c>
      <c r="D144" s="22">
        <v>7143</v>
      </c>
      <c r="E144" s="24">
        <f t="shared" si="14"/>
        <v>8.7000000000000046</v>
      </c>
      <c r="F144" s="22">
        <v>8143</v>
      </c>
      <c r="G144" s="24">
        <f t="shared" si="15"/>
        <v>8.600000000000005</v>
      </c>
      <c r="H144" s="22">
        <v>9143</v>
      </c>
      <c r="I144" s="24">
        <f t="shared" si="16"/>
        <v>8.5000000000000053</v>
      </c>
    </row>
    <row r="145" spans="1:9" x14ac:dyDescent="0.15">
      <c r="A145" s="24">
        <v>144</v>
      </c>
      <c r="B145" s="24">
        <f>F105</f>
        <v>8104</v>
      </c>
      <c r="C145" s="24">
        <f>G105</f>
        <v>8.8000000000000043</v>
      </c>
      <c r="D145" s="22">
        <v>7144</v>
      </c>
      <c r="E145" s="24">
        <f t="shared" si="14"/>
        <v>8.8000000000000043</v>
      </c>
      <c r="F145" s="22">
        <v>8144</v>
      </c>
      <c r="G145" s="24">
        <f t="shared" si="15"/>
        <v>8.7000000000000046</v>
      </c>
      <c r="H145" s="22">
        <v>9144</v>
      </c>
      <c r="I145" s="24">
        <f t="shared" si="16"/>
        <v>8.600000000000005</v>
      </c>
    </row>
    <row r="146" spans="1:9" x14ac:dyDescent="0.15">
      <c r="A146" s="24">
        <v>145</v>
      </c>
      <c r="B146" s="24">
        <f>F105</f>
        <v>8104</v>
      </c>
      <c r="C146" s="24">
        <f>G105</f>
        <v>8.8000000000000043</v>
      </c>
      <c r="D146" s="22">
        <v>7145</v>
      </c>
      <c r="E146" s="24">
        <f t="shared" si="14"/>
        <v>8.8000000000000043</v>
      </c>
      <c r="F146" s="22">
        <v>8145</v>
      </c>
      <c r="G146" s="24">
        <f t="shared" si="15"/>
        <v>8.7000000000000046</v>
      </c>
      <c r="H146" s="22">
        <v>9145</v>
      </c>
      <c r="I146" s="24">
        <f t="shared" si="16"/>
        <v>8.600000000000005</v>
      </c>
    </row>
    <row r="147" spans="1:9" x14ac:dyDescent="0.15">
      <c r="A147" s="24">
        <v>146</v>
      </c>
      <c r="B147" s="24">
        <f>H105</f>
        <v>9104</v>
      </c>
      <c r="C147" s="24">
        <f>I105</f>
        <v>8.7000000000000046</v>
      </c>
      <c r="D147" s="22">
        <v>7146</v>
      </c>
      <c r="E147" s="24">
        <f t="shared" si="14"/>
        <v>8.7000000000000046</v>
      </c>
      <c r="F147" s="22">
        <v>8146</v>
      </c>
      <c r="G147" s="24">
        <f t="shared" si="15"/>
        <v>8.600000000000005</v>
      </c>
      <c r="H147" s="22">
        <v>9146</v>
      </c>
      <c r="I147" s="24">
        <f t="shared" si="16"/>
        <v>8.5000000000000053</v>
      </c>
    </row>
    <row r="148" spans="1:9" x14ac:dyDescent="0.15">
      <c r="A148" s="24">
        <v>147</v>
      </c>
      <c r="B148" s="24">
        <f>F107</f>
        <v>8106</v>
      </c>
      <c r="C148" s="24">
        <f>G107</f>
        <v>8.5000000000000053</v>
      </c>
      <c r="D148" s="22">
        <v>7147</v>
      </c>
      <c r="E148" s="24">
        <f t="shared" si="14"/>
        <v>8.5000000000000053</v>
      </c>
      <c r="F148" s="22">
        <v>8147</v>
      </c>
      <c r="G148" s="24">
        <f t="shared" si="15"/>
        <v>8.4000000000000057</v>
      </c>
      <c r="H148" s="22">
        <v>9147</v>
      </c>
      <c r="I148" s="24">
        <f t="shared" si="16"/>
        <v>8.300000000000006</v>
      </c>
    </row>
    <row r="149" spans="1:9" x14ac:dyDescent="0.15">
      <c r="A149" s="24">
        <v>148</v>
      </c>
      <c r="B149" s="24">
        <f>H107</f>
        <v>9106</v>
      </c>
      <c r="C149" s="24">
        <f>I107</f>
        <v>8.4000000000000057</v>
      </c>
      <c r="D149" s="22">
        <v>7148</v>
      </c>
      <c r="E149" s="24">
        <f t="shared" si="14"/>
        <v>8.4000000000000057</v>
      </c>
      <c r="F149" s="22">
        <v>8148</v>
      </c>
      <c r="G149" s="24">
        <f t="shared" si="15"/>
        <v>8.300000000000006</v>
      </c>
      <c r="H149" s="22">
        <v>9148</v>
      </c>
      <c r="I149" s="24">
        <f t="shared" si="16"/>
        <v>8.2000000000000064</v>
      </c>
    </row>
    <row r="150" spans="1:9" x14ac:dyDescent="0.15">
      <c r="A150" s="24">
        <v>149</v>
      </c>
      <c r="B150" s="24">
        <f>H109</f>
        <v>9108</v>
      </c>
      <c r="C150" s="24">
        <f>I109</f>
        <v>8.5000000000000053</v>
      </c>
      <c r="D150" s="22">
        <v>7149</v>
      </c>
      <c r="E150" s="24">
        <f t="shared" si="14"/>
        <v>8.5000000000000053</v>
      </c>
      <c r="F150" s="22">
        <v>8149</v>
      </c>
      <c r="G150" s="24">
        <f t="shared" si="15"/>
        <v>8.4000000000000057</v>
      </c>
      <c r="H150" s="22">
        <v>9149</v>
      </c>
      <c r="I150" s="24">
        <f t="shared" si="16"/>
        <v>8.300000000000006</v>
      </c>
    </row>
    <row r="151" spans="1:9" x14ac:dyDescent="0.15">
      <c r="A151" s="24">
        <v>150</v>
      </c>
      <c r="B151" s="24">
        <f>F109</f>
        <v>8108</v>
      </c>
      <c r="C151" s="24">
        <f>G109</f>
        <v>8.600000000000005</v>
      </c>
      <c r="D151" s="22">
        <v>7150</v>
      </c>
      <c r="E151" s="24">
        <f t="shared" si="14"/>
        <v>8.600000000000005</v>
      </c>
      <c r="F151" s="22">
        <v>8150</v>
      </c>
      <c r="G151" s="24">
        <f t="shared" si="15"/>
        <v>8.5000000000000053</v>
      </c>
      <c r="H151" s="22">
        <v>9150</v>
      </c>
      <c r="I151" s="24">
        <f t="shared" si="16"/>
        <v>8.4000000000000057</v>
      </c>
    </row>
    <row r="152" spans="1:9" x14ac:dyDescent="0.15">
      <c r="A152" s="24">
        <v>151</v>
      </c>
      <c r="B152" s="24">
        <f>F112</f>
        <v>8111</v>
      </c>
      <c r="C152" s="24">
        <f>G112</f>
        <v>9.0000000000000036</v>
      </c>
      <c r="D152" s="22">
        <v>7151</v>
      </c>
      <c r="E152" s="24">
        <f t="shared" si="14"/>
        <v>9.0000000000000036</v>
      </c>
      <c r="F152" s="22">
        <v>8151</v>
      </c>
      <c r="G152" s="24">
        <f t="shared" si="15"/>
        <v>8.9000000000000039</v>
      </c>
      <c r="H152" s="22">
        <v>9151</v>
      </c>
      <c r="I152" s="24">
        <f t="shared" si="16"/>
        <v>8.8000000000000043</v>
      </c>
    </row>
    <row r="153" spans="1:9" x14ac:dyDescent="0.15">
      <c r="A153" s="24">
        <v>152</v>
      </c>
      <c r="B153" s="24">
        <f>H112</f>
        <v>9111</v>
      </c>
      <c r="C153" s="24">
        <f>I112</f>
        <v>8.9000000000000039</v>
      </c>
      <c r="D153" s="22">
        <v>7152</v>
      </c>
      <c r="E153" s="24">
        <f t="shared" si="14"/>
        <v>8.9000000000000039</v>
      </c>
      <c r="F153" s="22">
        <v>8152</v>
      </c>
      <c r="G153" s="24">
        <f t="shared" si="15"/>
        <v>8.8000000000000043</v>
      </c>
      <c r="H153" s="22">
        <v>9152</v>
      </c>
      <c r="I153" s="24">
        <f t="shared" si="16"/>
        <v>8.7000000000000046</v>
      </c>
    </row>
    <row r="154" spans="1:9" x14ac:dyDescent="0.15">
      <c r="A154" s="24">
        <v>153</v>
      </c>
      <c r="B154" s="24">
        <f>H114</f>
        <v>9113</v>
      </c>
      <c r="C154" s="24">
        <f>I114</f>
        <v>8.7000000000000046</v>
      </c>
      <c r="D154" s="22">
        <v>7153</v>
      </c>
      <c r="E154" s="24">
        <f t="shared" si="14"/>
        <v>8.7000000000000046</v>
      </c>
      <c r="F154" s="22">
        <v>8153</v>
      </c>
      <c r="G154" s="24">
        <f t="shared" si="15"/>
        <v>8.600000000000005</v>
      </c>
      <c r="H154" s="22">
        <v>9153</v>
      </c>
      <c r="I154" s="24">
        <f t="shared" si="16"/>
        <v>8.5000000000000053</v>
      </c>
    </row>
    <row r="155" spans="1:9" x14ac:dyDescent="0.15">
      <c r="A155" s="24">
        <v>154</v>
      </c>
      <c r="B155" s="24">
        <f>F114</f>
        <v>8113</v>
      </c>
      <c r="C155" s="24">
        <f>G114</f>
        <v>8.8000000000000043</v>
      </c>
      <c r="D155" s="22">
        <v>7154</v>
      </c>
      <c r="E155" s="24">
        <f t="shared" si="14"/>
        <v>8.8000000000000043</v>
      </c>
      <c r="F155" s="22">
        <v>8154</v>
      </c>
      <c r="G155" s="24">
        <f t="shared" si="15"/>
        <v>8.7000000000000046</v>
      </c>
      <c r="H155" s="22">
        <v>9154</v>
      </c>
      <c r="I155" s="24">
        <f t="shared" si="16"/>
        <v>8.600000000000005</v>
      </c>
    </row>
    <row r="156" spans="1:9" x14ac:dyDescent="0.15">
      <c r="A156" s="24">
        <v>155</v>
      </c>
      <c r="B156" s="24">
        <f>F116</f>
        <v>8115</v>
      </c>
      <c r="C156" s="24">
        <f>G116</f>
        <v>8.8000000000000043</v>
      </c>
      <c r="D156" s="22">
        <v>7155</v>
      </c>
      <c r="E156" s="24">
        <f t="shared" si="14"/>
        <v>8.8000000000000043</v>
      </c>
      <c r="F156" s="22">
        <v>8155</v>
      </c>
      <c r="G156" s="24">
        <f t="shared" si="15"/>
        <v>8.7000000000000046</v>
      </c>
      <c r="H156" s="22">
        <v>9155</v>
      </c>
      <c r="I156" s="24">
        <f t="shared" si="16"/>
        <v>8.600000000000005</v>
      </c>
    </row>
    <row r="157" spans="1:9" x14ac:dyDescent="0.15">
      <c r="A157" s="24">
        <v>156</v>
      </c>
      <c r="B157" s="24">
        <f>H116</f>
        <v>9115</v>
      </c>
      <c r="C157" s="24">
        <f>I116</f>
        <v>8.7000000000000046</v>
      </c>
      <c r="D157" s="22">
        <v>7156</v>
      </c>
      <c r="E157" s="24">
        <f t="shared" si="14"/>
        <v>8.7000000000000046</v>
      </c>
      <c r="F157" s="22">
        <v>8156</v>
      </c>
      <c r="G157" s="24">
        <f t="shared" si="15"/>
        <v>8.600000000000005</v>
      </c>
      <c r="H157" s="22">
        <v>9156</v>
      </c>
      <c r="I157" s="24">
        <f t="shared" si="16"/>
        <v>8.5000000000000053</v>
      </c>
    </row>
    <row r="158" spans="1:9" x14ac:dyDescent="0.15">
      <c r="A158" s="24">
        <v>157</v>
      </c>
      <c r="B158" s="24">
        <f>F118</f>
        <v>8117</v>
      </c>
      <c r="C158" s="24">
        <f>G118</f>
        <v>9.0000000000000036</v>
      </c>
      <c r="D158" s="22">
        <v>7157</v>
      </c>
      <c r="E158" s="24">
        <f t="shared" si="14"/>
        <v>9.0000000000000036</v>
      </c>
      <c r="F158" s="22">
        <v>8157</v>
      </c>
      <c r="G158" s="24">
        <f t="shared" si="15"/>
        <v>8.9000000000000039</v>
      </c>
      <c r="H158" s="22">
        <v>9157</v>
      </c>
      <c r="I158" s="24">
        <f t="shared" si="16"/>
        <v>8.8000000000000043</v>
      </c>
    </row>
    <row r="159" spans="1:9" x14ac:dyDescent="0.15">
      <c r="A159" s="24">
        <v>158</v>
      </c>
      <c r="B159" s="24">
        <f>H118</f>
        <v>9117</v>
      </c>
      <c r="C159" s="24">
        <f>I118</f>
        <v>8.9000000000000039</v>
      </c>
      <c r="D159" s="22">
        <v>7158</v>
      </c>
      <c r="E159" s="24">
        <f t="shared" si="14"/>
        <v>8.9000000000000039</v>
      </c>
      <c r="F159" s="22">
        <v>8158</v>
      </c>
      <c r="G159" s="24">
        <f t="shared" si="15"/>
        <v>8.8000000000000043</v>
      </c>
      <c r="H159" s="22">
        <v>9158</v>
      </c>
      <c r="I159" s="24">
        <f t="shared" si="16"/>
        <v>8.7000000000000046</v>
      </c>
    </row>
    <row r="160" spans="1:9" x14ac:dyDescent="0.15">
      <c r="A160" s="24">
        <v>159</v>
      </c>
      <c r="B160" s="24">
        <f>H120</f>
        <v>9119</v>
      </c>
      <c r="C160" s="24">
        <f>I120</f>
        <v>8.600000000000005</v>
      </c>
      <c r="D160" s="22">
        <v>7159</v>
      </c>
      <c r="E160" s="24">
        <f t="shared" si="14"/>
        <v>8.600000000000005</v>
      </c>
      <c r="F160" s="22">
        <v>8159</v>
      </c>
      <c r="G160" s="24">
        <f t="shared" si="15"/>
        <v>8.5000000000000053</v>
      </c>
      <c r="H160" s="22">
        <v>9159</v>
      </c>
      <c r="I160" s="24">
        <f t="shared" si="16"/>
        <v>8.4000000000000057</v>
      </c>
    </row>
    <row r="161" spans="1:9" x14ac:dyDescent="0.15">
      <c r="A161" s="24">
        <v>160</v>
      </c>
      <c r="B161" s="24">
        <f>F120</f>
        <v>8119</v>
      </c>
      <c r="C161" s="24">
        <f>G120</f>
        <v>8.7000000000000046</v>
      </c>
      <c r="D161" s="22">
        <v>7160</v>
      </c>
      <c r="E161" s="24">
        <f t="shared" si="14"/>
        <v>8.7000000000000046</v>
      </c>
      <c r="F161" s="22">
        <v>8160</v>
      </c>
      <c r="G161" s="24">
        <f t="shared" si="15"/>
        <v>8.600000000000005</v>
      </c>
      <c r="H161" s="22">
        <v>9160</v>
      </c>
      <c r="I161" s="24">
        <f t="shared" si="16"/>
        <v>8.5000000000000053</v>
      </c>
    </row>
    <row r="162" spans="1:9" x14ac:dyDescent="0.15">
      <c r="A162" s="24">
        <v>161</v>
      </c>
      <c r="B162" s="24">
        <f>H123</f>
        <v>9122</v>
      </c>
      <c r="C162" s="24">
        <f>I123</f>
        <v>8.5000000000000053</v>
      </c>
      <c r="D162" s="22">
        <v>7161</v>
      </c>
      <c r="E162" s="24">
        <f t="shared" si="14"/>
        <v>8.5000000000000053</v>
      </c>
      <c r="F162" s="22">
        <v>8161</v>
      </c>
      <c r="G162" s="24">
        <f t="shared" si="15"/>
        <v>8.4000000000000057</v>
      </c>
      <c r="H162" s="22">
        <v>9161</v>
      </c>
      <c r="I162" s="24">
        <f t="shared" si="16"/>
        <v>8.300000000000006</v>
      </c>
    </row>
    <row r="163" spans="1:9" x14ac:dyDescent="0.15">
      <c r="A163" s="24">
        <v>162</v>
      </c>
      <c r="B163" s="24">
        <f>F123</f>
        <v>8122</v>
      </c>
      <c r="C163" s="24">
        <f>G123</f>
        <v>8.600000000000005</v>
      </c>
      <c r="D163" s="22">
        <v>7162</v>
      </c>
      <c r="E163" s="24">
        <f t="shared" si="14"/>
        <v>8.600000000000005</v>
      </c>
      <c r="F163" s="22">
        <v>8162</v>
      </c>
      <c r="G163" s="24">
        <f t="shared" si="15"/>
        <v>8.5000000000000053</v>
      </c>
      <c r="H163" s="22">
        <v>9162</v>
      </c>
      <c r="I163" s="24">
        <f t="shared" si="16"/>
        <v>8.4000000000000057</v>
      </c>
    </row>
    <row r="164" spans="1:9" x14ac:dyDescent="0.15">
      <c r="A164" s="24">
        <v>163</v>
      </c>
      <c r="B164" s="24">
        <f>D124</f>
        <v>7123</v>
      </c>
      <c r="C164" s="24">
        <f>E124</f>
        <v>8.8000000000000043</v>
      </c>
      <c r="D164" s="22">
        <v>7163</v>
      </c>
      <c r="E164" s="24">
        <f t="shared" si="14"/>
        <v>8.8000000000000043</v>
      </c>
      <c r="F164" s="22">
        <v>8163</v>
      </c>
      <c r="G164" s="24">
        <f t="shared" si="15"/>
        <v>8.7000000000000046</v>
      </c>
      <c r="H164" s="22">
        <v>9163</v>
      </c>
      <c r="I164" s="24">
        <f t="shared" si="16"/>
        <v>8.600000000000005</v>
      </c>
    </row>
    <row r="165" spans="1:9" x14ac:dyDescent="0.15">
      <c r="A165" s="24">
        <v>164</v>
      </c>
      <c r="B165" s="24">
        <f>F124</f>
        <v>8123</v>
      </c>
      <c r="C165" s="24">
        <f>G124</f>
        <v>8.7000000000000046</v>
      </c>
      <c r="D165" s="22">
        <v>7164</v>
      </c>
      <c r="E165" s="24">
        <f t="shared" si="14"/>
        <v>8.7000000000000046</v>
      </c>
      <c r="F165" s="22">
        <v>8164</v>
      </c>
      <c r="G165" s="24">
        <f t="shared" si="15"/>
        <v>8.600000000000005</v>
      </c>
      <c r="H165" s="22">
        <v>9164</v>
      </c>
      <c r="I165" s="24">
        <f t="shared" si="16"/>
        <v>8.5000000000000053</v>
      </c>
    </row>
    <row r="166" spans="1:9" x14ac:dyDescent="0.15">
      <c r="A166" s="24">
        <v>165</v>
      </c>
      <c r="B166" s="24">
        <f>H124</f>
        <v>9123</v>
      </c>
      <c r="C166" s="24">
        <f>I124</f>
        <v>8.600000000000005</v>
      </c>
      <c r="D166" s="22">
        <v>7165</v>
      </c>
      <c r="E166" s="24">
        <f t="shared" si="14"/>
        <v>8.600000000000005</v>
      </c>
      <c r="F166" s="22">
        <v>8165</v>
      </c>
      <c r="G166" s="24">
        <f t="shared" si="15"/>
        <v>8.5000000000000053</v>
      </c>
      <c r="H166" s="22">
        <v>9165</v>
      </c>
      <c r="I166" s="24">
        <f t="shared" si="16"/>
        <v>8.4000000000000057</v>
      </c>
    </row>
    <row r="167" spans="1:9" x14ac:dyDescent="0.15">
      <c r="A167" s="24">
        <v>166</v>
      </c>
      <c r="B167" s="24">
        <f>F125</f>
        <v>8124</v>
      </c>
      <c r="C167" s="24">
        <f>G125</f>
        <v>8.8000000000000043</v>
      </c>
      <c r="D167" s="22">
        <v>7166</v>
      </c>
      <c r="E167" s="24">
        <f t="shared" si="14"/>
        <v>8.8000000000000043</v>
      </c>
      <c r="F167" s="22">
        <v>8166</v>
      </c>
      <c r="G167" s="24">
        <f t="shared" si="15"/>
        <v>8.7000000000000046</v>
      </c>
      <c r="H167" s="22">
        <v>9166</v>
      </c>
      <c r="I167" s="24">
        <f t="shared" si="16"/>
        <v>8.600000000000005</v>
      </c>
    </row>
    <row r="168" spans="1:9" x14ac:dyDescent="0.15">
      <c r="A168" s="24">
        <v>167</v>
      </c>
      <c r="B168" s="24">
        <f>H125</f>
        <v>9124</v>
      </c>
      <c r="C168" s="24">
        <f>I125</f>
        <v>8.7000000000000046</v>
      </c>
      <c r="D168" s="22">
        <v>7167</v>
      </c>
      <c r="E168" s="24">
        <f t="shared" si="14"/>
        <v>8.7000000000000046</v>
      </c>
      <c r="F168" s="22">
        <v>8167</v>
      </c>
      <c r="G168" s="24">
        <f t="shared" si="15"/>
        <v>8.600000000000005</v>
      </c>
      <c r="H168" s="22">
        <v>9167</v>
      </c>
      <c r="I168" s="24">
        <f t="shared" si="16"/>
        <v>8.5000000000000053</v>
      </c>
    </row>
    <row r="169" spans="1:9" x14ac:dyDescent="0.15">
      <c r="A169" s="24">
        <v>168</v>
      </c>
      <c r="B169" s="24">
        <f>D128</f>
        <v>7127</v>
      </c>
      <c r="C169" s="24">
        <f>E128</f>
        <v>8.9000000000000039</v>
      </c>
      <c r="D169" s="22">
        <v>7168</v>
      </c>
      <c r="E169" s="24">
        <f t="shared" si="14"/>
        <v>8.9000000000000039</v>
      </c>
      <c r="F169" s="22">
        <v>8168</v>
      </c>
      <c r="G169" s="24">
        <f t="shared" si="15"/>
        <v>8.8000000000000043</v>
      </c>
      <c r="H169" s="22">
        <v>9168</v>
      </c>
      <c r="I169" s="24">
        <f t="shared" si="16"/>
        <v>8.7000000000000046</v>
      </c>
    </row>
    <row r="170" spans="1:9" x14ac:dyDescent="0.15">
      <c r="A170" s="24">
        <v>169</v>
      </c>
      <c r="B170" s="24">
        <f>F128</f>
        <v>8127</v>
      </c>
      <c r="C170" s="24">
        <f>G128</f>
        <v>8.8000000000000043</v>
      </c>
      <c r="D170" s="22">
        <v>7169</v>
      </c>
      <c r="E170" s="24">
        <f t="shared" si="14"/>
        <v>8.8000000000000043</v>
      </c>
      <c r="F170" s="22">
        <v>8169</v>
      </c>
      <c r="G170" s="24">
        <f t="shared" si="15"/>
        <v>8.7000000000000046</v>
      </c>
      <c r="H170" s="22">
        <v>9169</v>
      </c>
      <c r="I170" s="24">
        <f t="shared" si="16"/>
        <v>8.600000000000005</v>
      </c>
    </row>
    <row r="171" spans="1:9" x14ac:dyDescent="0.15">
      <c r="A171" s="24">
        <v>170</v>
      </c>
      <c r="B171" s="24">
        <f>H128</f>
        <v>9127</v>
      </c>
      <c r="C171" s="24">
        <f>I128</f>
        <v>8.7000000000000046</v>
      </c>
      <c r="D171" s="22">
        <v>7170</v>
      </c>
      <c r="E171" s="24">
        <f t="shared" si="14"/>
        <v>8.7000000000000046</v>
      </c>
      <c r="F171" s="22">
        <v>8170</v>
      </c>
      <c r="G171" s="24">
        <f t="shared" si="15"/>
        <v>8.600000000000005</v>
      </c>
      <c r="H171" s="22">
        <v>9170</v>
      </c>
      <c r="I171" s="24">
        <f t="shared" si="16"/>
        <v>8.5000000000000053</v>
      </c>
    </row>
    <row r="172" spans="1:9" x14ac:dyDescent="0.15">
      <c r="A172" s="24">
        <v>171</v>
      </c>
      <c r="B172" s="24">
        <f>H129</f>
        <v>9128</v>
      </c>
      <c r="C172" s="24">
        <f>I129</f>
        <v>8.600000000000005</v>
      </c>
      <c r="D172" s="22">
        <v>7171</v>
      </c>
      <c r="E172" s="24">
        <f t="shared" si="14"/>
        <v>8.600000000000005</v>
      </c>
      <c r="F172" s="22">
        <v>8171</v>
      </c>
      <c r="G172" s="24">
        <f t="shared" si="15"/>
        <v>8.5000000000000053</v>
      </c>
      <c r="H172" s="22">
        <v>9171</v>
      </c>
      <c r="I172" s="24">
        <f t="shared" si="16"/>
        <v>8.4000000000000057</v>
      </c>
    </row>
    <row r="173" spans="1:9" x14ac:dyDescent="0.15">
      <c r="A173" s="24">
        <v>172</v>
      </c>
      <c r="B173" s="24">
        <f>F129</f>
        <v>8128</v>
      </c>
      <c r="C173" s="24">
        <f>G129</f>
        <v>8.7000000000000046</v>
      </c>
      <c r="D173" s="22">
        <v>7172</v>
      </c>
      <c r="E173" s="24">
        <f t="shared" si="14"/>
        <v>8.7000000000000046</v>
      </c>
      <c r="F173" s="22">
        <v>8172</v>
      </c>
      <c r="G173" s="24">
        <f t="shared" si="15"/>
        <v>8.600000000000005</v>
      </c>
      <c r="H173" s="22">
        <v>9172</v>
      </c>
      <c r="I173" s="24">
        <f t="shared" si="16"/>
        <v>8.5000000000000053</v>
      </c>
    </row>
    <row r="174" spans="1:9" x14ac:dyDescent="0.15">
      <c r="A174" s="24">
        <v>173</v>
      </c>
      <c r="B174" s="24">
        <f>D130</f>
        <v>7129</v>
      </c>
      <c r="C174" s="24">
        <f>E130</f>
        <v>8.7000000000000046</v>
      </c>
      <c r="D174" s="22">
        <v>7173</v>
      </c>
      <c r="E174" s="24">
        <f t="shared" si="14"/>
        <v>8.7000000000000046</v>
      </c>
      <c r="F174" s="22">
        <v>8173</v>
      </c>
      <c r="G174" s="24">
        <f t="shared" si="15"/>
        <v>8.600000000000005</v>
      </c>
      <c r="H174" s="22">
        <v>9173</v>
      </c>
      <c r="I174" s="24">
        <f t="shared" si="16"/>
        <v>8.5000000000000053</v>
      </c>
    </row>
    <row r="175" spans="1:9" x14ac:dyDescent="0.15">
      <c r="A175" s="24">
        <v>174</v>
      </c>
      <c r="B175" s="24">
        <f>F130</f>
        <v>8129</v>
      </c>
      <c r="C175" s="24">
        <f>G130</f>
        <v>8.600000000000005</v>
      </c>
      <c r="D175" s="22">
        <v>7174</v>
      </c>
      <c r="E175" s="24">
        <f t="shared" si="14"/>
        <v>8.600000000000005</v>
      </c>
      <c r="F175" s="22">
        <v>8174</v>
      </c>
      <c r="G175" s="24">
        <f t="shared" si="15"/>
        <v>8.5000000000000053</v>
      </c>
      <c r="H175" s="22">
        <v>9174</v>
      </c>
      <c r="I175" s="24">
        <f t="shared" si="16"/>
        <v>8.4000000000000057</v>
      </c>
    </row>
    <row r="176" spans="1:9" x14ac:dyDescent="0.15">
      <c r="A176" s="24">
        <v>175</v>
      </c>
      <c r="B176" s="24">
        <f>H130</f>
        <v>9129</v>
      </c>
      <c r="C176" s="24">
        <f>I130</f>
        <v>8.5000000000000053</v>
      </c>
      <c r="D176" s="22">
        <v>7175</v>
      </c>
      <c r="E176" s="24">
        <f t="shared" si="14"/>
        <v>8.5000000000000053</v>
      </c>
      <c r="F176" s="22">
        <v>8175</v>
      </c>
      <c r="G176" s="24">
        <f t="shared" si="15"/>
        <v>8.4000000000000057</v>
      </c>
      <c r="H176" s="22">
        <v>9175</v>
      </c>
      <c r="I176" s="24">
        <f t="shared" si="16"/>
        <v>8.300000000000006</v>
      </c>
    </row>
    <row r="177" spans="1:9" x14ac:dyDescent="0.15">
      <c r="A177" s="24">
        <v>176</v>
      </c>
      <c r="B177" s="24">
        <f>H133</f>
        <v>9132</v>
      </c>
      <c r="C177" s="24">
        <f>I133</f>
        <v>8.600000000000005</v>
      </c>
      <c r="D177" s="22">
        <v>7176</v>
      </c>
      <c r="E177" s="24">
        <f t="shared" si="14"/>
        <v>8.600000000000005</v>
      </c>
      <c r="F177" s="22">
        <v>8176</v>
      </c>
      <c r="G177" s="24">
        <f t="shared" si="15"/>
        <v>8.5000000000000053</v>
      </c>
      <c r="H177" s="22">
        <v>9176</v>
      </c>
      <c r="I177" s="24">
        <f t="shared" si="16"/>
        <v>8.4000000000000057</v>
      </c>
    </row>
    <row r="178" spans="1:9" x14ac:dyDescent="0.15">
      <c r="A178" s="24">
        <v>177</v>
      </c>
      <c r="B178" s="24">
        <f>F133</f>
        <v>8132</v>
      </c>
      <c r="C178" s="24">
        <f>G133</f>
        <v>8.7000000000000046</v>
      </c>
      <c r="D178" s="22">
        <v>7177</v>
      </c>
      <c r="E178" s="24">
        <f t="shared" si="14"/>
        <v>8.7000000000000046</v>
      </c>
      <c r="F178" s="22">
        <v>8177</v>
      </c>
      <c r="G178" s="24">
        <f t="shared" si="15"/>
        <v>8.600000000000005</v>
      </c>
      <c r="H178" s="22">
        <v>9177</v>
      </c>
      <c r="I178" s="24">
        <f t="shared" si="16"/>
        <v>8.5000000000000053</v>
      </c>
    </row>
    <row r="179" spans="1:9" x14ac:dyDescent="0.15">
      <c r="A179" s="24">
        <v>178</v>
      </c>
      <c r="B179" s="24">
        <f>F135</f>
        <v>8134</v>
      </c>
      <c r="C179" s="24">
        <f>G135</f>
        <v>8.600000000000005</v>
      </c>
      <c r="D179" s="22">
        <v>7178</v>
      </c>
      <c r="E179" s="24">
        <f t="shared" si="14"/>
        <v>8.600000000000005</v>
      </c>
      <c r="F179" s="22">
        <v>8178</v>
      </c>
      <c r="G179" s="24">
        <f t="shared" si="15"/>
        <v>8.5000000000000053</v>
      </c>
      <c r="H179" s="22">
        <v>9178</v>
      </c>
      <c r="I179" s="24">
        <f t="shared" si="16"/>
        <v>8.4000000000000057</v>
      </c>
    </row>
    <row r="180" spans="1:9" x14ac:dyDescent="0.15">
      <c r="A180" s="24">
        <v>179</v>
      </c>
      <c r="B180" s="24">
        <f>H135</f>
        <v>9134</v>
      </c>
      <c r="C180" s="24">
        <f>I135</f>
        <v>8.5000000000000053</v>
      </c>
      <c r="D180" s="22">
        <v>7179</v>
      </c>
      <c r="E180" s="24">
        <f t="shared" si="14"/>
        <v>8.5000000000000053</v>
      </c>
      <c r="F180" s="22">
        <v>8179</v>
      </c>
      <c r="G180" s="24">
        <f t="shared" si="15"/>
        <v>8.4000000000000057</v>
      </c>
      <c r="H180" s="22">
        <v>9179</v>
      </c>
      <c r="I180" s="24">
        <f t="shared" si="16"/>
        <v>8.300000000000006</v>
      </c>
    </row>
    <row r="181" spans="1:9" x14ac:dyDescent="0.15">
      <c r="A181" s="24">
        <v>180</v>
      </c>
      <c r="B181" s="24">
        <f>F136</f>
        <v>8135</v>
      </c>
      <c r="C181" s="24">
        <f>G136</f>
        <v>8.5000000000000053</v>
      </c>
      <c r="D181" s="22">
        <v>7180</v>
      </c>
      <c r="E181" s="24">
        <f t="shared" si="14"/>
        <v>8.5000000000000053</v>
      </c>
      <c r="F181" s="22">
        <v>8180</v>
      </c>
      <c r="G181" s="24">
        <f t="shared" si="15"/>
        <v>8.4000000000000057</v>
      </c>
      <c r="H181" s="22">
        <v>9180</v>
      </c>
      <c r="I181" s="24">
        <f t="shared" si="16"/>
        <v>8.300000000000006</v>
      </c>
    </row>
    <row r="182" spans="1:9" x14ac:dyDescent="0.15">
      <c r="A182" s="24">
        <v>181</v>
      </c>
      <c r="B182" s="24">
        <f>H136</f>
        <v>9135</v>
      </c>
      <c r="C182" s="24">
        <f>I136</f>
        <v>8.4000000000000057</v>
      </c>
      <c r="D182" s="22">
        <v>7181</v>
      </c>
      <c r="E182" s="24">
        <f t="shared" si="14"/>
        <v>8.4000000000000057</v>
      </c>
      <c r="F182" s="22">
        <v>8181</v>
      </c>
      <c r="G182" s="24">
        <f t="shared" si="15"/>
        <v>8.300000000000006</v>
      </c>
      <c r="H182" s="22">
        <v>9181</v>
      </c>
      <c r="I182" s="24">
        <f t="shared" si="16"/>
        <v>8.2000000000000064</v>
      </c>
    </row>
    <row r="183" spans="1:9" x14ac:dyDescent="0.15">
      <c r="A183" s="24">
        <v>182</v>
      </c>
      <c r="B183" s="24">
        <f>D140</f>
        <v>7139</v>
      </c>
      <c r="C183" s="24">
        <f>E140</f>
        <v>9.0000000000000036</v>
      </c>
      <c r="D183" s="22">
        <v>7182</v>
      </c>
      <c r="E183" s="24">
        <f t="shared" si="14"/>
        <v>9.0000000000000036</v>
      </c>
      <c r="F183" s="22">
        <v>8182</v>
      </c>
      <c r="G183" s="24">
        <f t="shared" si="15"/>
        <v>8.9000000000000039</v>
      </c>
      <c r="H183" s="22">
        <v>9182</v>
      </c>
      <c r="I183" s="24">
        <f t="shared" si="16"/>
        <v>8.8000000000000043</v>
      </c>
    </row>
    <row r="184" spans="1:9" x14ac:dyDescent="0.15">
      <c r="A184" s="24">
        <v>183</v>
      </c>
      <c r="B184" s="24">
        <f>F140</f>
        <v>8139</v>
      </c>
      <c r="C184" s="24">
        <f>G140</f>
        <v>8.9000000000000039</v>
      </c>
      <c r="D184" s="22">
        <v>7183</v>
      </c>
      <c r="E184" s="24">
        <f t="shared" si="14"/>
        <v>8.9000000000000039</v>
      </c>
      <c r="F184" s="22">
        <v>8183</v>
      </c>
      <c r="G184" s="24">
        <f t="shared" si="15"/>
        <v>8.8000000000000043</v>
      </c>
      <c r="H184" s="22">
        <v>9183</v>
      </c>
      <c r="I184" s="24">
        <f t="shared" si="16"/>
        <v>8.7000000000000046</v>
      </c>
    </row>
    <row r="185" spans="1:9" x14ac:dyDescent="0.15">
      <c r="A185" s="24">
        <v>184</v>
      </c>
      <c r="B185" s="24">
        <f>H140</f>
        <v>9139</v>
      </c>
      <c r="C185" s="24">
        <f>I140</f>
        <v>8.8000000000000043</v>
      </c>
      <c r="D185" s="22">
        <v>7184</v>
      </c>
      <c r="E185" s="24">
        <f t="shared" si="14"/>
        <v>8.8000000000000043</v>
      </c>
      <c r="F185" s="22">
        <v>8184</v>
      </c>
      <c r="G185" s="24">
        <f t="shared" si="15"/>
        <v>8.7000000000000046</v>
      </c>
      <c r="H185" s="22">
        <v>9184</v>
      </c>
      <c r="I185" s="24">
        <f t="shared" si="16"/>
        <v>8.600000000000005</v>
      </c>
    </row>
    <row r="186" spans="1:9" x14ac:dyDescent="0.15">
      <c r="A186" s="24">
        <v>185</v>
      </c>
      <c r="B186" s="24">
        <f>H141</f>
        <v>9140</v>
      </c>
      <c r="C186" s="24">
        <f>I141</f>
        <v>8.7000000000000046</v>
      </c>
      <c r="D186" s="22">
        <v>7185</v>
      </c>
      <c r="E186" s="24">
        <f t="shared" si="14"/>
        <v>8.7000000000000046</v>
      </c>
      <c r="F186" s="22">
        <v>8185</v>
      </c>
      <c r="G186" s="24">
        <f t="shared" si="15"/>
        <v>8.600000000000005</v>
      </c>
      <c r="H186" s="22">
        <v>9185</v>
      </c>
      <c r="I186" s="24">
        <f t="shared" si="16"/>
        <v>8.5000000000000053</v>
      </c>
    </row>
    <row r="187" spans="1:9" x14ac:dyDescent="0.15">
      <c r="A187" s="24">
        <v>186</v>
      </c>
      <c r="B187" s="24">
        <f>F141</f>
        <v>8140</v>
      </c>
      <c r="C187" s="24">
        <f>G141</f>
        <v>8.8000000000000043</v>
      </c>
      <c r="D187" s="22">
        <v>7186</v>
      </c>
      <c r="E187" s="24">
        <f t="shared" si="14"/>
        <v>8.8000000000000043</v>
      </c>
      <c r="F187" s="22">
        <v>8186</v>
      </c>
      <c r="G187" s="24">
        <f t="shared" si="15"/>
        <v>8.7000000000000046</v>
      </c>
      <c r="H187" s="22">
        <v>9186</v>
      </c>
      <c r="I187" s="24">
        <f t="shared" si="16"/>
        <v>8.600000000000005</v>
      </c>
    </row>
    <row r="188" spans="1:9" x14ac:dyDescent="0.15">
      <c r="A188" s="24">
        <v>187</v>
      </c>
      <c r="B188" s="24">
        <f>D144</f>
        <v>7143</v>
      </c>
      <c r="C188" s="24">
        <f>E144</f>
        <v>8.7000000000000046</v>
      </c>
      <c r="D188" s="22">
        <v>7187</v>
      </c>
      <c r="E188" s="24">
        <f t="shared" si="14"/>
        <v>8.7000000000000046</v>
      </c>
      <c r="F188" s="22">
        <v>8187</v>
      </c>
      <c r="G188" s="24">
        <f t="shared" si="15"/>
        <v>8.600000000000005</v>
      </c>
      <c r="H188" s="22">
        <v>9187</v>
      </c>
      <c r="I188" s="24">
        <f t="shared" si="16"/>
        <v>8.5000000000000053</v>
      </c>
    </row>
    <row r="189" spans="1:9" x14ac:dyDescent="0.15">
      <c r="A189" s="24">
        <v>188</v>
      </c>
      <c r="B189" s="24">
        <f>F144</f>
        <v>8143</v>
      </c>
      <c r="C189" s="24">
        <f>G144</f>
        <v>8.600000000000005</v>
      </c>
      <c r="D189" s="22">
        <v>7188</v>
      </c>
      <c r="E189" s="24">
        <f t="shared" si="14"/>
        <v>8.600000000000005</v>
      </c>
      <c r="F189" s="22">
        <v>8188</v>
      </c>
      <c r="G189" s="24">
        <f t="shared" si="15"/>
        <v>8.5000000000000053</v>
      </c>
      <c r="H189" s="22">
        <v>9188</v>
      </c>
      <c r="I189" s="24">
        <f t="shared" si="16"/>
        <v>8.4000000000000057</v>
      </c>
    </row>
    <row r="190" spans="1:9" x14ac:dyDescent="0.15">
      <c r="A190" s="24">
        <v>189</v>
      </c>
      <c r="B190" s="24">
        <f>H144</f>
        <v>9143</v>
      </c>
      <c r="C190" s="24">
        <f>I144</f>
        <v>8.5000000000000053</v>
      </c>
      <c r="D190" s="22">
        <v>7189</v>
      </c>
      <c r="E190" s="24">
        <f t="shared" si="14"/>
        <v>8.5000000000000053</v>
      </c>
      <c r="F190" s="22">
        <v>8189</v>
      </c>
      <c r="G190" s="24">
        <f t="shared" si="15"/>
        <v>8.4000000000000057</v>
      </c>
      <c r="H190" s="22">
        <v>9189</v>
      </c>
      <c r="I190" s="24">
        <f t="shared" si="16"/>
        <v>8.300000000000006</v>
      </c>
    </row>
    <row r="191" spans="1:9" x14ac:dyDescent="0.15">
      <c r="A191" s="24">
        <v>190</v>
      </c>
      <c r="B191" s="22">
        <f>H145</f>
        <v>9144</v>
      </c>
      <c r="C191" s="22">
        <f>I145</f>
        <v>8.600000000000005</v>
      </c>
      <c r="D191" s="22">
        <v>7190</v>
      </c>
      <c r="E191" s="24">
        <f t="shared" si="14"/>
        <v>8.600000000000005</v>
      </c>
      <c r="F191" s="22">
        <v>8190</v>
      </c>
      <c r="G191" s="24">
        <f t="shared" si="15"/>
        <v>8.5000000000000053</v>
      </c>
      <c r="H191" s="22">
        <v>9190</v>
      </c>
      <c r="I191" s="24">
        <f t="shared" si="16"/>
        <v>8.4000000000000057</v>
      </c>
    </row>
    <row r="192" spans="1:9" x14ac:dyDescent="0.15">
      <c r="A192" s="24">
        <v>191</v>
      </c>
      <c r="B192" s="22">
        <f>F145</f>
        <v>8144</v>
      </c>
      <c r="C192" s="22">
        <f>G145</f>
        <v>8.7000000000000046</v>
      </c>
      <c r="D192" s="22">
        <v>7191</v>
      </c>
      <c r="E192" s="24">
        <f t="shared" si="14"/>
        <v>8.7000000000000046</v>
      </c>
      <c r="F192" s="22">
        <v>8191</v>
      </c>
      <c r="G192" s="24">
        <f t="shared" si="15"/>
        <v>8.600000000000005</v>
      </c>
      <c r="H192" s="22">
        <v>9191</v>
      </c>
      <c r="I192" s="24">
        <f t="shared" si="16"/>
        <v>8.5000000000000053</v>
      </c>
    </row>
    <row r="193" spans="1:9" x14ac:dyDescent="0.15">
      <c r="A193" s="24">
        <v>192</v>
      </c>
      <c r="B193" s="24">
        <f>D146</f>
        <v>7145</v>
      </c>
      <c r="C193" s="24">
        <f>E146</f>
        <v>8.8000000000000043</v>
      </c>
      <c r="D193" s="22">
        <v>7192</v>
      </c>
      <c r="E193" s="24">
        <f t="shared" si="14"/>
        <v>8.8000000000000043</v>
      </c>
      <c r="F193" s="22">
        <v>8192</v>
      </c>
      <c r="G193" s="24">
        <f t="shared" si="15"/>
        <v>8.7000000000000046</v>
      </c>
      <c r="H193" s="22">
        <v>9192</v>
      </c>
      <c r="I193" s="24">
        <f t="shared" si="16"/>
        <v>8.600000000000005</v>
      </c>
    </row>
    <row r="194" spans="1:9" x14ac:dyDescent="0.15">
      <c r="A194" s="24">
        <v>193</v>
      </c>
      <c r="B194" s="24">
        <f>F146</f>
        <v>8145</v>
      </c>
      <c r="C194" s="24">
        <f>G146</f>
        <v>8.7000000000000046</v>
      </c>
      <c r="D194" s="22">
        <v>7193</v>
      </c>
      <c r="E194" s="24">
        <f t="shared" ref="E194:E203" si="17">C194</f>
        <v>8.7000000000000046</v>
      </c>
      <c r="F194" s="22">
        <v>8193</v>
      </c>
      <c r="G194" s="24">
        <f t="shared" ref="G194:G203" si="18">$E194-0.1</f>
        <v>8.600000000000005</v>
      </c>
      <c r="H194" s="22">
        <v>9193</v>
      </c>
      <c r="I194" s="24">
        <f t="shared" ref="I194:I203" si="19">$E194-0.2</f>
        <v>8.5000000000000053</v>
      </c>
    </row>
    <row r="195" spans="1:9" x14ac:dyDescent="0.15">
      <c r="A195" s="24">
        <v>194</v>
      </c>
      <c r="B195" s="24">
        <f>H146</f>
        <v>9145</v>
      </c>
      <c r="C195" s="24">
        <f>I146</f>
        <v>8.600000000000005</v>
      </c>
      <c r="D195" s="22">
        <v>7194</v>
      </c>
      <c r="E195" s="24">
        <f t="shared" si="17"/>
        <v>8.600000000000005</v>
      </c>
      <c r="F195" s="22">
        <v>8194</v>
      </c>
      <c r="G195" s="24">
        <f t="shared" si="18"/>
        <v>8.5000000000000053</v>
      </c>
      <c r="H195" s="22">
        <v>9194</v>
      </c>
      <c r="I195" s="24">
        <f t="shared" si="19"/>
        <v>8.4000000000000057</v>
      </c>
    </row>
    <row r="196" spans="1:9" x14ac:dyDescent="0.15">
      <c r="A196" s="24">
        <v>195</v>
      </c>
      <c r="B196" s="24">
        <f>H149</f>
        <v>9148</v>
      </c>
      <c r="C196" s="24">
        <f>I149</f>
        <v>8.2000000000000064</v>
      </c>
      <c r="D196" s="22">
        <v>7195</v>
      </c>
      <c r="E196" s="24">
        <f t="shared" si="17"/>
        <v>8.2000000000000064</v>
      </c>
      <c r="F196" s="22">
        <v>8195</v>
      </c>
      <c r="G196" s="24">
        <f t="shared" si="18"/>
        <v>8.1000000000000068</v>
      </c>
      <c r="H196" s="22">
        <v>9195</v>
      </c>
      <c r="I196" s="24">
        <f t="shared" si="19"/>
        <v>8.0000000000000071</v>
      </c>
    </row>
    <row r="197" spans="1:9" x14ac:dyDescent="0.15">
      <c r="A197" s="24">
        <v>196</v>
      </c>
      <c r="B197" s="24">
        <f>F149</f>
        <v>8148</v>
      </c>
      <c r="C197" s="24">
        <f>G149</f>
        <v>8.300000000000006</v>
      </c>
      <c r="D197" s="22">
        <v>7196</v>
      </c>
      <c r="E197" s="24">
        <f t="shared" si="17"/>
        <v>8.300000000000006</v>
      </c>
      <c r="F197" s="22">
        <v>8196</v>
      </c>
      <c r="G197" s="24">
        <f t="shared" si="18"/>
        <v>8.2000000000000064</v>
      </c>
      <c r="H197" s="22">
        <v>9196</v>
      </c>
      <c r="I197" s="24">
        <f t="shared" si="19"/>
        <v>8.1000000000000068</v>
      </c>
    </row>
    <row r="198" spans="1:9" x14ac:dyDescent="0.15">
      <c r="A198" s="24">
        <v>197</v>
      </c>
      <c r="B198" s="24">
        <f>H155</f>
        <v>9154</v>
      </c>
      <c r="C198" s="24">
        <f>I155</f>
        <v>8.600000000000005</v>
      </c>
      <c r="D198" s="22">
        <v>7197</v>
      </c>
      <c r="E198" s="24">
        <f t="shared" si="17"/>
        <v>8.600000000000005</v>
      </c>
      <c r="F198" s="22">
        <v>8197</v>
      </c>
      <c r="G198" s="24">
        <f t="shared" si="18"/>
        <v>8.5000000000000053</v>
      </c>
      <c r="H198" s="22">
        <v>9197</v>
      </c>
      <c r="I198" s="24">
        <f t="shared" si="19"/>
        <v>8.4000000000000057</v>
      </c>
    </row>
    <row r="199" spans="1:9" x14ac:dyDescent="0.15">
      <c r="A199" s="24">
        <v>198</v>
      </c>
      <c r="B199" s="24">
        <f>F155</f>
        <v>8154</v>
      </c>
      <c r="C199" s="24">
        <f>G155</f>
        <v>8.7000000000000046</v>
      </c>
      <c r="D199" s="22">
        <v>7198</v>
      </c>
      <c r="E199" s="24">
        <f t="shared" si="17"/>
        <v>8.7000000000000046</v>
      </c>
      <c r="F199" s="22">
        <v>8198</v>
      </c>
      <c r="G199" s="24">
        <f t="shared" si="18"/>
        <v>8.600000000000005</v>
      </c>
      <c r="H199" s="22">
        <v>9198</v>
      </c>
      <c r="I199" s="24">
        <f t="shared" si="19"/>
        <v>8.5000000000000053</v>
      </c>
    </row>
    <row r="200" spans="1:9" x14ac:dyDescent="0.15">
      <c r="A200" s="24">
        <v>199</v>
      </c>
      <c r="B200" s="24">
        <f>H159</f>
        <v>9158</v>
      </c>
      <c r="C200" s="24">
        <f>I159</f>
        <v>8.7000000000000046</v>
      </c>
      <c r="D200" s="22">
        <v>7199</v>
      </c>
      <c r="E200" s="24">
        <f t="shared" si="17"/>
        <v>8.7000000000000046</v>
      </c>
      <c r="F200" s="22">
        <v>8199</v>
      </c>
      <c r="G200" s="24">
        <f t="shared" si="18"/>
        <v>8.600000000000005</v>
      </c>
      <c r="H200" s="22">
        <v>9199</v>
      </c>
      <c r="I200" s="24">
        <f t="shared" si="19"/>
        <v>8.5000000000000053</v>
      </c>
    </row>
    <row r="201" spans="1:9" x14ac:dyDescent="0.15">
      <c r="A201" s="24">
        <v>200</v>
      </c>
      <c r="B201" s="24">
        <f>F159</f>
        <v>8158</v>
      </c>
      <c r="C201" s="24">
        <f>G159</f>
        <v>8.8000000000000043</v>
      </c>
      <c r="D201" s="22">
        <v>7200</v>
      </c>
      <c r="E201" s="24">
        <f t="shared" si="17"/>
        <v>8.8000000000000043</v>
      </c>
      <c r="F201" s="22">
        <v>8200</v>
      </c>
      <c r="G201" s="24">
        <f t="shared" si="18"/>
        <v>8.7000000000000046</v>
      </c>
      <c r="H201" s="22">
        <v>9200</v>
      </c>
      <c r="I201" s="24">
        <f t="shared" si="19"/>
        <v>8.600000000000005</v>
      </c>
    </row>
    <row r="202" spans="1:9" x14ac:dyDescent="0.15">
      <c r="A202" s="24">
        <v>201</v>
      </c>
      <c r="B202" s="24">
        <f>F80</f>
        <v>8079</v>
      </c>
      <c r="C202" s="24">
        <f>G80</f>
        <v>8.8000000000000043</v>
      </c>
      <c r="D202" s="22">
        <v>7201</v>
      </c>
      <c r="E202" s="24">
        <f t="shared" si="17"/>
        <v>8.8000000000000043</v>
      </c>
      <c r="F202" s="22">
        <v>8201</v>
      </c>
      <c r="G202" s="24">
        <f t="shared" si="18"/>
        <v>8.7000000000000046</v>
      </c>
      <c r="H202" s="22">
        <v>9201</v>
      </c>
      <c r="I202" s="24">
        <f t="shared" si="19"/>
        <v>8.600000000000005</v>
      </c>
    </row>
    <row r="203" spans="1:9" x14ac:dyDescent="0.15">
      <c r="A203" s="24">
        <v>202</v>
      </c>
      <c r="B203" s="24">
        <f>H80</f>
        <v>9079</v>
      </c>
      <c r="C203" s="24">
        <f>I80</f>
        <v>8.7000000000000046</v>
      </c>
      <c r="D203" s="22">
        <v>7202</v>
      </c>
      <c r="E203" s="24">
        <f t="shared" si="17"/>
        <v>8.7000000000000046</v>
      </c>
      <c r="F203" s="22">
        <v>8202</v>
      </c>
      <c r="G203" s="24">
        <f t="shared" si="18"/>
        <v>8.600000000000005</v>
      </c>
      <c r="H203" s="22">
        <v>9202</v>
      </c>
      <c r="I203" s="24">
        <f t="shared" si="19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K3</vt:lpstr>
      <vt:lpstr>K3Source</vt:lpstr>
      <vt:lpstr>ExportXML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2018-06-30T17:16:06Z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